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p\Documents\Programmation Monétaire\PM Cameroun 2025\PM CMR 2025 MISE A JOUR\"/>
    </mc:Choice>
  </mc:AlternateContent>
  <bookViews>
    <workbookView xWindow="-108" yWindow="-108" windowWidth="23256" windowHeight="12456" tabRatio="769"/>
  </bookViews>
  <sheets>
    <sheet name="IPC" sheetId="1" r:id="rId1"/>
    <sheet name="IPC_Projections" sheetId="26" state="hidden" r:id="rId2"/>
    <sheet name="IPC_Trimestriel" sheetId="21" state="hidden" r:id="rId3"/>
    <sheet name="IPC_annuel" sheetId="23" r:id="rId4"/>
    <sheet name="IPC_annuel_Projection" sheetId="27" r:id="rId5"/>
    <sheet name="Inflation_mensuelle" sheetId="12" r:id="rId6"/>
    <sheet name="Feuil1" sheetId="24" r:id="rId7"/>
    <sheet name="Inflation_trimestrielle" sheetId="20" r:id="rId8"/>
    <sheet name="Série longue IPC" sheetId="22" r:id="rId9"/>
    <sheet name="Annexe 1" sheetId="5" r:id="rId10"/>
    <sheet name="Annexe 3" sheetId="6" r:id="rId11"/>
    <sheet name="Graph 2" sheetId="11" r:id="rId12"/>
  </sheets>
  <definedNames>
    <definedName name="_xlnm.Print_Area" localSheetId="9">'Annexe 1'!$B$3:$I$34</definedName>
    <definedName name="_xlnm.Print_Area" localSheetId="10">'Annexe 3'!$B$1:$O$74</definedName>
    <definedName name="_xlnm.Print_Area" localSheetId="11">'Graph 2'!$B$2:$I$131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9" i="23" l="1"/>
  <c r="AM19" i="23"/>
  <c r="AN19" i="23"/>
  <c r="AO19" i="23"/>
  <c r="AP19" i="23"/>
  <c r="AK19" i="23"/>
  <c r="AJ5" i="23"/>
  <c r="AJ8" i="23"/>
  <c r="AJ9" i="23"/>
  <c r="AJ10" i="23"/>
  <c r="AJ11" i="23"/>
  <c r="AJ12" i="23"/>
  <c r="AJ13" i="23"/>
  <c r="AJ14" i="23"/>
  <c r="AJ15" i="23"/>
  <c r="AJ16" i="23"/>
  <c r="AJ17" i="23"/>
  <c r="AJ18" i="23"/>
  <c r="FT19" i="1"/>
  <c r="FU19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B19" i="1"/>
  <c r="HC19" i="1"/>
  <c r="HD19" i="1"/>
  <c r="HE19" i="1"/>
  <c r="HF19" i="1"/>
  <c r="HG19" i="1"/>
  <c r="HH19" i="1"/>
  <c r="HI19" i="1"/>
  <c r="HJ19" i="1"/>
  <c r="HK19" i="1"/>
  <c r="HL19" i="1"/>
  <c r="HM19" i="1"/>
  <c r="HN19" i="1"/>
  <c r="HO19" i="1"/>
  <c r="HP19" i="1"/>
  <c r="HQ19" i="1"/>
  <c r="HR19" i="1"/>
  <c r="HS19" i="1"/>
  <c r="HT19" i="1"/>
  <c r="HU19" i="1"/>
  <c r="HV19" i="1"/>
  <c r="HW19" i="1"/>
  <c r="HX19" i="1"/>
  <c r="HY19" i="1"/>
  <c r="HZ19" i="1"/>
  <c r="IA19" i="1"/>
  <c r="IB19" i="1"/>
  <c r="IC19" i="1"/>
  <c r="ID19" i="1"/>
  <c r="IE19" i="1"/>
  <c r="IF19" i="1"/>
  <c r="IG19" i="1"/>
  <c r="IH19" i="1"/>
  <c r="II19" i="1"/>
  <c r="FS19" i="1"/>
  <c r="FJ62" i="12"/>
  <c r="FK62" i="12"/>
  <c r="FL62" i="12"/>
  <c r="FM62" i="12"/>
  <c r="FN62" i="12"/>
  <c r="FO62" i="12"/>
  <c r="FP62" i="12"/>
  <c r="FQ62" i="12"/>
  <c r="FR62" i="12"/>
  <c r="FJ63" i="12"/>
  <c r="FK63" i="12"/>
  <c r="FL63" i="12"/>
  <c r="FM63" i="12"/>
  <c r="FN63" i="12"/>
  <c r="FO63" i="12"/>
  <c r="FP63" i="12"/>
  <c r="FQ63" i="12"/>
  <c r="FR63" i="12"/>
  <c r="FJ65" i="12"/>
  <c r="FK65" i="12"/>
  <c r="FL65" i="12"/>
  <c r="FM65" i="12"/>
  <c r="FN65" i="12"/>
  <c r="FO65" i="12"/>
  <c r="FP65" i="12"/>
  <c r="FQ65" i="12"/>
  <c r="FR65" i="12"/>
  <c r="FJ66" i="12"/>
  <c r="FK66" i="12"/>
  <c r="FL66" i="12"/>
  <c r="FM66" i="12"/>
  <c r="FN66" i="12"/>
  <c r="FO66" i="12"/>
  <c r="FP66" i="12"/>
  <c r="FQ66" i="12"/>
  <c r="FR66" i="12"/>
  <c r="FJ67" i="12"/>
  <c r="FK67" i="12"/>
  <c r="FL67" i="12"/>
  <c r="FM67" i="12"/>
  <c r="FN67" i="12"/>
  <c r="FO67" i="12"/>
  <c r="FP67" i="12"/>
  <c r="FQ67" i="12"/>
  <c r="FR67" i="12"/>
  <c r="FJ68" i="12"/>
  <c r="FK68" i="12"/>
  <c r="FL68" i="12"/>
  <c r="FM68" i="12"/>
  <c r="FN68" i="12"/>
  <c r="FO68" i="12"/>
  <c r="FP68" i="12"/>
  <c r="FQ68" i="12"/>
  <c r="FR68" i="12"/>
  <c r="FJ21" i="12"/>
  <c r="FK21" i="12"/>
  <c r="FL21" i="12"/>
  <c r="FM21" i="12"/>
  <c r="FN21" i="12"/>
  <c r="FO21" i="12"/>
  <c r="FP21" i="12"/>
  <c r="FQ21" i="12"/>
  <c r="FR21" i="12"/>
  <c r="FJ22" i="12"/>
  <c r="FK22" i="12"/>
  <c r="FL22" i="12"/>
  <c r="FM22" i="12"/>
  <c r="FN22" i="12"/>
  <c r="FO22" i="12"/>
  <c r="FP22" i="12"/>
  <c r="FQ22" i="12"/>
  <c r="FR22" i="12"/>
  <c r="FJ24" i="12"/>
  <c r="FK24" i="12"/>
  <c r="FL24" i="12"/>
  <c r="FM24" i="12"/>
  <c r="FN24" i="12"/>
  <c r="FO24" i="12"/>
  <c r="FP24" i="12"/>
  <c r="FQ24" i="12"/>
  <c r="FR24" i="12"/>
  <c r="FJ25" i="12"/>
  <c r="FK25" i="12"/>
  <c r="FL25" i="12"/>
  <c r="FM25" i="12"/>
  <c r="FN25" i="12"/>
  <c r="FO25" i="12"/>
  <c r="FP25" i="12"/>
  <c r="FQ25" i="12"/>
  <c r="FR25" i="12"/>
  <c r="FJ26" i="12"/>
  <c r="FK26" i="12"/>
  <c r="FL26" i="12"/>
  <c r="FM26" i="12"/>
  <c r="FN26" i="12"/>
  <c r="FO26" i="12"/>
  <c r="FP26" i="12"/>
  <c r="FQ26" i="12"/>
  <c r="FR26" i="12"/>
  <c r="FJ27" i="12"/>
  <c r="FK27" i="12"/>
  <c r="FL27" i="12"/>
  <c r="FM27" i="12"/>
  <c r="FN27" i="12"/>
  <c r="FO27" i="12"/>
  <c r="FP27" i="12"/>
  <c r="FQ27" i="12"/>
  <c r="FR27" i="12"/>
  <c r="FQ58" i="1" l="1"/>
  <c r="FR58" i="1"/>
  <c r="FP58" i="1"/>
  <c r="FP38" i="1"/>
  <c r="FQ38" i="1"/>
  <c r="FR38" i="1"/>
  <c r="FP39" i="1"/>
  <c r="FQ39" i="1"/>
  <c r="FR39" i="1"/>
  <c r="FP40" i="1"/>
  <c r="FQ40" i="1"/>
  <c r="FR40" i="1"/>
  <c r="FP42" i="1"/>
  <c r="FQ42" i="1"/>
  <c r="FR42" i="1"/>
  <c r="EU78" i="1"/>
  <c r="AP70" i="1"/>
  <c r="AO70" i="1"/>
  <c r="AN70" i="1"/>
  <c r="AM70" i="1"/>
  <c r="AL70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C42" i="1"/>
  <c r="M19" i="1" s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O19" i="1"/>
  <c r="N19" i="1"/>
  <c r="J19" i="1"/>
  <c r="F19" i="1" l="1"/>
  <c r="H19" i="1"/>
  <c r="FR79" i="12"/>
  <c r="FR38" i="12"/>
  <c r="FO38" i="12"/>
  <c r="FO79" i="12"/>
  <c r="FO39" i="12"/>
  <c r="FO80" i="12"/>
  <c r="FO40" i="12"/>
  <c r="FO81" i="12"/>
  <c r="FR40" i="12"/>
  <c r="FR81" i="12"/>
  <c r="FQ40" i="12"/>
  <c r="FQ81" i="12"/>
  <c r="D19" i="1"/>
  <c r="FP40" i="12"/>
  <c r="FP81" i="12"/>
  <c r="E19" i="1"/>
  <c r="FR39" i="12"/>
  <c r="FR80" i="12"/>
  <c r="FQ39" i="12"/>
  <c r="FQ80" i="12"/>
  <c r="G19" i="1"/>
  <c r="FP39" i="12"/>
  <c r="FP80" i="12"/>
  <c r="I19" i="1"/>
  <c r="FJ38" i="12"/>
  <c r="FJ79" i="12"/>
  <c r="FJ80" i="12"/>
  <c r="FJ39" i="12"/>
  <c r="FJ40" i="12"/>
  <c r="FJ81" i="12"/>
  <c r="FQ38" i="12"/>
  <c r="FQ79" i="12"/>
  <c r="FK79" i="12"/>
  <c r="FK38" i="12"/>
  <c r="FK40" i="12"/>
  <c r="FK81" i="12"/>
  <c r="FP38" i="12"/>
  <c r="FP79" i="12"/>
  <c r="FL38" i="12"/>
  <c r="FL79" i="12"/>
  <c r="FL39" i="12"/>
  <c r="FL80" i="12"/>
  <c r="FL81" i="12"/>
  <c r="FL40" i="12"/>
  <c r="L19" i="1"/>
  <c r="FM79" i="12"/>
  <c r="FM38" i="12"/>
  <c r="FM39" i="12"/>
  <c r="FM80" i="12"/>
  <c r="FM81" i="12"/>
  <c r="FM40" i="12"/>
  <c r="FK39" i="12"/>
  <c r="FK80" i="12"/>
  <c r="K19" i="1"/>
  <c r="FN38" i="12"/>
  <c r="FN79" i="12"/>
  <c r="FN39" i="12"/>
  <c r="FN80" i="12"/>
  <c r="FN81" i="12"/>
  <c r="FN40" i="12"/>
  <c r="FM5" i="12"/>
  <c r="FN5" i="12"/>
  <c r="FO5" i="12"/>
  <c r="FP5" i="12"/>
  <c r="FQ5" i="12"/>
  <c r="FR5" i="12"/>
  <c r="FM6" i="12"/>
  <c r="FN6" i="12"/>
  <c r="FO6" i="12"/>
  <c r="FP6" i="12"/>
  <c r="FQ6" i="12"/>
  <c r="FR6" i="12"/>
  <c r="FM7" i="12"/>
  <c r="FN7" i="12"/>
  <c r="FO7" i="12"/>
  <c r="FP7" i="12"/>
  <c r="FQ7" i="12"/>
  <c r="FR7" i="12"/>
  <c r="FM8" i="12"/>
  <c r="FN8" i="12"/>
  <c r="FO8" i="12"/>
  <c r="FP8" i="12"/>
  <c r="FQ8" i="12"/>
  <c r="FR8" i="12"/>
  <c r="FM9" i="12"/>
  <c r="FN9" i="12"/>
  <c r="FO9" i="12"/>
  <c r="FP9" i="12"/>
  <c r="FQ9" i="12"/>
  <c r="FR9" i="12"/>
  <c r="FM10" i="12"/>
  <c r="FN10" i="12"/>
  <c r="FO10" i="12"/>
  <c r="FP10" i="12"/>
  <c r="FQ10" i="12"/>
  <c r="FR10" i="12"/>
  <c r="FM11" i="12"/>
  <c r="FN11" i="12"/>
  <c r="FO11" i="12"/>
  <c r="FP11" i="12"/>
  <c r="FQ11" i="12"/>
  <c r="FR11" i="12"/>
  <c r="FM12" i="12"/>
  <c r="FN12" i="12"/>
  <c r="FO12" i="12"/>
  <c r="FP12" i="12"/>
  <c r="FQ12" i="12"/>
  <c r="FR12" i="12"/>
  <c r="FM13" i="12"/>
  <c r="FN13" i="12"/>
  <c r="FO13" i="12"/>
  <c r="FP13" i="12"/>
  <c r="FQ13" i="12"/>
  <c r="FR13" i="12"/>
  <c r="FM14" i="12"/>
  <c r="FN14" i="12"/>
  <c r="FO14" i="12"/>
  <c r="FP14" i="12"/>
  <c r="FQ14" i="12"/>
  <c r="FR14" i="12"/>
  <c r="FM15" i="12"/>
  <c r="FN15" i="12"/>
  <c r="FO15" i="12"/>
  <c r="FP15" i="12"/>
  <c r="FQ15" i="12"/>
  <c r="FR15" i="12"/>
  <c r="FM16" i="12"/>
  <c r="FN16" i="12"/>
  <c r="FO16" i="12"/>
  <c r="FP16" i="12"/>
  <c r="FQ16" i="12"/>
  <c r="FR16" i="12"/>
  <c r="FM17" i="12"/>
  <c r="FN17" i="12"/>
  <c r="FO17" i="12"/>
  <c r="FP17" i="12"/>
  <c r="FQ17" i="12"/>
  <c r="FR17" i="12"/>
  <c r="FM18" i="12"/>
  <c r="FN18" i="12"/>
  <c r="FO18" i="12"/>
  <c r="FP18" i="12"/>
  <c r="FQ18" i="12"/>
  <c r="FR18" i="12"/>
  <c r="FM19" i="12"/>
  <c r="FN19" i="12"/>
  <c r="FO19" i="12"/>
  <c r="FP19" i="12"/>
  <c r="FQ19" i="12"/>
  <c r="FR19" i="12"/>
  <c r="FM46" i="12"/>
  <c r="FN46" i="12"/>
  <c r="FO46" i="12"/>
  <c r="FP46" i="12"/>
  <c r="FQ46" i="12"/>
  <c r="FR46" i="12"/>
  <c r="FM47" i="12"/>
  <c r="FN47" i="12"/>
  <c r="FO47" i="12"/>
  <c r="FP47" i="12"/>
  <c r="FQ47" i="12"/>
  <c r="FR47" i="12"/>
  <c r="FM48" i="12"/>
  <c r="FN48" i="12"/>
  <c r="FO48" i="12"/>
  <c r="FP48" i="12"/>
  <c r="FQ48" i="12"/>
  <c r="FR48" i="12"/>
  <c r="FM49" i="12"/>
  <c r="FN49" i="12"/>
  <c r="FO49" i="12"/>
  <c r="FP49" i="12"/>
  <c r="FQ49" i="12"/>
  <c r="FR49" i="12"/>
  <c r="FM50" i="12"/>
  <c r="FN50" i="12"/>
  <c r="FO50" i="12"/>
  <c r="FP50" i="12"/>
  <c r="FQ50" i="12"/>
  <c r="FR50" i="12"/>
  <c r="FM51" i="12"/>
  <c r="FN51" i="12"/>
  <c r="FO51" i="12"/>
  <c r="FP51" i="12"/>
  <c r="FQ51" i="12"/>
  <c r="FR51" i="12"/>
  <c r="FM52" i="12"/>
  <c r="FN52" i="12"/>
  <c r="FO52" i="12"/>
  <c r="FP52" i="12"/>
  <c r="FQ52" i="12"/>
  <c r="FR52" i="12"/>
  <c r="FM53" i="12"/>
  <c r="FN53" i="12"/>
  <c r="FO53" i="12"/>
  <c r="FP53" i="12"/>
  <c r="FQ53" i="12"/>
  <c r="FR53" i="12"/>
  <c r="FM54" i="12"/>
  <c r="FN54" i="12"/>
  <c r="FO54" i="12"/>
  <c r="FP54" i="12"/>
  <c r="FQ54" i="12"/>
  <c r="FR54" i="12"/>
  <c r="FM55" i="12"/>
  <c r="FN55" i="12"/>
  <c r="FO55" i="12"/>
  <c r="FP55" i="12"/>
  <c r="FQ55" i="12"/>
  <c r="FR55" i="12"/>
  <c r="FM56" i="12"/>
  <c r="FN56" i="12"/>
  <c r="FO56" i="12"/>
  <c r="FP56" i="12"/>
  <c r="FQ56" i="12"/>
  <c r="FR56" i="12"/>
  <c r="FM57" i="12"/>
  <c r="FN57" i="12"/>
  <c r="FO57" i="12"/>
  <c r="FP57" i="12"/>
  <c r="FQ57" i="12"/>
  <c r="FR57" i="12"/>
  <c r="FM58" i="12"/>
  <c r="FN58" i="12"/>
  <c r="FO58" i="12"/>
  <c r="FP58" i="12"/>
  <c r="FQ58" i="12"/>
  <c r="FR58" i="12"/>
  <c r="FM59" i="12"/>
  <c r="FN59" i="12"/>
  <c r="FO59" i="12"/>
  <c r="FP59" i="12"/>
  <c r="FQ59" i="12"/>
  <c r="FR59" i="12"/>
  <c r="FM60" i="12"/>
  <c r="FN60" i="12"/>
  <c r="FO60" i="12"/>
  <c r="FP60" i="12"/>
  <c r="FQ60" i="12"/>
  <c r="FR60" i="12"/>
  <c r="AJ63" i="23"/>
  <c r="AJ47" i="23"/>
  <c r="AJ19" i="23"/>
  <c r="CZ74" i="21"/>
  <c r="CZ73" i="21"/>
  <c r="CZ72" i="21"/>
  <c r="CZ71" i="21"/>
  <c r="CZ70" i="21"/>
  <c r="CZ69" i="21"/>
  <c r="CZ68" i="21"/>
  <c r="CZ67" i="21"/>
  <c r="CZ66" i="21"/>
  <c r="CZ65" i="21"/>
  <c r="CZ64" i="21"/>
  <c r="CZ63" i="21"/>
  <c r="CZ58" i="21"/>
  <c r="CZ57" i="21"/>
  <c r="CZ56" i="21"/>
  <c r="CZ55" i="21"/>
  <c r="CZ54" i="21"/>
  <c r="CZ53" i="21"/>
  <c r="CZ52" i="21"/>
  <c r="CZ51" i="21"/>
  <c r="CZ50" i="21"/>
  <c r="CZ49" i="21"/>
  <c r="CZ48" i="21"/>
  <c r="CZ47" i="21"/>
  <c r="CZ42" i="21"/>
  <c r="CZ41" i="21"/>
  <c r="CZ40" i="21"/>
  <c r="CZ39" i="21"/>
  <c r="CZ38" i="21"/>
  <c r="CZ37" i="21"/>
  <c r="CZ36" i="21"/>
  <c r="CZ35" i="21"/>
  <c r="CZ34" i="21"/>
  <c r="CZ33" i="21"/>
  <c r="CZ32" i="21"/>
  <c r="CZ31" i="21"/>
  <c r="CZ30" i="21"/>
  <c r="CZ29" i="21"/>
  <c r="CZ28" i="21"/>
  <c r="CZ27" i="21"/>
  <c r="CZ26" i="21"/>
  <c r="CZ25" i="21"/>
  <c r="CZ24" i="21"/>
  <c r="CZ23" i="21"/>
  <c r="CZ22" i="21"/>
  <c r="CZ21" i="21"/>
  <c r="CZ19" i="21"/>
  <c r="CZ18" i="21"/>
  <c r="CZ17" i="21"/>
  <c r="CZ16" i="21"/>
  <c r="CZ15" i="21"/>
  <c r="CZ14" i="21"/>
  <c r="CZ13" i="21"/>
  <c r="CZ12" i="21"/>
  <c r="CZ11" i="21"/>
  <c r="CZ10" i="21"/>
  <c r="CZ9" i="21"/>
  <c r="CZ8" i="21"/>
  <c r="CZ7" i="21"/>
  <c r="CZ6" i="21"/>
  <c r="CZ5" i="21"/>
  <c r="CY74" i="21"/>
  <c r="CY73" i="21"/>
  <c r="CY72" i="21"/>
  <c r="CY71" i="21"/>
  <c r="CY70" i="21"/>
  <c r="CY69" i="21"/>
  <c r="CY68" i="21"/>
  <c r="CY67" i="21"/>
  <c r="CY66" i="21"/>
  <c r="CY65" i="21"/>
  <c r="CY64" i="21"/>
  <c r="CY63" i="21"/>
  <c r="CY58" i="21"/>
  <c r="CY57" i="21"/>
  <c r="CY56" i="21"/>
  <c r="CY55" i="21"/>
  <c r="CY54" i="21"/>
  <c r="CY53" i="21"/>
  <c r="CY52" i="21"/>
  <c r="CY51" i="21"/>
  <c r="CY50" i="21"/>
  <c r="CY49" i="21"/>
  <c r="CY48" i="21"/>
  <c r="CY47" i="21"/>
  <c r="CY42" i="21"/>
  <c r="CY41" i="21"/>
  <c r="CY40" i="21"/>
  <c r="CY39" i="21"/>
  <c r="CY38" i="21"/>
  <c r="CY37" i="21"/>
  <c r="CY36" i="21"/>
  <c r="CY35" i="21"/>
  <c r="CY34" i="21"/>
  <c r="CY33" i="21"/>
  <c r="CY32" i="21"/>
  <c r="CY31" i="21"/>
  <c r="CY30" i="21"/>
  <c r="CY29" i="21"/>
  <c r="CY28" i="21"/>
  <c r="CY27" i="21"/>
  <c r="CY26" i="21"/>
  <c r="CY25" i="21"/>
  <c r="CY24" i="21"/>
  <c r="CY23" i="21"/>
  <c r="CY22" i="21"/>
  <c r="CY21" i="21"/>
  <c r="CY19" i="21"/>
  <c r="CY18" i="21"/>
  <c r="CY17" i="21"/>
  <c r="CY16" i="21"/>
  <c r="CY15" i="21"/>
  <c r="CY14" i="21"/>
  <c r="CY13" i="21"/>
  <c r="CY12" i="21"/>
  <c r="CY11" i="21"/>
  <c r="CY10" i="21"/>
  <c r="CY9" i="21"/>
  <c r="CY8" i="21"/>
  <c r="CY7" i="21"/>
  <c r="CY6" i="21"/>
  <c r="CY5" i="21"/>
  <c r="CX74" i="21"/>
  <c r="CX73" i="21"/>
  <c r="CX72" i="21"/>
  <c r="CX71" i="21"/>
  <c r="CX70" i="21"/>
  <c r="CX69" i="21"/>
  <c r="CX68" i="21"/>
  <c r="CX67" i="21"/>
  <c r="CX66" i="21"/>
  <c r="CX65" i="21"/>
  <c r="CX64" i="21"/>
  <c r="CX63" i="21"/>
  <c r="CX58" i="21"/>
  <c r="CX57" i="21"/>
  <c r="CX56" i="21"/>
  <c r="CX55" i="21"/>
  <c r="CX54" i="21"/>
  <c r="CX53" i="21"/>
  <c r="CX52" i="21"/>
  <c r="CX51" i="21"/>
  <c r="CX50" i="21"/>
  <c r="CX49" i="21"/>
  <c r="CX48" i="21"/>
  <c r="CX47" i="21"/>
  <c r="CX42" i="21"/>
  <c r="CX41" i="21"/>
  <c r="CX40" i="21"/>
  <c r="CX39" i="21"/>
  <c r="CX38" i="21"/>
  <c r="CX37" i="21"/>
  <c r="CX36" i="21"/>
  <c r="CX35" i="21"/>
  <c r="CX34" i="21"/>
  <c r="CX33" i="21"/>
  <c r="CX32" i="21"/>
  <c r="CX31" i="21"/>
  <c r="CX30" i="21"/>
  <c r="CX29" i="21"/>
  <c r="CX28" i="21"/>
  <c r="CX27" i="21"/>
  <c r="CX26" i="21"/>
  <c r="CX25" i="21"/>
  <c r="CX24" i="21"/>
  <c r="CX23" i="21"/>
  <c r="CX22" i="21"/>
  <c r="CX21" i="21"/>
  <c r="CX19" i="21"/>
  <c r="CX18" i="21"/>
  <c r="CX17" i="21"/>
  <c r="CX16" i="21"/>
  <c r="CX15" i="21"/>
  <c r="CX14" i="21"/>
  <c r="CX13" i="21"/>
  <c r="CX12" i="21"/>
  <c r="CX11" i="21"/>
  <c r="CX10" i="21"/>
  <c r="CX9" i="21"/>
  <c r="CX8" i="21"/>
  <c r="CX7" i="21"/>
  <c r="CX6" i="21"/>
  <c r="CX5" i="21"/>
  <c r="CW74" i="21"/>
  <c r="CW73" i="21"/>
  <c r="CW72" i="21"/>
  <c r="CW71" i="21"/>
  <c r="CW70" i="21"/>
  <c r="CW69" i="21"/>
  <c r="CW68" i="21"/>
  <c r="CW67" i="21"/>
  <c r="CW66" i="21"/>
  <c r="CW65" i="21"/>
  <c r="CW64" i="21"/>
  <c r="CW63" i="21"/>
  <c r="CW58" i="21"/>
  <c r="CW57" i="21"/>
  <c r="CW56" i="21"/>
  <c r="CW55" i="21"/>
  <c r="CW54" i="21"/>
  <c r="CW53" i="21"/>
  <c r="CW52" i="21"/>
  <c r="CW51" i="21"/>
  <c r="CW50" i="21"/>
  <c r="CW49" i="21"/>
  <c r="CW48" i="21"/>
  <c r="CW47" i="21"/>
  <c r="CW42" i="21"/>
  <c r="CW41" i="21"/>
  <c r="CW40" i="21"/>
  <c r="CW39" i="21"/>
  <c r="CW38" i="21"/>
  <c r="CW37" i="21"/>
  <c r="CW36" i="21"/>
  <c r="CW35" i="21"/>
  <c r="CW34" i="21"/>
  <c r="CW33" i="21"/>
  <c r="CW32" i="21"/>
  <c r="CW31" i="21"/>
  <c r="CW30" i="21"/>
  <c r="CW29" i="21"/>
  <c r="CW28" i="21"/>
  <c r="CW27" i="21"/>
  <c r="CW26" i="21"/>
  <c r="CW25" i="21"/>
  <c r="CW24" i="21"/>
  <c r="CW23" i="21"/>
  <c r="CW22" i="21"/>
  <c r="CW21" i="21"/>
  <c r="CW19" i="21"/>
  <c r="CW18" i="21"/>
  <c r="CW17" i="21"/>
  <c r="CW16" i="21"/>
  <c r="CW15" i="21"/>
  <c r="CW14" i="21"/>
  <c r="CW13" i="21"/>
  <c r="CW12" i="21"/>
  <c r="CW11" i="21"/>
  <c r="CW10" i="21"/>
  <c r="CW9" i="21"/>
  <c r="CW8" i="21"/>
  <c r="CW7" i="21"/>
  <c r="CW6" i="21"/>
  <c r="CW5" i="21"/>
  <c r="CV74" i="21"/>
  <c r="CV73" i="21"/>
  <c r="CV72" i="21"/>
  <c r="CV71" i="21"/>
  <c r="CV70" i="21"/>
  <c r="CV69" i="21"/>
  <c r="CV68" i="21"/>
  <c r="CV67" i="21"/>
  <c r="CV66" i="21"/>
  <c r="CV65" i="21"/>
  <c r="CV64" i="21"/>
  <c r="CV63" i="21"/>
  <c r="CV58" i="21"/>
  <c r="CV57" i="21"/>
  <c r="CV56" i="21"/>
  <c r="CV55" i="21"/>
  <c r="CV54" i="21"/>
  <c r="CV53" i="21"/>
  <c r="CV52" i="21"/>
  <c r="CV51" i="21"/>
  <c r="CV50" i="21"/>
  <c r="CV49" i="21"/>
  <c r="CV48" i="21"/>
  <c r="CV47" i="21"/>
  <c r="CV42" i="21"/>
  <c r="CV41" i="21"/>
  <c r="CV40" i="21"/>
  <c r="CV39" i="21"/>
  <c r="CV38" i="21"/>
  <c r="CV37" i="21"/>
  <c r="CV36" i="21"/>
  <c r="CV35" i="21"/>
  <c r="CV34" i="21"/>
  <c r="CV33" i="21"/>
  <c r="CV32" i="21"/>
  <c r="CV31" i="21"/>
  <c r="CV30" i="21"/>
  <c r="CV29" i="21"/>
  <c r="CV28" i="21"/>
  <c r="CV27" i="21"/>
  <c r="CV26" i="21"/>
  <c r="CV25" i="21"/>
  <c r="CV24" i="21"/>
  <c r="CV23" i="21"/>
  <c r="CV22" i="21"/>
  <c r="CV21" i="21"/>
  <c r="CV19" i="21"/>
  <c r="CV18" i="21"/>
  <c r="CV17" i="21"/>
  <c r="CV16" i="21"/>
  <c r="CV15" i="21"/>
  <c r="CV14" i="21"/>
  <c r="CV13" i="21"/>
  <c r="CV12" i="21"/>
  <c r="CV11" i="21"/>
  <c r="CV10" i="21"/>
  <c r="CV9" i="21"/>
  <c r="CV8" i="21"/>
  <c r="CV7" i="21"/>
  <c r="CV6" i="21"/>
  <c r="CV5" i="21"/>
  <c r="FJ46" i="12" l="1"/>
  <c r="FK46" i="12"/>
  <c r="FL46" i="12"/>
  <c r="FJ47" i="12"/>
  <c r="FK47" i="12"/>
  <c r="FL47" i="12"/>
  <c r="FJ48" i="12"/>
  <c r="FK48" i="12"/>
  <c r="FL48" i="12"/>
  <c r="FJ49" i="12"/>
  <c r="FK49" i="12"/>
  <c r="FL49" i="12"/>
  <c r="FJ50" i="12"/>
  <c r="FK50" i="12"/>
  <c r="FL50" i="12"/>
  <c r="FJ51" i="12"/>
  <c r="FK51" i="12"/>
  <c r="FL51" i="12"/>
  <c r="FJ52" i="12"/>
  <c r="FK52" i="12"/>
  <c r="FL52" i="12"/>
  <c r="FJ53" i="12"/>
  <c r="FK53" i="12"/>
  <c r="FL53" i="12"/>
  <c r="FJ54" i="12"/>
  <c r="FK54" i="12"/>
  <c r="FL54" i="12"/>
  <c r="FJ55" i="12"/>
  <c r="FK55" i="12"/>
  <c r="FL55" i="12"/>
  <c r="FJ56" i="12"/>
  <c r="FK56" i="12"/>
  <c r="FL56" i="12"/>
  <c r="FJ57" i="12"/>
  <c r="FK57" i="12"/>
  <c r="FL57" i="12"/>
  <c r="FJ58" i="12"/>
  <c r="FK58" i="12"/>
  <c r="FL58" i="12"/>
  <c r="FJ59" i="12"/>
  <c r="FK59" i="12"/>
  <c r="FL59" i="12"/>
  <c r="FJ60" i="12"/>
  <c r="FK60" i="12"/>
  <c r="FL60" i="12"/>
  <c r="FJ5" i="12"/>
  <c r="FK5" i="12"/>
  <c r="FL5" i="12"/>
  <c r="FJ6" i="12"/>
  <c r="FK6" i="12"/>
  <c r="FL6" i="12"/>
  <c r="FJ7" i="12"/>
  <c r="FK7" i="12"/>
  <c r="FL7" i="12"/>
  <c r="FJ8" i="12"/>
  <c r="FK8" i="12"/>
  <c r="FL8" i="12"/>
  <c r="FJ9" i="12"/>
  <c r="FK9" i="12"/>
  <c r="FL9" i="12"/>
  <c r="FJ10" i="12"/>
  <c r="FK10" i="12"/>
  <c r="FL10" i="12"/>
  <c r="FJ11" i="12"/>
  <c r="FK11" i="12"/>
  <c r="FL11" i="12"/>
  <c r="FJ12" i="12"/>
  <c r="FK12" i="12"/>
  <c r="FL12" i="12"/>
  <c r="FJ13" i="12"/>
  <c r="FK13" i="12"/>
  <c r="FL13" i="12"/>
  <c r="FJ14" i="12"/>
  <c r="FK14" i="12"/>
  <c r="FL14" i="12"/>
  <c r="FJ15" i="12"/>
  <c r="FK15" i="12"/>
  <c r="FL15" i="12"/>
  <c r="FJ16" i="12"/>
  <c r="FK16" i="12"/>
  <c r="FL16" i="12"/>
  <c r="FJ17" i="12"/>
  <c r="FK17" i="12"/>
  <c r="FL17" i="12"/>
  <c r="FJ18" i="12"/>
  <c r="FK18" i="12"/>
  <c r="FL18" i="12"/>
  <c r="FJ19" i="12"/>
  <c r="FK19" i="12"/>
  <c r="FL19" i="12"/>
  <c r="FD21" i="12" l="1"/>
  <c r="FE21" i="12"/>
  <c r="FF21" i="12"/>
  <c r="FG21" i="12"/>
  <c r="FH21" i="12"/>
  <c r="FI21" i="12"/>
  <c r="FD22" i="12"/>
  <c r="FE22" i="12"/>
  <c r="FF22" i="12"/>
  <c r="FG22" i="12"/>
  <c r="FH22" i="12"/>
  <c r="FI22" i="12"/>
  <c r="FD24" i="12"/>
  <c r="FE24" i="12"/>
  <c r="FF24" i="12"/>
  <c r="FG24" i="12"/>
  <c r="FH24" i="12"/>
  <c r="FI24" i="12"/>
  <c r="FD25" i="12"/>
  <c r="FE25" i="12"/>
  <c r="FF25" i="12"/>
  <c r="FG25" i="12"/>
  <c r="FH25" i="12"/>
  <c r="FI25" i="12"/>
  <c r="FD26" i="12"/>
  <c r="FE26" i="12"/>
  <c r="FF26" i="12"/>
  <c r="FG26" i="12"/>
  <c r="FH26" i="12"/>
  <c r="FI26" i="12"/>
  <c r="FD27" i="12"/>
  <c r="FE27" i="12"/>
  <c r="FF27" i="12"/>
  <c r="FG27" i="12"/>
  <c r="FH27" i="12"/>
  <c r="FI27" i="12"/>
  <c r="FG5" i="12"/>
  <c r="FH5" i="12"/>
  <c r="FI5" i="12"/>
  <c r="FG6" i="12"/>
  <c r="FH6" i="12"/>
  <c r="FI6" i="12"/>
  <c r="FG7" i="12"/>
  <c r="FH7" i="12"/>
  <c r="FI7" i="12"/>
  <c r="FG8" i="12"/>
  <c r="FH8" i="12"/>
  <c r="FI8" i="12"/>
  <c r="FG9" i="12"/>
  <c r="FH9" i="12"/>
  <c r="FI9" i="12"/>
  <c r="FG10" i="12"/>
  <c r="FH10" i="12"/>
  <c r="FI10" i="12"/>
  <c r="FG11" i="12"/>
  <c r="FH11" i="12"/>
  <c r="FI11" i="12"/>
  <c r="FG12" i="12"/>
  <c r="FH12" i="12"/>
  <c r="FI12" i="12"/>
  <c r="FG13" i="12"/>
  <c r="FH13" i="12"/>
  <c r="FI13" i="12"/>
  <c r="FG14" i="12"/>
  <c r="FH14" i="12"/>
  <c r="FI14" i="12"/>
  <c r="FG15" i="12"/>
  <c r="FH15" i="12"/>
  <c r="FI15" i="12"/>
  <c r="FG16" i="12"/>
  <c r="FH16" i="12"/>
  <c r="FI16" i="12"/>
  <c r="FG17" i="12"/>
  <c r="FH17" i="12"/>
  <c r="FI17" i="12"/>
  <c r="FG18" i="12"/>
  <c r="FH18" i="12"/>
  <c r="FI18" i="12"/>
  <c r="FG19" i="12"/>
  <c r="FH19" i="12"/>
  <c r="FI19" i="12"/>
  <c r="FG29" i="12"/>
  <c r="FH29" i="12"/>
  <c r="FI29" i="12"/>
  <c r="FG30" i="12"/>
  <c r="FH30" i="12"/>
  <c r="FI30" i="12"/>
  <c r="FG31" i="12"/>
  <c r="FH31" i="12"/>
  <c r="FI31" i="12"/>
  <c r="FG33" i="12"/>
  <c r="FH33" i="12"/>
  <c r="FI33" i="12"/>
  <c r="FG34" i="12"/>
  <c r="FH34" i="12"/>
  <c r="FI34" i="12"/>
  <c r="FG35" i="12"/>
  <c r="FH35" i="12"/>
  <c r="FI35" i="12"/>
  <c r="FG36" i="12"/>
  <c r="FH36" i="12"/>
  <c r="FI36" i="12"/>
  <c r="FG46" i="12"/>
  <c r="FH46" i="12"/>
  <c r="FI46" i="12"/>
  <c r="FG47" i="12"/>
  <c r="FH47" i="12"/>
  <c r="FI47" i="12"/>
  <c r="FG48" i="12"/>
  <c r="FH48" i="12"/>
  <c r="FI48" i="12"/>
  <c r="FG49" i="12"/>
  <c r="FH49" i="12"/>
  <c r="FI49" i="12"/>
  <c r="FG50" i="12"/>
  <c r="FH50" i="12"/>
  <c r="FI50" i="12"/>
  <c r="FG51" i="12"/>
  <c r="FH51" i="12"/>
  <c r="FI51" i="12"/>
  <c r="FG52" i="12"/>
  <c r="FH52" i="12"/>
  <c r="FI52" i="12"/>
  <c r="FG53" i="12"/>
  <c r="FH53" i="12"/>
  <c r="FI53" i="12"/>
  <c r="FG54" i="12"/>
  <c r="FH54" i="12"/>
  <c r="FI54" i="12"/>
  <c r="FG55" i="12"/>
  <c r="FH55" i="12"/>
  <c r="FI55" i="12"/>
  <c r="FG56" i="12"/>
  <c r="FH56" i="12"/>
  <c r="FI56" i="12"/>
  <c r="FG57" i="12"/>
  <c r="FH57" i="12"/>
  <c r="FI57" i="12"/>
  <c r="FG58" i="12"/>
  <c r="FH58" i="12"/>
  <c r="FI58" i="12"/>
  <c r="FG59" i="12"/>
  <c r="FH59" i="12"/>
  <c r="FI59" i="12"/>
  <c r="FG60" i="12"/>
  <c r="FH60" i="12"/>
  <c r="FI60" i="12"/>
  <c r="FG62" i="12"/>
  <c r="FH62" i="12"/>
  <c r="FI62" i="12"/>
  <c r="FG63" i="12"/>
  <c r="FH63" i="12"/>
  <c r="FI63" i="12"/>
  <c r="FG65" i="12"/>
  <c r="FH65" i="12"/>
  <c r="FI65" i="12"/>
  <c r="FG66" i="12"/>
  <c r="FH66" i="12"/>
  <c r="FI66" i="12"/>
  <c r="FG67" i="12"/>
  <c r="FH67" i="12"/>
  <c r="FI67" i="12"/>
  <c r="FG68" i="12"/>
  <c r="FH68" i="12"/>
  <c r="FI68" i="12"/>
  <c r="FG70" i="12"/>
  <c r="FH70" i="12"/>
  <c r="FI70" i="12"/>
  <c r="FG71" i="12"/>
  <c r="FH71" i="12"/>
  <c r="FI71" i="12"/>
  <c r="FG72" i="12"/>
  <c r="FH72" i="12"/>
  <c r="FI72" i="12"/>
  <c r="FG74" i="12"/>
  <c r="FH74" i="12"/>
  <c r="FI74" i="12"/>
  <c r="FG75" i="12"/>
  <c r="FH75" i="12"/>
  <c r="FI75" i="12"/>
  <c r="FG76" i="12"/>
  <c r="FH76" i="12"/>
  <c r="FI76" i="12"/>
  <c r="FG77" i="12"/>
  <c r="FH77" i="12"/>
  <c r="FI77" i="12"/>
  <c r="H19" i="26" l="1"/>
  <c r="G19" i="26"/>
  <c r="E5" i="26" l="1"/>
  <c r="F5" i="26"/>
  <c r="E8" i="26"/>
  <c r="F8" i="26"/>
  <c r="E9" i="26"/>
  <c r="F9" i="26"/>
  <c r="E10" i="26"/>
  <c r="F10" i="26"/>
  <c r="E11" i="26"/>
  <c r="F11" i="26"/>
  <c r="E12" i="26"/>
  <c r="F12" i="26"/>
  <c r="E13" i="26"/>
  <c r="F13" i="26"/>
  <c r="E14" i="26"/>
  <c r="F14" i="26"/>
  <c r="E15" i="26"/>
  <c r="F15" i="26"/>
  <c r="E16" i="26"/>
  <c r="F16" i="26"/>
  <c r="E17" i="26"/>
  <c r="F17" i="26"/>
  <c r="E18" i="26"/>
  <c r="F18" i="26"/>
  <c r="E19" i="26"/>
  <c r="F19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5" i="26"/>
  <c r="L92" i="27"/>
  <c r="K92" i="27"/>
  <c r="J92" i="27"/>
  <c r="I92" i="27"/>
  <c r="H92" i="27"/>
  <c r="G92" i="27"/>
  <c r="F92" i="27"/>
  <c r="E92" i="27"/>
  <c r="D92" i="27"/>
  <c r="C92" i="27"/>
  <c r="N79" i="27"/>
  <c r="M79" i="27"/>
  <c r="L79" i="27"/>
  <c r="K79" i="27"/>
  <c r="J79" i="27"/>
  <c r="I79" i="27"/>
  <c r="H79" i="27"/>
  <c r="G79" i="27"/>
  <c r="F79" i="27"/>
  <c r="E79" i="27"/>
  <c r="D79" i="27"/>
  <c r="N78" i="27"/>
  <c r="M78" i="27"/>
  <c r="L78" i="27"/>
  <c r="K78" i="27"/>
  <c r="J78" i="27"/>
  <c r="I78" i="27"/>
  <c r="H78" i="27"/>
  <c r="G78" i="27"/>
  <c r="F78" i="27"/>
  <c r="E78" i="27"/>
  <c r="D78" i="27"/>
  <c r="N77" i="27"/>
  <c r="M77" i="27"/>
  <c r="L77" i="27"/>
  <c r="K77" i="27"/>
  <c r="J77" i="27"/>
  <c r="I77" i="27"/>
  <c r="H77" i="27"/>
  <c r="G77" i="27"/>
  <c r="F77" i="27"/>
  <c r="E77" i="27"/>
  <c r="D77" i="27"/>
  <c r="N76" i="27"/>
  <c r="M76" i="27"/>
  <c r="L76" i="27"/>
  <c r="K76" i="27"/>
  <c r="J76" i="27"/>
  <c r="I76" i="27"/>
  <c r="H76" i="27"/>
  <c r="G76" i="27"/>
  <c r="F76" i="27"/>
  <c r="E76" i="27"/>
  <c r="D76" i="27"/>
  <c r="N75" i="27"/>
  <c r="M75" i="27"/>
  <c r="L75" i="27"/>
  <c r="K75" i="27"/>
  <c r="J75" i="27"/>
  <c r="I75" i="27"/>
  <c r="H75" i="27"/>
  <c r="G75" i="27"/>
  <c r="F75" i="27"/>
  <c r="E75" i="27"/>
  <c r="D75" i="27"/>
  <c r="N74" i="27"/>
  <c r="M74" i="27"/>
  <c r="L74" i="27"/>
  <c r="K74" i="27"/>
  <c r="J74" i="27"/>
  <c r="I74" i="27"/>
  <c r="H74" i="27"/>
  <c r="G74" i="27"/>
  <c r="F74" i="27"/>
  <c r="E74" i="27"/>
  <c r="D74" i="27"/>
  <c r="N73" i="27"/>
  <c r="M73" i="27"/>
  <c r="L73" i="27"/>
  <c r="K73" i="27"/>
  <c r="J73" i="27"/>
  <c r="I73" i="27"/>
  <c r="H73" i="27"/>
  <c r="G73" i="27"/>
  <c r="F73" i="27"/>
  <c r="E73" i="27"/>
  <c r="D73" i="27"/>
  <c r="N72" i="27"/>
  <c r="M72" i="27"/>
  <c r="L72" i="27"/>
  <c r="K72" i="27"/>
  <c r="J72" i="27"/>
  <c r="I72" i="27"/>
  <c r="H72" i="27"/>
  <c r="G72" i="27"/>
  <c r="F72" i="27"/>
  <c r="E72" i="27"/>
  <c r="D72" i="27"/>
  <c r="N71" i="27"/>
  <c r="M71" i="27"/>
  <c r="L71" i="27"/>
  <c r="K71" i="27"/>
  <c r="J71" i="27"/>
  <c r="I71" i="27"/>
  <c r="H71" i="27"/>
  <c r="G71" i="27"/>
  <c r="F71" i="27"/>
  <c r="E71" i="27"/>
  <c r="D71" i="27"/>
  <c r="N70" i="27"/>
  <c r="M70" i="27"/>
  <c r="L70" i="27"/>
  <c r="K70" i="27"/>
  <c r="J70" i="27"/>
  <c r="I70" i="27"/>
  <c r="H70" i="27"/>
  <c r="G70" i="27"/>
  <c r="F70" i="27"/>
  <c r="E70" i="27"/>
  <c r="D70" i="27"/>
  <c r="N69" i="27"/>
  <c r="M69" i="27"/>
  <c r="L69" i="27"/>
  <c r="K69" i="27"/>
  <c r="J69" i="27"/>
  <c r="I69" i="27"/>
  <c r="H69" i="27"/>
  <c r="G69" i="27"/>
  <c r="F69" i="27"/>
  <c r="E69" i="27"/>
  <c r="D69" i="27"/>
  <c r="N68" i="27"/>
  <c r="M68" i="27"/>
  <c r="L68" i="27"/>
  <c r="K68" i="27"/>
  <c r="J68" i="27"/>
  <c r="I68" i="27"/>
  <c r="H68" i="27"/>
  <c r="G68" i="27"/>
  <c r="F68" i="27"/>
  <c r="E68" i="27"/>
  <c r="D68" i="27"/>
  <c r="N67" i="27"/>
  <c r="M67" i="27"/>
  <c r="L67" i="27"/>
  <c r="K67" i="27"/>
  <c r="J67" i="27"/>
  <c r="I67" i="27"/>
  <c r="H67" i="27"/>
  <c r="G67" i="27"/>
  <c r="F67" i="27"/>
  <c r="E67" i="27"/>
  <c r="D67" i="27"/>
  <c r="N66" i="27"/>
  <c r="M66" i="27"/>
  <c r="L66" i="27"/>
  <c r="K66" i="27"/>
  <c r="J66" i="27"/>
  <c r="I66" i="27"/>
  <c r="H66" i="27"/>
  <c r="G66" i="27"/>
  <c r="F66" i="27"/>
  <c r="E66" i="27"/>
  <c r="D66" i="27"/>
  <c r="N65" i="27"/>
  <c r="M65" i="27"/>
  <c r="L65" i="27"/>
  <c r="K65" i="27"/>
  <c r="J65" i="27"/>
  <c r="I65" i="27"/>
  <c r="H65" i="27"/>
  <c r="G65" i="27"/>
  <c r="F65" i="27"/>
  <c r="E65" i="27"/>
  <c r="D65" i="27"/>
  <c r="N64" i="27"/>
  <c r="M64" i="27"/>
  <c r="L64" i="27"/>
  <c r="K64" i="27"/>
  <c r="J64" i="27"/>
  <c r="I64" i="27"/>
  <c r="H64" i="27"/>
  <c r="G64" i="27"/>
  <c r="F64" i="27"/>
  <c r="E64" i="27"/>
  <c r="D64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N57" i="27"/>
  <c r="M57" i="27"/>
  <c r="L57" i="27"/>
  <c r="K57" i="27"/>
  <c r="J57" i="27"/>
  <c r="I57" i="27"/>
  <c r="H57" i="27"/>
  <c r="G57" i="27"/>
  <c r="F57" i="27"/>
  <c r="E57" i="27"/>
  <c r="D57" i="27"/>
  <c r="N56" i="27"/>
  <c r="M56" i="27"/>
  <c r="L56" i="27"/>
  <c r="K56" i="27"/>
  <c r="J56" i="27"/>
  <c r="I56" i="27"/>
  <c r="H56" i="27"/>
  <c r="G56" i="27"/>
  <c r="F56" i="27"/>
  <c r="E56" i="27"/>
  <c r="D56" i="27"/>
  <c r="N55" i="27"/>
  <c r="M55" i="27"/>
  <c r="L55" i="27"/>
  <c r="K55" i="27"/>
  <c r="J55" i="27"/>
  <c r="I55" i="27"/>
  <c r="H55" i="27"/>
  <c r="G55" i="27"/>
  <c r="F55" i="27"/>
  <c r="E55" i="27"/>
  <c r="D55" i="27"/>
  <c r="N54" i="27"/>
  <c r="M54" i="27"/>
  <c r="L54" i="27"/>
  <c r="K54" i="27"/>
  <c r="J54" i="27"/>
  <c r="I54" i="27"/>
  <c r="H54" i="27"/>
  <c r="G54" i="27"/>
  <c r="F54" i="27"/>
  <c r="E54" i="27"/>
  <c r="D54" i="27"/>
  <c r="N53" i="27"/>
  <c r="M53" i="27"/>
  <c r="L53" i="27"/>
  <c r="K53" i="27"/>
  <c r="J53" i="27"/>
  <c r="I53" i="27"/>
  <c r="H53" i="27"/>
  <c r="G53" i="27"/>
  <c r="F53" i="27"/>
  <c r="E53" i="27"/>
  <c r="D53" i="27"/>
  <c r="N52" i="27"/>
  <c r="M52" i="27"/>
  <c r="L52" i="27"/>
  <c r="K52" i="27"/>
  <c r="J52" i="27"/>
  <c r="I52" i="27"/>
  <c r="H52" i="27"/>
  <c r="G52" i="27"/>
  <c r="F52" i="27"/>
  <c r="E52" i="27"/>
  <c r="D52" i="27"/>
  <c r="N51" i="27"/>
  <c r="M51" i="27"/>
  <c r="L51" i="27"/>
  <c r="K51" i="27"/>
  <c r="J51" i="27"/>
  <c r="I51" i="27"/>
  <c r="H51" i="27"/>
  <c r="G51" i="27"/>
  <c r="F51" i="27"/>
  <c r="E51" i="27"/>
  <c r="D51" i="27"/>
  <c r="N50" i="27"/>
  <c r="M50" i="27"/>
  <c r="L50" i="27"/>
  <c r="K50" i="27"/>
  <c r="J50" i="27"/>
  <c r="I50" i="27"/>
  <c r="H50" i="27"/>
  <c r="G50" i="27"/>
  <c r="F50" i="27"/>
  <c r="E50" i="27"/>
  <c r="D50" i="27"/>
  <c r="N49" i="27"/>
  <c r="M49" i="27"/>
  <c r="L49" i="27"/>
  <c r="K49" i="27"/>
  <c r="J49" i="27"/>
  <c r="I49" i="27"/>
  <c r="H49" i="27"/>
  <c r="G49" i="27"/>
  <c r="F49" i="27"/>
  <c r="E49" i="27"/>
  <c r="D49" i="27"/>
  <c r="N48" i="27"/>
  <c r="M48" i="27"/>
  <c r="L48" i="27"/>
  <c r="K48" i="27"/>
  <c r="J48" i="27"/>
  <c r="I48" i="27"/>
  <c r="H48" i="27"/>
  <c r="G48" i="27"/>
  <c r="F48" i="27"/>
  <c r="E48" i="27"/>
  <c r="D48" i="27"/>
  <c r="O47" i="27"/>
  <c r="N47" i="27"/>
  <c r="M47" i="27"/>
  <c r="L47" i="27"/>
  <c r="K47" i="27"/>
  <c r="J47" i="27"/>
  <c r="I47" i="27"/>
  <c r="H47" i="27"/>
  <c r="G47" i="27"/>
  <c r="F47" i="27"/>
  <c r="E47" i="27"/>
  <c r="D47" i="27"/>
  <c r="O19" i="27"/>
  <c r="C19" i="27"/>
  <c r="O18" i="27"/>
  <c r="O17" i="27"/>
  <c r="O16" i="27"/>
  <c r="O15" i="27"/>
  <c r="O14" i="27"/>
  <c r="O13" i="27"/>
  <c r="O12" i="27"/>
  <c r="O11" i="27"/>
  <c r="O10" i="27"/>
  <c r="O9" i="27"/>
  <c r="O8" i="27"/>
  <c r="O5" i="27"/>
  <c r="H42" i="26"/>
  <c r="G42" i="26"/>
  <c r="C42" i="26"/>
  <c r="H40" i="26"/>
  <c r="G40" i="26"/>
  <c r="H39" i="26"/>
  <c r="G39" i="26"/>
  <c r="H38" i="26"/>
  <c r="G38" i="26"/>
  <c r="C19" i="26"/>
  <c r="R16" i="27"/>
  <c r="S12" i="27"/>
  <c r="Q12" i="27"/>
  <c r="R8" i="27"/>
  <c r="AW19" i="26"/>
  <c r="AO19" i="26"/>
  <c r="AG19" i="26"/>
  <c r="Y19" i="26"/>
  <c r="Q19" i="26"/>
  <c r="I19" i="26"/>
  <c r="P15" i="27" l="1"/>
  <c r="P9" i="27"/>
  <c r="S9" i="27"/>
  <c r="P8" i="27"/>
  <c r="Q11" i="27"/>
  <c r="P16" i="27"/>
  <c r="R10" i="27"/>
  <c r="Q14" i="27"/>
  <c r="S14" i="27"/>
  <c r="R18" i="27"/>
  <c r="S10" i="27"/>
  <c r="S11" i="27"/>
  <c r="P11" i="27"/>
  <c r="Q9" i="27"/>
  <c r="P14" i="27"/>
  <c r="Q17" i="27"/>
  <c r="P17" i="27"/>
  <c r="Q5" i="27"/>
  <c r="P12" i="27"/>
  <c r="Q15" i="27"/>
  <c r="R15" i="27"/>
  <c r="S15" i="27"/>
  <c r="S17" i="27"/>
  <c r="Q18" i="27"/>
  <c r="S18" i="27"/>
  <c r="R9" i="27"/>
  <c r="R17" i="27"/>
  <c r="P18" i="27"/>
  <c r="Q10" i="27"/>
  <c r="R11" i="27"/>
  <c r="R13" i="27"/>
  <c r="S13" i="27"/>
  <c r="R14" i="27"/>
  <c r="P10" i="27"/>
  <c r="Q13" i="27"/>
  <c r="Q8" i="27"/>
  <c r="S8" i="27"/>
  <c r="R12" i="27"/>
  <c r="P13" i="27"/>
  <c r="Q16" i="27"/>
  <c r="S16" i="27"/>
  <c r="Z19" i="26"/>
  <c r="S19" i="26"/>
  <c r="AA19" i="26"/>
  <c r="AI19" i="26"/>
  <c r="AQ19" i="26"/>
  <c r="AY19" i="26"/>
  <c r="AH19" i="26"/>
  <c r="L19" i="26"/>
  <c r="T19" i="26"/>
  <c r="AB19" i="26"/>
  <c r="AJ19" i="26"/>
  <c r="AR19" i="26"/>
  <c r="J19" i="26"/>
  <c r="K19" i="26"/>
  <c r="M19" i="26"/>
  <c r="U19" i="26"/>
  <c r="AC19" i="26"/>
  <c r="AK19" i="26"/>
  <c r="AS19" i="26"/>
  <c r="P5" i="27"/>
  <c r="AX19" i="26"/>
  <c r="N19" i="26"/>
  <c r="V19" i="26"/>
  <c r="AD19" i="26"/>
  <c r="AL19" i="26"/>
  <c r="AT19" i="26"/>
  <c r="AP19" i="26"/>
  <c r="O19" i="26"/>
  <c r="W19" i="26"/>
  <c r="AE19" i="26"/>
  <c r="AM19" i="26"/>
  <c r="AU19" i="26"/>
  <c r="R5" i="27"/>
  <c r="R19" i="26"/>
  <c r="P19" i="26"/>
  <c r="X19" i="26"/>
  <c r="AF19" i="26"/>
  <c r="AN19" i="26"/>
  <c r="AV19" i="26"/>
  <c r="S5" i="27"/>
  <c r="E5" i="27"/>
  <c r="G5" i="27"/>
  <c r="I5" i="27"/>
  <c r="D8" i="27"/>
  <c r="H8" i="27"/>
  <c r="I9" i="27"/>
  <c r="F10" i="27"/>
  <c r="E11" i="27"/>
  <c r="I11" i="27"/>
  <c r="D12" i="27"/>
  <c r="F12" i="27"/>
  <c r="E13" i="27"/>
  <c r="D14" i="27"/>
  <c r="H14" i="27"/>
  <c r="I15" i="27"/>
  <c r="D16" i="27"/>
  <c r="F16" i="27"/>
  <c r="H16" i="27"/>
  <c r="E17" i="27"/>
  <c r="G17" i="27"/>
  <c r="I17" i="27"/>
  <c r="D18" i="27"/>
  <c r="H18" i="27"/>
  <c r="E19" i="27"/>
  <c r="I19" i="27"/>
  <c r="M5" i="27"/>
  <c r="L11" i="27"/>
  <c r="M13" i="27"/>
  <c r="K17" i="27"/>
  <c r="P19" i="27" l="1"/>
  <c r="S19" i="27"/>
  <c r="Q19" i="27"/>
  <c r="R19" i="27"/>
  <c r="F18" i="27"/>
  <c r="J16" i="27"/>
  <c r="E15" i="27"/>
  <c r="D10" i="27"/>
  <c r="M9" i="27"/>
  <c r="J12" i="27"/>
  <c r="N11" i="27"/>
  <c r="L16" i="27"/>
  <c r="D15" i="27"/>
  <c r="E8" i="27"/>
  <c r="J5" i="27"/>
  <c r="H5" i="27"/>
  <c r="F5" i="27"/>
  <c r="D5" i="27"/>
  <c r="M17" i="27"/>
  <c r="G19" i="27"/>
  <c r="J18" i="27"/>
  <c r="G15" i="27"/>
  <c r="J14" i="27"/>
  <c r="I13" i="27"/>
  <c r="J10" i="27"/>
  <c r="N13" i="27"/>
  <c r="N9" i="27"/>
  <c r="N5" i="27"/>
  <c r="K14" i="27"/>
  <c r="M10" i="27"/>
  <c r="M19" i="27"/>
  <c r="K19" i="27"/>
  <c r="L9" i="27"/>
  <c r="J19" i="27"/>
  <c r="F19" i="27"/>
  <c r="D19" i="27"/>
  <c r="I18" i="27"/>
  <c r="H17" i="27"/>
  <c r="F17" i="27"/>
  <c r="D17" i="27"/>
  <c r="I16" i="27"/>
  <c r="E16" i="27"/>
  <c r="H15" i="27"/>
  <c r="I14" i="27"/>
  <c r="E14" i="27"/>
  <c r="J13" i="27"/>
  <c r="F13" i="27"/>
  <c r="D13" i="27"/>
  <c r="I12" i="27"/>
  <c r="H11" i="27"/>
  <c r="F11" i="27"/>
  <c r="D11" i="27"/>
  <c r="I10" i="27"/>
  <c r="G10" i="27"/>
  <c r="E10" i="27"/>
  <c r="J9" i="27"/>
  <c r="D9" i="27"/>
  <c r="G8" i="27"/>
  <c r="L15" i="27"/>
  <c r="K13" i="27"/>
  <c r="K9" i="27"/>
  <c r="F14" i="27"/>
  <c r="H12" i="27"/>
  <c r="G11" i="27"/>
  <c r="E9" i="27"/>
  <c r="N15" i="27"/>
  <c r="M18" i="27"/>
  <c r="L17" i="27"/>
  <c r="M15" i="27"/>
  <c r="K15" i="27"/>
  <c r="L13" i="27"/>
  <c r="M11" i="27"/>
  <c r="K11" i="27"/>
  <c r="L5" i="27"/>
  <c r="H19" i="27"/>
  <c r="G18" i="27"/>
  <c r="E18" i="27"/>
  <c r="J17" i="27"/>
  <c r="G16" i="27"/>
  <c r="J15" i="27"/>
  <c r="F15" i="27"/>
  <c r="G14" i="27"/>
  <c r="H13" i="27"/>
  <c r="G12" i="27"/>
  <c r="E12" i="27"/>
  <c r="J11" i="27"/>
  <c r="H9" i="27"/>
  <c r="F9" i="27"/>
  <c r="I8" i="27"/>
  <c r="N18" i="27"/>
  <c r="N16" i="27"/>
  <c r="N14" i="27"/>
  <c r="N12" i="27"/>
  <c r="N10" i="27"/>
  <c r="N8" i="27"/>
  <c r="L18" i="27"/>
  <c r="M16" i="27"/>
  <c r="K16" i="27"/>
  <c r="L14" i="27"/>
  <c r="M12" i="27"/>
  <c r="K12" i="27"/>
  <c r="L10" i="27"/>
  <c r="M8" i="27"/>
  <c r="K8" i="27"/>
  <c r="L19" i="27"/>
  <c r="K5" i="27"/>
  <c r="G13" i="27"/>
  <c r="H10" i="27"/>
  <c r="G9" i="27"/>
  <c r="J8" i="27"/>
  <c r="F8" i="27"/>
  <c r="N19" i="27"/>
  <c r="N17" i="27"/>
  <c r="K18" i="27"/>
  <c r="M14" i="27"/>
  <c r="L12" i="27"/>
  <c r="K10" i="27"/>
  <c r="L8" i="27"/>
  <c r="FD5" i="12" l="1"/>
  <c r="FE5" i="12"/>
  <c r="FF5" i="12"/>
  <c r="FD6" i="12"/>
  <c r="FE6" i="12"/>
  <c r="FF6" i="12"/>
  <c r="FD7" i="12"/>
  <c r="FE7" i="12"/>
  <c r="FF7" i="12"/>
  <c r="FD8" i="12"/>
  <c r="FE8" i="12"/>
  <c r="FF8" i="12"/>
  <c r="FD9" i="12"/>
  <c r="FE9" i="12"/>
  <c r="FF9" i="12"/>
  <c r="FD10" i="12"/>
  <c r="FE10" i="12"/>
  <c r="FF10" i="12"/>
  <c r="FD11" i="12"/>
  <c r="FE11" i="12"/>
  <c r="FF11" i="12"/>
  <c r="FD12" i="12"/>
  <c r="FE12" i="12"/>
  <c r="FF12" i="12"/>
  <c r="FD13" i="12"/>
  <c r="FE13" i="12"/>
  <c r="FF13" i="12"/>
  <c r="FD14" i="12"/>
  <c r="FE14" i="12"/>
  <c r="FF14" i="12"/>
  <c r="FD15" i="12"/>
  <c r="FE15" i="12"/>
  <c r="FF15" i="12"/>
  <c r="FD16" i="12"/>
  <c r="FE16" i="12"/>
  <c r="FF16" i="12"/>
  <c r="FD17" i="12"/>
  <c r="FE17" i="12"/>
  <c r="FF17" i="12"/>
  <c r="FD18" i="12"/>
  <c r="FE18" i="12"/>
  <c r="FF18" i="12"/>
  <c r="FD19" i="12"/>
  <c r="FE19" i="12"/>
  <c r="FF19" i="12"/>
  <c r="FD29" i="12"/>
  <c r="FE29" i="12"/>
  <c r="FF29" i="12"/>
  <c r="FD30" i="12"/>
  <c r="FE30" i="12"/>
  <c r="FF30" i="12"/>
  <c r="FD31" i="12"/>
  <c r="FE31" i="12"/>
  <c r="FF31" i="12"/>
  <c r="FD33" i="12"/>
  <c r="FE33" i="12"/>
  <c r="FF33" i="12"/>
  <c r="FD34" i="12"/>
  <c r="FE34" i="12"/>
  <c r="FF34" i="12"/>
  <c r="FD35" i="12"/>
  <c r="FE35" i="12"/>
  <c r="FF35" i="12"/>
  <c r="FD36" i="12"/>
  <c r="FE36" i="12"/>
  <c r="FF36" i="12"/>
  <c r="FD46" i="12"/>
  <c r="FE46" i="12"/>
  <c r="FF46" i="12"/>
  <c r="FD47" i="12"/>
  <c r="FE47" i="12"/>
  <c r="FF47" i="12"/>
  <c r="FD48" i="12"/>
  <c r="FE48" i="12"/>
  <c r="FF48" i="12"/>
  <c r="FD49" i="12"/>
  <c r="FE49" i="12"/>
  <c r="FF49" i="12"/>
  <c r="FD50" i="12"/>
  <c r="FE50" i="12"/>
  <c r="FF50" i="12"/>
  <c r="FD51" i="12"/>
  <c r="FE51" i="12"/>
  <c r="FF51" i="12"/>
  <c r="FD52" i="12"/>
  <c r="FE52" i="12"/>
  <c r="FF52" i="12"/>
  <c r="FD53" i="12"/>
  <c r="FE53" i="12"/>
  <c r="FF53" i="12"/>
  <c r="FD54" i="12"/>
  <c r="FE54" i="12"/>
  <c r="FF54" i="12"/>
  <c r="FD55" i="12"/>
  <c r="FE55" i="12"/>
  <c r="FF55" i="12"/>
  <c r="FD56" i="12"/>
  <c r="FE56" i="12"/>
  <c r="FF56" i="12"/>
  <c r="FD57" i="12"/>
  <c r="FE57" i="12"/>
  <c r="FF57" i="12"/>
  <c r="FD58" i="12"/>
  <c r="FE58" i="12"/>
  <c r="FF58" i="12"/>
  <c r="FD59" i="12"/>
  <c r="FE59" i="12"/>
  <c r="FF59" i="12"/>
  <c r="FD60" i="12"/>
  <c r="FE60" i="12"/>
  <c r="FF60" i="12"/>
  <c r="FD62" i="12"/>
  <c r="FE62" i="12"/>
  <c r="FF62" i="12"/>
  <c r="FD63" i="12"/>
  <c r="FE63" i="12"/>
  <c r="FF63" i="12"/>
  <c r="FD65" i="12"/>
  <c r="FE65" i="12"/>
  <c r="FF65" i="12"/>
  <c r="FD66" i="12"/>
  <c r="FE66" i="12"/>
  <c r="FF66" i="12"/>
  <c r="FD67" i="12"/>
  <c r="FE67" i="12"/>
  <c r="FF67" i="12"/>
  <c r="FD68" i="12"/>
  <c r="FE68" i="12"/>
  <c r="FF68" i="12"/>
  <c r="FD70" i="12"/>
  <c r="FE70" i="12"/>
  <c r="FF70" i="12"/>
  <c r="FD71" i="12"/>
  <c r="FE71" i="12"/>
  <c r="FF71" i="12"/>
  <c r="FD72" i="12"/>
  <c r="FE72" i="12"/>
  <c r="FF72" i="12"/>
  <c r="FD74" i="12"/>
  <c r="FE74" i="12"/>
  <c r="FF74" i="12"/>
  <c r="FD75" i="12"/>
  <c r="FE75" i="12"/>
  <c r="FF75" i="12"/>
  <c r="FD76" i="12"/>
  <c r="FE76" i="12"/>
  <c r="FF76" i="12"/>
  <c r="FD77" i="12"/>
  <c r="FE77" i="12"/>
  <c r="FF77" i="12"/>
  <c r="DH93" i="12" l="1"/>
  <c r="DI93" i="12"/>
  <c r="DJ93" i="12"/>
  <c r="DK93" i="12"/>
  <c r="DL93" i="12"/>
  <c r="DM93" i="12"/>
  <c r="DN93" i="12"/>
  <c r="DO93" i="12"/>
  <c r="DP93" i="12"/>
  <c r="DQ93" i="12"/>
  <c r="DR93" i="12"/>
  <c r="DS93" i="12"/>
  <c r="DT93" i="12"/>
  <c r="DU93" i="12"/>
  <c r="DV93" i="12"/>
  <c r="DW93" i="12"/>
  <c r="DX93" i="12"/>
  <c r="DY93" i="12"/>
  <c r="DZ93" i="12"/>
  <c r="EA93" i="12"/>
  <c r="EB93" i="12"/>
  <c r="EC93" i="12"/>
  <c r="ED93" i="12"/>
  <c r="EE93" i="12"/>
  <c r="EF93" i="12"/>
  <c r="EG93" i="12"/>
  <c r="EH93" i="12"/>
  <c r="EI93" i="12"/>
  <c r="EJ93" i="12"/>
  <c r="EK93" i="12"/>
  <c r="EL93" i="12"/>
  <c r="EM93" i="12"/>
  <c r="EN93" i="12"/>
  <c r="EO93" i="12"/>
  <c r="EP93" i="12"/>
  <c r="EQ93" i="12"/>
  <c r="ER93" i="12"/>
  <c r="ES93" i="12"/>
  <c r="ET93" i="12"/>
  <c r="EU93" i="12"/>
  <c r="EV93" i="12"/>
  <c r="EW93" i="12"/>
  <c r="EX93" i="12"/>
  <c r="EY93" i="12"/>
  <c r="EZ93" i="12"/>
  <c r="FA93" i="12"/>
  <c r="AI19" i="23" l="1"/>
  <c r="AI18" i="23"/>
  <c r="AI17" i="23"/>
  <c r="AI16" i="23"/>
  <c r="AI15" i="23"/>
  <c r="AI14" i="23"/>
  <c r="AI13" i="23"/>
  <c r="AI12" i="23"/>
  <c r="AI11" i="23"/>
  <c r="AI10" i="23"/>
  <c r="AI9" i="23"/>
  <c r="AI8" i="23"/>
  <c r="AI5" i="23"/>
  <c r="AB46" i="12" l="1"/>
  <c r="AC46" i="12"/>
  <c r="AD46" i="12"/>
  <c r="AE46" i="12"/>
  <c r="AF46" i="12"/>
  <c r="AG46" i="12"/>
  <c r="AH46" i="12"/>
  <c r="AI46" i="12"/>
  <c r="AJ46" i="12"/>
  <c r="AK46" i="12"/>
  <c r="AL46" i="12"/>
  <c r="AM46" i="12"/>
  <c r="AB47" i="12"/>
  <c r="AC47" i="12"/>
  <c r="AD47" i="12"/>
  <c r="AE47" i="12"/>
  <c r="AF47" i="12"/>
  <c r="AG47" i="12"/>
  <c r="AH47" i="12"/>
  <c r="AI47" i="12"/>
  <c r="AJ47" i="12"/>
  <c r="AK47" i="12"/>
  <c r="AL47" i="12"/>
  <c r="AM47" i="12"/>
  <c r="AB48" i="12"/>
  <c r="AC48" i="12"/>
  <c r="AD48" i="12"/>
  <c r="AE48" i="12"/>
  <c r="AF48" i="12"/>
  <c r="AG48" i="12"/>
  <c r="AH48" i="12"/>
  <c r="AI48" i="12"/>
  <c r="AJ48" i="12"/>
  <c r="AK48" i="12"/>
  <c r="AL48" i="12"/>
  <c r="AM48" i="12"/>
  <c r="AB49" i="12"/>
  <c r="AC49" i="12"/>
  <c r="AD49" i="12"/>
  <c r="AE49" i="12"/>
  <c r="AF49" i="12"/>
  <c r="AG49" i="12"/>
  <c r="AH49" i="12"/>
  <c r="AI49" i="12"/>
  <c r="AJ49" i="12"/>
  <c r="AK49" i="12"/>
  <c r="AL49" i="12"/>
  <c r="AM49" i="12"/>
  <c r="AB50" i="12"/>
  <c r="AC50" i="12"/>
  <c r="AD50" i="12"/>
  <c r="AE50" i="12"/>
  <c r="AF50" i="12"/>
  <c r="AG50" i="12"/>
  <c r="AH50" i="12"/>
  <c r="AI50" i="12"/>
  <c r="AJ50" i="12"/>
  <c r="AK50" i="12"/>
  <c r="AL50" i="12"/>
  <c r="AM50" i="12"/>
  <c r="AB51" i="12"/>
  <c r="AC51" i="12"/>
  <c r="AD51" i="12"/>
  <c r="AE51" i="12"/>
  <c r="AF51" i="12"/>
  <c r="AG51" i="12"/>
  <c r="AH51" i="12"/>
  <c r="AI51" i="12"/>
  <c r="AJ51" i="12"/>
  <c r="AK51" i="12"/>
  <c r="AL51" i="12"/>
  <c r="AM51" i="12"/>
  <c r="AB52" i="12"/>
  <c r="AC52" i="12"/>
  <c r="AD52" i="12"/>
  <c r="AE52" i="12"/>
  <c r="AF52" i="12"/>
  <c r="AG52" i="12"/>
  <c r="AH52" i="12"/>
  <c r="AI52" i="12"/>
  <c r="AJ52" i="12"/>
  <c r="AK52" i="12"/>
  <c r="AL52" i="12"/>
  <c r="AM52" i="12"/>
  <c r="AB53" i="12"/>
  <c r="AC53" i="12"/>
  <c r="AD53" i="12"/>
  <c r="AE53" i="12"/>
  <c r="AF53" i="12"/>
  <c r="AG53" i="12"/>
  <c r="AH53" i="12"/>
  <c r="AI53" i="12"/>
  <c r="AJ53" i="12"/>
  <c r="AK53" i="12"/>
  <c r="AL53" i="12"/>
  <c r="AM53" i="12"/>
  <c r="AB54" i="12"/>
  <c r="AC54" i="12"/>
  <c r="AD54" i="12"/>
  <c r="AE54" i="12"/>
  <c r="AF54" i="12"/>
  <c r="AG54" i="12"/>
  <c r="AH54" i="12"/>
  <c r="AI54" i="12"/>
  <c r="AJ54" i="12"/>
  <c r="AK54" i="12"/>
  <c r="AL54" i="12"/>
  <c r="AM54" i="12"/>
  <c r="AB55" i="12"/>
  <c r="AC55" i="12"/>
  <c r="AD55" i="12"/>
  <c r="AE55" i="12"/>
  <c r="AF55" i="12"/>
  <c r="AG55" i="12"/>
  <c r="AH55" i="12"/>
  <c r="AI55" i="12"/>
  <c r="AJ55" i="12"/>
  <c r="AK55" i="12"/>
  <c r="AL55" i="12"/>
  <c r="AM55" i="12"/>
  <c r="AB56" i="12"/>
  <c r="AC56" i="12"/>
  <c r="AD56" i="12"/>
  <c r="AE56" i="12"/>
  <c r="AF56" i="12"/>
  <c r="AG56" i="12"/>
  <c r="AH56" i="12"/>
  <c r="AI56" i="12"/>
  <c r="AJ56" i="12"/>
  <c r="AK56" i="12"/>
  <c r="AL56" i="12"/>
  <c r="AM56" i="12"/>
  <c r="AB57" i="12"/>
  <c r="AC57" i="12"/>
  <c r="AD57" i="12"/>
  <c r="AE57" i="12"/>
  <c r="AF57" i="12"/>
  <c r="AG57" i="12"/>
  <c r="AH57" i="12"/>
  <c r="AI57" i="12"/>
  <c r="AJ57" i="12"/>
  <c r="AK57" i="12"/>
  <c r="AL57" i="12"/>
  <c r="AM57" i="12"/>
  <c r="AB58" i="12"/>
  <c r="AC58" i="12"/>
  <c r="AD58" i="12"/>
  <c r="AE58" i="12"/>
  <c r="AF58" i="12"/>
  <c r="AG58" i="12"/>
  <c r="AH58" i="12"/>
  <c r="AI58" i="12"/>
  <c r="AJ58" i="12"/>
  <c r="AK58" i="12"/>
  <c r="AL58" i="12"/>
  <c r="AM58" i="12"/>
  <c r="AB59" i="12"/>
  <c r="AC59" i="12"/>
  <c r="AD59" i="12"/>
  <c r="AE59" i="12"/>
  <c r="AF59" i="12"/>
  <c r="AG59" i="12"/>
  <c r="AH59" i="12"/>
  <c r="AI59" i="12"/>
  <c r="AJ59" i="12"/>
  <c r="AK59" i="12"/>
  <c r="AL59" i="12"/>
  <c r="AM59" i="12"/>
  <c r="AB60" i="12"/>
  <c r="AC60" i="12"/>
  <c r="AD60" i="12"/>
  <c r="AE60" i="12"/>
  <c r="AF60" i="12"/>
  <c r="AG60" i="12"/>
  <c r="AH60" i="12"/>
  <c r="AI60" i="12"/>
  <c r="AJ60" i="12"/>
  <c r="AK60" i="12"/>
  <c r="AL60" i="12"/>
  <c r="AM60" i="12"/>
  <c r="FB5" i="12"/>
  <c r="FC5" i="12"/>
  <c r="FB6" i="12"/>
  <c r="FC6" i="12"/>
  <c r="FB7" i="12"/>
  <c r="FC7" i="12"/>
  <c r="FB8" i="12"/>
  <c r="FC8" i="12"/>
  <c r="FB9" i="12"/>
  <c r="FC9" i="12"/>
  <c r="FB10" i="12"/>
  <c r="FC10" i="12"/>
  <c r="FB11" i="12"/>
  <c r="FC11" i="12"/>
  <c r="FB12" i="12"/>
  <c r="FC12" i="12"/>
  <c r="FB13" i="12"/>
  <c r="FC13" i="12"/>
  <c r="FB14" i="12"/>
  <c r="FC14" i="12"/>
  <c r="FB15" i="12"/>
  <c r="FC15" i="12"/>
  <c r="FB16" i="12"/>
  <c r="FC16" i="12"/>
  <c r="FB17" i="12"/>
  <c r="FC17" i="12"/>
  <c r="FB18" i="12"/>
  <c r="FC18" i="12"/>
  <c r="FB19" i="12"/>
  <c r="FC19" i="12"/>
  <c r="FB21" i="12"/>
  <c r="FC21" i="12"/>
  <c r="FB22" i="12"/>
  <c r="FC22" i="12"/>
  <c r="FB24" i="12"/>
  <c r="FC24" i="12"/>
  <c r="FB25" i="12"/>
  <c r="FC25" i="12"/>
  <c r="FB26" i="12"/>
  <c r="FC26" i="12"/>
  <c r="FB27" i="12"/>
  <c r="FC27" i="12"/>
  <c r="FB29" i="12"/>
  <c r="FC29" i="12"/>
  <c r="FB30" i="12"/>
  <c r="FC30" i="12"/>
  <c r="FB31" i="12"/>
  <c r="FC31" i="12"/>
  <c r="FB33" i="12"/>
  <c r="FC33" i="12"/>
  <c r="FB34" i="12"/>
  <c r="FC34" i="12"/>
  <c r="FB35" i="12"/>
  <c r="FC35" i="12"/>
  <c r="FB36" i="12"/>
  <c r="FC36" i="12"/>
  <c r="FB46" i="12"/>
  <c r="FC46" i="12"/>
  <c r="FB47" i="12"/>
  <c r="FC47" i="12"/>
  <c r="FB48" i="12"/>
  <c r="FC48" i="12"/>
  <c r="FB49" i="12"/>
  <c r="FC49" i="12"/>
  <c r="FB50" i="12"/>
  <c r="FC50" i="12"/>
  <c r="FB51" i="12"/>
  <c r="FC51" i="12"/>
  <c r="FB52" i="12"/>
  <c r="FC52" i="12"/>
  <c r="FB53" i="12"/>
  <c r="FC53" i="12"/>
  <c r="FB54" i="12"/>
  <c r="FC54" i="12"/>
  <c r="FB55" i="12"/>
  <c r="FC55" i="12"/>
  <c r="FB56" i="12"/>
  <c r="FC56" i="12"/>
  <c r="FB57" i="12"/>
  <c r="FC57" i="12"/>
  <c r="FB58" i="12"/>
  <c r="FC58" i="12"/>
  <c r="FB59" i="12"/>
  <c r="FC59" i="12"/>
  <c r="FB60" i="12"/>
  <c r="FC60" i="12"/>
  <c r="FB62" i="12"/>
  <c r="FC62" i="12"/>
  <c r="FB63" i="12"/>
  <c r="FC63" i="12"/>
  <c r="FB65" i="12"/>
  <c r="FC65" i="12"/>
  <c r="FB66" i="12"/>
  <c r="FC66" i="12"/>
  <c r="FB67" i="12"/>
  <c r="FC67" i="12"/>
  <c r="FB68" i="12"/>
  <c r="FC68" i="12"/>
  <c r="FB70" i="12"/>
  <c r="FC70" i="12"/>
  <c r="FB71" i="12"/>
  <c r="FC71" i="12"/>
  <c r="FB72" i="12"/>
  <c r="FC72" i="12"/>
  <c r="FB74" i="12"/>
  <c r="FC74" i="12"/>
  <c r="FB75" i="12"/>
  <c r="FC75" i="12"/>
  <c r="FB76" i="12"/>
  <c r="FC76" i="12"/>
  <c r="FB77" i="12"/>
  <c r="FC77" i="12"/>
  <c r="CU74" i="21"/>
  <c r="CU73" i="21"/>
  <c r="CU72" i="21"/>
  <c r="CU71" i="21"/>
  <c r="CU70" i="21"/>
  <c r="CU69" i="21"/>
  <c r="CU68" i="21"/>
  <c r="CU67" i="21"/>
  <c r="CU66" i="21"/>
  <c r="CU65" i="21"/>
  <c r="CU64" i="21"/>
  <c r="CU63" i="21"/>
  <c r="CU57" i="21"/>
  <c r="CU56" i="21"/>
  <c r="CU55" i="21"/>
  <c r="CU54" i="21"/>
  <c r="CU53" i="21"/>
  <c r="CU52" i="21"/>
  <c r="CU51" i="21"/>
  <c r="CU50" i="21"/>
  <c r="CU49" i="21"/>
  <c r="CU48" i="21"/>
  <c r="CU47" i="21"/>
  <c r="CU41" i="21"/>
  <c r="CU37" i="21"/>
  <c r="CU36" i="21"/>
  <c r="CU35" i="21"/>
  <c r="CU34" i="21"/>
  <c r="CU33" i="21"/>
  <c r="CU32" i="21"/>
  <c r="CU31" i="21"/>
  <c r="CU30" i="21"/>
  <c r="CU29" i="21"/>
  <c r="CU28" i="21"/>
  <c r="CU27" i="21"/>
  <c r="CU26" i="21"/>
  <c r="CU25" i="21"/>
  <c r="CU24" i="21"/>
  <c r="CU23" i="21"/>
  <c r="CU22" i="21"/>
  <c r="CU21" i="21"/>
  <c r="CU19" i="21"/>
  <c r="CU18" i="21"/>
  <c r="CU17" i="21"/>
  <c r="CU16" i="21"/>
  <c r="CU15" i="21"/>
  <c r="CU14" i="21"/>
  <c r="CU13" i="21"/>
  <c r="CU12" i="21"/>
  <c r="CU11" i="21"/>
  <c r="CU10" i="21"/>
  <c r="CU9" i="21"/>
  <c r="CU8" i="21"/>
  <c r="CU7" i="21"/>
  <c r="CU6" i="21"/>
  <c r="CU5" i="21"/>
  <c r="DQ3" i="24" l="1"/>
  <c r="DP3" i="24"/>
  <c r="DQ4" i="24"/>
  <c r="DP4" i="24"/>
  <c r="CN45" i="20" l="1"/>
  <c r="CO45" i="20"/>
  <c r="CP45" i="20"/>
  <c r="CN86" i="20"/>
  <c r="CO86" i="20"/>
  <c r="CP86" i="20"/>
  <c r="CN98" i="20"/>
  <c r="CO98" i="20"/>
  <c r="CP98" i="20"/>
  <c r="CN102" i="20"/>
  <c r="CO102" i="20"/>
  <c r="CP102" i="20"/>
  <c r="CN114" i="20"/>
  <c r="CO114" i="20"/>
  <c r="CP114" i="20"/>
  <c r="CN118" i="20"/>
  <c r="CO118" i="20"/>
  <c r="CP118" i="20"/>
  <c r="ER5" i="12"/>
  <c r="ES5" i="12"/>
  <c r="ET5" i="12"/>
  <c r="EU5" i="12"/>
  <c r="EV5" i="12"/>
  <c r="EW5" i="12"/>
  <c r="EX5" i="12"/>
  <c r="EY5" i="12"/>
  <c r="EZ5" i="12"/>
  <c r="FA5" i="12"/>
  <c r="ER6" i="12"/>
  <c r="ES6" i="12"/>
  <c r="ET6" i="12"/>
  <c r="EU6" i="12"/>
  <c r="EV6" i="12"/>
  <c r="EW6" i="12"/>
  <c r="EX6" i="12"/>
  <c r="EY6" i="12"/>
  <c r="EZ6" i="12"/>
  <c r="FA6" i="12"/>
  <c r="ER7" i="12"/>
  <c r="ES7" i="12"/>
  <c r="ET7" i="12"/>
  <c r="EU7" i="12"/>
  <c r="EV7" i="12"/>
  <c r="EW7" i="12"/>
  <c r="EX7" i="12"/>
  <c r="EY7" i="12"/>
  <c r="EZ7" i="12"/>
  <c r="FA7" i="12"/>
  <c r="ER8" i="12"/>
  <c r="ES8" i="12"/>
  <c r="ET8" i="12"/>
  <c r="EU8" i="12"/>
  <c r="EV8" i="12"/>
  <c r="EW8" i="12"/>
  <c r="EX8" i="12"/>
  <c r="EY8" i="12"/>
  <c r="EZ8" i="12"/>
  <c r="FA8" i="12"/>
  <c r="ER9" i="12"/>
  <c r="ES9" i="12"/>
  <c r="ET9" i="12"/>
  <c r="EU9" i="12"/>
  <c r="EV9" i="12"/>
  <c r="EW9" i="12"/>
  <c r="EX9" i="12"/>
  <c r="EY9" i="12"/>
  <c r="EZ9" i="12"/>
  <c r="FA9" i="12"/>
  <c r="ER10" i="12"/>
  <c r="ES10" i="12"/>
  <c r="ET10" i="12"/>
  <c r="EU10" i="12"/>
  <c r="EV10" i="12"/>
  <c r="EW10" i="12"/>
  <c r="EX10" i="12"/>
  <c r="EY10" i="12"/>
  <c r="EZ10" i="12"/>
  <c r="FA10" i="12"/>
  <c r="ER11" i="12"/>
  <c r="ES11" i="12"/>
  <c r="ET11" i="12"/>
  <c r="EU11" i="12"/>
  <c r="EV11" i="12"/>
  <c r="EW11" i="12"/>
  <c r="EX11" i="12"/>
  <c r="EY11" i="12"/>
  <c r="EZ11" i="12"/>
  <c r="FA11" i="12"/>
  <c r="ER12" i="12"/>
  <c r="ES12" i="12"/>
  <c r="ET12" i="12"/>
  <c r="EU12" i="12"/>
  <c r="EV12" i="12"/>
  <c r="EW12" i="12"/>
  <c r="EX12" i="12"/>
  <c r="EY12" i="12"/>
  <c r="EZ12" i="12"/>
  <c r="FA12" i="12"/>
  <c r="ER13" i="12"/>
  <c r="ES13" i="12"/>
  <c r="ET13" i="12"/>
  <c r="EU13" i="12"/>
  <c r="EV13" i="12"/>
  <c r="EW13" i="12"/>
  <c r="EX13" i="12"/>
  <c r="EY13" i="12"/>
  <c r="EZ13" i="12"/>
  <c r="FA13" i="12"/>
  <c r="ER14" i="12"/>
  <c r="ES14" i="12"/>
  <c r="ET14" i="12"/>
  <c r="EU14" i="12"/>
  <c r="EV14" i="12"/>
  <c r="EW14" i="12"/>
  <c r="EX14" i="12"/>
  <c r="EY14" i="12"/>
  <c r="EZ14" i="12"/>
  <c r="FA14" i="12"/>
  <c r="ER15" i="12"/>
  <c r="ES15" i="12"/>
  <c r="ET15" i="12"/>
  <c r="EU15" i="12"/>
  <c r="EV15" i="12"/>
  <c r="EW15" i="12"/>
  <c r="EX15" i="12"/>
  <c r="EY15" i="12"/>
  <c r="EZ15" i="12"/>
  <c r="FA15" i="12"/>
  <c r="ER16" i="12"/>
  <c r="ES16" i="12"/>
  <c r="ET16" i="12"/>
  <c r="EU16" i="12"/>
  <c r="EV16" i="12"/>
  <c r="EW16" i="12"/>
  <c r="EX16" i="12"/>
  <c r="EY16" i="12"/>
  <c r="EZ16" i="12"/>
  <c r="FA16" i="12"/>
  <c r="ER17" i="12"/>
  <c r="ES17" i="12"/>
  <c r="ET17" i="12"/>
  <c r="EU17" i="12"/>
  <c r="EV17" i="12"/>
  <c r="EW17" i="12"/>
  <c r="EX17" i="12"/>
  <c r="EY17" i="12"/>
  <c r="EZ17" i="12"/>
  <c r="FA17" i="12"/>
  <c r="ER18" i="12"/>
  <c r="ES18" i="12"/>
  <c r="ET18" i="12"/>
  <c r="EU18" i="12"/>
  <c r="EV18" i="12"/>
  <c r="EW18" i="12"/>
  <c r="EX18" i="12"/>
  <c r="EY18" i="12"/>
  <c r="EZ18" i="12"/>
  <c r="FA18" i="12"/>
  <c r="ER19" i="12"/>
  <c r="ES19" i="12"/>
  <c r="ET19" i="12"/>
  <c r="EU19" i="12"/>
  <c r="EV19" i="12"/>
  <c r="EW19" i="12"/>
  <c r="EX19" i="12"/>
  <c r="EY19" i="12"/>
  <c r="EZ19" i="12"/>
  <c r="FA19" i="12"/>
  <c r="ER21" i="12"/>
  <c r="ES21" i="12"/>
  <c r="ET21" i="12"/>
  <c r="EU21" i="12"/>
  <c r="EV21" i="12"/>
  <c r="EW21" i="12"/>
  <c r="EX21" i="12"/>
  <c r="EY21" i="12"/>
  <c r="EZ21" i="12"/>
  <c r="FA21" i="12"/>
  <c r="ER22" i="12"/>
  <c r="ES22" i="12"/>
  <c r="ET22" i="12"/>
  <c r="EU22" i="12"/>
  <c r="EV22" i="12"/>
  <c r="EW22" i="12"/>
  <c r="EX22" i="12"/>
  <c r="EY22" i="12"/>
  <c r="EZ22" i="12"/>
  <c r="FA22" i="12"/>
  <c r="ER24" i="12"/>
  <c r="ES24" i="12"/>
  <c r="ET24" i="12"/>
  <c r="EU24" i="12"/>
  <c r="EV24" i="12"/>
  <c r="EW24" i="12"/>
  <c r="EX24" i="12"/>
  <c r="EY24" i="12"/>
  <c r="EZ24" i="12"/>
  <c r="FA24" i="12"/>
  <c r="ER25" i="12"/>
  <c r="ES25" i="12"/>
  <c r="ET25" i="12"/>
  <c r="EU25" i="12"/>
  <c r="EV25" i="12"/>
  <c r="EW25" i="12"/>
  <c r="EX25" i="12"/>
  <c r="EY25" i="12"/>
  <c r="EZ25" i="12"/>
  <c r="FA25" i="12"/>
  <c r="ER26" i="12"/>
  <c r="ES26" i="12"/>
  <c r="ET26" i="12"/>
  <c r="EU26" i="12"/>
  <c r="EV26" i="12"/>
  <c r="EW26" i="12"/>
  <c r="EX26" i="12"/>
  <c r="EY26" i="12"/>
  <c r="EZ26" i="12"/>
  <c r="FA26" i="12"/>
  <c r="ER27" i="12"/>
  <c r="ES27" i="12"/>
  <c r="ET27" i="12"/>
  <c r="EU27" i="12"/>
  <c r="EV27" i="12"/>
  <c r="EW27" i="12"/>
  <c r="EX27" i="12"/>
  <c r="EY27" i="12"/>
  <c r="EZ27" i="12"/>
  <c r="FA27" i="12"/>
  <c r="ER29" i="12"/>
  <c r="ES29" i="12"/>
  <c r="ET29" i="12"/>
  <c r="EU29" i="12"/>
  <c r="EV29" i="12"/>
  <c r="EW29" i="12"/>
  <c r="EX29" i="12"/>
  <c r="EY29" i="12"/>
  <c r="EZ29" i="12"/>
  <c r="FA29" i="12"/>
  <c r="ER30" i="12"/>
  <c r="ES30" i="12"/>
  <c r="ET30" i="12"/>
  <c r="EU30" i="12"/>
  <c r="EV30" i="12"/>
  <c r="EW30" i="12"/>
  <c r="EX30" i="12"/>
  <c r="EY30" i="12"/>
  <c r="EZ30" i="12"/>
  <c r="FA30" i="12"/>
  <c r="ER31" i="12"/>
  <c r="ES31" i="12"/>
  <c r="ET31" i="12"/>
  <c r="EU31" i="12"/>
  <c r="EV31" i="12"/>
  <c r="EW31" i="12"/>
  <c r="EX31" i="12"/>
  <c r="EY31" i="12"/>
  <c r="EZ31" i="12"/>
  <c r="FA31" i="12"/>
  <c r="ER33" i="12"/>
  <c r="ES33" i="12"/>
  <c r="ET33" i="12"/>
  <c r="EU33" i="12"/>
  <c r="EV33" i="12"/>
  <c r="EW33" i="12"/>
  <c r="EX33" i="12"/>
  <c r="EY33" i="12"/>
  <c r="EZ33" i="12"/>
  <c r="FA33" i="12"/>
  <c r="ER34" i="12"/>
  <c r="ES34" i="12"/>
  <c r="ET34" i="12"/>
  <c r="EU34" i="12"/>
  <c r="EV34" i="12"/>
  <c r="EW34" i="12"/>
  <c r="EX34" i="12"/>
  <c r="EY34" i="12"/>
  <c r="EZ34" i="12"/>
  <c r="FA34" i="12"/>
  <c r="ER35" i="12"/>
  <c r="ES35" i="12"/>
  <c r="ET35" i="12"/>
  <c r="EU35" i="12"/>
  <c r="EV35" i="12"/>
  <c r="EW35" i="12"/>
  <c r="EX35" i="12"/>
  <c r="EY35" i="12"/>
  <c r="EZ35" i="12"/>
  <c r="FA35" i="12"/>
  <c r="ER36" i="12"/>
  <c r="ES36" i="12"/>
  <c r="ET36" i="12"/>
  <c r="EU36" i="12"/>
  <c r="EV36" i="12"/>
  <c r="EW36" i="12"/>
  <c r="EX36" i="12"/>
  <c r="EY36" i="12"/>
  <c r="EZ36" i="12"/>
  <c r="FA36" i="12"/>
  <c r="ER46" i="12"/>
  <c r="ES46" i="12"/>
  <c r="ET46" i="12"/>
  <c r="EU46" i="12"/>
  <c r="EV46" i="12"/>
  <c r="EW46" i="12"/>
  <c r="EX46" i="12"/>
  <c r="EY46" i="12"/>
  <c r="EZ46" i="12"/>
  <c r="FA46" i="12"/>
  <c r="ER47" i="12"/>
  <c r="ES47" i="12"/>
  <c r="ET47" i="12"/>
  <c r="EU47" i="12"/>
  <c r="EV47" i="12"/>
  <c r="EW47" i="12"/>
  <c r="EX47" i="12"/>
  <c r="EY47" i="12"/>
  <c r="EZ47" i="12"/>
  <c r="FA47" i="12"/>
  <c r="ER48" i="12"/>
  <c r="ES48" i="12"/>
  <c r="ET48" i="12"/>
  <c r="EU48" i="12"/>
  <c r="EV48" i="12"/>
  <c r="EW48" i="12"/>
  <c r="EX48" i="12"/>
  <c r="EY48" i="12"/>
  <c r="EZ48" i="12"/>
  <c r="FA48" i="12"/>
  <c r="ER49" i="12"/>
  <c r="ES49" i="12"/>
  <c r="ET49" i="12"/>
  <c r="EU49" i="12"/>
  <c r="EV49" i="12"/>
  <c r="EW49" i="12"/>
  <c r="EX49" i="12"/>
  <c r="EY49" i="12"/>
  <c r="EZ49" i="12"/>
  <c r="FA49" i="12"/>
  <c r="ER50" i="12"/>
  <c r="ES50" i="12"/>
  <c r="ET50" i="12"/>
  <c r="EU50" i="12"/>
  <c r="EV50" i="12"/>
  <c r="EW50" i="12"/>
  <c r="EX50" i="12"/>
  <c r="EY50" i="12"/>
  <c r="EZ50" i="12"/>
  <c r="FA50" i="12"/>
  <c r="ER51" i="12"/>
  <c r="ES51" i="12"/>
  <c r="ET51" i="12"/>
  <c r="EU51" i="12"/>
  <c r="EV51" i="12"/>
  <c r="EW51" i="12"/>
  <c r="EX51" i="12"/>
  <c r="EY51" i="12"/>
  <c r="EZ51" i="12"/>
  <c r="FA51" i="12"/>
  <c r="ER52" i="12"/>
  <c r="ES52" i="12"/>
  <c r="ET52" i="12"/>
  <c r="EU52" i="12"/>
  <c r="EV52" i="12"/>
  <c r="EW52" i="12"/>
  <c r="EX52" i="12"/>
  <c r="EY52" i="12"/>
  <c r="EZ52" i="12"/>
  <c r="FA52" i="12"/>
  <c r="ER53" i="12"/>
  <c r="ES53" i="12"/>
  <c r="ET53" i="12"/>
  <c r="EU53" i="12"/>
  <c r="EV53" i="12"/>
  <c r="EW53" i="12"/>
  <c r="EX53" i="12"/>
  <c r="EY53" i="12"/>
  <c r="EZ53" i="12"/>
  <c r="FA53" i="12"/>
  <c r="ER54" i="12"/>
  <c r="ES54" i="12"/>
  <c r="ET54" i="12"/>
  <c r="EU54" i="12"/>
  <c r="EV54" i="12"/>
  <c r="EW54" i="12"/>
  <c r="EX54" i="12"/>
  <c r="EY54" i="12"/>
  <c r="EZ54" i="12"/>
  <c r="FA54" i="12"/>
  <c r="ER55" i="12"/>
  <c r="ES55" i="12"/>
  <c r="ET55" i="12"/>
  <c r="EU55" i="12"/>
  <c r="EV55" i="12"/>
  <c r="EW55" i="12"/>
  <c r="EX55" i="12"/>
  <c r="EY55" i="12"/>
  <c r="EZ55" i="12"/>
  <c r="FA55" i="12"/>
  <c r="ER56" i="12"/>
  <c r="ES56" i="12"/>
  <c r="ET56" i="12"/>
  <c r="EU56" i="12"/>
  <c r="EV56" i="12"/>
  <c r="EW56" i="12"/>
  <c r="EX56" i="12"/>
  <c r="EY56" i="12"/>
  <c r="EZ56" i="12"/>
  <c r="FA56" i="12"/>
  <c r="ER57" i="12"/>
  <c r="ES57" i="12"/>
  <c r="ET57" i="12"/>
  <c r="EU57" i="12"/>
  <c r="EV57" i="12"/>
  <c r="EW57" i="12"/>
  <c r="EX57" i="12"/>
  <c r="EY57" i="12"/>
  <c r="EZ57" i="12"/>
  <c r="FA57" i="12"/>
  <c r="ER58" i="12"/>
  <c r="ES58" i="12"/>
  <c r="ET58" i="12"/>
  <c r="EU58" i="12"/>
  <c r="EV58" i="12"/>
  <c r="EW58" i="12"/>
  <c r="EX58" i="12"/>
  <c r="EY58" i="12"/>
  <c r="EZ58" i="12"/>
  <c r="FA58" i="12"/>
  <c r="ER59" i="12"/>
  <c r="ES59" i="12"/>
  <c r="ET59" i="12"/>
  <c r="EU59" i="12"/>
  <c r="EV59" i="12"/>
  <c r="EW59" i="12"/>
  <c r="EX59" i="12"/>
  <c r="EY59" i="12"/>
  <c r="EZ59" i="12"/>
  <c r="FA59" i="12"/>
  <c r="ER60" i="12"/>
  <c r="ES60" i="12"/>
  <c r="ET60" i="12"/>
  <c r="EU60" i="12"/>
  <c r="EV60" i="12"/>
  <c r="EW60" i="12"/>
  <c r="EX60" i="12"/>
  <c r="EY60" i="12"/>
  <c r="EZ60" i="12"/>
  <c r="FA60" i="12"/>
  <c r="ER62" i="12"/>
  <c r="ES62" i="12"/>
  <c r="ET62" i="12"/>
  <c r="EU62" i="12"/>
  <c r="EV62" i="12"/>
  <c r="EW62" i="12"/>
  <c r="EX62" i="12"/>
  <c r="EY62" i="12"/>
  <c r="EZ62" i="12"/>
  <c r="FA62" i="12"/>
  <c r="ER63" i="12"/>
  <c r="ES63" i="12"/>
  <c r="ET63" i="12"/>
  <c r="EU63" i="12"/>
  <c r="EV63" i="12"/>
  <c r="EW63" i="12"/>
  <c r="EX63" i="12"/>
  <c r="EY63" i="12"/>
  <c r="EZ63" i="12"/>
  <c r="FA63" i="12"/>
  <c r="ER65" i="12"/>
  <c r="ES65" i="12"/>
  <c r="ET65" i="12"/>
  <c r="EU65" i="12"/>
  <c r="EV65" i="12"/>
  <c r="EW65" i="12"/>
  <c r="EX65" i="12"/>
  <c r="EY65" i="12"/>
  <c r="EZ65" i="12"/>
  <c r="FA65" i="12"/>
  <c r="ER66" i="12"/>
  <c r="ES66" i="12"/>
  <c r="ET66" i="12"/>
  <c r="EU66" i="12"/>
  <c r="EV66" i="12"/>
  <c r="EW66" i="12"/>
  <c r="EX66" i="12"/>
  <c r="EY66" i="12"/>
  <c r="EZ66" i="12"/>
  <c r="FA66" i="12"/>
  <c r="ER67" i="12"/>
  <c r="ES67" i="12"/>
  <c r="ET67" i="12"/>
  <c r="EU67" i="12"/>
  <c r="EV67" i="12"/>
  <c r="EW67" i="12"/>
  <c r="EX67" i="12"/>
  <c r="EY67" i="12"/>
  <c r="EZ67" i="12"/>
  <c r="FA67" i="12"/>
  <c r="ER68" i="12"/>
  <c r="ES68" i="12"/>
  <c r="ET68" i="12"/>
  <c r="EU68" i="12"/>
  <c r="EV68" i="12"/>
  <c r="EW68" i="12"/>
  <c r="EX68" i="12"/>
  <c r="EY68" i="12"/>
  <c r="EZ68" i="12"/>
  <c r="FA68" i="12"/>
  <c r="ER70" i="12"/>
  <c r="ES70" i="12"/>
  <c r="ET70" i="12"/>
  <c r="EU70" i="12"/>
  <c r="EV70" i="12"/>
  <c r="EW70" i="12"/>
  <c r="EX70" i="12"/>
  <c r="EY70" i="12"/>
  <c r="EZ70" i="12"/>
  <c r="FA70" i="12"/>
  <c r="ER71" i="12"/>
  <c r="ES71" i="12"/>
  <c r="ET71" i="12"/>
  <c r="EU71" i="12"/>
  <c r="EV71" i="12"/>
  <c r="EW71" i="12"/>
  <c r="EX71" i="12"/>
  <c r="EY71" i="12"/>
  <c r="EZ71" i="12"/>
  <c r="FA71" i="12"/>
  <c r="ER72" i="12"/>
  <c r="ES72" i="12"/>
  <c r="ET72" i="12"/>
  <c r="EU72" i="12"/>
  <c r="EV72" i="12"/>
  <c r="EW72" i="12"/>
  <c r="EX72" i="12"/>
  <c r="EY72" i="12"/>
  <c r="EZ72" i="12"/>
  <c r="FA72" i="12"/>
  <c r="ER74" i="12"/>
  <c r="ES74" i="12"/>
  <c r="ET74" i="12"/>
  <c r="EU74" i="12"/>
  <c r="EV74" i="12"/>
  <c r="EW74" i="12"/>
  <c r="EX74" i="12"/>
  <c r="EY74" i="12"/>
  <c r="EZ74" i="12"/>
  <c r="FA74" i="12"/>
  <c r="ER75" i="12"/>
  <c r="ES75" i="12"/>
  <c r="ET75" i="12"/>
  <c r="EU75" i="12"/>
  <c r="EV75" i="12"/>
  <c r="EW75" i="12"/>
  <c r="EX75" i="12"/>
  <c r="EY75" i="12"/>
  <c r="EZ75" i="12"/>
  <c r="FA75" i="12"/>
  <c r="ER76" i="12"/>
  <c r="ES76" i="12"/>
  <c r="ET76" i="12"/>
  <c r="EU76" i="12"/>
  <c r="EV76" i="12"/>
  <c r="EW76" i="12"/>
  <c r="EX76" i="12"/>
  <c r="EY76" i="12"/>
  <c r="EZ76" i="12"/>
  <c r="FA76" i="12"/>
  <c r="ER77" i="12"/>
  <c r="ES77" i="12"/>
  <c r="ET77" i="12"/>
  <c r="EU77" i="12"/>
  <c r="EV77" i="12"/>
  <c r="EW77" i="12"/>
  <c r="EX77" i="12"/>
  <c r="EY77" i="12"/>
  <c r="EZ77" i="12"/>
  <c r="FA77" i="12"/>
  <c r="CT74" i="21"/>
  <c r="CT73" i="21"/>
  <c r="CT72" i="21"/>
  <c r="CT71" i="21"/>
  <c r="CT70" i="21"/>
  <c r="CT69" i="21"/>
  <c r="CT68" i="21"/>
  <c r="CT67" i="21"/>
  <c r="CT66" i="21"/>
  <c r="CT65" i="21"/>
  <c r="CT64" i="21"/>
  <c r="CT63" i="21"/>
  <c r="CT57" i="21"/>
  <c r="CT56" i="21"/>
  <c r="CT55" i="21"/>
  <c r="CT54" i="21"/>
  <c r="CT53" i="21"/>
  <c r="CT52" i="21"/>
  <c r="CT51" i="21"/>
  <c r="CT50" i="21"/>
  <c r="CT49" i="21"/>
  <c r="CT48" i="21"/>
  <c r="CT47" i="21"/>
  <c r="CT41" i="21"/>
  <c r="CT37" i="21"/>
  <c r="CT36" i="21"/>
  <c r="CT35" i="21"/>
  <c r="CT34" i="21"/>
  <c r="CT33" i="21"/>
  <c r="CT32" i="21"/>
  <c r="CT31" i="21"/>
  <c r="CT30" i="21"/>
  <c r="CT29" i="21"/>
  <c r="CT28" i="21"/>
  <c r="CT27" i="21"/>
  <c r="CT26" i="21"/>
  <c r="CT25" i="21"/>
  <c r="CT24" i="21"/>
  <c r="CT23" i="21"/>
  <c r="CT22" i="21"/>
  <c r="CT21" i="21"/>
  <c r="CT19" i="21"/>
  <c r="CT18" i="21"/>
  <c r="CT17" i="21"/>
  <c r="CT16" i="21"/>
  <c r="CT15" i="21"/>
  <c r="CT14" i="21"/>
  <c r="CT13" i="21"/>
  <c r="CT12" i="21"/>
  <c r="CT11" i="21"/>
  <c r="CT10" i="21"/>
  <c r="CT9" i="21"/>
  <c r="CT8" i="21"/>
  <c r="CT7" i="21"/>
  <c r="CT6" i="21"/>
  <c r="CT5" i="21"/>
  <c r="CS74" i="21"/>
  <c r="CS73" i="21"/>
  <c r="CS72" i="21"/>
  <c r="CS71" i="21"/>
  <c r="CS70" i="21"/>
  <c r="CS69" i="21"/>
  <c r="CS68" i="21"/>
  <c r="CS67" i="21"/>
  <c r="CS66" i="21"/>
  <c r="CS65" i="21"/>
  <c r="CS64" i="21"/>
  <c r="CS63" i="21"/>
  <c r="CS57" i="21"/>
  <c r="CS56" i="21"/>
  <c r="CS55" i="21"/>
  <c r="CS54" i="21"/>
  <c r="CS53" i="21"/>
  <c r="CS52" i="21"/>
  <c r="CS51" i="21"/>
  <c r="CS50" i="21"/>
  <c r="CS49" i="21"/>
  <c r="CS48" i="21"/>
  <c r="CS47" i="21"/>
  <c r="CS41" i="21"/>
  <c r="CS37" i="21"/>
  <c r="CS36" i="21"/>
  <c r="CS35" i="21"/>
  <c r="CS34" i="21"/>
  <c r="CS33" i="21"/>
  <c r="CS32" i="21"/>
  <c r="CS31" i="21"/>
  <c r="CS30" i="21"/>
  <c r="CS29" i="21"/>
  <c r="CS28" i="21"/>
  <c r="CS27" i="21"/>
  <c r="CS26" i="21"/>
  <c r="CS25" i="21"/>
  <c r="CS24" i="21"/>
  <c r="CS23" i="21"/>
  <c r="CS22" i="21"/>
  <c r="CS21" i="21"/>
  <c r="CS19" i="21"/>
  <c r="CS18" i="21"/>
  <c r="CS17" i="21"/>
  <c r="CS16" i="21"/>
  <c r="CS15" i="21"/>
  <c r="CS14" i="21"/>
  <c r="CS13" i="21"/>
  <c r="CS12" i="21"/>
  <c r="CS11" i="21"/>
  <c r="CS10" i="21"/>
  <c r="CS9" i="21"/>
  <c r="CS8" i="21"/>
  <c r="CS7" i="21"/>
  <c r="CS6" i="21"/>
  <c r="CS5" i="21"/>
  <c r="CR74" i="21"/>
  <c r="CR73" i="21"/>
  <c r="CR72" i="21"/>
  <c r="CR71" i="21"/>
  <c r="CR70" i="21"/>
  <c r="CR69" i="21"/>
  <c r="CR68" i="21"/>
  <c r="CR67" i="21"/>
  <c r="CR66" i="21"/>
  <c r="CR65" i="21"/>
  <c r="CR64" i="21"/>
  <c r="CR63" i="21"/>
  <c r="CR57" i="21"/>
  <c r="CR56" i="21"/>
  <c r="CR55" i="21"/>
  <c r="CR54" i="21"/>
  <c r="CR53" i="21"/>
  <c r="CR52" i="21"/>
  <c r="CR51" i="21"/>
  <c r="CR50" i="21"/>
  <c r="CR49" i="21"/>
  <c r="CR48" i="21"/>
  <c r="CR47" i="21"/>
  <c r="CR41" i="21"/>
  <c r="CR37" i="21"/>
  <c r="CR36" i="21"/>
  <c r="CR35" i="21"/>
  <c r="CR34" i="21"/>
  <c r="CR33" i="21"/>
  <c r="CR32" i="21"/>
  <c r="CR31" i="21"/>
  <c r="CR30" i="21"/>
  <c r="CR29" i="21"/>
  <c r="CR28" i="21"/>
  <c r="CR27" i="21"/>
  <c r="CR26" i="21"/>
  <c r="CR25" i="21"/>
  <c r="CR24" i="21"/>
  <c r="CR23" i="21"/>
  <c r="CR22" i="21"/>
  <c r="CR21" i="21"/>
  <c r="CR19" i="21"/>
  <c r="CR18" i="21"/>
  <c r="CR17" i="21"/>
  <c r="CR16" i="21"/>
  <c r="CR15" i="21"/>
  <c r="CR14" i="21"/>
  <c r="CR13" i="21"/>
  <c r="CR12" i="21"/>
  <c r="CR11" i="21"/>
  <c r="CR10" i="21"/>
  <c r="CR9" i="21"/>
  <c r="CR8" i="21"/>
  <c r="CR7" i="21"/>
  <c r="CR6" i="21"/>
  <c r="CR5" i="21"/>
  <c r="CU38" i="21"/>
  <c r="CU39" i="21"/>
  <c r="CU40" i="21"/>
  <c r="CU42" i="21"/>
  <c r="FI81" i="12" l="1"/>
  <c r="FI40" i="12"/>
  <c r="FH81" i="12"/>
  <c r="FH40" i="12"/>
  <c r="FG81" i="12"/>
  <c r="FG40" i="12"/>
  <c r="FI39" i="12"/>
  <c r="FI80" i="12"/>
  <c r="FH39" i="12"/>
  <c r="FH80" i="12"/>
  <c r="FG80" i="12"/>
  <c r="FG39" i="12"/>
  <c r="FI38" i="12"/>
  <c r="FI79" i="12"/>
  <c r="FH38" i="12"/>
  <c r="FH79" i="12"/>
  <c r="FG79" i="12"/>
  <c r="FG38" i="12"/>
  <c r="FF81" i="12"/>
  <c r="FE81" i="12"/>
  <c r="FD81" i="12"/>
  <c r="FF79" i="12"/>
  <c r="FE79" i="12"/>
  <c r="FD79" i="12"/>
  <c r="FD80" i="12"/>
  <c r="FF80" i="12"/>
  <c r="FE80" i="12"/>
  <c r="DG4" i="24"/>
  <c r="DJ3" i="24"/>
  <c r="DK4" i="24"/>
  <c r="DO3" i="24"/>
  <c r="DI3" i="24"/>
  <c r="DL4" i="24"/>
  <c r="DJ4" i="24"/>
  <c r="DN3" i="24"/>
  <c r="DH3" i="24"/>
  <c r="DM4" i="24"/>
  <c r="DO4" i="24"/>
  <c r="DI4" i="24"/>
  <c r="DM3" i="24"/>
  <c r="DG3" i="24"/>
  <c r="DN4" i="24"/>
  <c r="DL3" i="24"/>
  <c r="DF3" i="24"/>
  <c r="DK3" i="24"/>
  <c r="DH4" i="24"/>
  <c r="DF4" i="24"/>
  <c r="CU58" i="21"/>
  <c r="CS58" i="21"/>
  <c r="CT42" i="21"/>
  <c r="CR42" i="21"/>
  <c r="CR39" i="21"/>
  <c r="CS39" i="21"/>
  <c r="CS42" i="21"/>
  <c r="CT58" i="21"/>
  <c r="CS40" i="21"/>
  <c r="CT39" i="21"/>
  <c r="CT40" i="21"/>
  <c r="CR38" i="21"/>
  <c r="CS38" i="21"/>
  <c r="CR40" i="21"/>
  <c r="CT38" i="21"/>
  <c r="G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7" i="5" l="1"/>
  <c r="G9" i="5"/>
  <c r="G10" i="5"/>
  <c r="G11" i="5"/>
  <c r="G12" i="5"/>
  <c r="G13" i="5"/>
  <c r="G14" i="5"/>
  <c r="G15" i="5"/>
  <c r="G16" i="5"/>
  <c r="G17" i="5"/>
  <c r="G18" i="5"/>
  <c r="CK45" i="20"/>
  <c r="CL45" i="20"/>
  <c r="CM45" i="20"/>
  <c r="CK86" i="20"/>
  <c r="CL86" i="20"/>
  <c r="CM86" i="20"/>
  <c r="CK98" i="20"/>
  <c r="CL98" i="20"/>
  <c r="CM98" i="20"/>
  <c r="CK102" i="20"/>
  <c r="CL102" i="20"/>
  <c r="CM102" i="20"/>
  <c r="CK114" i="20"/>
  <c r="CL114" i="20"/>
  <c r="CM114" i="20"/>
  <c r="CK118" i="20"/>
  <c r="CL118" i="20"/>
  <c r="CM118" i="20"/>
  <c r="CG45" i="20"/>
  <c r="CH45" i="20"/>
  <c r="CI45" i="20"/>
  <c r="CJ45" i="20"/>
  <c r="CG86" i="20"/>
  <c r="CH86" i="20"/>
  <c r="CI86" i="20"/>
  <c r="CJ86" i="20"/>
  <c r="CG98" i="20"/>
  <c r="CH98" i="20"/>
  <c r="CI98" i="20"/>
  <c r="CJ98" i="20"/>
  <c r="CG102" i="20"/>
  <c r="CH102" i="20"/>
  <c r="CI102" i="20"/>
  <c r="CJ102" i="20"/>
  <c r="CG114" i="20"/>
  <c r="CH114" i="20"/>
  <c r="CI114" i="20"/>
  <c r="CJ114" i="20"/>
  <c r="CG118" i="20"/>
  <c r="CH118" i="20"/>
  <c r="CI118" i="20"/>
  <c r="CJ118" i="20"/>
  <c r="CF118" i="20"/>
  <c r="CF102" i="20"/>
  <c r="CF86" i="20"/>
  <c r="CF45" i="20"/>
  <c r="CF98" i="20"/>
  <c r="CF114" i="20"/>
  <c r="EL5" i="12"/>
  <c r="EM5" i="12"/>
  <c r="EN5" i="12"/>
  <c r="EO5" i="12"/>
  <c r="EP5" i="12"/>
  <c r="EQ5" i="12"/>
  <c r="EL6" i="12"/>
  <c r="EM6" i="12"/>
  <c r="EN6" i="12"/>
  <c r="EO6" i="12"/>
  <c r="EP6" i="12"/>
  <c r="EQ6" i="12"/>
  <c r="EL7" i="12"/>
  <c r="EM7" i="12"/>
  <c r="EN7" i="12"/>
  <c r="EO7" i="12"/>
  <c r="EP7" i="12"/>
  <c r="EQ7" i="12"/>
  <c r="EL8" i="12"/>
  <c r="EM8" i="12"/>
  <c r="EN8" i="12"/>
  <c r="EO8" i="12"/>
  <c r="EP8" i="12"/>
  <c r="EQ8" i="12"/>
  <c r="H8" i="5" s="1"/>
  <c r="EL9" i="12"/>
  <c r="EM9" i="12"/>
  <c r="EN9" i="12"/>
  <c r="EO9" i="12"/>
  <c r="EP9" i="12"/>
  <c r="EQ9" i="12"/>
  <c r="H9" i="5" s="1"/>
  <c r="EL10" i="12"/>
  <c r="EM10" i="12"/>
  <c r="EN10" i="12"/>
  <c r="EO10" i="12"/>
  <c r="EP10" i="12"/>
  <c r="EQ10" i="12"/>
  <c r="H10" i="5" s="1"/>
  <c r="EL11" i="12"/>
  <c r="EM11" i="12"/>
  <c r="EN11" i="12"/>
  <c r="EO11" i="12"/>
  <c r="EP11" i="12"/>
  <c r="EQ11" i="12"/>
  <c r="H11" i="5" s="1"/>
  <c r="EL12" i="12"/>
  <c r="EM12" i="12"/>
  <c r="EN12" i="12"/>
  <c r="EO12" i="12"/>
  <c r="EP12" i="12"/>
  <c r="EQ12" i="12"/>
  <c r="H12" i="5" s="1"/>
  <c r="EL13" i="12"/>
  <c r="EM13" i="12"/>
  <c r="EN13" i="12"/>
  <c r="EO13" i="12"/>
  <c r="EP13" i="12"/>
  <c r="EQ13" i="12"/>
  <c r="EL14" i="12"/>
  <c r="EM14" i="12"/>
  <c r="EN14" i="12"/>
  <c r="EO14" i="12"/>
  <c r="EP14" i="12"/>
  <c r="EQ14" i="12"/>
  <c r="H14" i="5" s="1"/>
  <c r="EL15" i="12"/>
  <c r="EM15" i="12"/>
  <c r="EN15" i="12"/>
  <c r="EO15" i="12"/>
  <c r="EP15" i="12"/>
  <c r="EQ15" i="12"/>
  <c r="H15" i="5" s="1"/>
  <c r="EL16" i="12"/>
  <c r="EM16" i="12"/>
  <c r="EN16" i="12"/>
  <c r="EO16" i="12"/>
  <c r="EP16" i="12"/>
  <c r="EQ16" i="12"/>
  <c r="H16" i="5" s="1"/>
  <c r="EL17" i="12"/>
  <c r="EM17" i="12"/>
  <c r="EN17" i="12"/>
  <c r="EO17" i="12"/>
  <c r="EP17" i="12"/>
  <c r="EQ17" i="12"/>
  <c r="H17" i="5" s="1"/>
  <c r="EL18" i="12"/>
  <c r="EM18" i="12"/>
  <c r="EN18" i="12"/>
  <c r="EO18" i="12"/>
  <c r="EP18" i="12"/>
  <c r="EQ18" i="12"/>
  <c r="H18" i="5" s="1"/>
  <c r="EL19" i="12"/>
  <c r="EM19" i="12"/>
  <c r="EN19" i="12"/>
  <c r="EO19" i="12"/>
  <c r="EP19" i="12"/>
  <c r="EQ19" i="12"/>
  <c r="EL21" i="12"/>
  <c r="EM21" i="12"/>
  <c r="EN21" i="12"/>
  <c r="EO21" i="12"/>
  <c r="EP21" i="12"/>
  <c r="EQ21" i="12"/>
  <c r="H20" i="5" s="1"/>
  <c r="EL22" i="12"/>
  <c r="EM22" i="12"/>
  <c r="EN22" i="12"/>
  <c r="EO22" i="12"/>
  <c r="EP22" i="12"/>
  <c r="EQ22" i="12"/>
  <c r="H21" i="5" s="1"/>
  <c r="EL24" i="12"/>
  <c r="EM24" i="12"/>
  <c r="EN24" i="12"/>
  <c r="EO24" i="12"/>
  <c r="EP24" i="12"/>
  <c r="EQ24" i="12"/>
  <c r="H22" i="5" s="1"/>
  <c r="EL25" i="12"/>
  <c r="EM25" i="12"/>
  <c r="EN25" i="12"/>
  <c r="EO25" i="12"/>
  <c r="EP25" i="12"/>
  <c r="EQ25" i="12"/>
  <c r="H23" i="5" s="1"/>
  <c r="EL26" i="12"/>
  <c r="EM26" i="12"/>
  <c r="EN26" i="12"/>
  <c r="EO26" i="12"/>
  <c r="EP26" i="12"/>
  <c r="EQ26" i="12"/>
  <c r="H24" i="5" s="1"/>
  <c r="EL27" i="12"/>
  <c r="EM27" i="12"/>
  <c r="EN27" i="12"/>
  <c r="EO27" i="12"/>
  <c r="EP27" i="12"/>
  <c r="EQ27" i="12"/>
  <c r="H25" i="5" s="1"/>
  <c r="EL29" i="12"/>
  <c r="EM29" i="12"/>
  <c r="EN29" i="12"/>
  <c r="EO29" i="12"/>
  <c r="EP29" i="12"/>
  <c r="EQ29" i="12"/>
  <c r="H26" i="5" s="1"/>
  <c r="EL30" i="12"/>
  <c r="EM30" i="12"/>
  <c r="EN30" i="12"/>
  <c r="EO30" i="12"/>
  <c r="EP30" i="12"/>
  <c r="EQ30" i="12"/>
  <c r="H27" i="5" s="1"/>
  <c r="EL31" i="12"/>
  <c r="EM31" i="12"/>
  <c r="EN31" i="12"/>
  <c r="EO31" i="12"/>
  <c r="EP31" i="12"/>
  <c r="EQ31" i="12"/>
  <c r="H28" i="5" s="1"/>
  <c r="EL33" i="12"/>
  <c r="EM33" i="12"/>
  <c r="EN33" i="12"/>
  <c r="EO33" i="12"/>
  <c r="EP33" i="12"/>
  <c r="EQ33" i="12"/>
  <c r="H29" i="5" s="1"/>
  <c r="EL34" i="12"/>
  <c r="EM34" i="12"/>
  <c r="EN34" i="12"/>
  <c r="EO34" i="12"/>
  <c r="EP34" i="12"/>
  <c r="EQ34" i="12"/>
  <c r="H30" i="5" s="1"/>
  <c r="EL35" i="12"/>
  <c r="EM35" i="12"/>
  <c r="EN35" i="12"/>
  <c r="EO35" i="12"/>
  <c r="EP35" i="12"/>
  <c r="EQ35" i="12"/>
  <c r="H31" i="5" s="1"/>
  <c r="EL36" i="12"/>
  <c r="EM36" i="12"/>
  <c r="EN36" i="12"/>
  <c r="EO36" i="12"/>
  <c r="EP36" i="12"/>
  <c r="EQ36" i="12"/>
  <c r="H32" i="5" s="1"/>
  <c r="EL46" i="12"/>
  <c r="EM46" i="12"/>
  <c r="EN46" i="12"/>
  <c r="EO46" i="12"/>
  <c r="EP46" i="12"/>
  <c r="EQ46" i="12"/>
  <c r="EL47" i="12"/>
  <c r="EM47" i="12"/>
  <c r="EN47" i="12"/>
  <c r="EO47" i="12"/>
  <c r="EP47" i="12"/>
  <c r="EQ47" i="12"/>
  <c r="EL48" i="12"/>
  <c r="EM48" i="12"/>
  <c r="EN48" i="12"/>
  <c r="EO48" i="12"/>
  <c r="EP48" i="12"/>
  <c r="EQ48" i="12"/>
  <c r="EL49" i="12"/>
  <c r="EM49" i="12"/>
  <c r="EN49" i="12"/>
  <c r="EO49" i="12"/>
  <c r="EP49" i="12"/>
  <c r="EQ49" i="12"/>
  <c r="EL50" i="12"/>
  <c r="EM50" i="12"/>
  <c r="EN50" i="12"/>
  <c r="EO50" i="12"/>
  <c r="EP50" i="12"/>
  <c r="EQ50" i="12"/>
  <c r="EL51" i="12"/>
  <c r="EM51" i="12"/>
  <c r="EN51" i="12"/>
  <c r="EO51" i="12"/>
  <c r="EP51" i="12"/>
  <c r="EQ51" i="12"/>
  <c r="EL52" i="12"/>
  <c r="EM52" i="12"/>
  <c r="EN52" i="12"/>
  <c r="EO52" i="12"/>
  <c r="EP52" i="12"/>
  <c r="EQ52" i="12"/>
  <c r="EL53" i="12"/>
  <c r="EM53" i="12"/>
  <c r="EN53" i="12"/>
  <c r="EO53" i="12"/>
  <c r="EP53" i="12"/>
  <c r="EQ53" i="12"/>
  <c r="EL54" i="12"/>
  <c r="EM54" i="12"/>
  <c r="EN54" i="12"/>
  <c r="EO54" i="12"/>
  <c r="EP54" i="12"/>
  <c r="EQ54" i="12"/>
  <c r="EL55" i="12"/>
  <c r="EM55" i="12"/>
  <c r="EN55" i="12"/>
  <c r="EO55" i="12"/>
  <c r="EP55" i="12"/>
  <c r="EQ55" i="12"/>
  <c r="EL56" i="12"/>
  <c r="EM56" i="12"/>
  <c r="EN56" i="12"/>
  <c r="EO56" i="12"/>
  <c r="EP56" i="12"/>
  <c r="EQ56" i="12"/>
  <c r="EL57" i="12"/>
  <c r="EM57" i="12"/>
  <c r="EN57" i="12"/>
  <c r="EO57" i="12"/>
  <c r="EP57" i="12"/>
  <c r="EQ57" i="12"/>
  <c r="EL58" i="12"/>
  <c r="EM58" i="12"/>
  <c r="EN58" i="12"/>
  <c r="EO58" i="12"/>
  <c r="EP58" i="12"/>
  <c r="EQ58" i="12"/>
  <c r="EL59" i="12"/>
  <c r="EM59" i="12"/>
  <c r="EN59" i="12"/>
  <c r="EO59" i="12"/>
  <c r="EP59" i="12"/>
  <c r="EQ59" i="12"/>
  <c r="EL60" i="12"/>
  <c r="EM60" i="12"/>
  <c r="EN60" i="12"/>
  <c r="EO60" i="12"/>
  <c r="EP60" i="12"/>
  <c r="EQ60" i="12"/>
  <c r="EL62" i="12"/>
  <c r="EM62" i="12"/>
  <c r="EN62" i="12"/>
  <c r="EO62" i="12"/>
  <c r="EP62" i="12"/>
  <c r="EQ62" i="12"/>
  <c r="EL63" i="12"/>
  <c r="EM63" i="12"/>
  <c r="EN63" i="12"/>
  <c r="EO63" i="12"/>
  <c r="EP63" i="12"/>
  <c r="EQ63" i="12"/>
  <c r="EL65" i="12"/>
  <c r="EM65" i="12"/>
  <c r="EN65" i="12"/>
  <c r="EO65" i="12"/>
  <c r="EP65" i="12"/>
  <c r="EQ65" i="12"/>
  <c r="EL66" i="12"/>
  <c r="EM66" i="12"/>
  <c r="EN66" i="12"/>
  <c r="EO66" i="12"/>
  <c r="EP66" i="12"/>
  <c r="EQ66" i="12"/>
  <c r="EL67" i="12"/>
  <c r="EM67" i="12"/>
  <c r="EN67" i="12"/>
  <c r="EO67" i="12"/>
  <c r="EP67" i="12"/>
  <c r="EQ67" i="12"/>
  <c r="EL68" i="12"/>
  <c r="EM68" i="12"/>
  <c r="EN68" i="12"/>
  <c r="EO68" i="12"/>
  <c r="EP68" i="12"/>
  <c r="EQ68" i="12"/>
  <c r="EL70" i="12"/>
  <c r="EM70" i="12"/>
  <c r="EN70" i="12"/>
  <c r="EO70" i="12"/>
  <c r="EP70" i="12"/>
  <c r="EQ70" i="12"/>
  <c r="EL71" i="12"/>
  <c r="EM71" i="12"/>
  <c r="EN71" i="12"/>
  <c r="EO71" i="12"/>
  <c r="EP71" i="12"/>
  <c r="EQ71" i="12"/>
  <c r="EL72" i="12"/>
  <c r="EM72" i="12"/>
  <c r="EN72" i="12"/>
  <c r="EO72" i="12"/>
  <c r="EP72" i="12"/>
  <c r="EQ72" i="12"/>
  <c r="EL74" i="12"/>
  <c r="EM74" i="12"/>
  <c r="EN74" i="12"/>
  <c r="EO74" i="12"/>
  <c r="EP74" i="12"/>
  <c r="EQ74" i="12"/>
  <c r="EL75" i="12"/>
  <c r="EM75" i="12"/>
  <c r="EN75" i="12"/>
  <c r="EO75" i="12"/>
  <c r="EP75" i="12"/>
  <c r="EQ75" i="12"/>
  <c r="EL76" i="12"/>
  <c r="EM76" i="12"/>
  <c r="EN76" i="12"/>
  <c r="EO76" i="12"/>
  <c r="EP76" i="12"/>
  <c r="EQ76" i="12"/>
  <c r="EL77" i="12"/>
  <c r="EM77" i="12"/>
  <c r="EN77" i="12"/>
  <c r="EO77" i="12"/>
  <c r="EP77" i="12"/>
  <c r="EQ77" i="12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G63" i="21"/>
  <c r="BH63" i="21"/>
  <c r="BI63" i="21"/>
  <c r="BJ63" i="21"/>
  <c r="BK63" i="21"/>
  <c r="BL63" i="21"/>
  <c r="BM63" i="21"/>
  <c r="BN63" i="21"/>
  <c r="BO63" i="21"/>
  <c r="BP63" i="21"/>
  <c r="BQ63" i="21"/>
  <c r="BR63" i="21"/>
  <c r="BS63" i="21"/>
  <c r="BT63" i="21"/>
  <c r="BU63" i="21"/>
  <c r="BV63" i="21"/>
  <c r="BW63" i="21"/>
  <c r="BX63" i="21"/>
  <c r="BY63" i="21"/>
  <c r="BZ63" i="21"/>
  <c r="CA63" i="21"/>
  <c r="CB63" i="21"/>
  <c r="CC63" i="21"/>
  <c r="CD63" i="21"/>
  <c r="CE63" i="21"/>
  <c r="CF63" i="21"/>
  <c r="CG63" i="21"/>
  <c r="CH63" i="21"/>
  <c r="CI63" i="21"/>
  <c r="CJ63" i="21"/>
  <c r="CK63" i="21"/>
  <c r="CL63" i="21"/>
  <c r="CM63" i="21"/>
  <c r="CN63" i="21"/>
  <c r="CO63" i="21"/>
  <c r="CP63" i="21"/>
  <c r="CQ63" i="21"/>
  <c r="BN47" i="21"/>
  <c r="BO47" i="21"/>
  <c r="BP47" i="21"/>
  <c r="BQ47" i="21"/>
  <c r="BR47" i="21"/>
  <c r="BS47" i="21"/>
  <c r="BT47" i="21"/>
  <c r="BU47" i="21"/>
  <c r="BV47" i="21"/>
  <c r="BW47" i="21"/>
  <c r="BX47" i="21"/>
  <c r="BY47" i="21"/>
  <c r="BZ47" i="21"/>
  <c r="CA47" i="21"/>
  <c r="CB47" i="21"/>
  <c r="CC47" i="21"/>
  <c r="CD47" i="21"/>
  <c r="CE47" i="21"/>
  <c r="CF47" i="21"/>
  <c r="CG47" i="21"/>
  <c r="CH47" i="21"/>
  <c r="CI47" i="21"/>
  <c r="CJ47" i="21"/>
  <c r="CK47" i="21"/>
  <c r="CL47" i="21"/>
  <c r="CM47" i="21"/>
  <c r="CN47" i="21"/>
  <c r="CO47" i="21"/>
  <c r="CP47" i="21"/>
  <c r="CQ47" i="21"/>
  <c r="CQ5" i="21"/>
  <c r="CQ6" i="21"/>
  <c r="CQ7" i="21"/>
  <c r="CQ8" i="21"/>
  <c r="CQ9" i="21"/>
  <c r="CQ10" i="21"/>
  <c r="CQ11" i="21"/>
  <c r="CQ12" i="21"/>
  <c r="CQ13" i="21"/>
  <c r="CQ14" i="21"/>
  <c r="CQ15" i="21"/>
  <c r="CQ16" i="21"/>
  <c r="CQ17" i="21"/>
  <c r="CQ18" i="21"/>
  <c r="CQ19" i="21"/>
  <c r="CQ21" i="21"/>
  <c r="CQ22" i="21"/>
  <c r="CQ23" i="21"/>
  <c r="CQ24" i="21"/>
  <c r="CQ25" i="21"/>
  <c r="CQ26" i="21"/>
  <c r="CQ27" i="21"/>
  <c r="CQ28" i="21"/>
  <c r="CQ29" i="21"/>
  <c r="CQ30" i="21"/>
  <c r="CQ31" i="21"/>
  <c r="CQ32" i="21"/>
  <c r="CQ33" i="21"/>
  <c r="CQ34" i="21"/>
  <c r="CQ35" i="21"/>
  <c r="CQ36" i="21"/>
  <c r="CQ37" i="21"/>
  <c r="CQ41" i="21"/>
  <c r="CQ48" i="21"/>
  <c r="CQ49" i="21"/>
  <c r="CQ50" i="21"/>
  <c r="CQ51" i="21"/>
  <c r="CQ52" i="21"/>
  <c r="CQ53" i="21"/>
  <c r="CQ54" i="21"/>
  <c r="CQ55" i="21"/>
  <c r="CQ56" i="21"/>
  <c r="CQ57" i="21"/>
  <c r="CQ64" i="21"/>
  <c r="CQ65" i="21"/>
  <c r="CQ66" i="21"/>
  <c r="CQ67" i="21"/>
  <c r="CQ68" i="21"/>
  <c r="CQ69" i="21"/>
  <c r="CQ70" i="21"/>
  <c r="CQ71" i="21"/>
  <c r="CQ72" i="21"/>
  <c r="CQ73" i="21"/>
  <c r="CQ74" i="21"/>
  <c r="CP5" i="21"/>
  <c r="CP6" i="21"/>
  <c r="CP7" i="21"/>
  <c r="CP8" i="21"/>
  <c r="CP9" i="21"/>
  <c r="CP10" i="21"/>
  <c r="CP11" i="21"/>
  <c r="CP12" i="21"/>
  <c r="CP13" i="21"/>
  <c r="CP14" i="21"/>
  <c r="CP15" i="21"/>
  <c r="CP16" i="21"/>
  <c r="CP17" i="21"/>
  <c r="CP18" i="21"/>
  <c r="CP19" i="21"/>
  <c r="CP21" i="21"/>
  <c r="CP22" i="21"/>
  <c r="CP23" i="21"/>
  <c r="CP24" i="21"/>
  <c r="CP25" i="21"/>
  <c r="CP26" i="21"/>
  <c r="CP27" i="21"/>
  <c r="CP28" i="21"/>
  <c r="CP29" i="21"/>
  <c r="CP30" i="21"/>
  <c r="CP31" i="21"/>
  <c r="CP32" i="21"/>
  <c r="CP33" i="21"/>
  <c r="CP34" i="21"/>
  <c r="CP35" i="21"/>
  <c r="CP36" i="21"/>
  <c r="CP37" i="21"/>
  <c r="CP41" i="21"/>
  <c r="CP48" i="21"/>
  <c r="CP49" i="21"/>
  <c r="CP50" i="21"/>
  <c r="CP51" i="21"/>
  <c r="CP52" i="21"/>
  <c r="CP53" i="21"/>
  <c r="CP54" i="21"/>
  <c r="CP55" i="21"/>
  <c r="CP56" i="21"/>
  <c r="CP57" i="21"/>
  <c r="CP64" i="21"/>
  <c r="CP65" i="21"/>
  <c r="CP66" i="21"/>
  <c r="CP67" i="21"/>
  <c r="CP68" i="21"/>
  <c r="CP69" i="21"/>
  <c r="CP70" i="21"/>
  <c r="CP71" i="21"/>
  <c r="CP72" i="21"/>
  <c r="CP73" i="21"/>
  <c r="CP74" i="21"/>
  <c r="M58" i="27" l="1"/>
  <c r="K58" i="27"/>
  <c r="I58" i="27"/>
  <c r="G58" i="27"/>
  <c r="E58" i="27"/>
  <c r="N58" i="27"/>
  <c r="L58" i="27"/>
  <c r="J58" i="27"/>
  <c r="H58" i="27"/>
  <c r="F58" i="27"/>
  <c r="D58" i="27"/>
  <c r="CQ42" i="21"/>
  <c r="CZ4" i="24"/>
  <c r="CZ3" i="24"/>
  <c r="DE4" i="24"/>
  <c r="H7" i="5"/>
  <c r="DD4" i="24"/>
  <c r="DD3" i="24"/>
  <c r="H19" i="5"/>
  <c r="DE3" i="24"/>
  <c r="H13" i="5"/>
  <c r="DC4" i="24"/>
  <c r="DC3" i="24"/>
  <c r="DB4" i="24"/>
  <c r="DB3" i="24"/>
  <c r="DA4" i="24"/>
  <c r="DA3" i="24"/>
  <c r="FB80" i="12"/>
  <c r="FC79" i="12"/>
  <c r="FC80" i="12"/>
  <c r="FB81" i="12"/>
  <c r="FB79" i="12"/>
  <c r="FC81" i="12"/>
  <c r="CR58" i="21"/>
  <c r="CP112" i="20"/>
  <c r="CP128" i="20" s="1"/>
  <c r="CP106" i="20"/>
  <c r="CP75" i="20"/>
  <c r="CP63" i="20"/>
  <c r="CP56" i="20"/>
  <c r="CP50" i="20"/>
  <c r="CP57" i="20"/>
  <c r="FA81" i="12"/>
  <c r="FA80" i="12"/>
  <c r="FA79" i="12"/>
  <c r="CP111" i="20"/>
  <c r="CP105" i="20"/>
  <c r="CP74" i="20"/>
  <c r="CP68" i="20"/>
  <c r="CP62" i="20"/>
  <c r="CP55" i="20"/>
  <c r="CP49" i="20"/>
  <c r="CP51" i="20"/>
  <c r="EZ81" i="12"/>
  <c r="EZ80" i="12"/>
  <c r="EZ79" i="12"/>
  <c r="CP110" i="20"/>
  <c r="CP104" i="20"/>
  <c r="CP120" i="20" s="1"/>
  <c r="CP67" i="20"/>
  <c r="CP60" i="20"/>
  <c r="CP54" i="20"/>
  <c r="CP48" i="20"/>
  <c r="CP76" i="20"/>
  <c r="EY81" i="12"/>
  <c r="EY80" i="12"/>
  <c r="EY79" i="12"/>
  <c r="CP109" i="20"/>
  <c r="CP103" i="20"/>
  <c r="CP72" i="20"/>
  <c r="CP66" i="20"/>
  <c r="CP59" i="20"/>
  <c r="CP53" i="20"/>
  <c r="CP47" i="20"/>
  <c r="CP107" i="20"/>
  <c r="CP123" i="20" s="1"/>
  <c r="EX81" i="12"/>
  <c r="EX80" i="12"/>
  <c r="EX79" i="12"/>
  <c r="CP108" i="20"/>
  <c r="CP77" i="20"/>
  <c r="CP71" i="20"/>
  <c r="CP130" i="20" s="1"/>
  <c r="CP65" i="20"/>
  <c r="CP58" i="20"/>
  <c r="CP52" i="20"/>
  <c r="CP46" i="20"/>
  <c r="CP113" i="20"/>
  <c r="CP70" i="20"/>
  <c r="CP58" i="21"/>
  <c r="CQ58" i="21"/>
  <c r="CP42" i="21"/>
  <c r="CP38" i="21"/>
  <c r="CQ40" i="21"/>
  <c r="CP40" i="21"/>
  <c r="CQ39" i="21"/>
  <c r="CP39" i="21"/>
  <c r="CQ38" i="21"/>
  <c r="EK60" i="12"/>
  <c r="CG46" i="12"/>
  <c r="CH46" i="12"/>
  <c r="CI46" i="12"/>
  <c r="CJ46" i="12"/>
  <c r="CK46" i="12"/>
  <c r="CL46" i="12"/>
  <c r="CM46" i="12"/>
  <c r="CN46" i="12"/>
  <c r="CO46" i="12"/>
  <c r="CP46" i="12"/>
  <c r="CQ46" i="12"/>
  <c r="CR46" i="12"/>
  <c r="CS46" i="12"/>
  <c r="CT46" i="12"/>
  <c r="CU46" i="12"/>
  <c r="CV46" i="12"/>
  <c r="CW46" i="12"/>
  <c r="CX46" i="12"/>
  <c r="CY46" i="12"/>
  <c r="CZ46" i="12"/>
  <c r="DA46" i="12"/>
  <c r="DB46" i="12"/>
  <c r="DC46" i="12"/>
  <c r="DD46" i="12"/>
  <c r="DE46" i="12"/>
  <c r="DF46" i="12"/>
  <c r="DG46" i="12"/>
  <c r="DH46" i="12"/>
  <c r="DI46" i="12"/>
  <c r="DJ46" i="12"/>
  <c r="DK46" i="12"/>
  <c r="DL46" i="12"/>
  <c r="DM46" i="12"/>
  <c r="DN46" i="12"/>
  <c r="DO46" i="12"/>
  <c r="DP46" i="12"/>
  <c r="DQ46" i="12"/>
  <c r="DR46" i="12"/>
  <c r="DS46" i="12"/>
  <c r="DT46" i="12"/>
  <c r="DU46" i="12"/>
  <c r="DV46" i="12"/>
  <c r="DW46" i="12"/>
  <c r="DX46" i="12"/>
  <c r="DY46" i="12"/>
  <c r="DZ46" i="12"/>
  <c r="EA46" i="12"/>
  <c r="EB46" i="12"/>
  <c r="EC46" i="12"/>
  <c r="ED46" i="12"/>
  <c r="EE46" i="12"/>
  <c r="EF46" i="12"/>
  <c r="EG46" i="12"/>
  <c r="EH46" i="12"/>
  <c r="EI46" i="12"/>
  <c r="EJ46" i="12"/>
  <c r="EK46" i="12"/>
  <c r="CG47" i="12"/>
  <c r="CH47" i="12"/>
  <c r="CI47" i="12"/>
  <c r="CJ47" i="12"/>
  <c r="CK47" i="12"/>
  <c r="CL47" i="12"/>
  <c r="CM47" i="12"/>
  <c r="CN47" i="12"/>
  <c r="CO47" i="12"/>
  <c r="CP47" i="12"/>
  <c r="CQ47" i="12"/>
  <c r="CR47" i="12"/>
  <c r="CS47" i="12"/>
  <c r="CT47" i="12"/>
  <c r="CU47" i="12"/>
  <c r="CV47" i="12"/>
  <c r="CW47" i="12"/>
  <c r="CX47" i="12"/>
  <c r="CY47" i="12"/>
  <c r="CZ47" i="12"/>
  <c r="DA47" i="12"/>
  <c r="DB47" i="12"/>
  <c r="DC47" i="12"/>
  <c r="DD47" i="12"/>
  <c r="DE47" i="12"/>
  <c r="DF47" i="12"/>
  <c r="DG47" i="12"/>
  <c r="DH47" i="12"/>
  <c r="DI47" i="12"/>
  <c r="DJ47" i="12"/>
  <c r="DK47" i="12"/>
  <c r="DL47" i="12"/>
  <c r="DM47" i="12"/>
  <c r="DN47" i="12"/>
  <c r="DO47" i="12"/>
  <c r="DP47" i="12"/>
  <c r="DQ47" i="12"/>
  <c r="DR47" i="12"/>
  <c r="DS47" i="12"/>
  <c r="DT47" i="12"/>
  <c r="DU47" i="12"/>
  <c r="DV47" i="12"/>
  <c r="DW47" i="12"/>
  <c r="DX47" i="12"/>
  <c r="DY47" i="12"/>
  <c r="DZ47" i="12"/>
  <c r="EA47" i="12"/>
  <c r="EB47" i="12"/>
  <c r="EC47" i="12"/>
  <c r="ED47" i="12"/>
  <c r="EE47" i="12"/>
  <c r="EF47" i="12"/>
  <c r="EG47" i="12"/>
  <c r="EH47" i="12"/>
  <c r="EI47" i="12"/>
  <c r="EJ47" i="12"/>
  <c r="EK47" i="12"/>
  <c r="CG48" i="12"/>
  <c r="CH48" i="12"/>
  <c r="CI48" i="12"/>
  <c r="CJ48" i="12"/>
  <c r="CK48" i="12"/>
  <c r="CL48" i="12"/>
  <c r="CM48" i="12"/>
  <c r="CN48" i="12"/>
  <c r="CO48" i="12"/>
  <c r="CP48" i="12"/>
  <c r="CQ48" i="12"/>
  <c r="CR48" i="12"/>
  <c r="CS48" i="12"/>
  <c r="CT48" i="12"/>
  <c r="CU48" i="12"/>
  <c r="CV48" i="12"/>
  <c r="CW48" i="12"/>
  <c r="CX48" i="12"/>
  <c r="CY48" i="12"/>
  <c r="CZ48" i="12"/>
  <c r="DA48" i="12"/>
  <c r="DB48" i="12"/>
  <c r="DC48" i="12"/>
  <c r="DD48" i="12"/>
  <c r="DE48" i="12"/>
  <c r="DF48" i="12"/>
  <c r="DG48" i="12"/>
  <c r="DH48" i="12"/>
  <c r="DI48" i="12"/>
  <c r="DJ48" i="12"/>
  <c r="DK48" i="12"/>
  <c r="DL48" i="12"/>
  <c r="DM48" i="12"/>
  <c r="DN48" i="12"/>
  <c r="DO48" i="12"/>
  <c r="DP48" i="12"/>
  <c r="DQ48" i="12"/>
  <c r="DR48" i="12"/>
  <c r="DS48" i="12"/>
  <c r="DT48" i="12"/>
  <c r="DU48" i="12"/>
  <c r="DV48" i="12"/>
  <c r="DW48" i="12"/>
  <c r="DX48" i="12"/>
  <c r="DY48" i="12"/>
  <c r="DZ48" i="12"/>
  <c r="EA48" i="12"/>
  <c r="EB48" i="12"/>
  <c r="EC48" i="12"/>
  <c r="ED48" i="12"/>
  <c r="EE48" i="12"/>
  <c r="EF48" i="12"/>
  <c r="EG48" i="12"/>
  <c r="EH48" i="12"/>
  <c r="EI48" i="12"/>
  <c r="EJ48" i="12"/>
  <c r="EK48" i="12"/>
  <c r="CG49" i="12"/>
  <c r="CH49" i="12"/>
  <c r="CI49" i="12"/>
  <c r="CJ49" i="12"/>
  <c r="CK49" i="12"/>
  <c r="CL49" i="12"/>
  <c r="CM49" i="12"/>
  <c r="CN49" i="12"/>
  <c r="CO49" i="12"/>
  <c r="CP49" i="12"/>
  <c r="CQ49" i="12"/>
  <c r="CR49" i="12"/>
  <c r="CS49" i="12"/>
  <c r="CT49" i="12"/>
  <c r="CU49" i="12"/>
  <c r="CV49" i="12"/>
  <c r="CW49" i="12"/>
  <c r="CX49" i="12"/>
  <c r="CY49" i="12"/>
  <c r="CZ49" i="12"/>
  <c r="DA49" i="12"/>
  <c r="DB49" i="12"/>
  <c r="DC49" i="12"/>
  <c r="DD49" i="12"/>
  <c r="DE49" i="12"/>
  <c r="DF49" i="12"/>
  <c r="DG49" i="12"/>
  <c r="DH49" i="12"/>
  <c r="DI49" i="12"/>
  <c r="DJ49" i="12"/>
  <c r="DK49" i="12"/>
  <c r="DL49" i="12"/>
  <c r="DM49" i="12"/>
  <c r="DN49" i="12"/>
  <c r="DO49" i="12"/>
  <c r="DP49" i="12"/>
  <c r="DQ49" i="12"/>
  <c r="DR49" i="12"/>
  <c r="DS49" i="12"/>
  <c r="DT49" i="12"/>
  <c r="DU49" i="12"/>
  <c r="DV49" i="12"/>
  <c r="DW49" i="12"/>
  <c r="DX49" i="12"/>
  <c r="DY49" i="12"/>
  <c r="DZ49" i="12"/>
  <c r="EA49" i="12"/>
  <c r="EB49" i="12"/>
  <c r="EC49" i="12"/>
  <c r="ED49" i="12"/>
  <c r="EE49" i="12"/>
  <c r="EF49" i="12"/>
  <c r="EG49" i="12"/>
  <c r="EH49" i="12"/>
  <c r="EI49" i="12"/>
  <c r="EJ49" i="12"/>
  <c r="EK49" i="12"/>
  <c r="CG50" i="12"/>
  <c r="CH50" i="12"/>
  <c r="CI50" i="12"/>
  <c r="CJ50" i="12"/>
  <c r="CK50" i="12"/>
  <c r="CL50" i="12"/>
  <c r="CM50" i="12"/>
  <c r="CN50" i="12"/>
  <c r="CO50" i="12"/>
  <c r="CP50" i="12"/>
  <c r="CQ50" i="12"/>
  <c r="CR50" i="12"/>
  <c r="CS50" i="12"/>
  <c r="CT50" i="12"/>
  <c r="CU50" i="12"/>
  <c r="CV50" i="12"/>
  <c r="CW50" i="12"/>
  <c r="CX50" i="12"/>
  <c r="CY50" i="12"/>
  <c r="CZ50" i="12"/>
  <c r="DA50" i="12"/>
  <c r="DB50" i="12"/>
  <c r="DC50" i="12"/>
  <c r="DD50" i="12"/>
  <c r="DE50" i="12"/>
  <c r="DF50" i="12"/>
  <c r="DG50" i="12"/>
  <c r="DH50" i="12"/>
  <c r="DI50" i="12"/>
  <c r="DJ50" i="12"/>
  <c r="DK50" i="12"/>
  <c r="DL50" i="12"/>
  <c r="DM50" i="12"/>
  <c r="DN50" i="12"/>
  <c r="DO50" i="12"/>
  <c r="DP50" i="12"/>
  <c r="DQ50" i="12"/>
  <c r="DR50" i="12"/>
  <c r="DS50" i="12"/>
  <c r="DT50" i="12"/>
  <c r="DU50" i="12"/>
  <c r="DV50" i="12"/>
  <c r="DW50" i="12"/>
  <c r="DX50" i="12"/>
  <c r="DY50" i="12"/>
  <c r="DZ50" i="12"/>
  <c r="EA50" i="12"/>
  <c r="EB50" i="12"/>
  <c r="EC50" i="12"/>
  <c r="ED50" i="12"/>
  <c r="EE50" i="12"/>
  <c r="EF50" i="12"/>
  <c r="EG50" i="12"/>
  <c r="EH50" i="12"/>
  <c r="EI50" i="12"/>
  <c r="EJ50" i="12"/>
  <c r="EK50" i="12"/>
  <c r="CG51" i="12"/>
  <c r="CH51" i="12"/>
  <c r="CI51" i="12"/>
  <c r="CJ51" i="12"/>
  <c r="CK51" i="12"/>
  <c r="CL51" i="12"/>
  <c r="CM51" i="12"/>
  <c r="CN51" i="12"/>
  <c r="CO51" i="12"/>
  <c r="CP51" i="12"/>
  <c r="CQ51" i="12"/>
  <c r="CR51" i="12"/>
  <c r="CS51" i="12"/>
  <c r="CT51" i="12"/>
  <c r="CU51" i="12"/>
  <c r="CV51" i="12"/>
  <c r="CW51" i="12"/>
  <c r="CX51" i="12"/>
  <c r="CY51" i="12"/>
  <c r="CZ51" i="12"/>
  <c r="DA51" i="12"/>
  <c r="DB51" i="12"/>
  <c r="DC51" i="12"/>
  <c r="DD51" i="12"/>
  <c r="DE51" i="12"/>
  <c r="DF51" i="12"/>
  <c r="DG51" i="12"/>
  <c r="DH51" i="12"/>
  <c r="DI51" i="12"/>
  <c r="DJ51" i="12"/>
  <c r="DK51" i="12"/>
  <c r="DL51" i="12"/>
  <c r="DM51" i="12"/>
  <c r="DN51" i="12"/>
  <c r="DO51" i="12"/>
  <c r="DP51" i="12"/>
  <c r="DQ51" i="12"/>
  <c r="DR51" i="12"/>
  <c r="DS51" i="12"/>
  <c r="DT51" i="12"/>
  <c r="DU51" i="12"/>
  <c r="DV51" i="12"/>
  <c r="DW51" i="12"/>
  <c r="DX51" i="12"/>
  <c r="DY51" i="12"/>
  <c r="DZ51" i="12"/>
  <c r="EA51" i="12"/>
  <c r="EB51" i="12"/>
  <c r="EC51" i="12"/>
  <c r="ED51" i="12"/>
  <c r="EE51" i="12"/>
  <c r="EF51" i="12"/>
  <c r="EG51" i="12"/>
  <c r="EH51" i="12"/>
  <c r="EI51" i="12"/>
  <c r="EJ51" i="12"/>
  <c r="EK51" i="12"/>
  <c r="CG52" i="12"/>
  <c r="CH52" i="12"/>
  <c r="CI52" i="12"/>
  <c r="CJ52" i="12"/>
  <c r="CK52" i="12"/>
  <c r="CL52" i="12"/>
  <c r="CM52" i="12"/>
  <c r="CN52" i="12"/>
  <c r="CO52" i="12"/>
  <c r="CP52" i="12"/>
  <c r="CQ52" i="12"/>
  <c r="CR52" i="12"/>
  <c r="CS52" i="12"/>
  <c r="CT52" i="12"/>
  <c r="CU52" i="12"/>
  <c r="CV52" i="12"/>
  <c r="CW52" i="12"/>
  <c r="CX52" i="12"/>
  <c r="CY52" i="12"/>
  <c r="CZ52" i="12"/>
  <c r="DA52" i="12"/>
  <c r="DB52" i="12"/>
  <c r="DC52" i="12"/>
  <c r="DD52" i="12"/>
  <c r="DE52" i="12"/>
  <c r="DF52" i="12"/>
  <c r="DG52" i="12"/>
  <c r="DH52" i="12"/>
  <c r="DI52" i="12"/>
  <c r="DJ52" i="12"/>
  <c r="DK52" i="12"/>
  <c r="DL52" i="12"/>
  <c r="DM52" i="12"/>
  <c r="DN52" i="12"/>
  <c r="DO52" i="12"/>
  <c r="DP52" i="12"/>
  <c r="DQ52" i="12"/>
  <c r="DR52" i="12"/>
  <c r="DS52" i="12"/>
  <c r="DT52" i="12"/>
  <c r="DU52" i="12"/>
  <c r="DV52" i="12"/>
  <c r="DW52" i="12"/>
  <c r="DX52" i="12"/>
  <c r="DY52" i="12"/>
  <c r="DZ52" i="12"/>
  <c r="EA52" i="12"/>
  <c r="EB52" i="12"/>
  <c r="EC52" i="12"/>
  <c r="ED52" i="12"/>
  <c r="EE52" i="12"/>
  <c r="EF52" i="12"/>
  <c r="EG52" i="12"/>
  <c r="EH52" i="12"/>
  <c r="EI52" i="12"/>
  <c r="EJ52" i="12"/>
  <c r="EK52" i="12"/>
  <c r="CG53" i="12"/>
  <c r="CH53" i="12"/>
  <c r="CI53" i="12"/>
  <c r="CJ53" i="12"/>
  <c r="CK53" i="12"/>
  <c r="CL53" i="12"/>
  <c r="CM53" i="12"/>
  <c r="CN53" i="12"/>
  <c r="CO53" i="12"/>
  <c r="CP53" i="12"/>
  <c r="CQ53" i="12"/>
  <c r="CR53" i="12"/>
  <c r="CS53" i="12"/>
  <c r="CT53" i="12"/>
  <c r="CU53" i="12"/>
  <c r="CV53" i="12"/>
  <c r="CW53" i="12"/>
  <c r="CX53" i="12"/>
  <c r="CY53" i="12"/>
  <c r="CZ53" i="12"/>
  <c r="DA53" i="12"/>
  <c r="DB53" i="12"/>
  <c r="DC53" i="12"/>
  <c r="DD53" i="12"/>
  <c r="DE53" i="12"/>
  <c r="DF53" i="12"/>
  <c r="DG53" i="12"/>
  <c r="DH53" i="12"/>
  <c r="DI53" i="12"/>
  <c r="DJ53" i="12"/>
  <c r="DK53" i="12"/>
  <c r="DL53" i="12"/>
  <c r="DM53" i="12"/>
  <c r="DN53" i="12"/>
  <c r="DO53" i="12"/>
  <c r="DP53" i="12"/>
  <c r="DQ53" i="12"/>
  <c r="DR53" i="12"/>
  <c r="DS53" i="12"/>
  <c r="DT53" i="12"/>
  <c r="DU53" i="12"/>
  <c r="DV53" i="12"/>
  <c r="DW53" i="12"/>
  <c r="DX53" i="12"/>
  <c r="DY53" i="12"/>
  <c r="DZ53" i="12"/>
  <c r="EA53" i="12"/>
  <c r="EB53" i="12"/>
  <c r="EC53" i="12"/>
  <c r="ED53" i="12"/>
  <c r="EE53" i="12"/>
  <c r="EF53" i="12"/>
  <c r="EG53" i="12"/>
  <c r="EH53" i="12"/>
  <c r="EI53" i="12"/>
  <c r="EJ53" i="12"/>
  <c r="EK53" i="12"/>
  <c r="CG54" i="12"/>
  <c r="CH54" i="12"/>
  <c r="CI54" i="12"/>
  <c r="CJ54" i="12"/>
  <c r="CK54" i="12"/>
  <c r="CL54" i="12"/>
  <c r="CM54" i="12"/>
  <c r="CN54" i="12"/>
  <c r="CO54" i="12"/>
  <c r="CP54" i="12"/>
  <c r="CQ54" i="12"/>
  <c r="CR54" i="12"/>
  <c r="CS54" i="12"/>
  <c r="CT54" i="12"/>
  <c r="CU54" i="12"/>
  <c r="CV54" i="12"/>
  <c r="CW54" i="12"/>
  <c r="CX54" i="12"/>
  <c r="CY54" i="12"/>
  <c r="CZ54" i="12"/>
  <c r="DA54" i="12"/>
  <c r="DB54" i="12"/>
  <c r="DC54" i="12"/>
  <c r="DD54" i="12"/>
  <c r="DE54" i="12"/>
  <c r="DF54" i="12"/>
  <c r="DG54" i="12"/>
  <c r="DH54" i="12"/>
  <c r="DI54" i="12"/>
  <c r="DJ54" i="12"/>
  <c r="DK54" i="12"/>
  <c r="DL54" i="12"/>
  <c r="DM54" i="12"/>
  <c r="DN54" i="12"/>
  <c r="DO54" i="12"/>
  <c r="DP54" i="12"/>
  <c r="DQ54" i="12"/>
  <c r="DR54" i="12"/>
  <c r="DS54" i="12"/>
  <c r="DT54" i="12"/>
  <c r="DU54" i="12"/>
  <c r="DV54" i="12"/>
  <c r="DW54" i="12"/>
  <c r="DX54" i="12"/>
  <c r="DY54" i="12"/>
  <c r="DZ54" i="12"/>
  <c r="EA54" i="12"/>
  <c r="EB54" i="12"/>
  <c r="EC54" i="12"/>
  <c r="ED54" i="12"/>
  <c r="EE54" i="12"/>
  <c r="EF54" i="12"/>
  <c r="EG54" i="12"/>
  <c r="EH54" i="12"/>
  <c r="EI54" i="12"/>
  <c r="EJ54" i="12"/>
  <c r="EK54" i="12"/>
  <c r="CG55" i="12"/>
  <c r="CH55" i="12"/>
  <c r="CI55" i="12"/>
  <c r="CJ55" i="12"/>
  <c r="CK55" i="12"/>
  <c r="CL55" i="12"/>
  <c r="CM55" i="12"/>
  <c r="CN55" i="12"/>
  <c r="CO55" i="12"/>
  <c r="CP55" i="12"/>
  <c r="CQ55" i="12"/>
  <c r="CR55" i="12"/>
  <c r="CS55" i="12"/>
  <c r="CT55" i="12"/>
  <c r="CU55" i="12"/>
  <c r="CV55" i="12"/>
  <c r="CW55" i="12"/>
  <c r="CX55" i="12"/>
  <c r="CY55" i="12"/>
  <c r="CZ55" i="12"/>
  <c r="DA55" i="12"/>
  <c r="DB55" i="12"/>
  <c r="DC55" i="12"/>
  <c r="DD55" i="12"/>
  <c r="DE55" i="12"/>
  <c r="DF55" i="12"/>
  <c r="DG55" i="12"/>
  <c r="DH55" i="12"/>
  <c r="DI55" i="12"/>
  <c r="DJ55" i="12"/>
  <c r="DK55" i="12"/>
  <c r="DL55" i="12"/>
  <c r="DM55" i="12"/>
  <c r="DN55" i="12"/>
  <c r="DO55" i="12"/>
  <c r="DP55" i="12"/>
  <c r="DQ55" i="12"/>
  <c r="DR55" i="12"/>
  <c r="DS55" i="12"/>
  <c r="DT55" i="12"/>
  <c r="DU55" i="12"/>
  <c r="DV55" i="12"/>
  <c r="DW55" i="12"/>
  <c r="DX55" i="12"/>
  <c r="DY55" i="12"/>
  <c r="DZ55" i="12"/>
  <c r="EA55" i="12"/>
  <c r="EB55" i="12"/>
  <c r="EC55" i="12"/>
  <c r="ED55" i="12"/>
  <c r="EE55" i="12"/>
  <c r="EF55" i="12"/>
  <c r="EG55" i="12"/>
  <c r="EH55" i="12"/>
  <c r="EI55" i="12"/>
  <c r="EJ55" i="12"/>
  <c r="EK55" i="12"/>
  <c r="CG56" i="12"/>
  <c r="CH56" i="12"/>
  <c r="CI56" i="12"/>
  <c r="CJ56" i="12"/>
  <c r="CK56" i="12"/>
  <c r="CL56" i="12"/>
  <c r="CM56" i="12"/>
  <c r="CN56" i="12"/>
  <c r="CO56" i="12"/>
  <c r="CP56" i="12"/>
  <c r="CQ56" i="12"/>
  <c r="CR56" i="12"/>
  <c r="CS56" i="12"/>
  <c r="CT56" i="12"/>
  <c r="CU56" i="12"/>
  <c r="CV56" i="12"/>
  <c r="CW56" i="12"/>
  <c r="CX56" i="12"/>
  <c r="CY56" i="12"/>
  <c r="CZ56" i="12"/>
  <c r="DA56" i="12"/>
  <c r="DB56" i="12"/>
  <c r="DC56" i="12"/>
  <c r="DD56" i="12"/>
  <c r="DE56" i="12"/>
  <c r="DF56" i="12"/>
  <c r="DG56" i="12"/>
  <c r="DH56" i="12"/>
  <c r="DI56" i="12"/>
  <c r="DJ56" i="12"/>
  <c r="DK56" i="12"/>
  <c r="DL56" i="12"/>
  <c r="DM56" i="12"/>
  <c r="DN56" i="12"/>
  <c r="DO56" i="12"/>
  <c r="DP56" i="12"/>
  <c r="DQ56" i="12"/>
  <c r="DR56" i="12"/>
  <c r="DS56" i="12"/>
  <c r="DT56" i="12"/>
  <c r="DU56" i="12"/>
  <c r="DV56" i="12"/>
  <c r="DW56" i="12"/>
  <c r="DX56" i="12"/>
  <c r="DY56" i="12"/>
  <c r="DZ56" i="12"/>
  <c r="EA56" i="12"/>
  <c r="EB56" i="12"/>
  <c r="EC56" i="12"/>
  <c r="ED56" i="12"/>
  <c r="EE56" i="12"/>
  <c r="EF56" i="12"/>
  <c r="EG56" i="12"/>
  <c r="EH56" i="12"/>
  <c r="EI56" i="12"/>
  <c r="EJ56" i="12"/>
  <c r="EK56" i="12"/>
  <c r="CG57" i="12"/>
  <c r="CH57" i="12"/>
  <c r="CI57" i="12"/>
  <c r="CJ57" i="12"/>
  <c r="CK57" i="12"/>
  <c r="CL57" i="12"/>
  <c r="CM57" i="12"/>
  <c r="CN57" i="12"/>
  <c r="CO57" i="12"/>
  <c r="CP57" i="12"/>
  <c r="CQ57" i="12"/>
  <c r="CR57" i="12"/>
  <c r="CS57" i="12"/>
  <c r="CT57" i="12"/>
  <c r="CU57" i="12"/>
  <c r="CV57" i="12"/>
  <c r="CW57" i="12"/>
  <c r="CX57" i="12"/>
  <c r="CY57" i="12"/>
  <c r="CZ57" i="12"/>
  <c r="DA57" i="12"/>
  <c r="DB57" i="12"/>
  <c r="DC57" i="12"/>
  <c r="DD57" i="12"/>
  <c r="DE57" i="12"/>
  <c r="DF57" i="12"/>
  <c r="DG57" i="12"/>
  <c r="DH57" i="12"/>
  <c r="DI57" i="12"/>
  <c r="DJ57" i="12"/>
  <c r="DK57" i="12"/>
  <c r="DL57" i="12"/>
  <c r="DM57" i="12"/>
  <c r="DN57" i="12"/>
  <c r="DO57" i="12"/>
  <c r="DP57" i="12"/>
  <c r="DQ57" i="12"/>
  <c r="DR57" i="12"/>
  <c r="DS57" i="12"/>
  <c r="DT57" i="12"/>
  <c r="DU57" i="12"/>
  <c r="DV57" i="12"/>
  <c r="DW57" i="12"/>
  <c r="DX57" i="12"/>
  <c r="DY57" i="12"/>
  <c r="DZ57" i="12"/>
  <c r="EA57" i="12"/>
  <c r="EB57" i="12"/>
  <c r="EC57" i="12"/>
  <c r="ED57" i="12"/>
  <c r="EE57" i="12"/>
  <c r="EF57" i="12"/>
  <c r="EG57" i="12"/>
  <c r="EH57" i="12"/>
  <c r="EI57" i="12"/>
  <c r="EJ57" i="12"/>
  <c r="EK57" i="12"/>
  <c r="CG58" i="12"/>
  <c r="CH58" i="12"/>
  <c r="CI58" i="12"/>
  <c r="CJ58" i="12"/>
  <c r="CK58" i="12"/>
  <c r="CL58" i="12"/>
  <c r="CM58" i="12"/>
  <c r="CN58" i="12"/>
  <c r="CO58" i="12"/>
  <c r="CP58" i="12"/>
  <c r="CQ58" i="12"/>
  <c r="CR58" i="12"/>
  <c r="CS58" i="12"/>
  <c r="CT58" i="12"/>
  <c r="CU58" i="12"/>
  <c r="CV58" i="12"/>
  <c r="CW58" i="12"/>
  <c r="CX58" i="12"/>
  <c r="CY58" i="12"/>
  <c r="CZ58" i="12"/>
  <c r="DA58" i="12"/>
  <c r="DB58" i="12"/>
  <c r="DC58" i="12"/>
  <c r="DD58" i="12"/>
  <c r="DE58" i="12"/>
  <c r="DF58" i="12"/>
  <c r="DG58" i="12"/>
  <c r="DH58" i="12"/>
  <c r="DI58" i="12"/>
  <c r="DJ58" i="12"/>
  <c r="DK58" i="12"/>
  <c r="DL58" i="12"/>
  <c r="DM58" i="12"/>
  <c r="DN58" i="12"/>
  <c r="DO58" i="12"/>
  <c r="DP58" i="12"/>
  <c r="DQ58" i="12"/>
  <c r="DR58" i="12"/>
  <c r="DS58" i="12"/>
  <c r="DT58" i="12"/>
  <c r="DU58" i="12"/>
  <c r="DV58" i="12"/>
  <c r="DW58" i="12"/>
  <c r="DX58" i="12"/>
  <c r="DY58" i="12"/>
  <c r="DZ58" i="12"/>
  <c r="EA58" i="12"/>
  <c r="EB58" i="12"/>
  <c r="EC58" i="12"/>
  <c r="ED58" i="12"/>
  <c r="EE58" i="12"/>
  <c r="EF58" i="12"/>
  <c r="EG58" i="12"/>
  <c r="EH58" i="12"/>
  <c r="EI58" i="12"/>
  <c r="EJ58" i="12"/>
  <c r="EK58" i="12"/>
  <c r="CG59" i="12"/>
  <c r="CH59" i="12"/>
  <c r="CI59" i="12"/>
  <c r="CJ59" i="12"/>
  <c r="CK59" i="12"/>
  <c r="CL59" i="12"/>
  <c r="CM59" i="12"/>
  <c r="CN59" i="12"/>
  <c r="CO59" i="12"/>
  <c r="CP59" i="12"/>
  <c r="CQ59" i="12"/>
  <c r="CR59" i="12"/>
  <c r="CS59" i="12"/>
  <c r="CT59" i="12"/>
  <c r="CU59" i="12"/>
  <c r="CV59" i="12"/>
  <c r="CW59" i="12"/>
  <c r="CX59" i="12"/>
  <c r="CY59" i="12"/>
  <c r="CZ59" i="12"/>
  <c r="DA59" i="12"/>
  <c r="DB59" i="12"/>
  <c r="DC59" i="12"/>
  <c r="DD59" i="12"/>
  <c r="DE59" i="12"/>
  <c r="DF59" i="12"/>
  <c r="DG59" i="12"/>
  <c r="DH59" i="12"/>
  <c r="DI59" i="12"/>
  <c r="DJ59" i="12"/>
  <c r="DK59" i="12"/>
  <c r="DL59" i="12"/>
  <c r="DM59" i="12"/>
  <c r="DN59" i="12"/>
  <c r="DO59" i="12"/>
  <c r="DP59" i="12"/>
  <c r="DQ59" i="12"/>
  <c r="DR59" i="12"/>
  <c r="DS59" i="12"/>
  <c r="DT59" i="12"/>
  <c r="DU59" i="12"/>
  <c r="DV59" i="12"/>
  <c r="DW59" i="12"/>
  <c r="DX59" i="12"/>
  <c r="DY59" i="12"/>
  <c r="DZ59" i="12"/>
  <c r="EA59" i="12"/>
  <c r="EB59" i="12"/>
  <c r="EC59" i="12"/>
  <c r="ED59" i="12"/>
  <c r="EE59" i="12"/>
  <c r="EF59" i="12"/>
  <c r="EG59" i="12"/>
  <c r="EH59" i="12"/>
  <c r="EI59" i="12"/>
  <c r="EJ59" i="12"/>
  <c r="EK59" i="12"/>
  <c r="CG60" i="12"/>
  <c r="CH60" i="12"/>
  <c r="CI60" i="12"/>
  <c r="CJ60" i="12"/>
  <c r="CK60" i="12"/>
  <c r="CL60" i="12"/>
  <c r="CM60" i="12"/>
  <c r="CN60" i="12"/>
  <c r="CO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B60" i="12"/>
  <c r="DC60" i="12"/>
  <c r="DD60" i="12"/>
  <c r="DE60" i="12"/>
  <c r="DF60" i="12"/>
  <c r="DG60" i="12"/>
  <c r="DH60" i="12"/>
  <c r="DI60" i="12"/>
  <c r="DJ60" i="12"/>
  <c r="DK60" i="12"/>
  <c r="DL60" i="12"/>
  <c r="DM60" i="12"/>
  <c r="DN60" i="12"/>
  <c r="DO60" i="12"/>
  <c r="DP60" i="12"/>
  <c r="DQ60" i="12"/>
  <c r="DR60" i="12"/>
  <c r="DS60" i="12"/>
  <c r="DT60" i="12"/>
  <c r="DU60" i="12"/>
  <c r="DV60" i="12"/>
  <c r="DW60" i="12"/>
  <c r="DX60" i="12"/>
  <c r="DY60" i="12"/>
  <c r="DZ60" i="12"/>
  <c r="EA60" i="12"/>
  <c r="EB60" i="12"/>
  <c r="EC60" i="12"/>
  <c r="ED60" i="12"/>
  <c r="EE60" i="12"/>
  <c r="EF60" i="12"/>
  <c r="EG60" i="12"/>
  <c r="EH60" i="12"/>
  <c r="EI60" i="12"/>
  <c r="EJ60" i="12"/>
  <c r="CG62" i="12"/>
  <c r="CH62" i="12"/>
  <c r="CI62" i="12"/>
  <c r="CJ62" i="12"/>
  <c r="CK62" i="12"/>
  <c r="CL62" i="12"/>
  <c r="CM62" i="12"/>
  <c r="CN62" i="12"/>
  <c r="CO62" i="12"/>
  <c r="CP62" i="12"/>
  <c r="CQ62" i="12"/>
  <c r="CR62" i="12"/>
  <c r="CS62" i="12"/>
  <c r="CT62" i="12"/>
  <c r="CU62" i="12"/>
  <c r="CV62" i="12"/>
  <c r="CW62" i="12"/>
  <c r="CX62" i="12"/>
  <c r="CY62" i="12"/>
  <c r="CZ62" i="12"/>
  <c r="DA62" i="12"/>
  <c r="DB62" i="12"/>
  <c r="DC62" i="12"/>
  <c r="DD62" i="12"/>
  <c r="DE62" i="12"/>
  <c r="DF62" i="12"/>
  <c r="DG62" i="12"/>
  <c r="DH62" i="12"/>
  <c r="DI62" i="12"/>
  <c r="DJ62" i="12"/>
  <c r="DK62" i="12"/>
  <c r="DL62" i="12"/>
  <c r="DM62" i="12"/>
  <c r="DN62" i="12"/>
  <c r="DO62" i="12"/>
  <c r="DP62" i="12"/>
  <c r="DQ62" i="12"/>
  <c r="DR62" i="12"/>
  <c r="DS62" i="12"/>
  <c r="DT62" i="12"/>
  <c r="DU62" i="12"/>
  <c r="DV62" i="12"/>
  <c r="DW62" i="12"/>
  <c r="DX62" i="12"/>
  <c r="DY62" i="12"/>
  <c r="DZ62" i="12"/>
  <c r="EA62" i="12"/>
  <c r="EB62" i="12"/>
  <c r="EC62" i="12"/>
  <c r="ED62" i="12"/>
  <c r="EE62" i="12"/>
  <c r="EF62" i="12"/>
  <c r="EG62" i="12"/>
  <c r="EH62" i="12"/>
  <c r="EI62" i="12"/>
  <c r="EJ62" i="12"/>
  <c r="EK62" i="12"/>
  <c r="CG63" i="12"/>
  <c r="CH63" i="12"/>
  <c r="CI63" i="12"/>
  <c r="CJ63" i="12"/>
  <c r="CK63" i="12"/>
  <c r="CL63" i="12"/>
  <c r="CM63" i="12"/>
  <c r="CN63" i="12"/>
  <c r="CO63" i="12"/>
  <c r="CP63" i="12"/>
  <c r="CQ63" i="12"/>
  <c r="CR63" i="12"/>
  <c r="CS63" i="12"/>
  <c r="CT63" i="12"/>
  <c r="CU63" i="12"/>
  <c r="CV63" i="12"/>
  <c r="CW63" i="12"/>
  <c r="CX63" i="12"/>
  <c r="CY63" i="12"/>
  <c r="CZ63" i="12"/>
  <c r="DA63" i="12"/>
  <c r="DB63" i="12"/>
  <c r="DC63" i="12"/>
  <c r="DD63" i="12"/>
  <c r="DE63" i="12"/>
  <c r="DF63" i="12"/>
  <c r="DG63" i="12"/>
  <c r="DH63" i="12"/>
  <c r="DI63" i="12"/>
  <c r="DJ63" i="12"/>
  <c r="DK63" i="12"/>
  <c r="DL63" i="12"/>
  <c r="DM63" i="12"/>
  <c r="DN63" i="12"/>
  <c r="DO63" i="12"/>
  <c r="DP63" i="12"/>
  <c r="DQ63" i="12"/>
  <c r="DR63" i="12"/>
  <c r="DS63" i="12"/>
  <c r="DT63" i="12"/>
  <c r="DU63" i="12"/>
  <c r="DV63" i="12"/>
  <c r="DW63" i="12"/>
  <c r="DX63" i="12"/>
  <c r="DY63" i="12"/>
  <c r="DZ63" i="12"/>
  <c r="EA63" i="12"/>
  <c r="EB63" i="12"/>
  <c r="EC63" i="12"/>
  <c r="ED63" i="12"/>
  <c r="EE63" i="12"/>
  <c r="EF63" i="12"/>
  <c r="EG63" i="12"/>
  <c r="EH63" i="12"/>
  <c r="EI63" i="12"/>
  <c r="EJ63" i="12"/>
  <c r="EK63" i="12"/>
  <c r="CG65" i="12"/>
  <c r="CH65" i="12"/>
  <c r="CI65" i="12"/>
  <c r="CJ65" i="12"/>
  <c r="CK65" i="12"/>
  <c r="CL65" i="12"/>
  <c r="CM65" i="12"/>
  <c r="CN65" i="12"/>
  <c r="CO65" i="12"/>
  <c r="CP65" i="12"/>
  <c r="CQ65" i="12"/>
  <c r="CR65" i="12"/>
  <c r="CS65" i="12"/>
  <c r="CT65" i="12"/>
  <c r="CU65" i="12"/>
  <c r="CV65" i="12"/>
  <c r="CW65" i="12"/>
  <c r="CX65" i="12"/>
  <c r="CY65" i="12"/>
  <c r="CZ65" i="12"/>
  <c r="DA65" i="12"/>
  <c r="DB65" i="12"/>
  <c r="DC65" i="12"/>
  <c r="DD65" i="12"/>
  <c r="DE65" i="12"/>
  <c r="DF65" i="12"/>
  <c r="DG65" i="12"/>
  <c r="DH65" i="12"/>
  <c r="DI65" i="12"/>
  <c r="DJ65" i="12"/>
  <c r="DK65" i="12"/>
  <c r="DL65" i="12"/>
  <c r="DM65" i="12"/>
  <c r="DN65" i="12"/>
  <c r="DO65" i="12"/>
  <c r="DP65" i="12"/>
  <c r="DQ65" i="12"/>
  <c r="DR65" i="12"/>
  <c r="DS65" i="12"/>
  <c r="DT65" i="12"/>
  <c r="DU65" i="12"/>
  <c r="DV65" i="12"/>
  <c r="DW65" i="12"/>
  <c r="DX65" i="12"/>
  <c r="DY65" i="12"/>
  <c r="DZ65" i="12"/>
  <c r="EA65" i="12"/>
  <c r="EB65" i="12"/>
  <c r="EC65" i="12"/>
  <c r="ED65" i="12"/>
  <c r="EE65" i="12"/>
  <c r="EF65" i="12"/>
  <c r="EG65" i="12"/>
  <c r="EH65" i="12"/>
  <c r="EI65" i="12"/>
  <c r="EJ65" i="12"/>
  <c r="EK65" i="12"/>
  <c r="CG66" i="12"/>
  <c r="CH66" i="12"/>
  <c r="CI66" i="12"/>
  <c r="CJ66" i="12"/>
  <c r="CK66" i="12"/>
  <c r="CL66" i="12"/>
  <c r="CM66" i="12"/>
  <c r="CN66" i="12"/>
  <c r="CO66" i="12"/>
  <c r="CP66" i="12"/>
  <c r="CQ66" i="12"/>
  <c r="CR66" i="12"/>
  <c r="CS66" i="12"/>
  <c r="CT66" i="12"/>
  <c r="CU66" i="12"/>
  <c r="CV66" i="12"/>
  <c r="CW66" i="12"/>
  <c r="CX66" i="12"/>
  <c r="CY66" i="12"/>
  <c r="CZ66" i="12"/>
  <c r="DA66" i="12"/>
  <c r="DB66" i="12"/>
  <c r="DC66" i="12"/>
  <c r="DD66" i="12"/>
  <c r="DE66" i="12"/>
  <c r="DF66" i="12"/>
  <c r="DG66" i="12"/>
  <c r="DH66" i="12"/>
  <c r="DI66" i="12"/>
  <c r="DJ66" i="12"/>
  <c r="DK66" i="12"/>
  <c r="DL66" i="12"/>
  <c r="DM66" i="12"/>
  <c r="DN66" i="12"/>
  <c r="DO66" i="12"/>
  <c r="DP66" i="12"/>
  <c r="DQ66" i="12"/>
  <c r="DR66" i="12"/>
  <c r="DS66" i="12"/>
  <c r="DT66" i="12"/>
  <c r="DU66" i="12"/>
  <c r="DV66" i="12"/>
  <c r="DW66" i="12"/>
  <c r="DX66" i="12"/>
  <c r="DY66" i="12"/>
  <c r="DZ66" i="12"/>
  <c r="EA66" i="12"/>
  <c r="EB66" i="12"/>
  <c r="EC66" i="12"/>
  <c r="ED66" i="12"/>
  <c r="EE66" i="12"/>
  <c r="EF66" i="12"/>
  <c r="EG66" i="12"/>
  <c r="EH66" i="12"/>
  <c r="EI66" i="12"/>
  <c r="EJ66" i="12"/>
  <c r="EK66" i="12"/>
  <c r="CG67" i="12"/>
  <c r="CH67" i="12"/>
  <c r="CI67" i="12"/>
  <c r="CJ67" i="12"/>
  <c r="CK67" i="12"/>
  <c r="CL67" i="12"/>
  <c r="CM67" i="12"/>
  <c r="CN67" i="12"/>
  <c r="CO67" i="12"/>
  <c r="CP67" i="12"/>
  <c r="CQ67" i="12"/>
  <c r="CR67" i="12"/>
  <c r="CS67" i="12"/>
  <c r="CT67" i="12"/>
  <c r="CU67" i="12"/>
  <c r="CV67" i="12"/>
  <c r="CW67" i="12"/>
  <c r="CX67" i="12"/>
  <c r="CY67" i="12"/>
  <c r="CZ67" i="12"/>
  <c r="DA67" i="12"/>
  <c r="DB67" i="12"/>
  <c r="DC67" i="12"/>
  <c r="DD67" i="12"/>
  <c r="DE67" i="12"/>
  <c r="DF67" i="12"/>
  <c r="DG67" i="12"/>
  <c r="DH67" i="12"/>
  <c r="DI67" i="12"/>
  <c r="DJ67" i="12"/>
  <c r="DK67" i="12"/>
  <c r="DL67" i="12"/>
  <c r="DM67" i="12"/>
  <c r="DN67" i="12"/>
  <c r="DO67" i="12"/>
  <c r="DP67" i="12"/>
  <c r="DQ67" i="12"/>
  <c r="DR67" i="12"/>
  <c r="DS67" i="12"/>
  <c r="DT67" i="12"/>
  <c r="DU67" i="12"/>
  <c r="DV67" i="12"/>
  <c r="DW67" i="12"/>
  <c r="DX67" i="12"/>
  <c r="DY67" i="12"/>
  <c r="DZ67" i="12"/>
  <c r="EA67" i="12"/>
  <c r="EB67" i="12"/>
  <c r="EC67" i="12"/>
  <c r="ED67" i="12"/>
  <c r="EE67" i="12"/>
  <c r="EF67" i="12"/>
  <c r="EG67" i="12"/>
  <c r="EH67" i="12"/>
  <c r="EI67" i="12"/>
  <c r="EJ67" i="12"/>
  <c r="EK67" i="12"/>
  <c r="CG68" i="12"/>
  <c r="CH68" i="12"/>
  <c r="CI68" i="12"/>
  <c r="CJ68" i="12"/>
  <c r="CK68" i="12"/>
  <c r="CL68" i="12"/>
  <c r="CM68" i="12"/>
  <c r="CN68" i="12"/>
  <c r="CO68" i="12"/>
  <c r="CP68" i="12"/>
  <c r="CQ68" i="12"/>
  <c r="CR68" i="12"/>
  <c r="CS68" i="12"/>
  <c r="CT68" i="12"/>
  <c r="CU68" i="12"/>
  <c r="CV68" i="12"/>
  <c r="CW68" i="12"/>
  <c r="CX68" i="12"/>
  <c r="CY68" i="12"/>
  <c r="CZ68" i="12"/>
  <c r="DA68" i="12"/>
  <c r="DB68" i="12"/>
  <c r="DC68" i="12"/>
  <c r="DD68" i="12"/>
  <c r="DE68" i="12"/>
  <c r="DF68" i="12"/>
  <c r="DG68" i="12"/>
  <c r="DH68" i="12"/>
  <c r="DI68" i="12"/>
  <c r="DJ68" i="12"/>
  <c r="DK68" i="12"/>
  <c r="DL68" i="12"/>
  <c r="DM68" i="12"/>
  <c r="DN68" i="12"/>
  <c r="DO68" i="12"/>
  <c r="DP68" i="12"/>
  <c r="DQ68" i="12"/>
  <c r="DR68" i="12"/>
  <c r="DS68" i="12"/>
  <c r="DT68" i="12"/>
  <c r="DU68" i="12"/>
  <c r="DV68" i="12"/>
  <c r="DW68" i="12"/>
  <c r="DX68" i="12"/>
  <c r="DY68" i="12"/>
  <c r="DZ68" i="12"/>
  <c r="EA68" i="12"/>
  <c r="EB68" i="12"/>
  <c r="EC68" i="12"/>
  <c r="ED68" i="12"/>
  <c r="EE68" i="12"/>
  <c r="EF68" i="12"/>
  <c r="EG68" i="12"/>
  <c r="EH68" i="12"/>
  <c r="EI68" i="12"/>
  <c r="EJ68" i="12"/>
  <c r="EK68" i="12"/>
  <c r="CG70" i="12"/>
  <c r="CH70" i="12"/>
  <c r="CI70" i="12"/>
  <c r="CJ70" i="12"/>
  <c r="CK70" i="12"/>
  <c r="CL70" i="12"/>
  <c r="CM70" i="12"/>
  <c r="CN70" i="12"/>
  <c r="CO70" i="12"/>
  <c r="CP70" i="12"/>
  <c r="CQ70" i="12"/>
  <c r="CR70" i="12"/>
  <c r="CS70" i="12"/>
  <c r="CT70" i="12"/>
  <c r="CU70" i="12"/>
  <c r="CV70" i="12"/>
  <c r="CW70" i="12"/>
  <c r="CX70" i="12"/>
  <c r="CY70" i="12"/>
  <c r="CZ70" i="12"/>
  <c r="DA70" i="12"/>
  <c r="DB70" i="12"/>
  <c r="DC70" i="12"/>
  <c r="DD70" i="12"/>
  <c r="DE70" i="12"/>
  <c r="DF70" i="12"/>
  <c r="DG70" i="12"/>
  <c r="DH70" i="12"/>
  <c r="DI70" i="12"/>
  <c r="DJ70" i="12"/>
  <c r="DK70" i="12"/>
  <c r="DL70" i="12"/>
  <c r="DM70" i="12"/>
  <c r="DN70" i="12"/>
  <c r="DO70" i="12"/>
  <c r="DP70" i="12"/>
  <c r="DQ70" i="12"/>
  <c r="DR70" i="12"/>
  <c r="DS70" i="12"/>
  <c r="DT70" i="12"/>
  <c r="DU70" i="12"/>
  <c r="DV70" i="12"/>
  <c r="DW70" i="12"/>
  <c r="DX70" i="12"/>
  <c r="DY70" i="12"/>
  <c r="DZ70" i="12"/>
  <c r="EA70" i="12"/>
  <c r="EB70" i="12"/>
  <c r="EC70" i="12"/>
  <c r="ED70" i="12"/>
  <c r="EE70" i="12"/>
  <c r="EF70" i="12"/>
  <c r="EG70" i="12"/>
  <c r="EH70" i="12"/>
  <c r="EI70" i="12"/>
  <c r="EJ70" i="12"/>
  <c r="EK70" i="12"/>
  <c r="CG71" i="12"/>
  <c r="CH71" i="12"/>
  <c r="CI71" i="12"/>
  <c r="CJ71" i="12"/>
  <c r="CK71" i="12"/>
  <c r="CL71" i="12"/>
  <c r="CM71" i="12"/>
  <c r="CN71" i="12"/>
  <c r="CO71" i="12"/>
  <c r="CP71" i="12"/>
  <c r="CQ71" i="12"/>
  <c r="CR71" i="12"/>
  <c r="CS71" i="12"/>
  <c r="CT71" i="12"/>
  <c r="CU71" i="12"/>
  <c r="CV71" i="12"/>
  <c r="CW71" i="12"/>
  <c r="CX71" i="12"/>
  <c r="CY71" i="12"/>
  <c r="CZ71" i="12"/>
  <c r="DA71" i="12"/>
  <c r="DB71" i="12"/>
  <c r="DC71" i="12"/>
  <c r="DD71" i="12"/>
  <c r="DE71" i="12"/>
  <c r="DF71" i="12"/>
  <c r="DG71" i="12"/>
  <c r="DH71" i="12"/>
  <c r="DI71" i="12"/>
  <c r="DJ71" i="12"/>
  <c r="DK71" i="12"/>
  <c r="DL71" i="12"/>
  <c r="DM71" i="12"/>
  <c r="DN71" i="12"/>
  <c r="DO71" i="12"/>
  <c r="DP71" i="12"/>
  <c r="DQ71" i="12"/>
  <c r="DR71" i="12"/>
  <c r="DS71" i="12"/>
  <c r="DT71" i="12"/>
  <c r="DU71" i="12"/>
  <c r="DV71" i="12"/>
  <c r="DW71" i="12"/>
  <c r="DX71" i="12"/>
  <c r="DY71" i="12"/>
  <c r="DZ71" i="12"/>
  <c r="EA71" i="12"/>
  <c r="EB71" i="12"/>
  <c r="EC71" i="12"/>
  <c r="ED71" i="12"/>
  <c r="EE71" i="12"/>
  <c r="EF71" i="12"/>
  <c r="EG71" i="12"/>
  <c r="EH71" i="12"/>
  <c r="EI71" i="12"/>
  <c r="EJ71" i="12"/>
  <c r="EK71" i="12"/>
  <c r="CG72" i="12"/>
  <c r="CH72" i="12"/>
  <c r="CI72" i="12"/>
  <c r="CJ72" i="12"/>
  <c r="CK72" i="12"/>
  <c r="CL72" i="12"/>
  <c r="CM72" i="12"/>
  <c r="CN72" i="12"/>
  <c r="CO72" i="12"/>
  <c r="CP72" i="12"/>
  <c r="CQ72" i="12"/>
  <c r="CR72" i="12"/>
  <c r="CS72" i="12"/>
  <c r="CT72" i="12"/>
  <c r="CU72" i="12"/>
  <c r="CV72" i="12"/>
  <c r="CW72" i="12"/>
  <c r="CX72" i="12"/>
  <c r="CY72" i="12"/>
  <c r="CZ72" i="12"/>
  <c r="DA72" i="12"/>
  <c r="DB72" i="12"/>
  <c r="DC72" i="12"/>
  <c r="DD72" i="12"/>
  <c r="DE72" i="12"/>
  <c r="DF72" i="12"/>
  <c r="DG72" i="12"/>
  <c r="DH72" i="12"/>
  <c r="DI72" i="12"/>
  <c r="DJ72" i="12"/>
  <c r="DK72" i="12"/>
  <c r="DL72" i="12"/>
  <c r="DM72" i="12"/>
  <c r="DN72" i="12"/>
  <c r="DO72" i="12"/>
  <c r="DP72" i="12"/>
  <c r="DQ72" i="12"/>
  <c r="DR72" i="12"/>
  <c r="DS72" i="12"/>
  <c r="DT72" i="12"/>
  <c r="DU72" i="12"/>
  <c r="DV72" i="12"/>
  <c r="DW72" i="12"/>
  <c r="DX72" i="12"/>
  <c r="DY72" i="12"/>
  <c r="DZ72" i="12"/>
  <c r="EA72" i="12"/>
  <c r="EB72" i="12"/>
  <c r="EC72" i="12"/>
  <c r="ED72" i="12"/>
  <c r="EE72" i="12"/>
  <c r="EF72" i="12"/>
  <c r="EG72" i="12"/>
  <c r="EH72" i="12"/>
  <c r="EI72" i="12"/>
  <c r="EJ72" i="12"/>
  <c r="EK72" i="12"/>
  <c r="CG74" i="12"/>
  <c r="CH74" i="12"/>
  <c r="CI74" i="12"/>
  <c r="CJ74" i="12"/>
  <c r="CK74" i="12"/>
  <c r="CL74" i="12"/>
  <c r="CM74" i="12"/>
  <c r="CN74" i="12"/>
  <c r="CO74" i="12"/>
  <c r="CP74" i="12"/>
  <c r="CQ74" i="12"/>
  <c r="CR74" i="12"/>
  <c r="CS74" i="12"/>
  <c r="CT74" i="12"/>
  <c r="CU74" i="12"/>
  <c r="CV74" i="12"/>
  <c r="CW74" i="12"/>
  <c r="CX74" i="12"/>
  <c r="CY74" i="12"/>
  <c r="CZ74" i="12"/>
  <c r="DA74" i="12"/>
  <c r="DB74" i="12"/>
  <c r="DC74" i="12"/>
  <c r="DD74" i="12"/>
  <c r="DE74" i="12"/>
  <c r="DF74" i="12"/>
  <c r="DG74" i="12"/>
  <c r="DH74" i="12"/>
  <c r="DI74" i="12"/>
  <c r="DJ74" i="12"/>
  <c r="DK74" i="12"/>
  <c r="DL74" i="12"/>
  <c r="DM74" i="12"/>
  <c r="DN74" i="12"/>
  <c r="DO74" i="12"/>
  <c r="DP74" i="12"/>
  <c r="DQ74" i="12"/>
  <c r="DR74" i="12"/>
  <c r="DS74" i="12"/>
  <c r="DT74" i="12"/>
  <c r="DU74" i="12"/>
  <c r="DV74" i="12"/>
  <c r="DW74" i="12"/>
  <c r="DX74" i="12"/>
  <c r="DY74" i="12"/>
  <c r="DZ74" i="12"/>
  <c r="EA74" i="12"/>
  <c r="EB74" i="12"/>
  <c r="EC74" i="12"/>
  <c r="ED74" i="12"/>
  <c r="EE74" i="12"/>
  <c r="EF74" i="12"/>
  <c r="EG74" i="12"/>
  <c r="EH74" i="12"/>
  <c r="EI74" i="12"/>
  <c r="EJ74" i="12"/>
  <c r="EK74" i="12"/>
  <c r="CG75" i="12"/>
  <c r="CH75" i="12"/>
  <c r="CI75" i="12"/>
  <c r="CJ75" i="12"/>
  <c r="CK75" i="12"/>
  <c r="CL75" i="12"/>
  <c r="CM75" i="12"/>
  <c r="CN75" i="12"/>
  <c r="CO75" i="12"/>
  <c r="CP75" i="12"/>
  <c r="CQ75" i="12"/>
  <c r="CR75" i="12"/>
  <c r="CS75" i="12"/>
  <c r="CT75" i="12"/>
  <c r="CU75" i="12"/>
  <c r="CV75" i="12"/>
  <c r="CW75" i="12"/>
  <c r="CX75" i="12"/>
  <c r="CY75" i="12"/>
  <c r="CZ75" i="12"/>
  <c r="DA75" i="12"/>
  <c r="DB75" i="12"/>
  <c r="DC75" i="12"/>
  <c r="DD75" i="12"/>
  <c r="DE75" i="12"/>
  <c r="DF75" i="12"/>
  <c r="DG75" i="12"/>
  <c r="DH75" i="12"/>
  <c r="DI75" i="12"/>
  <c r="DJ75" i="12"/>
  <c r="DK75" i="12"/>
  <c r="DL75" i="12"/>
  <c r="DM75" i="12"/>
  <c r="DN75" i="12"/>
  <c r="DO75" i="12"/>
  <c r="DP75" i="12"/>
  <c r="DQ75" i="12"/>
  <c r="DR75" i="12"/>
  <c r="DS75" i="12"/>
  <c r="DT75" i="12"/>
  <c r="DU75" i="12"/>
  <c r="DV75" i="12"/>
  <c r="DW75" i="12"/>
  <c r="DX75" i="12"/>
  <c r="DY75" i="12"/>
  <c r="DZ75" i="12"/>
  <c r="EA75" i="12"/>
  <c r="EB75" i="12"/>
  <c r="EC75" i="12"/>
  <c r="ED75" i="12"/>
  <c r="EE75" i="12"/>
  <c r="EF75" i="12"/>
  <c r="EG75" i="12"/>
  <c r="EH75" i="12"/>
  <c r="EI75" i="12"/>
  <c r="EJ75" i="12"/>
  <c r="EK75" i="12"/>
  <c r="CG76" i="12"/>
  <c r="CH76" i="12"/>
  <c r="CI76" i="12"/>
  <c r="CJ76" i="12"/>
  <c r="CK76" i="12"/>
  <c r="CL76" i="12"/>
  <c r="CM76" i="12"/>
  <c r="CN76" i="12"/>
  <c r="CO76" i="12"/>
  <c r="CP76" i="12"/>
  <c r="CQ76" i="12"/>
  <c r="CR76" i="12"/>
  <c r="CS76" i="12"/>
  <c r="CT76" i="12"/>
  <c r="CU76" i="12"/>
  <c r="CV76" i="12"/>
  <c r="CW76" i="12"/>
  <c r="CX76" i="12"/>
  <c r="CY76" i="12"/>
  <c r="CZ76" i="12"/>
  <c r="DA76" i="12"/>
  <c r="DB76" i="12"/>
  <c r="DC76" i="12"/>
  <c r="DD76" i="12"/>
  <c r="DE76" i="12"/>
  <c r="DF76" i="12"/>
  <c r="DG76" i="12"/>
  <c r="DH76" i="12"/>
  <c r="DI76" i="12"/>
  <c r="DJ76" i="12"/>
  <c r="DK76" i="12"/>
  <c r="DL76" i="12"/>
  <c r="DM76" i="12"/>
  <c r="DN76" i="12"/>
  <c r="DO76" i="12"/>
  <c r="DP76" i="12"/>
  <c r="DQ76" i="12"/>
  <c r="DR76" i="12"/>
  <c r="DS76" i="12"/>
  <c r="DT76" i="12"/>
  <c r="DU76" i="12"/>
  <c r="DV76" i="12"/>
  <c r="DW76" i="12"/>
  <c r="DX76" i="12"/>
  <c r="DY76" i="12"/>
  <c r="DZ76" i="12"/>
  <c r="EA76" i="12"/>
  <c r="EB76" i="12"/>
  <c r="EC76" i="12"/>
  <c r="ED76" i="12"/>
  <c r="EE76" i="12"/>
  <c r="EF76" i="12"/>
  <c r="EG76" i="12"/>
  <c r="EH76" i="12"/>
  <c r="EI76" i="12"/>
  <c r="EJ76" i="12"/>
  <c r="EK76" i="12"/>
  <c r="CG77" i="12"/>
  <c r="CH77" i="12"/>
  <c r="CI77" i="12"/>
  <c r="CJ77" i="12"/>
  <c r="CK77" i="12"/>
  <c r="CL77" i="12"/>
  <c r="CM77" i="12"/>
  <c r="CN77" i="12"/>
  <c r="CO77" i="12"/>
  <c r="CP77" i="12"/>
  <c r="CQ77" i="12"/>
  <c r="CR77" i="12"/>
  <c r="CS77" i="12"/>
  <c r="CT77" i="12"/>
  <c r="CU77" i="12"/>
  <c r="CV77" i="12"/>
  <c r="CW77" i="12"/>
  <c r="CX77" i="12"/>
  <c r="CY77" i="12"/>
  <c r="CZ77" i="12"/>
  <c r="DA77" i="12"/>
  <c r="DB77" i="12"/>
  <c r="DC77" i="12"/>
  <c r="DD77" i="12"/>
  <c r="DE77" i="12"/>
  <c r="DF77" i="12"/>
  <c r="DG77" i="12"/>
  <c r="DH77" i="12"/>
  <c r="DI77" i="12"/>
  <c r="DJ77" i="12"/>
  <c r="DK77" i="12"/>
  <c r="DL77" i="12"/>
  <c r="DM77" i="12"/>
  <c r="DN77" i="12"/>
  <c r="DO77" i="12"/>
  <c r="DP77" i="12"/>
  <c r="DQ77" i="12"/>
  <c r="DR77" i="12"/>
  <c r="DS77" i="12"/>
  <c r="DT77" i="12"/>
  <c r="DU77" i="12"/>
  <c r="DV77" i="12"/>
  <c r="DW77" i="12"/>
  <c r="DX77" i="12"/>
  <c r="DY77" i="12"/>
  <c r="DZ77" i="12"/>
  <c r="EA77" i="12"/>
  <c r="EB77" i="12"/>
  <c r="EC77" i="12"/>
  <c r="ED77" i="12"/>
  <c r="EE77" i="12"/>
  <c r="EF77" i="12"/>
  <c r="EG77" i="12"/>
  <c r="EH77" i="12"/>
  <c r="EI77" i="12"/>
  <c r="EJ77" i="12"/>
  <c r="EK77" i="12"/>
  <c r="EG5" i="12"/>
  <c r="EH5" i="12"/>
  <c r="EI5" i="12"/>
  <c r="EJ5" i="12"/>
  <c r="EK5" i="12"/>
  <c r="EG6" i="12"/>
  <c r="EH6" i="12"/>
  <c r="EI6" i="12"/>
  <c r="EJ6" i="12"/>
  <c r="EK6" i="12"/>
  <c r="EG7" i="12"/>
  <c r="EH7" i="12"/>
  <c r="EI7" i="12"/>
  <c r="EJ7" i="12"/>
  <c r="EK7" i="12"/>
  <c r="EG8" i="12"/>
  <c r="EH8" i="12"/>
  <c r="EI8" i="12"/>
  <c r="EJ8" i="12"/>
  <c r="EK8" i="12"/>
  <c r="EG9" i="12"/>
  <c r="EH9" i="12"/>
  <c r="EI9" i="12"/>
  <c r="EJ9" i="12"/>
  <c r="EK9" i="12"/>
  <c r="EG10" i="12"/>
  <c r="EH10" i="12"/>
  <c r="EI10" i="12"/>
  <c r="EJ10" i="12"/>
  <c r="EK10" i="12"/>
  <c r="EG11" i="12"/>
  <c r="EH11" i="12"/>
  <c r="EI11" i="12"/>
  <c r="EJ11" i="12"/>
  <c r="EK11" i="12"/>
  <c r="EG12" i="12"/>
  <c r="EH12" i="12"/>
  <c r="EI12" i="12"/>
  <c r="EJ12" i="12"/>
  <c r="EK12" i="12"/>
  <c r="EG13" i="12"/>
  <c r="EH13" i="12"/>
  <c r="EI13" i="12"/>
  <c r="EJ13" i="12"/>
  <c r="EK13" i="12"/>
  <c r="EG14" i="12"/>
  <c r="EH14" i="12"/>
  <c r="EI14" i="12"/>
  <c r="EJ14" i="12"/>
  <c r="EK14" i="12"/>
  <c r="EG15" i="12"/>
  <c r="EH15" i="12"/>
  <c r="EI15" i="12"/>
  <c r="EJ15" i="12"/>
  <c r="EK15" i="12"/>
  <c r="EG16" i="12"/>
  <c r="EH16" i="12"/>
  <c r="EI16" i="12"/>
  <c r="EJ16" i="12"/>
  <c r="EK16" i="12"/>
  <c r="EG17" i="12"/>
  <c r="EH17" i="12"/>
  <c r="EI17" i="12"/>
  <c r="EJ17" i="12"/>
  <c r="EK17" i="12"/>
  <c r="EG18" i="12"/>
  <c r="EH18" i="12"/>
  <c r="EI18" i="12"/>
  <c r="EJ18" i="12"/>
  <c r="EK18" i="12"/>
  <c r="EG19" i="12"/>
  <c r="EH19" i="12"/>
  <c r="EI19" i="12"/>
  <c r="EJ19" i="12"/>
  <c r="EK19" i="12"/>
  <c r="EG21" i="12"/>
  <c r="EH21" i="12"/>
  <c r="EI21" i="12"/>
  <c r="EJ21" i="12"/>
  <c r="EK21" i="12"/>
  <c r="EG22" i="12"/>
  <c r="EH22" i="12"/>
  <c r="EI22" i="12"/>
  <c r="EJ22" i="12"/>
  <c r="EK22" i="12"/>
  <c r="EG24" i="12"/>
  <c r="EH24" i="12"/>
  <c r="EI24" i="12"/>
  <c r="EJ24" i="12"/>
  <c r="EK24" i="12"/>
  <c r="EG25" i="12"/>
  <c r="EH25" i="12"/>
  <c r="EI25" i="12"/>
  <c r="EJ25" i="12"/>
  <c r="EK25" i="12"/>
  <c r="EG26" i="12"/>
  <c r="EH26" i="12"/>
  <c r="EI26" i="12"/>
  <c r="EJ26" i="12"/>
  <c r="EK26" i="12"/>
  <c r="EG27" i="12"/>
  <c r="EH27" i="12"/>
  <c r="EI27" i="12"/>
  <c r="EJ27" i="12"/>
  <c r="EK27" i="12"/>
  <c r="EG29" i="12"/>
  <c r="EH29" i="12"/>
  <c r="EI29" i="12"/>
  <c r="EJ29" i="12"/>
  <c r="EK29" i="12"/>
  <c r="EG30" i="12"/>
  <c r="EH30" i="12"/>
  <c r="EI30" i="12"/>
  <c r="EJ30" i="12"/>
  <c r="EK30" i="12"/>
  <c r="EG31" i="12"/>
  <c r="EH31" i="12"/>
  <c r="EI31" i="12"/>
  <c r="EJ31" i="12"/>
  <c r="EK31" i="12"/>
  <c r="EG33" i="12"/>
  <c r="EH33" i="12"/>
  <c r="EI33" i="12"/>
  <c r="EJ33" i="12"/>
  <c r="EK33" i="12"/>
  <c r="EG34" i="12"/>
  <c r="EH34" i="12"/>
  <c r="EI34" i="12"/>
  <c r="EJ34" i="12"/>
  <c r="EK34" i="12"/>
  <c r="EG35" i="12"/>
  <c r="EH35" i="12"/>
  <c r="EI35" i="12"/>
  <c r="EJ35" i="12"/>
  <c r="EK35" i="12"/>
  <c r="EG36" i="12"/>
  <c r="EH36" i="12"/>
  <c r="EI36" i="12"/>
  <c r="EJ36" i="12"/>
  <c r="EK36" i="12"/>
  <c r="DT5" i="12"/>
  <c r="DU5" i="12"/>
  <c r="DV5" i="12"/>
  <c r="DW5" i="12"/>
  <c r="DX5" i="12"/>
  <c r="DY5" i="12"/>
  <c r="DZ5" i="12"/>
  <c r="EA5" i="12"/>
  <c r="EB5" i="12"/>
  <c r="EC5" i="12"/>
  <c r="ED5" i="12"/>
  <c r="EE5" i="12"/>
  <c r="EF5" i="12"/>
  <c r="DT6" i="12"/>
  <c r="DU6" i="12"/>
  <c r="DV6" i="12"/>
  <c r="DW6" i="12"/>
  <c r="DX6" i="12"/>
  <c r="DY6" i="12"/>
  <c r="DZ6" i="12"/>
  <c r="EA6" i="12"/>
  <c r="EB6" i="12"/>
  <c r="EC6" i="12"/>
  <c r="ED6" i="12"/>
  <c r="EE6" i="12"/>
  <c r="EF6" i="12"/>
  <c r="DT7" i="12"/>
  <c r="DU7" i="12"/>
  <c r="DV7" i="12"/>
  <c r="DW7" i="12"/>
  <c r="DX7" i="12"/>
  <c r="DY7" i="12"/>
  <c r="DZ7" i="12"/>
  <c r="EA7" i="12"/>
  <c r="EB7" i="12"/>
  <c r="EC7" i="12"/>
  <c r="ED7" i="12"/>
  <c r="EE7" i="12"/>
  <c r="EF7" i="12"/>
  <c r="DT8" i="12"/>
  <c r="DU8" i="12"/>
  <c r="DV8" i="12"/>
  <c r="DW8" i="12"/>
  <c r="DX8" i="12"/>
  <c r="DY8" i="12"/>
  <c r="DZ8" i="12"/>
  <c r="EA8" i="12"/>
  <c r="EB8" i="12"/>
  <c r="EC8" i="12"/>
  <c r="ED8" i="12"/>
  <c r="EE8" i="12"/>
  <c r="EF8" i="12"/>
  <c r="DT9" i="12"/>
  <c r="DU9" i="12"/>
  <c r="DV9" i="12"/>
  <c r="DW9" i="12"/>
  <c r="DX9" i="12"/>
  <c r="DY9" i="12"/>
  <c r="DZ9" i="12"/>
  <c r="EA9" i="12"/>
  <c r="EB9" i="12"/>
  <c r="EC9" i="12"/>
  <c r="ED9" i="12"/>
  <c r="EE9" i="12"/>
  <c r="EF9" i="12"/>
  <c r="DT10" i="12"/>
  <c r="DU10" i="12"/>
  <c r="DV10" i="12"/>
  <c r="DW10" i="12"/>
  <c r="DX10" i="12"/>
  <c r="DY10" i="12"/>
  <c r="DZ10" i="12"/>
  <c r="EA10" i="12"/>
  <c r="EB10" i="12"/>
  <c r="EC10" i="12"/>
  <c r="ED10" i="12"/>
  <c r="EE10" i="12"/>
  <c r="EF10" i="12"/>
  <c r="DT11" i="12"/>
  <c r="DU11" i="12"/>
  <c r="DV11" i="12"/>
  <c r="DW11" i="12"/>
  <c r="DX11" i="12"/>
  <c r="DY11" i="12"/>
  <c r="DZ11" i="12"/>
  <c r="EA11" i="12"/>
  <c r="EB11" i="12"/>
  <c r="EC11" i="12"/>
  <c r="ED11" i="12"/>
  <c r="EE11" i="12"/>
  <c r="EF11" i="12"/>
  <c r="DT12" i="12"/>
  <c r="DU12" i="12"/>
  <c r="DV12" i="12"/>
  <c r="DW12" i="12"/>
  <c r="DX12" i="12"/>
  <c r="DY12" i="12"/>
  <c r="DZ12" i="12"/>
  <c r="EA12" i="12"/>
  <c r="EB12" i="12"/>
  <c r="EC12" i="12"/>
  <c r="ED12" i="12"/>
  <c r="EE12" i="12"/>
  <c r="EF12" i="12"/>
  <c r="DT13" i="12"/>
  <c r="DU13" i="12"/>
  <c r="DV13" i="12"/>
  <c r="DW13" i="12"/>
  <c r="DX13" i="12"/>
  <c r="DY13" i="12"/>
  <c r="DZ13" i="12"/>
  <c r="EA13" i="12"/>
  <c r="EB13" i="12"/>
  <c r="EC13" i="12"/>
  <c r="ED13" i="12"/>
  <c r="EE13" i="12"/>
  <c r="EF13" i="12"/>
  <c r="DT14" i="12"/>
  <c r="DU14" i="12"/>
  <c r="DV14" i="12"/>
  <c r="DW14" i="12"/>
  <c r="DX14" i="12"/>
  <c r="DY14" i="12"/>
  <c r="DZ14" i="12"/>
  <c r="EA14" i="12"/>
  <c r="EB14" i="12"/>
  <c r="EC14" i="12"/>
  <c r="ED14" i="12"/>
  <c r="EE14" i="12"/>
  <c r="EF14" i="12"/>
  <c r="DT15" i="12"/>
  <c r="DU15" i="12"/>
  <c r="DV15" i="12"/>
  <c r="DW15" i="12"/>
  <c r="DX15" i="12"/>
  <c r="DY15" i="12"/>
  <c r="DZ15" i="12"/>
  <c r="EA15" i="12"/>
  <c r="EB15" i="12"/>
  <c r="EC15" i="12"/>
  <c r="ED15" i="12"/>
  <c r="EE15" i="12"/>
  <c r="EF15" i="12"/>
  <c r="DT16" i="12"/>
  <c r="DU16" i="12"/>
  <c r="DV16" i="12"/>
  <c r="DW16" i="12"/>
  <c r="DX16" i="12"/>
  <c r="DY16" i="12"/>
  <c r="DZ16" i="12"/>
  <c r="EA16" i="12"/>
  <c r="EB16" i="12"/>
  <c r="EC16" i="12"/>
  <c r="ED16" i="12"/>
  <c r="EE16" i="12"/>
  <c r="EF16" i="12"/>
  <c r="DT17" i="12"/>
  <c r="DU17" i="12"/>
  <c r="DV17" i="12"/>
  <c r="DW17" i="12"/>
  <c r="DX17" i="12"/>
  <c r="DY17" i="12"/>
  <c r="DZ17" i="12"/>
  <c r="EA17" i="12"/>
  <c r="EB17" i="12"/>
  <c r="EC17" i="12"/>
  <c r="ED17" i="12"/>
  <c r="EE17" i="12"/>
  <c r="EF17" i="12"/>
  <c r="DT18" i="12"/>
  <c r="DU18" i="12"/>
  <c r="DV18" i="12"/>
  <c r="DW18" i="12"/>
  <c r="DX18" i="12"/>
  <c r="DY18" i="12"/>
  <c r="DZ18" i="12"/>
  <c r="EA18" i="12"/>
  <c r="EB18" i="12"/>
  <c r="EC18" i="12"/>
  <c r="ED18" i="12"/>
  <c r="EE18" i="12"/>
  <c r="EF18" i="12"/>
  <c r="DT19" i="12"/>
  <c r="DU19" i="12"/>
  <c r="DV19" i="12"/>
  <c r="DW19" i="12"/>
  <c r="DX19" i="12"/>
  <c r="DY19" i="12"/>
  <c r="DZ19" i="12"/>
  <c r="EA19" i="12"/>
  <c r="EB19" i="12"/>
  <c r="EC19" i="12"/>
  <c r="ED19" i="12"/>
  <c r="EE19" i="12"/>
  <c r="EF19" i="12"/>
  <c r="DT21" i="12"/>
  <c r="DU21" i="12"/>
  <c r="DV21" i="12"/>
  <c r="DW21" i="12"/>
  <c r="DX21" i="12"/>
  <c r="DY21" i="12"/>
  <c r="DZ21" i="12"/>
  <c r="EA21" i="12"/>
  <c r="EB21" i="12"/>
  <c r="EC21" i="12"/>
  <c r="ED21" i="12"/>
  <c r="EE21" i="12"/>
  <c r="EF21" i="12"/>
  <c r="DT22" i="12"/>
  <c r="DU22" i="12"/>
  <c r="DV22" i="12"/>
  <c r="DW22" i="12"/>
  <c r="DX22" i="12"/>
  <c r="DY22" i="12"/>
  <c r="DZ22" i="12"/>
  <c r="EA22" i="12"/>
  <c r="EB22" i="12"/>
  <c r="EC22" i="12"/>
  <c r="ED22" i="12"/>
  <c r="EE22" i="12"/>
  <c r="EF22" i="12"/>
  <c r="DT24" i="12"/>
  <c r="DU24" i="12"/>
  <c r="DV24" i="12"/>
  <c r="DW24" i="12"/>
  <c r="DX24" i="12"/>
  <c r="DY24" i="12"/>
  <c r="DZ24" i="12"/>
  <c r="EA24" i="12"/>
  <c r="EB24" i="12"/>
  <c r="EC24" i="12"/>
  <c r="ED24" i="12"/>
  <c r="EE24" i="12"/>
  <c r="EF24" i="12"/>
  <c r="DT25" i="12"/>
  <c r="DU25" i="12"/>
  <c r="DV25" i="12"/>
  <c r="DW25" i="12"/>
  <c r="DX25" i="12"/>
  <c r="DY25" i="12"/>
  <c r="DZ25" i="12"/>
  <c r="EA25" i="12"/>
  <c r="EB25" i="12"/>
  <c r="EC25" i="12"/>
  <c r="ED25" i="12"/>
  <c r="EE25" i="12"/>
  <c r="EF25" i="12"/>
  <c r="DT26" i="12"/>
  <c r="DU26" i="12"/>
  <c r="DV26" i="12"/>
  <c r="DW26" i="12"/>
  <c r="DX26" i="12"/>
  <c r="DY26" i="12"/>
  <c r="DZ26" i="12"/>
  <c r="EA26" i="12"/>
  <c r="EB26" i="12"/>
  <c r="EC26" i="12"/>
  <c r="ED26" i="12"/>
  <c r="EE26" i="12"/>
  <c r="EF26" i="12"/>
  <c r="DT27" i="12"/>
  <c r="DU27" i="12"/>
  <c r="DV27" i="12"/>
  <c r="DW27" i="12"/>
  <c r="DX27" i="12"/>
  <c r="DY27" i="12"/>
  <c r="DZ27" i="12"/>
  <c r="EA27" i="12"/>
  <c r="EB27" i="12"/>
  <c r="EC27" i="12"/>
  <c r="ED27" i="12"/>
  <c r="EE27" i="12"/>
  <c r="EF27" i="12"/>
  <c r="DT29" i="12"/>
  <c r="DU29" i="12"/>
  <c r="DV29" i="12"/>
  <c r="DW29" i="12"/>
  <c r="DX29" i="12"/>
  <c r="DY29" i="12"/>
  <c r="DZ29" i="12"/>
  <c r="EA29" i="12"/>
  <c r="EB29" i="12"/>
  <c r="EC29" i="12"/>
  <c r="ED29" i="12"/>
  <c r="EE29" i="12"/>
  <c r="EF29" i="12"/>
  <c r="DT30" i="12"/>
  <c r="DU30" i="12"/>
  <c r="DV30" i="12"/>
  <c r="DW30" i="12"/>
  <c r="DX30" i="12"/>
  <c r="DY30" i="12"/>
  <c r="DZ30" i="12"/>
  <c r="EA30" i="12"/>
  <c r="EB30" i="12"/>
  <c r="EC30" i="12"/>
  <c r="ED30" i="12"/>
  <c r="EE30" i="12"/>
  <c r="EF30" i="12"/>
  <c r="DT31" i="12"/>
  <c r="DU31" i="12"/>
  <c r="DV31" i="12"/>
  <c r="DW31" i="12"/>
  <c r="DX31" i="12"/>
  <c r="DY31" i="12"/>
  <c r="DZ31" i="12"/>
  <c r="EA31" i="12"/>
  <c r="EB31" i="12"/>
  <c r="EC31" i="12"/>
  <c r="ED31" i="12"/>
  <c r="EE31" i="12"/>
  <c r="EF31" i="12"/>
  <c r="DT33" i="12"/>
  <c r="DU33" i="12"/>
  <c r="DV33" i="12"/>
  <c r="DW33" i="12"/>
  <c r="DX33" i="12"/>
  <c r="DY33" i="12"/>
  <c r="DZ33" i="12"/>
  <c r="EA33" i="12"/>
  <c r="EB33" i="12"/>
  <c r="EC33" i="12"/>
  <c r="ED33" i="12"/>
  <c r="EE33" i="12"/>
  <c r="EF33" i="12"/>
  <c r="DT34" i="12"/>
  <c r="DU34" i="12"/>
  <c r="DV34" i="12"/>
  <c r="DW34" i="12"/>
  <c r="DX34" i="12"/>
  <c r="DY34" i="12"/>
  <c r="DZ34" i="12"/>
  <c r="EA34" i="12"/>
  <c r="EB34" i="12"/>
  <c r="EC34" i="12"/>
  <c r="ED34" i="12"/>
  <c r="EE34" i="12"/>
  <c r="EF34" i="12"/>
  <c r="DT35" i="12"/>
  <c r="DU35" i="12"/>
  <c r="DV35" i="12"/>
  <c r="DW35" i="12"/>
  <c r="DX35" i="12"/>
  <c r="DY35" i="12"/>
  <c r="DZ35" i="12"/>
  <c r="EA35" i="12"/>
  <c r="EB35" i="12"/>
  <c r="EC35" i="12"/>
  <c r="ED35" i="12"/>
  <c r="EE35" i="12"/>
  <c r="EF35" i="12"/>
  <c r="DT36" i="12"/>
  <c r="DU36" i="12"/>
  <c r="DV36" i="12"/>
  <c r="DW36" i="12"/>
  <c r="DX36" i="12"/>
  <c r="DY36" i="12"/>
  <c r="DZ36" i="12"/>
  <c r="EA36" i="12"/>
  <c r="EB36" i="12"/>
  <c r="EC36" i="12"/>
  <c r="ED36" i="12"/>
  <c r="EE36" i="12"/>
  <c r="EF36" i="12"/>
  <c r="CK3" i="24" l="1"/>
  <c r="CX3" i="24"/>
  <c r="CW4" i="24"/>
  <c r="CQ4" i="24"/>
  <c r="CK4" i="24"/>
  <c r="CE4" i="24"/>
  <c r="BY4" i="24"/>
  <c r="BS4" i="24"/>
  <c r="BM4" i="24"/>
  <c r="BG4" i="24"/>
  <c r="BA4" i="24"/>
  <c r="AU4" i="24"/>
  <c r="CL3" i="24"/>
  <c r="CY3" i="24"/>
  <c r="CQ3" i="24"/>
  <c r="CP3" i="24"/>
  <c r="CJ3" i="24"/>
  <c r="CW3" i="24"/>
  <c r="CV4" i="24"/>
  <c r="CP4" i="24"/>
  <c r="CJ4" i="24"/>
  <c r="CD4" i="24"/>
  <c r="BX4" i="24"/>
  <c r="BR4" i="24"/>
  <c r="BL4" i="24"/>
  <c r="BF4" i="24"/>
  <c r="AZ4" i="24"/>
  <c r="CY4" i="24"/>
  <c r="CO3" i="24"/>
  <c r="CI3" i="24"/>
  <c r="CV3" i="24"/>
  <c r="CU4" i="24"/>
  <c r="CO4" i="24"/>
  <c r="CI4" i="24"/>
  <c r="CC4" i="24"/>
  <c r="BW4" i="24"/>
  <c r="BQ4" i="24"/>
  <c r="BK4" i="24"/>
  <c r="BE4" i="24"/>
  <c r="AY4" i="24"/>
  <c r="CT3" i="24"/>
  <c r="CN3" i="24"/>
  <c r="CH3" i="24"/>
  <c r="CU3" i="24"/>
  <c r="CT4" i="24"/>
  <c r="CN4" i="24"/>
  <c r="CH4" i="24"/>
  <c r="CB4" i="24"/>
  <c r="BV4" i="24"/>
  <c r="BP4" i="24"/>
  <c r="BJ4" i="24"/>
  <c r="BD4" i="24"/>
  <c r="AX4" i="24"/>
  <c r="CR3" i="24"/>
  <c r="CS3" i="24"/>
  <c r="CM3" i="24"/>
  <c r="CS4" i="24"/>
  <c r="CM4" i="24"/>
  <c r="CG4" i="24"/>
  <c r="CA4" i="24"/>
  <c r="BU4" i="24"/>
  <c r="BO4" i="24"/>
  <c r="BI4" i="24"/>
  <c r="BC4" i="24"/>
  <c r="AW4" i="24"/>
  <c r="CX4" i="24"/>
  <c r="CR4" i="24"/>
  <c r="CL4" i="24"/>
  <c r="CF4" i="24"/>
  <c r="BZ4" i="24"/>
  <c r="BT4" i="24"/>
  <c r="BN4" i="24"/>
  <c r="BH4" i="24"/>
  <c r="BB4" i="24"/>
  <c r="AV4" i="24"/>
  <c r="CP119" i="20"/>
  <c r="CP127" i="20"/>
  <c r="CP129" i="20"/>
  <c r="CP122" i="20"/>
  <c r="CP80" i="20"/>
  <c r="CP126" i="20"/>
  <c r="CP81" i="20"/>
  <c r="CP124" i="20"/>
  <c r="CP125" i="20"/>
  <c r="CP79" i="20"/>
  <c r="CP121" i="20"/>
  <c r="CO5" i="21"/>
  <c r="CO6" i="21"/>
  <c r="CO7" i="21"/>
  <c r="CO8" i="21"/>
  <c r="CO9" i="21"/>
  <c r="CO10" i="21"/>
  <c r="CO11" i="21"/>
  <c r="CO12" i="21"/>
  <c r="CO13" i="21"/>
  <c r="CO14" i="21"/>
  <c r="CO15" i="21"/>
  <c r="CO16" i="21"/>
  <c r="CO17" i="21"/>
  <c r="CO18" i="21"/>
  <c r="CO19" i="21"/>
  <c r="CO21" i="21"/>
  <c r="CO22" i="21"/>
  <c r="CO23" i="21"/>
  <c r="CO24" i="21"/>
  <c r="CO25" i="21"/>
  <c r="CO26" i="21"/>
  <c r="CO27" i="21"/>
  <c r="CO28" i="21"/>
  <c r="CO29" i="21"/>
  <c r="CO30" i="21"/>
  <c r="CO31" i="21"/>
  <c r="CO32" i="21"/>
  <c r="CO33" i="21"/>
  <c r="CO34" i="21"/>
  <c r="CO35" i="21"/>
  <c r="CO36" i="21"/>
  <c r="CO37" i="21"/>
  <c r="CO41" i="21"/>
  <c r="CO48" i="21"/>
  <c r="CO49" i="21"/>
  <c r="CO50" i="21"/>
  <c r="CO51" i="21"/>
  <c r="CO52" i="21"/>
  <c r="CO53" i="21"/>
  <c r="CO54" i="21"/>
  <c r="CO55" i="21"/>
  <c r="CO56" i="21"/>
  <c r="CO57" i="21"/>
  <c r="CO58" i="21"/>
  <c r="CO64" i="21"/>
  <c r="CO65" i="21"/>
  <c r="CO66" i="21"/>
  <c r="CO67" i="21"/>
  <c r="CO68" i="21"/>
  <c r="CO69" i="21"/>
  <c r="CO70" i="21"/>
  <c r="CO71" i="21"/>
  <c r="CO72" i="21"/>
  <c r="CO73" i="21"/>
  <c r="CO74" i="21"/>
  <c r="CN5" i="21"/>
  <c r="CN46" i="20" s="1"/>
  <c r="CN6" i="21"/>
  <c r="CN47" i="20" s="1"/>
  <c r="CN7" i="21"/>
  <c r="CN48" i="20" s="1"/>
  <c r="CN8" i="21"/>
  <c r="CN49" i="20" s="1"/>
  <c r="CN9" i="21"/>
  <c r="CN50" i="20" s="1"/>
  <c r="CN10" i="21"/>
  <c r="CN51" i="20" s="1"/>
  <c r="CN11" i="21"/>
  <c r="CN52" i="20" s="1"/>
  <c r="CN12" i="21"/>
  <c r="CN53" i="20" s="1"/>
  <c r="CN13" i="21"/>
  <c r="CN54" i="20" s="1"/>
  <c r="CN14" i="21"/>
  <c r="CN55" i="20" s="1"/>
  <c r="CN15" i="21"/>
  <c r="CN56" i="20" s="1"/>
  <c r="CN16" i="21"/>
  <c r="CN57" i="20" s="1"/>
  <c r="CN17" i="21"/>
  <c r="CN58" i="20" s="1"/>
  <c r="CN18" i="21"/>
  <c r="CN59" i="20" s="1"/>
  <c r="CN19" i="21"/>
  <c r="CN60" i="20" s="1"/>
  <c r="CN21" i="21"/>
  <c r="CN62" i="20" s="1"/>
  <c r="CN22" i="21"/>
  <c r="CN63" i="20" s="1"/>
  <c r="CN23" i="21"/>
  <c r="CN24" i="21"/>
  <c r="CN65" i="20" s="1"/>
  <c r="CN25" i="21"/>
  <c r="CN66" i="20" s="1"/>
  <c r="CN26" i="21"/>
  <c r="CN67" i="20" s="1"/>
  <c r="CN27" i="21"/>
  <c r="CN68" i="20" s="1"/>
  <c r="CN28" i="21"/>
  <c r="CN29" i="21"/>
  <c r="CN70" i="20" s="1"/>
  <c r="CN30" i="21"/>
  <c r="CN71" i="20" s="1"/>
  <c r="CN130" i="20" s="1"/>
  <c r="CN31" i="21"/>
  <c r="CN72" i="20" s="1"/>
  <c r="CN32" i="21"/>
  <c r="CN33" i="21"/>
  <c r="CN74" i="20" s="1"/>
  <c r="CN34" i="21"/>
  <c r="CN75" i="20" s="1"/>
  <c r="CN35" i="21"/>
  <c r="CN76" i="20" s="1"/>
  <c r="CN36" i="21"/>
  <c r="CN77" i="20" s="1"/>
  <c r="CN37" i="21"/>
  <c r="CN41" i="21"/>
  <c r="CN48" i="21"/>
  <c r="CN49" i="21"/>
  <c r="CN50" i="21"/>
  <c r="CN51" i="21"/>
  <c r="CN52" i="21"/>
  <c r="CN53" i="21"/>
  <c r="CN54" i="21"/>
  <c r="CN55" i="21"/>
  <c r="CN56" i="21"/>
  <c r="CN57" i="21"/>
  <c r="CN58" i="21"/>
  <c r="CN64" i="21"/>
  <c r="CN103" i="20" s="1"/>
  <c r="CN65" i="21"/>
  <c r="CN104" i="20" s="1"/>
  <c r="CN120" i="20" s="1"/>
  <c r="CN66" i="21"/>
  <c r="CN105" i="20" s="1"/>
  <c r="CN67" i="21"/>
  <c r="CN106" i="20" s="1"/>
  <c r="CN68" i="21"/>
  <c r="CN107" i="20" s="1"/>
  <c r="CN123" i="20" s="1"/>
  <c r="CN69" i="21"/>
  <c r="CN108" i="20" s="1"/>
  <c r="CN70" i="21"/>
  <c r="CN109" i="20" s="1"/>
  <c r="CN125" i="20" s="1"/>
  <c r="CN71" i="21"/>
  <c r="CN110" i="20" s="1"/>
  <c r="CN72" i="21"/>
  <c r="CN111" i="20" s="1"/>
  <c r="CN73" i="21"/>
  <c r="CN112" i="20" s="1"/>
  <c r="CN128" i="20" s="1"/>
  <c r="CN74" i="21"/>
  <c r="CN113" i="20" s="1"/>
  <c r="CM5" i="21"/>
  <c r="CM6" i="21"/>
  <c r="CM7" i="21"/>
  <c r="CM8" i="21"/>
  <c r="CM9" i="21"/>
  <c r="CM10" i="21"/>
  <c r="CM11" i="21"/>
  <c r="CM12" i="21"/>
  <c r="CM13" i="21"/>
  <c r="CM14" i="21"/>
  <c r="CM15" i="21"/>
  <c r="CM16" i="21"/>
  <c r="CM17" i="21"/>
  <c r="CM18" i="21"/>
  <c r="CM19" i="21"/>
  <c r="CM21" i="21"/>
  <c r="CM22" i="21"/>
  <c r="CM23" i="21"/>
  <c r="CM24" i="21"/>
  <c r="CM25" i="21"/>
  <c r="CP25" i="20" s="1"/>
  <c r="CM26" i="21"/>
  <c r="CM27" i="21"/>
  <c r="CM28" i="21"/>
  <c r="CM29" i="21"/>
  <c r="CP29" i="20" s="1"/>
  <c r="CM30" i="21"/>
  <c r="CP30" i="20" s="1"/>
  <c r="CM31" i="21"/>
  <c r="CP31" i="20" s="1"/>
  <c r="CM32" i="21"/>
  <c r="CM33" i="21"/>
  <c r="CP33" i="20" s="1"/>
  <c r="CM34" i="21"/>
  <c r="CP34" i="20" s="1"/>
  <c r="CM35" i="21"/>
  <c r="CP35" i="20" s="1"/>
  <c r="CM36" i="21"/>
  <c r="CP36" i="20" s="1"/>
  <c r="CM37" i="21"/>
  <c r="CM41" i="21"/>
  <c r="CM48" i="21"/>
  <c r="CM49" i="21"/>
  <c r="CM50" i="21"/>
  <c r="CM51" i="21"/>
  <c r="CM52" i="21"/>
  <c r="CM53" i="21"/>
  <c r="CM54" i="21"/>
  <c r="CM55" i="21"/>
  <c r="CM56" i="21"/>
  <c r="CM57" i="21"/>
  <c r="CM58" i="21"/>
  <c r="CM64" i="21"/>
  <c r="CM65" i="21"/>
  <c r="CM66" i="21"/>
  <c r="CM67" i="21"/>
  <c r="CM68" i="21"/>
  <c r="CM69" i="21"/>
  <c r="CM70" i="21"/>
  <c r="CM71" i="21"/>
  <c r="CP94" i="20" s="1"/>
  <c r="CM72" i="21"/>
  <c r="CM73" i="21"/>
  <c r="CM74" i="21"/>
  <c r="CL5" i="21"/>
  <c r="CL6" i="21"/>
  <c r="CL7" i="21"/>
  <c r="CL8" i="21"/>
  <c r="CL9" i="21"/>
  <c r="CL10" i="21"/>
  <c r="CL11" i="21"/>
  <c r="CL12" i="21"/>
  <c r="CL13" i="21"/>
  <c r="CL14" i="21"/>
  <c r="CL15" i="21"/>
  <c r="CL16" i="21"/>
  <c r="CL17" i="21"/>
  <c r="CL18" i="21"/>
  <c r="CL19" i="21"/>
  <c r="CL21" i="21"/>
  <c r="CL22" i="21"/>
  <c r="CL23" i="21"/>
  <c r="CL24" i="21"/>
  <c r="CL25" i="21"/>
  <c r="CO25" i="20" s="1"/>
  <c r="CL26" i="21"/>
  <c r="CL27" i="21"/>
  <c r="CL28" i="21"/>
  <c r="CL29" i="21"/>
  <c r="CO29" i="20" s="1"/>
  <c r="CL30" i="21"/>
  <c r="CO30" i="20" s="1"/>
  <c r="CL31" i="21"/>
  <c r="CO31" i="20" s="1"/>
  <c r="CL32" i="21"/>
  <c r="CL33" i="21"/>
  <c r="CO33" i="20" s="1"/>
  <c r="CL34" i="21"/>
  <c r="CO34" i="20" s="1"/>
  <c r="CL35" i="21"/>
  <c r="CO35" i="20" s="1"/>
  <c r="CL36" i="21"/>
  <c r="CO36" i="20" s="1"/>
  <c r="CL37" i="21"/>
  <c r="CL41" i="21"/>
  <c r="CL48" i="21"/>
  <c r="CL49" i="21"/>
  <c r="CL50" i="21"/>
  <c r="CL51" i="21"/>
  <c r="CL52" i="21"/>
  <c r="CL53" i="21"/>
  <c r="CL54" i="21"/>
  <c r="CL55" i="21"/>
  <c r="CL56" i="21"/>
  <c r="CL57" i="21"/>
  <c r="CL58" i="21"/>
  <c r="CL64" i="21"/>
  <c r="CL65" i="21"/>
  <c r="CL66" i="21"/>
  <c r="CL67" i="21"/>
  <c r="CL68" i="21"/>
  <c r="CL69" i="21"/>
  <c r="CL70" i="21"/>
  <c r="CL71" i="21"/>
  <c r="CO94" i="20" s="1"/>
  <c r="CL72" i="21"/>
  <c r="CL73" i="21"/>
  <c r="CL74" i="21"/>
  <c r="CK5" i="21"/>
  <c r="CK6" i="21"/>
  <c r="CK7" i="21"/>
  <c r="CK8" i="21"/>
  <c r="CK9" i="21"/>
  <c r="CK10" i="21"/>
  <c r="CK11" i="21"/>
  <c r="CK12" i="21"/>
  <c r="CK13" i="21"/>
  <c r="CK14" i="21"/>
  <c r="CK15" i="21"/>
  <c r="CK16" i="21"/>
  <c r="CK17" i="21"/>
  <c r="CK18" i="21"/>
  <c r="CK19" i="21"/>
  <c r="CK21" i="21"/>
  <c r="CK22" i="21"/>
  <c r="CK23" i="21"/>
  <c r="CK24" i="21"/>
  <c r="CK25" i="21"/>
  <c r="CK26" i="21"/>
  <c r="CK27" i="21"/>
  <c r="CK28" i="21"/>
  <c r="CK29" i="21"/>
  <c r="CK30" i="21"/>
  <c r="CK31" i="21"/>
  <c r="CK32" i="21"/>
  <c r="CK33" i="21"/>
  <c r="CK34" i="21"/>
  <c r="CK35" i="21"/>
  <c r="CK36" i="21"/>
  <c r="CK37" i="21"/>
  <c r="CK41" i="21"/>
  <c r="CK48" i="21"/>
  <c r="CK49" i="21"/>
  <c r="CK50" i="21"/>
  <c r="CK51" i="21"/>
  <c r="CK52" i="21"/>
  <c r="CK53" i="21"/>
  <c r="CK54" i="21"/>
  <c r="CK55" i="21"/>
  <c r="CK56" i="21"/>
  <c r="CK57" i="21"/>
  <c r="CK58" i="21"/>
  <c r="CK64" i="21"/>
  <c r="CK65" i="21"/>
  <c r="CK66" i="21"/>
  <c r="CK67" i="21"/>
  <c r="CK68" i="21"/>
  <c r="CK69" i="21"/>
  <c r="CK70" i="21"/>
  <c r="CK71" i="21"/>
  <c r="CK72" i="21"/>
  <c r="CK73" i="21"/>
  <c r="CK74" i="21"/>
  <c r="CJ5" i="21"/>
  <c r="CJ6" i="21"/>
  <c r="CJ7" i="21"/>
  <c r="CJ8" i="21"/>
  <c r="CJ9" i="21"/>
  <c r="CJ10" i="21"/>
  <c r="CJ11" i="21"/>
  <c r="CJ12" i="21"/>
  <c r="CJ13" i="21"/>
  <c r="CJ14" i="21"/>
  <c r="CJ15" i="21"/>
  <c r="CJ16" i="21"/>
  <c r="CJ17" i="21"/>
  <c r="CJ18" i="21"/>
  <c r="CJ19" i="21"/>
  <c r="CJ21" i="21"/>
  <c r="CJ22" i="21"/>
  <c r="CJ23" i="21"/>
  <c r="CJ24" i="21"/>
  <c r="CJ25" i="21"/>
  <c r="CJ26" i="21"/>
  <c r="CJ27" i="21"/>
  <c r="CJ28" i="21"/>
  <c r="CJ29" i="21"/>
  <c r="CJ30" i="21"/>
  <c r="CJ31" i="21"/>
  <c r="CJ32" i="21"/>
  <c r="CJ33" i="21"/>
  <c r="CJ34" i="21"/>
  <c r="CJ35" i="21"/>
  <c r="CJ36" i="21"/>
  <c r="CJ37" i="21"/>
  <c r="CJ41" i="21"/>
  <c r="CJ48" i="21"/>
  <c r="CJ49" i="21"/>
  <c r="CJ50" i="21"/>
  <c r="CJ51" i="21"/>
  <c r="CJ52" i="21"/>
  <c r="CJ53" i="21"/>
  <c r="CJ54" i="21"/>
  <c r="CJ55" i="21"/>
  <c r="CJ56" i="21"/>
  <c r="CJ57" i="21"/>
  <c r="CJ58" i="21"/>
  <c r="CJ64" i="21"/>
  <c r="CJ65" i="21"/>
  <c r="CJ66" i="21"/>
  <c r="CJ67" i="21"/>
  <c r="CJ68" i="21"/>
  <c r="CJ69" i="21"/>
  <c r="CJ70" i="21"/>
  <c r="CJ71" i="21"/>
  <c r="CJ72" i="21"/>
  <c r="CJ73" i="21"/>
  <c r="CJ74" i="21"/>
  <c r="CO24" i="20" l="1"/>
  <c r="CO6" i="20"/>
  <c r="CP92" i="20"/>
  <c r="CO92" i="20"/>
  <c r="CO87" i="20"/>
  <c r="CO88" i="20"/>
  <c r="CO90" i="20"/>
  <c r="CO89" i="20"/>
  <c r="CP91" i="20"/>
  <c r="CP90" i="20"/>
  <c r="CP88" i="20"/>
  <c r="CO91" i="20"/>
  <c r="CP89" i="20"/>
  <c r="CP87" i="20"/>
  <c r="CP7" i="20"/>
  <c r="CP26" i="20"/>
  <c r="CP95" i="20"/>
  <c r="CN119" i="20"/>
  <c r="CO18" i="20"/>
  <c r="CO12" i="20"/>
  <c r="CP93" i="20"/>
  <c r="CP19" i="20"/>
  <c r="CP13" i="20"/>
  <c r="CN126" i="20"/>
  <c r="CO93" i="20"/>
  <c r="CO97" i="20"/>
  <c r="CO96" i="20"/>
  <c r="CP97" i="20"/>
  <c r="CO95" i="20"/>
  <c r="CP96" i="20"/>
  <c r="CN122" i="20"/>
  <c r="CP18" i="20"/>
  <c r="CP12" i="20"/>
  <c r="CP6" i="20"/>
  <c r="CN124" i="20"/>
  <c r="CP16" i="20"/>
  <c r="CP10" i="20"/>
  <c r="CN129" i="20"/>
  <c r="CO17" i="20"/>
  <c r="CO11" i="20"/>
  <c r="CO5" i="20"/>
  <c r="CO16" i="20"/>
  <c r="CO10" i="20"/>
  <c r="CP24" i="20"/>
  <c r="CP17" i="20"/>
  <c r="CP11" i="20"/>
  <c r="CP5" i="20"/>
  <c r="CN94" i="20"/>
  <c r="CO110" i="20"/>
  <c r="CN88" i="20"/>
  <c r="CO104" i="20"/>
  <c r="CO120" i="20" s="1"/>
  <c r="CO74" i="20"/>
  <c r="CN33" i="20"/>
  <c r="CN27" i="20"/>
  <c r="CO68" i="20"/>
  <c r="CN21" i="20"/>
  <c r="CO62" i="20"/>
  <c r="CN14" i="20"/>
  <c r="CO55" i="20"/>
  <c r="CO49" i="20"/>
  <c r="CN8" i="20"/>
  <c r="CO105" i="20"/>
  <c r="CN89" i="20"/>
  <c r="CO109" i="20"/>
  <c r="CN93" i="20"/>
  <c r="CN87" i="20"/>
  <c r="CO103" i="20"/>
  <c r="CO67" i="20"/>
  <c r="CN26" i="20"/>
  <c r="CO60" i="20"/>
  <c r="CN19" i="20"/>
  <c r="CN13" i="20"/>
  <c r="CO54" i="20"/>
  <c r="CN7" i="20"/>
  <c r="CO48" i="20"/>
  <c r="CN9" i="20"/>
  <c r="CO50" i="20"/>
  <c r="CO22" i="20"/>
  <c r="CO15" i="20"/>
  <c r="CO9" i="20"/>
  <c r="CO108" i="20"/>
  <c r="CN92" i="20"/>
  <c r="CO72" i="20"/>
  <c r="CN31" i="20"/>
  <c r="CN25" i="20"/>
  <c r="CO66" i="20"/>
  <c r="CN18" i="20"/>
  <c r="CO59" i="20"/>
  <c r="CO53" i="20"/>
  <c r="CN12" i="20"/>
  <c r="CN6" i="20"/>
  <c r="CO47" i="20"/>
  <c r="CN22" i="20"/>
  <c r="CO63" i="20"/>
  <c r="CO27" i="20"/>
  <c r="CO21" i="20"/>
  <c r="CO14" i="20"/>
  <c r="CO8" i="20"/>
  <c r="CP22" i="20"/>
  <c r="CP15" i="20"/>
  <c r="CP9" i="20"/>
  <c r="CN97" i="20"/>
  <c r="CO113" i="20"/>
  <c r="CN91" i="20"/>
  <c r="CO107" i="20"/>
  <c r="CO123" i="20" s="1"/>
  <c r="CN36" i="20"/>
  <c r="CO77" i="20"/>
  <c r="CN30" i="20"/>
  <c r="CO71" i="20"/>
  <c r="CO130" i="20" s="1"/>
  <c r="CN24" i="20"/>
  <c r="CO65" i="20"/>
  <c r="CN17" i="20"/>
  <c r="CO58" i="20"/>
  <c r="CO52" i="20"/>
  <c r="CN11" i="20"/>
  <c r="CO46" i="20"/>
  <c r="CN5" i="20"/>
  <c r="CN95" i="20"/>
  <c r="CO111" i="20"/>
  <c r="CN34" i="20"/>
  <c r="CO75" i="20"/>
  <c r="CO56" i="20"/>
  <c r="CN15" i="20"/>
  <c r="CO26" i="20"/>
  <c r="CO19" i="20"/>
  <c r="CO13" i="20"/>
  <c r="CO7" i="20"/>
  <c r="CP27" i="20"/>
  <c r="CP21" i="20"/>
  <c r="CP14" i="20"/>
  <c r="CP8" i="20"/>
  <c r="CN127" i="20"/>
  <c r="CN121" i="20"/>
  <c r="CO112" i="20"/>
  <c r="CO128" i="20" s="1"/>
  <c r="CN96" i="20"/>
  <c r="CN90" i="20"/>
  <c r="CO106" i="20"/>
  <c r="CO76" i="20"/>
  <c r="CN35" i="20"/>
  <c r="CO70" i="20"/>
  <c r="CN29" i="20"/>
  <c r="CO57" i="20"/>
  <c r="CN16" i="20"/>
  <c r="CN10" i="20"/>
  <c r="CO51" i="20"/>
  <c r="CL105" i="20"/>
  <c r="CL63" i="20"/>
  <c r="CL50" i="20"/>
  <c r="CM57" i="20"/>
  <c r="CJ58" i="20"/>
  <c r="CM17" i="20"/>
  <c r="CK108" i="20"/>
  <c r="CK59" i="20"/>
  <c r="CK47" i="20"/>
  <c r="CL110" i="20"/>
  <c r="CL104" i="20"/>
  <c r="CL120" i="20" s="1"/>
  <c r="CL74" i="20"/>
  <c r="CL68" i="20"/>
  <c r="CL62" i="20"/>
  <c r="CL55" i="20"/>
  <c r="CL49" i="20"/>
  <c r="CM111" i="20"/>
  <c r="CM105" i="20"/>
  <c r="CM75" i="20"/>
  <c r="CM63" i="20"/>
  <c r="CM56" i="20"/>
  <c r="CM50" i="20"/>
  <c r="CJ112" i="20"/>
  <c r="CJ128" i="20" s="1"/>
  <c r="CM96" i="20"/>
  <c r="CJ106" i="20"/>
  <c r="CM90" i="20"/>
  <c r="CJ76" i="20"/>
  <c r="CM35" i="20"/>
  <c r="CJ70" i="20"/>
  <c r="CM29" i="20"/>
  <c r="CJ57" i="20"/>
  <c r="CM16" i="20"/>
  <c r="CJ51" i="20"/>
  <c r="CM10" i="20"/>
  <c r="CK113" i="20"/>
  <c r="CK107" i="20"/>
  <c r="CK123" i="20" s="1"/>
  <c r="CK77" i="20"/>
  <c r="CK71" i="20"/>
  <c r="CK130" i="20" s="1"/>
  <c r="CK65" i="20"/>
  <c r="CK58" i="20"/>
  <c r="CK52" i="20"/>
  <c r="CK46" i="20"/>
  <c r="CL56" i="20"/>
  <c r="CJ113" i="20"/>
  <c r="CM97" i="20"/>
  <c r="CJ77" i="20"/>
  <c r="CM36" i="20"/>
  <c r="CJ46" i="20"/>
  <c r="CM5" i="20"/>
  <c r="CK72" i="20"/>
  <c r="CL109" i="20"/>
  <c r="CL103" i="20"/>
  <c r="CL67" i="20"/>
  <c r="CL60" i="20"/>
  <c r="CL54" i="20"/>
  <c r="CL48" i="20"/>
  <c r="CM110" i="20"/>
  <c r="CM104" i="20"/>
  <c r="CM120" i="20" s="1"/>
  <c r="CM74" i="20"/>
  <c r="CM68" i="20"/>
  <c r="CM62" i="20"/>
  <c r="CM55" i="20"/>
  <c r="CM49" i="20"/>
  <c r="CJ111" i="20"/>
  <c r="CM95" i="20"/>
  <c r="CJ105" i="20"/>
  <c r="CM89" i="20"/>
  <c r="CJ75" i="20"/>
  <c r="CM34" i="20"/>
  <c r="CJ63" i="20"/>
  <c r="CM22" i="20"/>
  <c r="CJ56" i="20"/>
  <c r="CM15" i="20"/>
  <c r="CJ50" i="20"/>
  <c r="CM9" i="20"/>
  <c r="CK112" i="20"/>
  <c r="CK128" i="20" s="1"/>
  <c r="CK106" i="20"/>
  <c r="CK76" i="20"/>
  <c r="CK70" i="20"/>
  <c r="CK57" i="20"/>
  <c r="CK51" i="20"/>
  <c r="CJ52" i="20"/>
  <c r="CM11" i="20"/>
  <c r="CK53" i="20"/>
  <c r="CL108" i="20"/>
  <c r="CL72" i="20"/>
  <c r="CL66" i="20"/>
  <c r="CL59" i="20"/>
  <c r="CL53" i="20"/>
  <c r="CL47" i="20"/>
  <c r="CM109" i="20"/>
  <c r="CM103" i="20"/>
  <c r="CM67" i="20"/>
  <c r="CM60" i="20"/>
  <c r="CM54" i="20"/>
  <c r="CM48" i="20"/>
  <c r="CJ110" i="20"/>
  <c r="CM94" i="20"/>
  <c r="CJ104" i="20"/>
  <c r="CJ120" i="20" s="1"/>
  <c r="CM88" i="20"/>
  <c r="CJ74" i="20"/>
  <c r="CM33" i="20"/>
  <c r="CJ68" i="20"/>
  <c r="CM27" i="20"/>
  <c r="CJ62" i="20"/>
  <c r="CM21" i="20"/>
  <c r="CJ55" i="20"/>
  <c r="CM14" i="20"/>
  <c r="CJ49" i="20"/>
  <c r="CM8" i="20"/>
  <c r="CK111" i="20"/>
  <c r="CK105" i="20"/>
  <c r="CK75" i="20"/>
  <c r="CK63" i="20"/>
  <c r="CK56" i="20"/>
  <c r="CK50" i="20"/>
  <c r="CL75" i="20"/>
  <c r="CM106" i="20"/>
  <c r="CM70" i="20"/>
  <c r="CM51" i="20"/>
  <c r="CJ71" i="20"/>
  <c r="CJ130" i="20" s="1"/>
  <c r="CM30" i="20"/>
  <c r="CL113" i="20"/>
  <c r="CL107" i="20"/>
  <c r="CL123" i="20" s="1"/>
  <c r="CL77" i="20"/>
  <c r="CL71" i="20"/>
  <c r="CL130" i="20" s="1"/>
  <c r="CL65" i="20"/>
  <c r="CL58" i="20"/>
  <c r="CL52" i="20"/>
  <c r="CL46" i="20"/>
  <c r="CM108" i="20"/>
  <c r="CM72" i="20"/>
  <c r="CM66" i="20"/>
  <c r="CM59" i="20"/>
  <c r="CM53" i="20"/>
  <c r="CM47" i="20"/>
  <c r="CJ109" i="20"/>
  <c r="CM93" i="20"/>
  <c r="CJ103" i="20"/>
  <c r="CM87" i="20"/>
  <c r="CJ67" i="20"/>
  <c r="CM26" i="20"/>
  <c r="CJ60" i="20"/>
  <c r="CM19" i="20"/>
  <c r="CJ54" i="20"/>
  <c r="CM13" i="20"/>
  <c r="CJ48" i="20"/>
  <c r="CM7" i="20"/>
  <c r="CK110" i="20"/>
  <c r="CK104" i="20"/>
  <c r="CK120" i="20" s="1"/>
  <c r="CK74" i="20"/>
  <c r="CK68" i="20"/>
  <c r="CK62" i="20"/>
  <c r="CK55" i="20"/>
  <c r="CK49" i="20"/>
  <c r="CL111" i="20"/>
  <c r="CM112" i="20"/>
  <c r="CM128" i="20" s="1"/>
  <c r="CM76" i="20"/>
  <c r="CJ107" i="20"/>
  <c r="CJ123" i="20" s="1"/>
  <c r="CM91" i="20"/>
  <c r="CJ65" i="20"/>
  <c r="CM24" i="20"/>
  <c r="CK66" i="20"/>
  <c r="CL112" i="20"/>
  <c r="CL128" i="20" s="1"/>
  <c r="CL106" i="20"/>
  <c r="CL76" i="20"/>
  <c r="CL70" i="20"/>
  <c r="CL57" i="20"/>
  <c r="CL51" i="20"/>
  <c r="CM113" i="20"/>
  <c r="CM107" i="20"/>
  <c r="CM123" i="20" s="1"/>
  <c r="CM77" i="20"/>
  <c r="CM71" i="20"/>
  <c r="CM130" i="20" s="1"/>
  <c r="CM65" i="20"/>
  <c r="CM58" i="20"/>
  <c r="CM52" i="20"/>
  <c r="CM46" i="20"/>
  <c r="CJ108" i="20"/>
  <c r="CM92" i="20"/>
  <c r="CJ72" i="20"/>
  <c r="CM31" i="20"/>
  <c r="CJ66" i="20"/>
  <c r="CM25" i="20"/>
  <c r="CJ59" i="20"/>
  <c r="CM18" i="20"/>
  <c r="CJ53" i="20"/>
  <c r="CM12" i="20"/>
  <c r="CJ47" i="20"/>
  <c r="CM6" i="20"/>
  <c r="CK109" i="20"/>
  <c r="CK103" i="20"/>
  <c r="CK67" i="20"/>
  <c r="CK60" i="20"/>
  <c r="CK54" i="20"/>
  <c r="CK48" i="20"/>
  <c r="N40" i="27" l="1"/>
  <c r="N38" i="27"/>
  <c r="M39" i="27"/>
  <c r="N42" i="27"/>
  <c r="M38" i="27"/>
  <c r="N39" i="27"/>
  <c r="M40" i="27"/>
  <c r="M42" i="27"/>
  <c r="FF39" i="12"/>
  <c r="FE39" i="12"/>
  <c r="FD38" i="12"/>
  <c r="FF40" i="12"/>
  <c r="FE40" i="12"/>
  <c r="FD39" i="12"/>
  <c r="FD40" i="12"/>
  <c r="FF38" i="12"/>
  <c r="FE38" i="12"/>
  <c r="FC39" i="12"/>
  <c r="FC38" i="12"/>
  <c r="FC40" i="12"/>
  <c r="FB39" i="12"/>
  <c r="CO122" i="20"/>
  <c r="FB40" i="12"/>
  <c r="FB38" i="12"/>
  <c r="CO127" i="20"/>
  <c r="CL127" i="20"/>
  <c r="EZ40" i="12"/>
  <c r="EX39" i="12"/>
  <c r="EX40" i="12"/>
  <c r="FA39" i="12"/>
  <c r="EY38" i="12"/>
  <c r="ER81" i="12"/>
  <c r="ER40" i="12"/>
  <c r="ER80" i="12"/>
  <c r="ER39" i="12"/>
  <c r="ER79" i="12"/>
  <c r="ER38" i="12"/>
  <c r="EZ39" i="12"/>
  <c r="EX38" i="12"/>
  <c r="EW40" i="12"/>
  <c r="EW81" i="12"/>
  <c r="EW80" i="12"/>
  <c r="EW39" i="12"/>
  <c r="EW79" i="12"/>
  <c r="EW38" i="12"/>
  <c r="CO125" i="20"/>
  <c r="FA40" i="12"/>
  <c r="EY39" i="12"/>
  <c r="EV40" i="12"/>
  <c r="EV81" i="12"/>
  <c r="EV39" i="12"/>
  <c r="EV80" i="12"/>
  <c r="EV79" i="12"/>
  <c r="EV38" i="12"/>
  <c r="CO124" i="20"/>
  <c r="EU38" i="12"/>
  <c r="EU79" i="12"/>
  <c r="CO121" i="20"/>
  <c r="EU39" i="12"/>
  <c r="EU80" i="12"/>
  <c r="EY40" i="12"/>
  <c r="FA38" i="12"/>
  <c r="ET81" i="12"/>
  <c r="ET40" i="12"/>
  <c r="ET80" i="12"/>
  <c r="ET39" i="12"/>
  <c r="ET38" i="12"/>
  <c r="ET79" i="12"/>
  <c r="CO129" i="20"/>
  <c r="CO119" i="20"/>
  <c r="CO126" i="20"/>
  <c r="EU40" i="12"/>
  <c r="EU81" i="12"/>
  <c r="EZ38" i="12"/>
  <c r="ES81" i="12"/>
  <c r="ES40" i="12"/>
  <c r="ES80" i="12"/>
  <c r="ES39" i="12"/>
  <c r="ES38" i="12"/>
  <c r="ES79" i="12"/>
  <c r="CM129" i="20"/>
  <c r="CL122" i="20"/>
  <c r="CL129" i="20"/>
  <c r="CJ129" i="20"/>
  <c r="CJ119" i="20"/>
  <c r="CK129" i="20"/>
  <c r="CO42" i="21"/>
  <c r="CM42" i="21"/>
  <c r="CM121" i="20"/>
  <c r="CM127" i="20"/>
  <c r="CK125" i="20"/>
  <c r="CM122" i="20"/>
  <c r="CJ126" i="20"/>
  <c r="CL121" i="20"/>
  <c r="EM79" i="12"/>
  <c r="EO80" i="12"/>
  <c r="EQ40" i="12"/>
  <c r="EQ81" i="12"/>
  <c r="EN81" i="12"/>
  <c r="EN80" i="12"/>
  <c r="EL79" i="12"/>
  <c r="CM125" i="20"/>
  <c r="CL124" i="20"/>
  <c r="CL126" i="20"/>
  <c r="EP81" i="12"/>
  <c r="EO81" i="12"/>
  <c r="EM80" i="12"/>
  <c r="EQ38" i="12"/>
  <c r="EQ79" i="12"/>
  <c r="CK119" i="20"/>
  <c r="CK126" i="20"/>
  <c r="CJ125" i="20"/>
  <c r="CJ121" i="20"/>
  <c r="CM126" i="20"/>
  <c r="CL125" i="20"/>
  <c r="EL80" i="12"/>
  <c r="CK121" i="20"/>
  <c r="CM119" i="20"/>
  <c r="CJ122" i="20"/>
  <c r="CK124" i="20"/>
  <c r="EP79" i="12"/>
  <c r="EM81" i="12"/>
  <c r="EQ39" i="12"/>
  <c r="EQ80" i="12"/>
  <c r="EO79" i="12"/>
  <c r="CJ124" i="20"/>
  <c r="CK122" i="20"/>
  <c r="EL81" i="12"/>
  <c r="EP80" i="12"/>
  <c r="EN79" i="12"/>
  <c r="CM124" i="20"/>
  <c r="CK127" i="20"/>
  <c r="CJ127" i="20"/>
  <c r="CL119" i="20"/>
  <c r="CK42" i="21"/>
  <c r="CK40" i="21"/>
  <c r="CK38" i="21"/>
  <c r="EI81" i="12"/>
  <c r="CO39" i="21"/>
  <c r="EK80" i="12"/>
  <c r="EG80" i="12"/>
  <c r="EI79" i="12"/>
  <c r="DX38" i="12"/>
  <c r="DX79" i="12"/>
  <c r="EH81" i="12"/>
  <c r="EJ80" i="12"/>
  <c r="EF80" i="12"/>
  <c r="EH79" i="12"/>
  <c r="CM40" i="21"/>
  <c r="CM38" i="21"/>
  <c r="CO40" i="21"/>
  <c r="EK81" i="12"/>
  <c r="EG81" i="12"/>
  <c r="EI80" i="12"/>
  <c r="EK79" i="12"/>
  <c r="EG79" i="12"/>
  <c r="EJ81" i="12"/>
  <c r="EF81" i="12"/>
  <c r="EH80" i="12"/>
  <c r="EJ79" i="12"/>
  <c r="EF79" i="12"/>
  <c r="CO38" i="21"/>
  <c r="CL39" i="21"/>
  <c r="CJ39" i="21"/>
  <c r="CL40" i="21"/>
  <c r="CJ40" i="21"/>
  <c r="CL42" i="21"/>
  <c r="CJ42" i="21"/>
  <c r="CN42" i="21"/>
  <c r="CN40" i="21"/>
  <c r="CN81" i="20" s="1"/>
  <c r="CN39" i="21"/>
  <c r="CN80" i="20" s="1"/>
  <c r="CN38" i="21"/>
  <c r="CN79" i="20" s="1"/>
  <c r="CK39" i="21"/>
  <c r="CM39" i="21"/>
  <c r="CL38" i="21"/>
  <c r="CJ38" i="21"/>
  <c r="CG5" i="21"/>
  <c r="CH5" i="21"/>
  <c r="CI5" i="21"/>
  <c r="CG6" i="21"/>
  <c r="CH6" i="21"/>
  <c r="CI6" i="21"/>
  <c r="CG7" i="21"/>
  <c r="CH7" i="21"/>
  <c r="CI7" i="21"/>
  <c r="CG8" i="21"/>
  <c r="CH8" i="21"/>
  <c r="CI8" i="21"/>
  <c r="CG9" i="21"/>
  <c r="CH9" i="21"/>
  <c r="CI9" i="21"/>
  <c r="CG10" i="21"/>
  <c r="CH10" i="21"/>
  <c r="CI10" i="21"/>
  <c r="CG11" i="21"/>
  <c r="CH11" i="21"/>
  <c r="CI11" i="21"/>
  <c r="CG12" i="21"/>
  <c r="CH12" i="21"/>
  <c r="CI12" i="21"/>
  <c r="CG13" i="21"/>
  <c r="CH13" i="21"/>
  <c r="CI13" i="21"/>
  <c r="CG14" i="21"/>
  <c r="CH14" i="21"/>
  <c r="CI14" i="21"/>
  <c r="CG15" i="21"/>
  <c r="CH15" i="21"/>
  <c r="CI15" i="21"/>
  <c r="CP39" i="20" l="1"/>
  <c r="CO40" i="20"/>
  <c r="CO38" i="20"/>
  <c r="CO39" i="20"/>
  <c r="CN40" i="20"/>
  <c r="CO81" i="20"/>
  <c r="CN39" i="20"/>
  <c r="CO80" i="20"/>
  <c r="CN38" i="20"/>
  <c r="CO79" i="20"/>
  <c r="CP38" i="20"/>
  <c r="CP40" i="20"/>
  <c r="CH51" i="20"/>
  <c r="CK10" i="20"/>
  <c r="CL80" i="20"/>
  <c r="CJ10" i="20"/>
  <c r="CG51" i="20"/>
  <c r="CI54" i="20"/>
  <c r="CL13" i="20"/>
  <c r="CI50" i="20"/>
  <c r="CL9" i="20"/>
  <c r="CL7" i="20"/>
  <c r="CI48" i="20"/>
  <c r="CI46" i="20"/>
  <c r="CL5" i="20"/>
  <c r="CM81" i="20"/>
  <c r="CK12" i="20"/>
  <c r="CH53" i="20"/>
  <c r="CJ8" i="20"/>
  <c r="CG49" i="20"/>
  <c r="CK79" i="20"/>
  <c r="CH54" i="20"/>
  <c r="CK13" i="20"/>
  <c r="CH46" i="20"/>
  <c r="CK5" i="20"/>
  <c r="CH49" i="20"/>
  <c r="CK8" i="20"/>
  <c r="CL79" i="20"/>
  <c r="CK81" i="20"/>
  <c r="CG55" i="20"/>
  <c r="CJ14" i="20"/>
  <c r="CM80" i="20"/>
  <c r="CI56" i="20"/>
  <c r="CL15" i="20"/>
  <c r="CK15" i="20"/>
  <c r="CH56" i="20"/>
  <c r="CK9" i="20"/>
  <c r="CH50" i="20"/>
  <c r="CK7" i="20"/>
  <c r="CH48" i="20"/>
  <c r="CJ15" i="20"/>
  <c r="CG56" i="20"/>
  <c r="CJ11" i="20"/>
  <c r="CG52" i="20"/>
  <c r="CJ9" i="20"/>
  <c r="CG50" i="20"/>
  <c r="CJ7" i="20"/>
  <c r="CG48" i="20"/>
  <c r="CG46" i="20"/>
  <c r="CJ5" i="20"/>
  <c r="CJ80" i="20"/>
  <c r="CM39" i="20"/>
  <c r="CL81" i="20"/>
  <c r="CK14" i="20"/>
  <c r="CH55" i="20"/>
  <c r="CK6" i="20"/>
  <c r="CH47" i="20"/>
  <c r="CK80" i="20"/>
  <c r="CJ12" i="20"/>
  <c r="CG53" i="20"/>
  <c r="CJ6" i="20"/>
  <c r="CG47" i="20"/>
  <c r="CM79" i="20"/>
  <c r="CL11" i="20"/>
  <c r="CI52" i="20"/>
  <c r="CH52" i="20"/>
  <c r="CK11" i="20"/>
  <c r="CJ79" i="20"/>
  <c r="CM38" i="20"/>
  <c r="CJ13" i="20"/>
  <c r="CG54" i="20"/>
  <c r="CL14" i="20"/>
  <c r="CI55" i="20"/>
  <c r="CI53" i="20"/>
  <c r="CL12" i="20"/>
  <c r="CI51" i="20"/>
  <c r="CL10" i="20"/>
  <c r="CI49" i="20"/>
  <c r="CL8" i="20"/>
  <c r="CI47" i="20"/>
  <c r="CL6" i="20"/>
  <c r="CJ81" i="20"/>
  <c r="CM40" i="20"/>
  <c r="D92" i="23"/>
  <c r="D63" i="23" l="1"/>
  <c r="D47" i="23"/>
  <c r="E47" i="23"/>
  <c r="F92" i="23" l="1"/>
  <c r="G92" i="23"/>
  <c r="H92" i="23"/>
  <c r="I92" i="23"/>
  <c r="J92" i="23"/>
  <c r="K92" i="23"/>
  <c r="L92" i="23"/>
  <c r="M92" i="23"/>
  <c r="N92" i="23"/>
  <c r="O92" i="23"/>
  <c r="P92" i="23"/>
  <c r="Q92" i="23"/>
  <c r="R92" i="23"/>
  <c r="S92" i="23"/>
  <c r="T92" i="23"/>
  <c r="U92" i="23"/>
  <c r="V92" i="23"/>
  <c r="W92" i="23"/>
  <c r="X92" i="23"/>
  <c r="Y92" i="23"/>
  <c r="Z92" i="23"/>
  <c r="AA92" i="23"/>
  <c r="AB92" i="23"/>
  <c r="AC92" i="23"/>
  <c r="AD92" i="23"/>
  <c r="AE92" i="23"/>
  <c r="AF92" i="23"/>
  <c r="E92" i="23"/>
  <c r="C92" i="23"/>
  <c r="AH79" i="23" l="1"/>
  <c r="AG79" i="23"/>
  <c r="AF79" i="23"/>
  <c r="AE79" i="23"/>
  <c r="AD79" i="23"/>
  <c r="AC79" i="23"/>
  <c r="AB79" i="23"/>
  <c r="AA79" i="23"/>
  <c r="Z79" i="23"/>
  <c r="Y79" i="23"/>
  <c r="X79" i="23"/>
  <c r="W79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AH70" i="23"/>
  <c r="AG70" i="23"/>
  <c r="AF70" i="23"/>
  <c r="AE70" i="23"/>
  <c r="AD70" i="23"/>
  <c r="AC70" i="23"/>
  <c r="AB70" i="23"/>
  <c r="AA70" i="23"/>
  <c r="X70" i="23"/>
  <c r="W70" i="23"/>
  <c r="AH69" i="23"/>
  <c r="AG69" i="23"/>
  <c r="AF69" i="23"/>
  <c r="AE69" i="23"/>
  <c r="AD69" i="23"/>
  <c r="AC69" i="23"/>
  <c r="AB69" i="23"/>
  <c r="AA69" i="23"/>
  <c r="Z69" i="23"/>
  <c r="Y69" i="23"/>
  <c r="X69" i="23"/>
  <c r="W69" i="23"/>
  <c r="AH68" i="23"/>
  <c r="AG68" i="23"/>
  <c r="AF68" i="23"/>
  <c r="AE68" i="23"/>
  <c r="AD68" i="23"/>
  <c r="AC68" i="23"/>
  <c r="AB68" i="23"/>
  <c r="AA68" i="23"/>
  <c r="Z68" i="23"/>
  <c r="Y68" i="23"/>
  <c r="X68" i="23"/>
  <c r="W68" i="23"/>
  <c r="AH67" i="23"/>
  <c r="AG67" i="23"/>
  <c r="AF67" i="23"/>
  <c r="AE67" i="23"/>
  <c r="AD67" i="23"/>
  <c r="AC67" i="23"/>
  <c r="AB67" i="23"/>
  <c r="AA67" i="23"/>
  <c r="Z67" i="23"/>
  <c r="Y67" i="23"/>
  <c r="X67" i="23"/>
  <c r="W67" i="23"/>
  <c r="AH66" i="23"/>
  <c r="AG66" i="23"/>
  <c r="AF66" i="23"/>
  <c r="AE66" i="23"/>
  <c r="AD66" i="23"/>
  <c r="AC66" i="23"/>
  <c r="AB66" i="23"/>
  <c r="AA66" i="23"/>
  <c r="Z66" i="23"/>
  <c r="Y66" i="23"/>
  <c r="X66" i="23"/>
  <c r="W66" i="23"/>
  <c r="AH65" i="23"/>
  <c r="AG65" i="23"/>
  <c r="AF65" i="23"/>
  <c r="AE65" i="23"/>
  <c r="AD65" i="23"/>
  <c r="AC65" i="23"/>
  <c r="AB65" i="23"/>
  <c r="AA65" i="23"/>
  <c r="Z65" i="23"/>
  <c r="Y65" i="23"/>
  <c r="X65" i="23"/>
  <c r="W65" i="23"/>
  <c r="AH64" i="23"/>
  <c r="AG64" i="23"/>
  <c r="AF64" i="23"/>
  <c r="AE64" i="23"/>
  <c r="AD64" i="23"/>
  <c r="AC64" i="23"/>
  <c r="AB64" i="23"/>
  <c r="AA64" i="23"/>
  <c r="Z64" i="23"/>
  <c r="Y64" i="23"/>
  <c r="X64" i="23"/>
  <c r="W64" i="23"/>
  <c r="AH58" i="23"/>
  <c r="AG58" i="23"/>
  <c r="AF58" i="23"/>
  <c r="AE58" i="23"/>
  <c r="AD58" i="23"/>
  <c r="AC58" i="23"/>
  <c r="AB58" i="23"/>
  <c r="AA58" i="23"/>
  <c r="Z58" i="23"/>
  <c r="Y58" i="23"/>
  <c r="X58" i="23"/>
  <c r="W58" i="23"/>
  <c r="AH57" i="23"/>
  <c r="AG57" i="23"/>
  <c r="AF57" i="23"/>
  <c r="AE57" i="23"/>
  <c r="AD57" i="23"/>
  <c r="AC57" i="23"/>
  <c r="AB57" i="23"/>
  <c r="AA57" i="23"/>
  <c r="Z57" i="23"/>
  <c r="Y57" i="23"/>
  <c r="X57" i="23"/>
  <c r="AH56" i="23"/>
  <c r="AG56" i="23"/>
  <c r="AF56" i="23"/>
  <c r="AE56" i="23"/>
  <c r="AD56" i="23"/>
  <c r="AC56" i="23"/>
  <c r="AB56" i="23"/>
  <c r="AA56" i="23"/>
  <c r="Z56" i="23"/>
  <c r="Y56" i="23"/>
  <c r="X56" i="23"/>
  <c r="AH55" i="23"/>
  <c r="AG55" i="23"/>
  <c r="AF55" i="23"/>
  <c r="AE55" i="23"/>
  <c r="AD55" i="23"/>
  <c r="AC55" i="23"/>
  <c r="AB55" i="23"/>
  <c r="AA55" i="23"/>
  <c r="Z55" i="23"/>
  <c r="Y55" i="23"/>
  <c r="X55" i="23"/>
  <c r="AH54" i="23"/>
  <c r="AG54" i="23"/>
  <c r="AF54" i="23"/>
  <c r="AE54" i="23"/>
  <c r="AD54" i="23"/>
  <c r="AC54" i="23"/>
  <c r="AB54" i="23"/>
  <c r="AA54" i="23"/>
  <c r="Z54" i="23"/>
  <c r="Y54" i="23"/>
  <c r="X54" i="23"/>
  <c r="AH53" i="23"/>
  <c r="AG53" i="23"/>
  <c r="AF53" i="23"/>
  <c r="AE53" i="23"/>
  <c r="AD53" i="23"/>
  <c r="AC53" i="23"/>
  <c r="AB53" i="23"/>
  <c r="AA53" i="23"/>
  <c r="Z53" i="23"/>
  <c r="Y53" i="23"/>
  <c r="X53" i="23"/>
  <c r="AH52" i="23"/>
  <c r="AG52" i="23"/>
  <c r="AF52" i="23"/>
  <c r="AE52" i="23"/>
  <c r="AD52" i="23"/>
  <c r="AC52" i="23"/>
  <c r="AB52" i="23"/>
  <c r="AA52" i="23"/>
  <c r="Z52" i="23"/>
  <c r="Y52" i="23"/>
  <c r="X52" i="23"/>
  <c r="AH51" i="23"/>
  <c r="AG51" i="23"/>
  <c r="AF51" i="23"/>
  <c r="AE51" i="23"/>
  <c r="AD51" i="23"/>
  <c r="AC51" i="23"/>
  <c r="AB51" i="23"/>
  <c r="AA51" i="23"/>
  <c r="Z51" i="23"/>
  <c r="Y51" i="23"/>
  <c r="X51" i="23"/>
  <c r="AH50" i="23"/>
  <c r="AG50" i="23"/>
  <c r="AF50" i="23"/>
  <c r="AE50" i="23"/>
  <c r="AD50" i="23"/>
  <c r="AC50" i="23"/>
  <c r="AB50" i="23"/>
  <c r="AA50" i="23"/>
  <c r="Z50" i="23"/>
  <c r="Y50" i="23"/>
  <c r="X50" i="23"/>
  <c r="AH49" i="23"/>
  <c r="AG49" i="23"/>
  <c r="AF49" i="23"/>
  <c r="AE49" i="23"/>
  <c r="AD49" i="23"/>
  <c r="AC49" i="23"/>
  <c r="AB49" i="23"/>
  <c r="AA49" i="23"/>
  <c r="Z49" i="23"/>
  <c r="Y49" i="23"/>
  <c r="X49" i="23"/>
  <c r="AH48" i="23"/>
  <c r="AG48" i="23"/>
  <c r="AF48" i="23"/>
  <c r="AE48" i="23"/>
  <c r="AD48" i="23"/>
  <c r="AC48" i="23"/>
  <c r="AB48" i="23"/>
  <c r="AA48" i="23"/>
  <c r="Z48" i="23"/>
  <c r="Y48" i="23"/>
  <c r="X48" i="23"/>
  <c r="AH42" i="23"/>
  <c r="AG42" i="23"/>
  <c r="W42" i="23"/>
  <c r="AH40" i="23"/>
  <c r="AH39" i="23"/>
  <c r="AH38" i="23"/>
  <c r="X8" i="23"/>
  <c r="Y8" i="23"/>
  <c r="Z8" i="23"/>
  <c r="AA8" i="23"/>
  <c r="AB8" i="23"/>
  <c r="AC8" i="23"/>
  <c r="AD8" i="23"/>
  <c r="AE8" i="23"/>
  <c r="AF8" i="23"/>
  <c r="AG8" i="23"/>
  <c r="AH8" i="23"/>
  <c r="X9" i="23"/>
  <c r="Y9" i="23"/>
  <c r="Z9" i="23"/>
  <c r="AA9" i="23"/>
  <c r="AB9" i="23"/>
  <c r="AC9" i="23"/>
  <c r="AD9" i="23"/>
  <c r="AE9" i="23"/>
  <c r="AF9" i="23"/>
  <c r="AG9" i="23"/>
  <c r="AH9" i="23"/>
  <c r="X10" i="23"/>
  <c r="Y10" i="23"/>
  <c r="Z10" i="23"/>
  <c r="AA10" i="23"/>
  <c r="AB10" i="23"/>
  <c r="AC10" i="23"/>
  <c r="AD10" i="23"/>
  <c r="AE10" i="23"/>
  <c r="AF10" i="23"/>
  <c r="AG10" i="23"/>
  <c r="AH10" i="23"/>
  <c r="X11" i="23"/>
  <c r="Y11" i="23"/>
  <c r="Z11" i="23"/>
  <c r="AA11" i="23"/>
  <c r="AB11" i="23"/>
  <c r="AC11" i="23"/>
  <c r="AD11" i="23"/>
  <c r="AE11" i="23"/>
  <c r="AF11" i="23"/>
  <c r="AG11" i="23"/>
  <c r="AH11" i="23"/>
  <c r="X12" i="23"/>
  <c r="Y12" i="23"/>
  <c r="Z12" i="23"/>
  <c r="AA12" i="23"/>
  <c r="AB12" i="23"/>
  <c r="AC12" i="23"/>
  <c r="AD12" i="23"/>
  <c r="AE12" i="23"/>
  <c r="AF12" i="23"/>
  <c r="AG12" i="23"/>
  <c r="AH12" i="23"/>
  <c r="X13" i="23"/>
  <c r="Y13" i="23"/>
  <c r="Z13" i="23"/>
  <c r="AA13" i="23"/>
  <c r="AB13" i="23"/>
  <c r="AC13" i="23"/>
  <c r="AD13" i="23"/>
  <c r="AE13" i="23"/>
  <c r="AF13" i="23"/>
  <c r="AG13" i="23"/>
  <c r="AH13" i="23"/>
  <c r="X14" i="23"/>
  <c r="Y14" i="23"/>
  <c r="Z14" i="23"/>
  <c r="AA14" i="23"/>
  <c r="AB14" i="23"/>
  <c r="AC14" i="23"/>
  <c r="AD14" i="23"/>
  <c r="AE14" i="23"/>
  <c r="AF14" i="23"/>
  <c r="AG14" i="23"/>
  <c r="AH14" i="23"/>
  <c r="X15" i="23"/>
  <c r="Y15" i="23"/>
  <c r="Z15" i="23"/>
  <c r="AA15" i="23"/>
  <c r="AB15" i="23"/>
  <c r="AC15" i="23"/>
  <c r="AD15" i="23"/>
  <c r="AE15" i="23"/>
  <c r="AF15" i="23"/>
  <c r="AG15" i="23"/>
  <c r="AH15" i="23"/>
  <c r="X16" i="23"/>
  <c r="Y16" i="23"/>
  <c r="Z16" i="23"/>
  <c r="AA16" i="23"/>
  <c r="AB16" i="23"/>
  <c r="AC16" i="23"/>
  <c r="AD16" i="23"/>
  <c r="AE16" i="23"/>
  <c r="AF16" i="23"/>
  <c r="AG16" i="23"/>
  <c r="AH16" i="23"/>
  <c r="X17" i="23"/>
  <c r="Y17" i="23"/>
  <c r="Z17" i="23"/>
  <c r="AA17" i="23"/>
  <c r="AB17" i="23"/>
  <c r="AC17" i="23"/>
  <c r="AD17" i="23"/>
  <c r="AE17" i="23"/>
  <c r="AF17" i="23"/>
  <c r="AG17" i="23"/>
  <c r="AH17" i="23"/>
  <c r="X18" i="23"/>
  <c r="Y18" i="23"/>
  <c r="Z18" i="23"/>
  <c r="AA18" i="23"/>
  <c r="AB18" i="23"/>
  <c r="AC18" i="23"/>
  <c r="AD18" i="23"/>
  <c r="AE18" i="23"/>
  <c r="AF18" i="23"/>
  <c r="AG18" i="23"/>
  <c r="AH18" i="23"/>
  <c r="X19" i="23"/>
  <c r="Y19" i="23"/>
  <c r="Z19" i="23"/>
  <c r="AA19" i="23"/>
  <c r="AB19" i="23"/>
  <c r="AC19" i="23"/>
  <c r="AD19" i="23"/>
  <c r="AE19" i="23"/>
  <c r="AF19" i="23"/>
  <c r="AG19" i="23"/>
  <c r="AH19" i="23"/>
  <c r="AH5" i="23"/>
  <c r="AG5" i="23"/>
  <c r="AF5" i="23"/>
  <c r="AE5" i="23"/>
  <c r="AD5" i="23"/>
  <c r="AC5" i="23"/>
  <c r="AB5" i="23"/>
  <c r="AA5" i="23"/>
  <c r="Z5" i="23"/>
  <c r="Y5" i="23"/>
  <c r="X5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F47" i="23"/>
  <c r="G47" i="23"/>
  <c r="H47" i="23"/>
  <c r="I47" i="23"/>
  <c r="J47" i="23"/>
  <c r="K47" i="23"/>
  <c r="L47" i="23"/>
  <c r="M47" i="23"/>
  <c r="N47" i="23"/>
  <c r="O47" i="23"/>
  <c r="P47" i="23"/>
  <c r="Q47" i="23"/>
  <c r="R47" i="23"/>
  <c r="S47" i="23"/>
  <c r="T47" i="23"/>
  <c r="U47" i="23"/>
  <c r="V47" i="23"/>
  <c r="W47" i="23"/>
  <c r="X47" i="23"/>
  <c r="Y47" i="23"/>
  <c r="Z47" i="23"/>
  <c r="AA47" i="23"/>
  <c r="AB47" i="23"/>
  <c r="AC47" i="23"/>
  <c r="AD47" i="23"/>
  <c r="AE47" i="23"/>
  <c r="AF47" i="23"/>
  <c r="AG47" i="23"/>
  <c r="AH47" i="23"/>
  <c r="AI47" i="23"/>
  <c r="DR17" i="12" l="1"/>
  <c r="DS17" i="12"/>
  <c r="CG24" i="12"/>
  <c r="CH24" i="12"/>
  <c r="CI24" i="12"/>
  <c r="CJ24" i="12"/>
  <c r="CK24" i="12"/>
  <c r="CL24" i="12"/>
  <c r="CM24" i="12"/>
  <c r="CN24" i="12"/>
  <c r="CO24" i="12"/>
  <c r="CP24" i="12"/>
  <c r="CQ24" i="12"/>
  <c r="CR24" i="12"/>
  <c r="CS24" i="12"/>
  <c r="CT24" i="12"/>
  <c r="CU24" i="12"/>
  <c r="CV24" i="12"/>
  <c r="CW24" i="12"/>
  <c r="CX24" i="12"/>
  <c r="CY24" i="12"/>
  <c r="CZ24" i="12"/>
  <c r="DA24" i="12"/>
  <c r="DB24" i="12"/>
  <c r="DC24" i="12"/>
  <c r="DD24" i="12"/>
  <c r="DE24" i="12"/>
  <c r="DF24" i="12"/>
  <c r="DG24" i="12"/>
  <c r="DH24" i="12"/>
  <c r="DI24" i="12"/>
  <c r="DJ24" i="12"/>
  <c r="DK24" i="12"/>
  <c r="DL24" i="12"/>
  <c r="DM24" i="12"/>
  <c r="DN24" i="12"/>
  <c r="DO24" i="12"/>
  <c r="DP24" i="12"/>
  <c r="DQ24" i="12"/>
  <c r="DR24" i="12"/>
  <c r="DS24" i="12"/>
  <c r="CG25" i="12"/>
  <c r="CH25" i="12"/>
  <c r="CI25" i="12"/>
  <c r="CJ25" i="12"/>
  <c r="CK25" i="12"/>
  <c r="CL25" i="12"/>
  <c r="CM25" i="12"/>
  <c r="CN25" i="12"/>
  <c r="CO25" i="12"/>
  <c r="CP25" i="12"/>
  <c r="CQ25" i="12"/>
  <c r="CR25" i="12"/>
  <c r="CS25" i="12"/>
  <c r="CT25" i="12"/>
  <c r="CU25" i="12"/>
  <c r="CV25" i="12"/>
  <c r="CW25" i="12"/>
  <c r="CX25" i="12"/>
  <c r="CY25" i="12"/>
  <c r="CZ25" i="12"/>
  <c r="DA25" i="12"/>
  <c r="DB25" i="12"/>
  <c r="DC25" i="12"/>
  <c r="DD25" i="12"/>
  <c r="DE25" i="12"/>
  <c r="DF25" i="12"/>
  <c r="DG25" i="12"/>
  <c r="DH25" i="12"/>
  <c r="DI25" i="12"/>
  <c r="DJ25" i="12"/>
  <c r="DK25" i="12"/>
  <c r="DL25" i="12"/>
  <c r="DM25" i="12"/>
  <c r="DN25" i="12"/>
  <c r="DO25" i="12"/>
  <c r="DP25" i="12"/>
  <c r="DQ25" i="12"/>
  <c r="DR25" i="12"/>
  <c r="DS25" i="12"/>
  <c r="CG26" i="12"/>
  <c r="CH26" i="12"/>
  <c r="CI26" i="12"/>
  <c r="CJ26" i="12"/>
  <c r="CK26" i="12"/>
  <c r="CL26" i="12"/>
  <c r="CM26" i="12"/>
  <c r="CN26" i="12"/>
  <c r="CO26" i="12"/>
  <c r="CP26" i="12"/>
  <c r="CQ26" i="12"/>
  <c r="CR26" i="12"/>
  <c r="CS26" i="12"/>
  <c r="CT26" i="12"/>
  <c r="CU26" i="12"/>
  <c r="CV26" i="12"/>
  <c r="CW26" i="12"/>
  <c r="CX26" i="12"/>
  <c r="CY26" i="12"/>
  <c r="CZ26" i="12"/>
  <c r="DA26" i="12"/>
  <c r="DB26" i="12"/>
  <c r="DC26" i="12"/>
  <c r="DD26" i="12"/>
  <c r="DE26" i="12"/>
  <c r="DF26" i="12"/>
  <c r="DG26" i="12"/>
  <c r="DH26" i="12"/>
  <c r="DI26" i="12"/>
  <c r="DJ26" i="12"/>
  <c r="DK26" i="12"/>
  <c r="DL26" i="12"/>
  <c r="DM26" i="12"/>
  <c r="DN26" i="12"/>
  <c r="DO26" i="12"/>
  <c r="DP26" i="12"/>
  <c r="DQ26" i="12"/>
  <c r="DR26" i="12"/>
  <c r="DS26" i="12"/>
  <c r="CG27" i="12"/>
  <c r="CH27" i="12"/>
  <c r="CI27" i="12"/>
  <c r="CJ27" i="12"/>
  <c r="CK27" i="12"/>
  <c r="CL27" i="12"/>
  <c r="CM27" i="12"/>
  <c r="CN27" i="12"/>
  <c r="CO27" i="12"/>
  <c r="CP27" i="12"/>
  <c r="CQ27" i="12"/>
  <c r="CR27" i="12"/>
  <c r="CS27" i="12"/>
  <c r="CT27" i="12"/>
  <c r="CU27" i="12"/>
  <c r="CV27" i="12"/>
  <c r="CW27" i="12"/>
  <c r="CX27" i="12"/>
  <c r="CY27" i="12"/>
  <c r="CZ27" i="12"/>
  <c r="DA27" i="12"/>
  <c r="DB27" i="12"/>
  <c r="DC27" i="12"/>
  <c r="DD27" i="12"/>
  <c r="DE27" i="12"/>
  <c r="DF27" i="12"/>
  <c r="DG27" i="12"/>
  <c r="DH27" i="12"/>
  <c r="DI27" i="12"/>
  <c r="DJ27" i="12"/>
  <c r="DK27" i="12"/>
  <c r="DL27" i="12"/>
  <c r="DM27" i="12"/>
  <c r="DN27" i="12"/>
  <c r="DO27" i="12"/>
  <c r="DP27" i="12"/>
  <c r="DQ27" i="12"/>
  <c r="DR27" i="12"/>
  <c r="DS27" i="12"/>
  <c r="CG29" i="12"/>
  <c r="CH29" i="12"/>
  <c r="CI29" i="12"/>
  <c r="CJ29" i="12"/>
  <c r="CK29" i="12"/>
  <c r="CL29" i="12"/>
  <c r="CM29" i="12"/>
  <c r="CN29" i="12"/>
  <c r="CO29" i="12"/>
  <c r="CP29" i="12"/>
  <c r="CQ29" i="12"/>
  <c r="CR29" i="12"/>
  <c r="CS29" i="12"/>
  <c r="CT29" i="12"/>
  <c r="CU29" i="12"/>
  <c r="CV29" i="12"/>
  <c r="CW29" i="12"/>
  <c r="CX29" i="12"/>
  <c r="CY29" i="12"/>
  <c r="CZ29" i="12"/>
  <c r="DA29" i="12"/>
  <c r="DB29" i="12"/>
  <c r="DC29" i="12"/>
  <c r="DD29" i="12"/>
  <c r="DE29" i="12"/>
  <c r="DF29" i="12"/>
  <c r="DG29" i="12"/>
  <c r="DH29" i="12"/>
  <c r="DI29" i="12"/>
  <c r="DJ29" i="12"/>
  <c r="DK29" i="12"/>
  <c r="DL29" i="12"/>
  <c r="DM29" i="12"/>
  <c r="DN29" i="12"/>
  <c r="DO29" i="12"/>
  <c r="DP29" i="12"/>
  <c r="DQ29" i="12"/>
  <c r="DR29" i="12"/>
  <c r="DS29" i="12"/>
  <c r="CG30" i="12"/>
  <c r="CH30" i="12"/>
  <c r="CI30" i="12"/>
  <c r="CJ30" i="12"/>
  <c r="CK30" i="12"/>
  <c r="CL30" i="12"/>
  <c r="CM30" i="12"/>
  <c r="CN30" i="12"/>
  <c r="CO30" i="12"/>
  <c r="CP30" i="12"/>
  <c r="CQ30" i="12"/>
  <c r="CR30" i="12"/>
  <c r="CS30" i="12"/>
  <c r="CT30" i="12"/>
  <c r="CU30" i="12"/>
  <c r="CV30" i="12"/>
  <c r="CW30" i="12"/>
  <c r="CX30" i="12"/>
  <c r="CY30" i="12"/>
  <c r="CZ30" i="12"/>
  <c r="DA30" i="12"/>
  <c r="DB30" i="12"/>
  <c r="DC30" i="12"/>
  <c r="DD30" i="12"/>
  <c r="DE30" i="12"/>
  <c r="DF30" i="12"/>
  <c r="DG30" i="12"/>
  <c r="DH30" i="12"/>
  <c r="DI30" i="12"/>
  <c r="DJ30" i="12"/>
  <c r="DK30" i="12"/>
  <c r="DL30" i="12"/>
  <c r="DM30" i="12"/>
  <c r="DN30" i="12"/>
  <c r="DO30" i="12"/>
  <c r="DP30" i="12"/>
  <c r="DQ30" i="12"/>
  <c r="DR30" i="12"/>
  <c r="DS30" i="12"/>
  <c r="CG31" i="12"/>
  <c r="CH31" i="12"/>
  <c r="CI31" i="12"/>
  <c r="CJ31" i="12"/>
  <c r="CK31" i="12"/>
  <c r="CL31" i="12"/>
  <c r="CM31" i="12"/>
  <c r="CN31" i="12"/>
  <c r="CO31" i="12"/>
  <c r="CP31" i="12"/>
  <c r="CQ31" i="12"/>
  <c r="CR31" i="12"/>
  <c r="CS31" i="12"/>
  <c r="CT31" i="12"/>
  <c r="CU31" i="12"/>
  <c r="CV31" i="12"/>
  <c r="CW31" i="12"/>
  <c r="CX31" i="12"/>
  <c r="CY31" i="12"/>
  <c r="CZ31" i="12"/>
  <c r="DA31" i="12"/>
  <c r="DB31" i="12"/>
  <c r="DC31" i="12"/>
  <c r="DD31" i="12"/>
  <c r="DE31" i="12"/>
  <c r="DF31" i="12"/>
  <c r="DG31" i="12"/>
  <c r="DH31" i="12"/>
  <c r="DI31" i="12"/>
  <c r="DJ31" i="12"/>
  <c r="DK31" i="12"/>
  <c r="DL31" i="12"/>
  <c r="DM31" i="12"/>
  <c r="DN31" i="12"/>
  <c r="DO31" i="12"/>
  <c r="DP31" i="12"/>
  <c r="DQ31" i="12"/>
  <c r="DR31" i="12"/>
  <c r="DS31" i="12"/>
  <c r="CG33" i="12"/>
  <c r="CH33" i="12"/>
  <c r="CI33" i="12"/>
  <c r="CJ33" i="12"/>
  <c r="CK33" i="12"/>
  <c r="CL33" i="12"/>
  <c r="CM33" i="12"/>
  <c r="CN33" i="12"/>
  <c r="CO33" i="12"/>
  <c r="CP33" i="12"/>
  <c r="CQ33" i="12"/>
  <c r="CR33" i="12"/>
  <c r="CS33" i="12"/>
  <c r="CT33" i="12"/>
  <c r="CU33" i="12"/>
  <c r="CV33" i="12"/>
  <c r="CW33" i="12"/>
  <c r="CX33" i="12"/>
  <c r="CY33" i="12"/>
  <c r="CZ33" i="12"/>
  <c r="DA33" i="12"/>
  <c r="DB33" i="12"/>
  <c r="DC33" i="12"/>
  <c r="DD33" i="12"/>
  <c r="DE33" i="12"/>
  <c r="DF33" i="12"/>
  <c r="DG33" i="12"/>
  <c r="DH33" i="12"/>
  <c r="DI33" i="12"/>
  <c r="DJ33" i="12"/>
  <c r="DK33" i="12"/>
  <c r="DL33" i="12"/>
  <c r="DM33" i="12"/>
  <c r="DN33" i="12"/>
  <c r="DO33" i="12"/>
  <c r="DP33" i="12"/>
  <c r="DQ33" i="12"/>
  <c r="DR33" i="12"/>
  <c r="DS33" i="12"/>
  <c r="CG34" i="12"/>
  <c r="CH34" i="12"/>
  <c r="CI34" i="12"/>
  <c r="CJ34" i="12"/>
  <c r="CK34" i="12"/>
  <c r="CL34" i="12"/>
  <c r="CM34" i="12"/>
  <c r="CN34" i="12"/>
  <c r="CO34" i="12"/>
  <c r="CP34" i="12"/>
  <c r="CQ34" i="12"/>
  <c r="CR34" i="12"/>
  <c r="CS34" i="12"/>
  <c r="CT34" i="12"/>
  <c r="CU34" i="12"/>
  <c r="CV34" i="12"/>
  <c r="CW34" i="12"/>
  <c r="CX34" i="12"/>
  <c r="CY34" i="12"/>
  <c r="CZ34" i="12"/>
  <c r="DA34" i="12"/>
  <c r="DB34" i="12"/>
  <c r="DC34" i="12"/>
  <c r="DD34" i="12"/>
  <c r="DE34" i="12"/>
  <c r="DF34" i="12"/>
  <c r="DG34" i="12"/>
  <c r="DH34" i="12"/>
  <c r="DI34" i="12"/>
  <c r="DJ34" i="12"/>
  <c r="DK34" i="12"/>
  <c r="DL34" i="12"/>
  <c r="DM34" i="12"/>
  <c r="DN34" i="12"/>
  <c r="DO34" i="12"/>
  <c r="DP34" i="12"/>
  <c r="DQ34" i="12"/>
  <c r="DR34" i="12"/>
  <c r="DS34" i="12"/>
  <c r="CG35" i="12"/>
  <c r="CH35" i="12"/>
  <c r="CI35" i="12"/>
  <c r="CJ35" i="12"/>
  <c r="CK35" i="12"/>
  <c r="CL35" i="12"/>
  <c r="CM35" i="12"/>
  <c r="CN35" i="12"/>
  <c r="CO35" i="12"/>
  <c r="CP35" i="12"/>
  <c r="CQ35" i="12"/>
  <c r="CR35" i="12"/>
  <c r="CS35" i="12"/>
  <c r="CT35" i="12"/>
  <c r="CU35" i="12"/>
  <c r="CV35" i="12"/>
  <c r="CW35" i="12"/>
  <c r="CX35" i="12"/>
  <c r="CY35" i="12"/>
  <c r="CZ35" i="12"/>
  <c r="DA35" i="12"/>
  <c r="DB35" i="12"/>
  <c r="DC35" i="12"/>
  <c r="DD35" i="12"/>
  <c r="DE35" i="12"/>
  <c r="DF35" i="12"/>
  <c r="DG35" i="12"/>
  <c r="DH35" i="12"/>
  <c r="DI35" i="12"/>
  <c r="DJ35" i="12"/>
  <c r="DK35" i="12"/>
  <c r="DL35" i="12"/>
  <c r="DM35" i="12"/>
  <c r="DN35" i="12"/>
  <c r="DO35" i="12"/>
  <c r="DP35" i="12"/>
  <c r="DQ35" i="12"/>
  <c r="DR35" i="12"/>
  <c r="DS35" i="12"/>
  <c r="CG36" i="12"/>
  <c r="CH36" i="12"/>
  <c r="CI36" i="12"/>
  <c r="CJ36" i="12"/>
  <c r="CK36" i="12"/>
  <c r="CL36" i="12"/>
  <c r="CM36" i="12"/>
  <c r="CN36" i="12"/>
  <c r="CO36" i="12"/>
  <c r="CP36" i="12"/>
  <c r="CQ36" i="12"/>
  <c r="CR36" i="12"/>
  <c r="CS36" i="12"/>
  <c r="CT36" i="12"/>
  <c r="CU36" i="12"/>
  <c r="CV36" i="12"/>
  <c r="CW36" i="12"/>
  <c r="CX36" i="12"/>
  <c r="CY36" i="12"/>
  <c r="CZ36" i="12"/>
  <c r="DA36" i="12"/>
  <c r="DB36" i="12"/>
  <c r="DC36" i="12"/>
  <c r="DD36" i="12"/>
  <c r="DE36" i="12"/>
  <c r="DF36" i="12"/>
  <c r="DG36" i="12"/>
  <c r="DH36" i="12"/>
  <c r="DI36" i="12"/>
  <c r="DJ36" i="12"/>
  <c r="DK36" i="12"/>
  <c r="DL36" i="12"/>
  <c r="DM36" i="12"/>
  <c r="DN36" i="12"/>
  <c r="DO36" i="12"/>
  <c r="DP36" i="12"/>
  <c r="DQ36" i="12"/>
  <c r="DR36" i="12"/>
  <c r="DS36" i="12"/>
  <c r="CD5" i="21" l="1"/>
  <c r="CE5" i="21"/>
  <c r="CF5" i="21"/>
  <c r="CD6" i="21"/>
  <c r="CD47" i="20" s="1"/>
  <c r="CE6" i="21"/>
  <c r="CF6" i="21"/>
  <c r="CD7" i="21"/>
  <c r="CE7" i="21"/>
  <c r="CF7" i="21"/>
  <c r="CD8" i="21"/>
  <c r="CE8" i="21"/>
  <c r="CF8" i="21"/>
  <c r="CD9" i="21"/>
  <c r="CE9" i="21"/>
  <c r="CF9" i="21"/>
  <c r="CD10" i="21"/>
  <c r="CE10" i="21"/>
  <c r="CF10" i="21"/>
  <c r="CD11" i="21"/>
  <c r="CE11" i="21"/>
  <c r="CF11" i="21"/>
  <c r="CD12" i="21"/>
  <c r="CD53" i="20" s="1"/>
  <c r="CE12" i="21"/>
  <c r="CF12" i="21"/>
  <c r="CD13" i="21"/>
  <c r="CE13" i="21"/>
  <c r="CF13" i="21"/>
  <c r="CD14" i="21"/>
  <c r="CE14" i="21"/>
  <c r="CF14" i="21"/>
  <c r="CD15" i="21"/>
  <c r="CE15" i="21"/>
  <c r="CE56" i="20" s="1"/>
  <c r="CF15" i="21"/>
  <c r="CD16" i="21"/>
  <c r="CD17" i="21"/>
  <c r="CD18" i="21"/>
  <c r="CD19" i="21"/>
  <c r="CD21" i="21"/>
  <c r="CD22" i="21"/>
  <c r="CC5" i="21"/>
  <c r="CC6" i="21"/>
  <c r="CC7" i="21"/>
  <c r="CC8" i="21"/>
  <c r="CC9" i="21"/>
  <c r="CC10" i="21"/>
  <c r="CC11" i="21"/>
  <c r="CC12" i="21"/>
  <c r="CC13" i="21"/>
  <c r="CC14" i="21"/>
  <c r="CC15" i="21"/>
  <c r="CQ5" i="12"/>
  <c r="E114" i="20"/>
  <c r="F114" i="20"/>
  <c r="G114" i="20"/>
  <c r="H114" i="20"/>
  <c r="I114" i="20"/>
  <c r="J114" i="20"/>
  <c r="K114" i="20"/>
  <c r="L114" i="20"/>
  <c r="M114" i="20"/>
  <c r="N114" i="20"/>
  <c r="O114" i="20"/>
  <c r="P114" i="20"/>
  <c r="Q114" i="20"/>
  <c r="R114" i="20"/>
  <c r="S114" i="20"/>
  <c r="T114" i="20"/>
  <c r="U114" i="20"/>
  <c r="V114" i="20"/>
  <c r="W114" i="20"/>
  <c r="X114" i="20"/>
  <c r="Y114" i="20"/>
  <c r="Z114" i="20"/>
  <c r="AA114" i="20"/>
  <c r="AB114" i="20"/>
  <c r="AC114" i="20"/>
  <c r="AD114" i="20"/>
  <c r="AE114" i="20"/>
  <c r="AF114" i="20"/>
  <c r="AG114" i="20"/>
  <c r="AH114" i="20"/>
  <c r="AI114" i="20"/>
  <c r="AJ114" i="20"/>
  <c r="AK114" i="20"/>
  <c r="AL114" i="20"/>
  <c r="AM114" i="20"/>
  <c r="AN114" i="20"/>
  <c r="AO114" i="20"/>
  <c r="AP114" i="20"/>
  <c r="AQ114" i="20"/>
  <c r="AR114" i="20"/>
  <c r="AS114" i="20"/>
  <c r="AT114" i="20"/>
  <c r="AU114" i="20"/>
  <c r="AV114" i="20"/>
  <c r="AW114" i="20"/>
  <c r="AX114" i="20"/>
  <c r="AY114" i="20"/>
  <c r="AZ114" i="20"/>
  <c r="BA114" i="20"/>
  <c r="BB114" i="20"/>
  <c r="BC114" i="20"/>
  <c r="BD114" i="20"/>
  <c r="BE114" i="20"/>
  <c r="BF114" i="20"/>
  <c r="BG114" i="20"/>
  <c r="BH114" i="20"/>
  <c r="BI114" i="20"/>
  <c r="BJ114" i="20"/>
  <c r="BK114" i="20"/>
  <c r="BL114" i="20"/>
  <c r="BM114" i="20"/>
  <c r="BN114" i="20"/>
  <c r="BO114" i="20"/>
  <c r="BP114" i="20"/>
  <c r="BQ114" i="20"/>
  <c r="BR114" i="20"/>
  <c r="BS114" i="20"/>
  <c r="BT114" i="20"/>
  <c r="BU114" i="20"/>
  <c r="BV114" i="20"/>
  <c r="BW114" i="20"/>
  <c r="BX114" i="20"/>
  <c r="BY114" i="20"/>
  <c r="BZ114" i="20"/>
  <c r="CA114" i="20"/>
  <c r="CB114" i="20"/>
  <c r="CC114" i="20"/>
  <c r="CD114" i="20"/>
  <c r="CE114" i="20"/>
  <c r="D114" i="20"/>
  <c r="H98" i="20"/>
  <c r="I98" i="20"/>
  <c r="J98" i="20"/>
  <c r="K98" i="20"/>
  <c r="L98" i="20"/>
  <c r="M98" i="20"/>
  <c r="N98" i="20"/>
  <c r="O98" i="20"/>
  <c r="P98" i="20"/>
  <c r="Q98" i="20"/>
  <c r="R98" i="20"/>
  <c r="S98" i="20"/>
  <c r="T98" i="20"/>
  <c r="U98" i="20"/>
  <c r="V98" i="20"/>
  <c r="W98" i="20"/>
  <c r="X98" i="20"/>
  <c r="Y98" i="20"/>
  <c r="Z98" i="20"/>
  <c r="AA98" i="20"/>
  <c r="AB98" i="20"/>
  <c r="AC98" i="20"/>
  <c r="AD98" i="20"/>
  <c r="AE98" i="20"/>
  <c r="AF98" i="20"/>
  <c r="AG98" i="20"/>
  <c r="AH98" i="20"/>
  <c r="AI98" i="20"/>
  <c r="AJ98" i="20"/>
  <c r="AK98" i="20"/>
  <c r="AL98" i="20"/>
  <c r="AM98" i="20"/>
  <c r="AN98" i="20"/>
  <c r="AO98" i="20"/>
  <c r="AP98" i="20"/>
  <c r="AQ98" i="20"/>
  <c r="AR98" i="20"/>
  <c r="AS98" i="20"/>
  <c r="AT98" i="20"/>
  <c r="AU98" i="20"/>
  <c r="AV98" i="20"/>
  <c r="AW98" i="20"/>
  <c r="AX98" i="20"/>
  <c r="AY98" i="20"/>
  <c r="AZ98" i="20"/>
  <c r="BA98" i="20"/>
  <c r="BB98" i="20"/>
  <c r="BC98" i="20"/>
  <c r="BD98" i="20"/>
  <c r="BE98" i="20"/>
  <c r="BF98" i="20"/>
  <c r="BG98" i="20"/>
  <c r="BH98" i="20"/>
  <c r="BI98" i="20"/>
  <c r="BJ98" i="20"/>
  <c r="BK98" i="20"/>
  <c r="BL98" i="20"/>
  <c r="BM98" i="20"/>
  <c r="BN98" i="20"/>
  <c r="BO98" i="20"/>
  <c r="BP98" i="20"/>
  <c r="BQ98" i="20"/>
  <c r="BR98" i="20"/>
  <c r="BS98" i="20"/>
  <c r="BT98" i="20"/>
  <c r="BU98" i="20"/>
  <c r="BV98" i="20"/>
  <c r="BW98" i="20"/>
  <c r="BX98" i="20"/>
  <c r="BY98" i="20"/>
  <c r="BZ98" i="20"/>
  <c r="CA98" i="20"/>
  <c r="CB98" i="20"/>
  <c r="CC98" i="20"/>
  <c r="CD98" i="20"/>
  <c r="CE98" i="20"/>
  <c r="G98" i="20"/>
  <c r="BW64" i="21"/>
  <c r="BX64" i="21"/>
  <c r="BY64" i="21"/>
  <c r="BZ64" i="21"/>
  <c r="CA64" i="21"/>
  <c r="CB64" i="21"/>
  <c r="CC64" i="21"/>
  <c r="CD64" i="21"/>
  <c r="CD103" i="20" s="1"/>
  <c r="CE64" i="21"/>
  <c r="CF64" i="21"/>
  <c r="CG64" i="21"/>
  <c r="CH64" i="21"/>
  <c r="CI64" i="21"/>
  <c r="BW65" i="21"/>
  <c r="BX65" i="21"/>
  <c r="BY65" i="21"/>
  <c r="BZ65" i="21"/>
  <c r="CA65" i="21"/>
  <c r="CB65" i="21"/>
  <c r="CC65" i="21"/>
  <c r="CC104" i="20" s="1"/>
  <c r="CC120" i="20" s="1"/>
  <c r="CD65" i="21"/>
  <c r="CD104" i="20" s="1"/>
  <c r="CD120" i="20" s="1"/>
  <c r="CE65" i="21"/>
  <c r="CF65" i="21"/>
  <c r="CG65" i="21"/>
  <c r="CH65" i="21"/>
  <c r="CI65" i="21"/>
  <c r="BW66" i="21"/>
  <c r="BX66" i="21"/>
  <c r="BY66" i="21"/>
  <c r="BZ66" i="21"/>
  <c r="CA66" i="21"/>
  <c r="CB66" i="21"/>
  <c r="CB105" i="20" s="1"/>
  <c r="CC66" i="21"/>
  <c r="CD66" i="21"/>
  <c r="CE66" i="21"/>
  <c r="CF66" i="21"/>
  <c r="CG66" i="21"/>
  <c r="CH66" i="21"/>
  <c r="CI66" i="21"/>
  <c r="BW67" i="21"/>
  <c r="BX67" i="21"/>
  <c r="BY67" i="21"/>
  <c r="BZ67" i="21"/>
  <c r="CA67" i="21"/>
  <c r="CA106" i="20" s="1"/>
  <c r="CB67" i="21"/>
  <c r="CC67" i="21"/>
  <c r="CD67" i="21"/>
  <c r="CE67" i="21"/>
  <c r="CF67" i="21"/>
  <c r="CG67" i="21"/>
  <c r="CH67" i="21"/>
  <c r="CI67" i="21"/>
  <c r="BW68" i="21"/>
  <c r="BX68" i="21"/>
  <c r="BY68" i="21"/>
  <c r="BZ68" i="21"/>
  <c r="CA68" i="21"/>
  <c r="CB68" i="21"/>
  <c r="CC68" i="21"/>
  <c r="CD68" i="21"/>
  <c r="CE68" i="21"/>
  <c r="CF68" i="21"/>
  <c r="CG68" i="21"/>
  <c r="CH68" i="21"/>
  <c r="CI68" i="21"/>
  <c r="BW69" i="21"/>
  <c r="BX69" i="21"/>
  <c r="BY69" i="21"/>
  <c r="BU108" i="20" s="1"/>
  <c r="BZ69" i="21"/>
  <c r="CA69" i="21"/>
  <c r="CB69" i="21"/>
  <c r="CC69" i="21"/>
  <c r="CD69" i="21"/>
  <c r="CE69" i="21"/>
  <c r="CF69" i="21"/>
  <c r="CG69" i="21"/>
  <c r="CH69" i="21"/>
  <c r="CI69" i="21"/>
  <c r="BW70" i="21"/>
  <c r="BX70" i="21"/>
  <c r="BY70" i="21"/>
  <c r="BZ70" i="21"/>
  <c r="CA70" i="21"/>
  <c r="CB70" i="21"/>
  <c r="CC70" i="21"/>
  <c r="CD70" i="21"/>
  <c r="CE70" i="21"/>
  <c r="CF70" i="21"/>
  <c r="CG70" i="21"/>
  <c r="CH70" i="21"/>
  <c r="CI70" i="21"/>
  <c r="BW71" i="21"/>
  <c r="BW110" i="20" s="1"/>
  <c r="BX71" i="21"/>
  <c r="BY71" i="21"/>
  <c r="BZ71" i="21"/>
  <c r="CA71" i="21"/>
  <c r="CB71" i="21"/>
  <c r="CC71" i="21"/>
  <c r="CD71" i="21"/>
  <c r="CE71" i="21"/>
  <c r="CF71" i="21"/>
  <c r="CG71" i="21"/>
  <c r="CH71" i="21"/>
  <c r="CI71" i="21"/>
  <c r="BW72" i="21"/>
  <c r="BX72" i="21"/>
  <c r="BY72" i="21"/>
  <c r="BZ72" i="21"/>
  <c r="CA72" i="21"/>
  <c r="CB72" i="21"/>
  <c r="CC72" i="21"/>
  <c r="CD72" i="21"/>
  <c r="CE72" i="21"/>
  <c r="CF72" i="21"/>
  <c r="CG72" i="21"/>
  <c r="CH72" i="21"/>
  <c r="CI72" i="21"/>
  <c r="BW73" i="21"/>
  <c r="BX73" i="21"/>
  <c r="BY73" i="21"/>
  <c r="BZ73" i="21"/>
  <c r="CA73" i="21"/>
  <c r="CB73" i="21"/>
  <c r="CC73" i="21"/>
  <c r="CD73" i="21"/>
  <c r="CE73" i="21"/>
  <c r="CF73" i="21"/>
  <c r="CG73" i="21"/>
  <c r="CH73" i="21"/>
  <c r="CI73" i="21"/>
  <c r="BW74" i="21"/>
  <c r="BX74" i="21"/>
  <c r="BY74" i="21"/>
  <c r="BZ74" i="21"/>
  <c r="CA74" i="21"/>
  <c r="CB74" i="21"/>
  <c r="CC74" i="21"/>
  <c r="CD74" i="21"/>
  <c r="CE74" i="21"/>
  <c r="CF74" i="21"/>
  <c r="CG74" i="21"/>
  <c r="CH74" i="21"/>
  <c r="CI74" i="21"/>
  <c r="BW48" i="21"/>
  <c r="BX48" i="21"/>
  <c r="BY48" i="21"/>
  <c r="BZ48" i="21"/>
  <c r="CA48" i="21"/>
  <c r="CB48" i="21"/>
  <c r="CC48" i="21"/>
  <c r="CD48" i="21"/>
  <c r="CE48" i="21"/>
  <c r="CF48" i="21"/>
  <c r="CG48" i="21"/>
  <c r="CH48" i="21"/>
  <c r="CI48" i="21"/>
  <c r="BW49" i="21"/>
  <c r="BX49" i="21"/>
  <c r="BY49" i="21"/>
  <c r="BZ49" i="21"/>
  <c r="CA49" i="21"/>
  <c r="CB49" i="21"/>
  <c r="CC49" i="21"/>
  <c r="CD49" i="21"/>
  <c r="CE49" i="21"/>
  <c r="CF49" i="21"/>
  <c r="CG49" i="21"/>
  <c r="CH49" i="21"/>
  <c r="CI49" i="21"/>
  <c r="BW50" i="21"/>
  <c r="BX50" i="21"/>
  <c r="BY50" i="21"/>
  <c r="BZ50" i="21"/>
  <c r="CA50" i="21"/>
  <c r="CB50" i="21"/>
  <c r="CC50" i="21"/>
  <c r="CD50" i="21"/>
  <c r="CE50" i="21"/>
  <c r="CF50" i="21"/>
  <c r="CG50" i="21"/>
  <c r="CH50" i="21"/>
  <c r="CI50" i="21"/>
  <c r="BW51" i="21"/>
  <c r="BX51" i="21"/>
  <c r="BY51" i="21"/>
  <c r="BZ51" i="21"/>
  <c r="CA51" i="21"/>
  <c r="CB51" i="21"/>
  <c r="CC51" i="21"/>
  <c r="CD51" i="21"/>
  <c r="CE51" i="21"/>
  <c r="CF51" i="21"/>
  <c r="CG51" i="21"/>
  <c r="CH51" i="21"/>
  <c r="CI51" i="21"/>
  <c r="BW52" i="21"/>
  <c r="BX52" i="21"/>
  <c r="BY52" i="21"/>
  <c r="BZ52" i="21"/>
  <c r="CA52" i="21"/>
  <c r="CB52" i="21"/>
  <c r="CC52" i="21"/>
  <c r="CD52" i="21"/>
  <c r="CE52" i="21"/>
  <c r="CF52" i="21"/>
  <c r="CG52" i="21"/>
  <c r="CH52" i="21"/>
  <c r="CI52" i="21"/>
  <c r="BW53" i="21"/>
  <c r="BX53" i="21"/>
  <c r="BY53" i="21"/>
  <c r="BZ53" i="21"/>
  <c r="CA53" i="21"/>
  <c r="CB53" i="21"/>
  <c r="CC53" i="21"/>
  <c r="CD53" i="21"/>
  <c r="CE53" i="21"/>
  <c r="CF53" i="21"/>
  <c r="CG53" i="21"/>
  <c r="CH53" i="21"/>
  <c r="CI53" i="21"/>
  <c r="BW54" i="21"/>
  <c r="BX54" i="21"/>
  <c r="BY54" i="21"/>
  <c r="BZ54" i="21"/>
  <c r="CA54" i="21"/>
  <c r="CB54" i="21"/>
  <c r="CC54" i="21"/>
  <c r="CD54" i="21"/>
  <c r="CE54" i="21"/>
  <c r="CF54" i="21"/>
  <c r="CG54" i="21"/>
  <c r="CH54" i="21"/>
  <c r="CI54" i="21"/>
  <c r="BW55" i="21"/>
  <c r="BX55" i="21"/>
  <c r="BY55" i="21"/>
  <c r="BZ55" i="21"/>
  <c r="CA55" i="21"/>
  <c r="CB55" i="21"/>
  <c r="CC55" i="21"/>
  <c r="CD55" i="21"/>
  <c r="CE55" i="21"/>
  <c r="CF55" i="21"/>
  <c r="CG55" i="21"/>
  <c r="CH55" i="21"/>
  <c r="CI55" i="21"/>
  <c r="BW56" i="21"/>
  <c r="BX56" i="21"/>
  <c r="BY56" i="21"/>
  <c r="BZ56" i="21"/>
  <c r="CA56" i="21"/>
  <c r="CB56" i="21"/>
  <c r="CC56" i="21"/>
  <c r="CD56" i="21"/>
  <c r="CE56" i="21"/>
  <c r="CF56" i="21"/>
  <c r="CG56" i="21"/>
  <c r="CH56" i="21"/>
  <c r="CI56" i="21"/>
  <c r="BW57" i="21"/>
  <c r="BX57" i="21"/>
  <c r="BY57" i="21"/>
  <c r="BZ57" i="21"/>
  <c r="CA57" i="21"/>
  <c r="CB57" i="21"/>
  <c r="CC57" i="21"/>
  <c r="CD57" i="21"/>
  <c r="CE57" i="21"/>
  <c r="CF57" i="21"/>
  <c r="CG57" i="21"/>
  <c r="CH57" i="21"/>
  <c r="CI57" i="21"/>
  <c r="BW58" i="21"/>
  <c r="BX58" i="21"/>
  <c r="BY58" i="21"/>
  <c r="BZ58" i="21"/>
  <c r="CA58" i="21"/>
  <c r="CB58" i="21"/>
  <c r="CC58" i="21"/>
  <c r="CD58" i="21"/>
  <c r="CE58" i="21"/>
  <c r="CF58" i="21"/>
  <c r="CG58" i="21"/>
  <c r="CH58" i="21"/>
  <c r="CI58" i="21"/>
  <c r="BW16" i="21"/>
  <c r="BX16" i="21"/>
  <c r="BY16" i="21"/>
  <c r="BZ16" i="21"/>
  <c r="CA16" i="21"/>
  <c r="CB16" i="21"/>
  <c r="CC16" i="21"/>
  <c r="CE16" i="21"/>
  <c r="CF16" i="21"/>
  <c r="CG16" i="21"/>
  <c r="CH16" i="21"/>
  <c r="CI16" i="21"/>
  <c r="BW17" i="21"/>
  <c r="BX17" i="21"/>
  <c r="BY17" i="21"/>
  <c r="BZ17" i="21"/>
  <c r="CA17" i="21"/>
  <c r="CB17" i="21"/>
  <c r="CC17" i="21"/>
  <c r="CE17" i="21"/>
  <c r="CF17" i="21"/>
  <c r="CG17" i="21"/>
  <c r="CH17" i="21"/>
  <c r="CI17" i="21"/>
  <c r="BW18" i="21"/>
  <c r="BX18" i="21"/>
  <c r="BY18" i="21"/>
  <c r="BZ18" i="21"/>
  <c r="CA18" i="21"/>
  <c r="CB18" i="21"/>
  <c r="CC18" i="21"/>
  <c r="CE18" i="21"/>
  <c r="CF18" i="21"/>
  <c r="CG18" i="21"/>
  <c r="CH18" i="21"/>
  <c r="CI18" i="21"/>
  <c r="BW19" i="21"/>
  <c r="BX19" i="21"/>
  <c r="BY19" i="21"/>
  <c r="BZ19" i="21"/>
  <c r="CA19" i="21"/>
  <c r="CB19" i="21"/>
  <c r="CC19" i="21"/>
  <c r="CE19" i="21"/>
  <c r="CF19" i="21"/>
  <c r="CG19" i="21"/>
  <c r="CH19" i="21"/>
  <c r="CI19" i="21"/>
  <c r="BW21" i="21"/>
  <c r="BX21" i="21"/>
  <c r="BY21" i="21"/>
  <c r="BZ21" i="21"/>
  <c r="CA21" i="21"/>
  <c r="CB21" i="21"/>
  <c r="CC21" i="21"/>
  <c r="CE21" i="21"/>
  <c r="CF21" i="21"/>
  <c r="CG21" i="21"/>
  <c r="CH21" i="21"/>
  <c r="CI21" i="21"/>
  <c r="BW22" i="21"/>
  <c r="BX22" i="21"/>
  <c r="BY22" i="21"/>
  <c r="BZ22" i="21"/>
  <c r="CA22" i="21"/>
  <c r="CB22" i="21"/>
  <c r="CC22" i="21"/>
  <c r="CE22" i="21"/>
  <c r="CF22" i="21"/>
  <c r="CG22" i="21"/>
  <c r="CH22" i="21"/>
  <c r="CI22" i="21"/>
  <c r="BW23" i="21"/>
  <c r="BX23" i="21"/>
  <c r="BY23" i="21"/>
  <c r="BZ23" i="21"/>
  <c r="CA23" i="21"/>
  <c r="CB23" i="21"/>
  <c r="CC23" i="21"/>
  <c r="CD23" i="21"/>
  <c r="CE23" i="21"/>
  <c r="CF23" i="21"/>
  <c r="CG23" i="21"/>
  <c r="CH23" i="21"/>
  <c r="CI23" i="21"/>
  <c r="BW24" i="21"/>
  <c r="BX24" i="21"/>
  <c r="BY24" i="21"/>
  <c r="BZ24" i="21"/>
  <c r="CA24" i="21"/>
  <c r="CB24" i="21"/>
  <c r="CC24" i="21"/>
  <c r="CD24" i="21"/>
  <c r="CE24" i="21"/>
  <c r="CE65" i="20" s="1"/>
  <c r="CF24" i="21"/>
  <c r="CG24" i="21"/>
  <c r="CH24" i="21"/>
  <c r="CI24" i="21"/>
  <c r="BW25" i="21"/>
  <c r="BX25" i="21"/>
  <c r="BY25" i="21"/>
  <c r="BZ25" i="21"/>
  <c r="CA25" i="21"/>
  <c r="CB25" i="21"/>
  <c r="CC25" i="21"/>
  <c r="CD25" i="21"/>
  <c r="CE25" i="21"/>
  <c r="CF25" i="21"/>
  <c r="CG25" i="21"/>
  <c r="CH25" i="21"/>
  <c r="CI25" i="21"/>
  <c r="BW26" i="21"/>
  <c r="BX26" i="21"/>
  <c r="BY26" i="21"/>
  <c r="BZ26" i="21"/>
  <c r="CA26" i="21"/>
  <c r="CB26" i="21"/>
  <c r="CC26" i="21"/>
  <c r="CC67" i="20" s="1"/>
  <c r="CD26" i="21"/>
  <c r="CE26" i="21"/>
  <c r="CF26" i="21"/>
  <c r="CG26" i="21"/>
  <c r="CH26" i="21"/>
  <c r="CI26" i="21"/>
  <c r="BW27" i="21"/>
  <c r="BX27" i="21"/>
  <c r="BY27" i="21"/>
  <c r="BZ27" i="21"/>
  <c r="CA27" i="21"/>
  <c r="CB27" i="21"/>
  <c r="CB68" i="20" s="1"/>
  <c r="CC27" i="21"/>
  <c r="CD27" i="21"/>
  <c r="CE27" i="21"/>
  <c r="CF27" i="21"/>
  <c r="CG27" i="21"/>
  <c r="CH27" i="21"/>
  <c r="CI27" i="21"/>
  <c r="BW28" i="21"/>
  <c r="BX28" i="21"/>
  <c r="BY28" i="21"/>
  <c r="BZ28" i="21"/>
  <c r="CA28" i="21"/>
  <c r="CB28" i="21"/>
  <c r="CC28" i="21"/>
  <c r="CD28" i="21"/>
  <c r="CE28" i="21"/>
  <c r="CF28" i="21"/>
  <c r="CG28" i="21"/>
  <c r="CH28" i="21"/>
  <c r="CI28" i="21"/>
  <c r="BW29" i="21"/>
  <c r="BX29" i="21"/>
  <c r="BY29" i="21"/>
  <c r="BZ29" i="21"/>
  <c r="CA29" i="21"/>
  <c r="CB29" i="21"/>
  <c r="CC29" i="21"/>
  <c r="CD29" i="21"/>
  <c r="CE29" i="21"/>
  <c r="CF29" i="21"/>
  <c r="CG29" i="21"/>
  <c r="CH29" i="21"/>
  <c r="CI29" i="21"/>
  <c r="BW30" i="21"/>
  <c r="BX30" i="21"/>
  <c r="BY30" i="21"/>
  <c r="BY71" i="20" s="1"/>
  <c r="BY130" i="20" s="1"/>
  <c r="BZ30" i="21"/>
  <c r="BZ71" i="20" s="1"/>
  <c r="BZ130" i="20" s="1"/>
  <c r="CA30" i="21"/>
  <c r="CB30" i="21"/>
  <c r="CC30" i="21"/>
  <c r="CD30" i="21"/>
  <c r="CE30" i="21"/>
  <c r="CF30" i="21"/>
  <c r="CG30" i="21"/>
  <c r="CH30" i="21"/>
  <c r="CI30" i="21"/>
  <c r="BW31" i="21"/>
  <c r="BX31" i="21"/>
  <c r="BX72" i="20" s="1"/>
  <c r="BY31" i="21"/>
  <c r="BZ31" i="21"/>
  <c r="CA31" i="21"/>
  <c r="CB31" i="21"/>
  <c r="CC31" i="21"/>
  <c r="CD31" i="21"/>
  <c r="CE31" i="21"/>
  <c r="CF31" i="21"/>
  <c r="CG31" i="21"/>
  <c r="CH31" i="21"/>
  <c r="CI31" i="21"/>
  <c r="BW32" i="21"/>
  <c r="BX32" i="21"/>
  <c r="BY32" i="21"/>
  <c r="BZ32" i="21"/>
  <c r="CA32" i="21"/>
  <c r="CB32" i="21"/>
  <c r="CC32" i="21"/>
  <c r="CD32" i="21"/>
  <c r="CE32" i="21"/>
  <c r="CF32" i="21"/>
  <c r="CG32" i="21"/>
  <c r="CH32" i="21"/>
  <c r="CI32" i="21"/>
  <c r="BW33" i="21"/>
  <c r="BX33" i="21"/>
  <c r="BY33" i="21"/>
  <c r="BZ33" i="21"/>
  <c r="CA33" i="21"/>
  <c r="CB33" i="21"/>
  <c r="CC33" i="21"/>
  <c r="CD33" i="21"/>
  <c r="CE33" i="21"/>
  <c r="CF33" i="21"/>
  <c r="CG33" i="21"/>
  <c r="CH33" i="21"/>
  <c r="CI33" i="21"/>
  <c r="BW34" i="21"/>
  <c r="BX34" i="21"/>
  <c r="BY34" i="21"/>
  <c r="BZ34" i="21"/>
  <c r="CA34" i="21"/>
  <c r="CB34" i="21"/>
  <c r="CC34" i="21"/>
  <c r="CD34" i="21"/>
  <c r="CE34" i="21"/>
  <c r="CF34" i="21"/>
  <c r="CG34" i="21"/>
  <c r="CH34" i="21"/>
  <c r="CI34" i="21"/>
  <c r="BW35" i="21"/>
  <c r="BX35" i="21"/>
  <c r="BY35" i="21"/>
  <c r="BZ35" i="21"/>
  <c r="CA35" i="21"/>
  <c r="CB35" i="21"/>
  <c r="CC35" i="21"/>
  <c r="CD35" i="21"/>
  <c r="CE35" i="21"/>
  <c r="CF35" i="21"/>
  <c r="CG35" i="21"/>
  <c r="CH35" i="21"/>
  <c r="CI35" i="21"/>
  <c r="BW36" i="21"/>
  <c r="BX36" i="21"/>
  <c r="BY36" i="21"/>
  <c r="BZ36" i="21"/>
  <c r="CA36" i="21"/>
  <c r="CB36" i="21"/>
  <c r="CC36" i="21"/>
  <c r="CD36" i="21"/>
  <c r="CE36" i="21"/>
  <c r="CF36" i="21"/>
  <c r="CG36" i="21"/>
  <c r="CH36" i="21"/>
  <c r="CI36" i="21"/>
  <c r="BW37" i="21"/>
  <c r="BX37" i="21"/>
  <c r="BY37" i="21"/>
  <c r="BZ37" i="21"/>
  <c r="CA37" i="21"/>
  <c r="CB37" i="21"/>
  <c r="CC37" i="21"/>
  <c r="CD37" i="21"/>
  <c r="CE37" i="21"/>
  <c r="CF37" i="21"/>
  <c r="CG37" i="21"/>
  <c r="CH37" i="21"/>
  <c r="CI37" i="21"/>
  <c r="BW41" i="21"/>
  <c r="BX41" i="21"/>
  <c r="BY41" i="21"/>
  <c r="BZ41" i="21"/>
  <c r="CA41" i="21"/>
  <c r="CB41" i="21"/>
  <c r="CC41" i="21"/>
  <c r="CD41" i="21"/>
  <c r="CE41" i="21"/>
  <c r="CF41" i="21"/>
  <c r="CG41" i="21"/>
  <c r="CH41" i="21"/>
  <c r="CI41" i="21"/>
  <c r="CG42" i="21"/>
  <c r="CH42" i="21"/>
  <c r="CI42" i="21"/>
  <c r="BW5" i="21"/>
  <c r="BX5" i="21"/>
  <c r="BY5" i="21"/>
  <c r="BY46" i="20" s="1"/>
  <c r="BZ5" i="21"/>
  <c r="CA5" i="21"/>
  <c r="CB5" i="21"/>
  <c r="BW6" i="21"/>
  <c r="BX6" i="21"/>
  <c r="BY6" i="21"/>
  <c r="BZ6" i="21"/>
  <c r="CA6" i="21"/>
  <c r="CB6" i="21"/>
  <c r="BW7" i="21"/>
  <c r="BX7" i="21"/>
  <c r="BY7" i="21"/>
  <c r="BZ7" i="21"/>
  <c r="CA7" i="21"/>
  <c r="CB7" i="21"/>
  <c r="BW8" i="21"/>
  <c r="BX8" i="21"/>
  <c r="BY8" i="21"/>
  <c r="BZ8" i="21"/>
  <c r="CA8" i="21"/>
  <c r="CB8" i="21"/>
  <c r="BW9" i="21"/>
  <c r="BX9" i="21"/>
  <c r="BY9" i="21"/>
  <c r="BZ9" i="21"/>
  <c r="CA9" i="21"/>
  <c r="CB9" i="21"/>
  <c r="BW10" i="21"/>
  <c r="BX10" i="21"/>
  <c r="BY10" i="21"/>
  <c r="BZ10" i="21"/>
  <c r="CA10" i="21"/>
  <c r="CB10" i="21"/>
  <c r="BW11" i="21"/>
  <c r="BX11" i="21"/>
  <c r="BY11" i="21"/>
  <c r="BZ11" i="21"/>
  <c r="CA11" i="21"/>
  <c r="CB11" i="21"/>
  <c r="BW12" i="21"/>
  <c r="BX12" i="21"/>
  <c r="BY12" i="21"/>
  <c r="BZ12" i="21"/>
  <c r="CA12" i="21"/>
  <c r="CB12" i="21"/>
  <c r="BW13" i="21"/>
  <c r="BX13" i="21"/>
  <c r="BY13" i="21"/>
  <c r="BZ13" i="21"/>
  <c r="CA13" i="21"/>
  <c r="CB13" i="21"/>
  <c r="BW14" i="21"/>
  <c r="BX14" i="21"/>
  <c r="BY14" i="21"/>
  <c r="BZ14" i="21"/>
  <c r="CA14" i="21"/>
  <c r="CB14" i="21"/>
  <c r="BW15" i="21"/>
  <c r="BX15" i="21"/>
  <c r="BY15" i="21"/>
  <c r="BU56" i="20" s="1"/>
  <c r="BZ15" i="21"/>
  <c r="CA15" i="21"/>
  <c r="CB15" i="21"/>
  <c r="AZ5" i="21"/>
  <c r="AZ6" i="21"/>
  <c r="AZ7" i="21"/>
  <c r="AZ8" i="21"/>
  <c r="AZ9" i="21"/>
  <c r="AZ10" i="21"/>
  <c r="AZ11" i="21"/>
  <c r="AZ12" i="21"/>
  <c r="AZ13" i="21"/>
  <c r="AZ14" i="21"/>
  <c r="AZ15" i="21"/>
  <c r="AZ16" i="21"/>
  <c r="AZ17" i="21"/>
  <c r="AZ18" i="21"/>
  <c r="AZ19" i="21"/>
  <c r="AZ21" i="21"/>
  <c r="AZ22" i="21"/>
  <c r="AZ23" i="21"/>
  <c r="AZ24" i="21"/>
  <c r="AZ25" i="21"/>
  <c r="AZ26" i="21"/>
  <c r="AZ27" i="21"/>
  <c r="AZ28" i="21"/>
  <c r="AZ29" i="21"/>
  <c r="AZ30" i="21"/>
  <c r="AZ31" i="21"/>
  <c r="AZ32" i="21"/>
  <c r="AZ33" i="21"/>
  <c r="AZ34" i="21"/>
  <c r="AZ35" i="21"/>
  <c r="AZ36" i="21"/>
  <c r="AZ37" i="21"/>
  <c r="AZ41" i="21"/>
  <c r="AZ42" i="21"/>
  <c r="AZ48" i="21"/>
  <c r="AZ49" i="21"/>
  <c r="AZ50" i="21"/>
  <c r="AZ51" i="21"/>
  <c r="AZ52" i="21"/>
  <c r="AZ53" i="21"/>
  <c r="AZ54" i="21"/>
  <c r="AZ55" i="21"/>
  <c r="AZ56" i="21"/>
  <c r="AZ57" i="21"/>
  <c r="AZ58" i="21"/>
  <c r="AZ64" i="21"/>
  <c r="AZ65" i="21"/>
  <c r="AZ66" i="21"/>
  <c r="AZ67" i="21"/>
  <c r="AZ68" i="21"/>
  <c r="AZ69" i="21"/>
  <c r="AZ70" i="21"/>
  <c r="AZ71" i="21"/>
  <c r="AZ72" i="21"/>
  <c r="AZ73" i="21"/>
  <c r="AZ74" i="21"/>
  <c r="F48" i="20"/>
  <c r="F51" i="20"/>
  <c r="AF63" i="20"/>
  <c r="F65" i="20"/>
  <c r="X71" i="20"/>
  <c r="F74" i="20"/>
  <c r="E77" i="20"/>
  <c r="K77" i="20"/>
  <c r="AK109" i="20"/>
  <c r="Q111" i="20"/>
  <c r="AC111" i="20"/>
  <c r="AN76" i="20"/>
  <c r="AW64" i="21"/>
  <c r="AS103" i="20" s="1"/>
  <c r="AX64" i="21"/>
  <c r="AT87" i="20" s="1"/>
  <c r="AY64" i="21"/>
  <c r="BA64" i="21"/>
  <c r="BB64" i="21"/>
  <c r="BC64" i="21"/>
  <c r="BD64" i="21"/>
  <c r="BE64" i="21"/>
  <c r="BF64" i="21"/>
  <c r="BG64" i="21"/>
  <c r="BH64" i="21"/>
  <c r="BI64" i="21"/>
  <c r="BJ64" i="21"/>
  <c r="BJ103" i="20" s="1"/>
  <c r="BK64" i="21"/>
  <c r="BL64" i="21"/>
  <c r="BM64" i="21"/>
  <c r="BN64" i="21"/>
  <c r="BO64" i="21"/>
  <c r="BP64" i="21"/>
  <c r="BQ64" i="21"/>
  <c r="BR64" i="21"/>
  <c r="BS64" i="21"/>
  <c r="BS103" i="20" s="1"/>
  <c r="BT64" i="21"/>
  <c r="BU64" i="21"/>
  <c r="BV64" i="21"/>
  <c r="AW65" i="21"/>
  <c r="AS104" i="20" s="1"/>
  <c r="AS120" i="20" s="1"/>
  <c r="AX65" i="21"/>
  <c r="AY65" i="21"/>
  <c r="BA65" i="21"/>
  <c r="BB65" i="21"/>
  <c r="BC65" i="21"/>
  <c r="BD65" i="21"/>
  <c r="BE65" i="21"/>
  <c r="BF65" i="21"/>
  <c r="BG65" i="21"/>
  <c r="BH65" i="21"/>
  <c r="BI65" i="21"/>
  <c r="BI104" i="20" s="1"/>
  <c r="BI120" i="20" s="1"/>
  <c r="BJ65" i="21"/>
  <c r="BK65" i="21"/>
  <c r="BL65" i="21"/>
  <c r="BM65" i="21"/>
  <c r="BN65" i="21"/>
  <c r="BO65" i="21"/>
  <c r="BP65" i="21"/>
  <c r="BQ65" i="21"/>
  <c r="BR65" i="21"/>
  <c r="BS65" i="21"/>
  <c r="BT65" i="21"/>
  <c r="BU65" i="21"/>
  <c r="BV65" i="21"/>
  <c r="AW66" i="21"/>
  <c r="AS105" i="20" s="1"/>
  <c r="AX66" i="21"/>
  <c r="AT105" i="20" s="1"/>
  <c r="AY66" i="21"/>
  <c r="AU89" i="20" s="1"/>
  <c r="BA66" i="21"/>
  <c r="BB66" i="21"/>
  <c r="BC66" i="21"/>
  <c r="BD66" i="21"/>
  <c r="BE66" i="21"/>
  <c r="BF66" i="21"/>
  <c r="BG66" i="21"/>
  <c r="BH66" i="21"/>
  <c r="BH105" i="20" s="1"/>
  <c r="BI66" i="21"/>
  <c r="BJ66" i="21"/>
  <c r="BK66" i="21"/>
  <c r="BL66" i="21"/>
  <c r="BM66" i="21"/>
  <c r="BN66" i="21"/>
  <c r="BO66" i="21"/>
  <c r="BP66" i="21"/>
  <c r="BQ66" i="21"/>
  <c r="BR66" i="21"/>
  <c r="BS66" i="21"/>
  <c r="BT66" i="21"/>
  <c r="BU66" i="21"/>
  <c r="BV66" i="21"/>
  <c r="AW67" i="21"/>
  <c r="AX67" i="21"/>
  <c r="AT90" i="20" s="1"/>
  <c r="AY67" i="21"/>
  <c r="BA67" i="21"/>
  <c r="BB67" i="21"/>
  <c r="BC67" i="21"/>
  <c r="BD67" i="21"/>
  <c r="BE67" i="21"/>
  <c r="BF67" i="21"/>
  <c r="BG67" i="21"/>
  <c r="BG106" i="20" s="1"/>
  <c r="BH67" i="21"/>
  <c r="BH106" i="20" s="1"/>
  <c r="BI67" i="21"/>
  <c r="BJ67" i="21"/>
  <c r="BK67" i="21"/>
  <c r="BL67" i="21"/>
  <c r="BM67" i="21"/>
  <c r="BN67" i="21"/>
  <c r="BO67" i="21"/>
  <c r="BP67" i="21"/>
  <c r="BQ67" i="21"/>
  <c r="BR67" i="21"/>
  <c r="BS67" i="21"/>
  <c r="BT67" i="21"/>
  <c r="BU67" i="21"/>
  <c r="BV67" i="21"/>
  <c r="AW68" i="21"/>
  <c r="AS107" i="20" s="1"/>
  <c r="AS123" i="20" s="1"/>
  <c r="AX68" i="21"/>
  <c r="AT107" i="20" s="1"/>
  <c r="AT123" i="20" s="1"/>
  <c r="AY68" i="21"/>
  <c r="BA68" i="21"/>
  <c r="BB68" i="21"/>
  <c r="BC68" i="21"/>
  <c r="BD68" i="21"/>
  <c r="BE68" i="21"/>
  <c r="BF68" i="21"/>
  <c r="BF107" i="20" s="1"/>
  <c r="BF123" i="20" s="1"/>
  <c r="BG68" i="21"/>
  <c r="BH68" i="21"/>
  <c r="BI68" i="21"/>
  <c r="BJ68" i="21"/>
  <c r="BK68" i="21"/>
  <c r="BL68" i="21"/>
  <c r="BM68" i="21"/>
  <c r="BN68" i="21"/>
  <c r="BO68" i="21"/>
  <c r="BP68" i="21"/>
  <c r="BQ68" i="21"/>
  <c r="BR68" i="21"/>
  <c r="BR107" i="20" s="1"/>
  <c r="BR123" i="20" s="1"/>
  <c r="BS68" i="21"/>
  <c r="BT68" i="21"/>
  <c r="BU68" i="21"/>
  <c r="BV68" i="21"/>
  <c r="AW69" i="21"/>
  <c r="AS108" i="20" s="1"/>
  <c r="AX69" i="21"/>
  <c r="AY69" i="21"/>
  <c r="AU108" i="20" s="1"/>
  <c r="BA69" i="21"/>
  <c r="BB69" i="21"/>
  <c r="BC69" i="21"/>
  <c r="BD69" i="21"/>
  <c r="BE69" i="21"/>
  <c r="BE108" i="20" s="1"/>
  <c r="BF69" i="21"/>
  <c r="BG69" i="21"/>
  <c r="BH69" i="21"/>
  <c r="BI69" i="21"/>
  <c r="BJ69" i="21"/>
  <c r="BK69" i="21"/>
  <c r="BL69" i="21"/>
  <c r="BM69" i="21"/>
  <c r="BN69" i="21"/>
  <c r="BO69" i="21"/>
  <c r="BP69" i="21"/>
  <c r="BQ69" i="21"/>
  <c r="BQ108" i="20" s="1"/>
  <c r="BR69" i="21"/>
  <c r="BS69" i="21"/>
  <c r="BT69" i="21"/>
  <c r="BU69" i="21"/>
  <c r="BV69" i="21"/>
  <c r="AW70" i="21"/>
  <c r="AX70" i="21"/>
  <c r="AT93" i="20" s="1"/>
  <c r="AY70" i="21"/>
  <c r="AU109" i="20" s="1"/>
  <c r="BA70" i="21"/>
  <c r="BB70" i="21"/>
  <c r="BC70" i="21"/>
  <c r="BD70" i="21"/>
  <c r="BE70" i="21"/>
  <c r="BF70" i="21"/>
  <c r="BI70" i="21"/>
  <c r="BJ70" i="21"/>
  <c r="BK70" i="21"/>
  <c r="BL70" i="21"/>
  <c r="BM70" i="21"/>
  <c r="BN70" i="21"/>
  <c r="BO70" i="21"/>
  <c r="BP70" i="21"/>
  <c r="BQ70" i="21"/>
  <c r="BR70" i="21"/>
  <c r="BS70" i="21"/>
  <c r="BT70" i="21"/>
  <c r="BU70" i="21"/>
  <c r="BV70" i="21"/>
  <c r="AW71" i="21"/>
  <c r="AS110" i="20" s="1"/>
  <c r="AX71" i="21"/>
  <c r="AY71" i="21"/>
  <c r="BA71" i="21"/>
  <c r="BB71" i="21"/>
  <c r="BC71" i="21"/>
  <c r="BD71" i="21"/>
  <c r="BE71" i="21"/>
  <c r="BE110" i="20" s="1"/>
  <c r="BF71" i="21"/>
  <c r="BG71" i="21"/>
  <c r="BH71" i="21"/>
  <c r="BI71" i="21"/>
  <c r="BJ71" i="21"/>
  <c r="BK71" i="21"/>
  <c r="BL71" i="21"/>
  <c r="BM71" i="21"/>
  <c r="BN71" i="21"/>
  <c r="BO71" i="21"/>
  <c r="BP71" i="21"/>
  <c r="BQ71" i="21"/>
  <c r="BQ110" i="20" s="1"/>
  <c r="BR71" i="21"/>
  <c r="BS71" i="21"/>
  <c r="BT71" i="21"/>
  <c r="BU71" i="21"/>
  <c r="BV71" i="21"/>
  <c r="AW72" i="21"/>
  <c r="AS95" i="20" s="1"/>
  <c r="AX72" i="21"/>
  <c r="AT95" i="20" s="1"/>
  <c r="AY72" i="21"/>
  <c r="AU111" i="20" s="1"/>
  <c r="BA72" i="21"/>
  <c r="BB72" i="21"/>
  <c r="BC72" i="21"/>
  <c r="BD72" i="21"/>
  <c r="BD111" i="20" s="1"/>
  <c r="BE72" i="21"/>
  <c r="BF72" i="21"/>
  <c r="BG72" i="21"/>
  <c r="BH72" i="21"/>
  <c r="BI72" i="21"/>
  <c r="BJ72" i="21"/>
  <c r="BK72" i="21"/>
  <c r="BL72" i="21"/>
  <c r="BM72" i="21"/>
  <c r="BN72" i="21"/>
  <c r="BO72" i="21"/>
  <c r="BP72" i="21"/>
  <c r="BP111" i="20" s="1"/>
  <c r="BQ72" i="21"/>
  <c r="BR72" i="21"/>
  <c r="BS72" i="21"/>
  <c r="BT72" i="21"/>
  <c r="BU72" i="21"/>
  <c r="BV72" i="21"/>
  <c r="AW73" i="21"/>
  <c r="AS96" i="20" s="1"/>
  <c r="AX73" i="21"/>
  <c r="AT96" i="20" s="1"/>
  <c r="AY73" i="21"/>
  <c r="AU112" i="20" s="1"/>
  <c r="AU128" i="20" s="1"/>
  <c r="BA73" i="21"/>
  <c r="BB73" i="21"/>
  <c r="BC73" i="21"/>
  <c r="BC112" i="20" s="1"/>
  <c r="BC128" i="20" s="1"/>
  <c r="BD73" i="21"/>
  <c r="BE73" i="21"/>
  <c r="BF73" i="21"/>
  <c r="BG73" i="21"/>
  <c r="BH73" i="21"/>
  <c r="BI73" i="21"/>
  <c r="BJ73" i="21"/>
  <c r="BK73" i="21"/>
  <c r="BL73" i="21"/>
  <c r="BM73" i="21"/>
  <c r="BN73" i="21"/>
  <c r="BO73" i="21"/>
  <c r="BP73" i="21"/>
  <c r="BQ73" i="21"/>
  <c r="BR73" i="21"/>
  <c r="BS73" i="21"/>
  <c r="BT73" i="21"/>
  <c r="BU73" i="21"/>
  <c r="BV73" i="21"/>
  <c r="AW74" i="21"/>
  <c r="AS113" i="20" s="1"/>
  <c r="AX74" i="21"/>
  <c r="AY74" i="21"/>
  <c r="BA74" i="21"/>
  <c r="BB74" i="21"/>
  <c r="BB113" i="20" s="1"/>
  <c r="BC74" i="21"/>
  <c r="BD74" i="21"/>
  <c r="BE74" i="21"/>
  <c r="BF74" i="21"/>
  <c r="BG74" i="21"/>
  <c r="BH74" i="21"/>
  <c r="BI74" i="21"/>
  <c r="BJ74" i="21"/>
  <c r="BK74" i="21"/>
  <c r="BL74" i="21"/>
  <c r="BM74" i="21"/>
  <c r="BN74" i="21"/>
  <c r="BO74" i="21"/>
  <c r="BP74" i="21"/>
  <c r="BQ74" i="21"/>
  <c r="BR74" i="21"/>
  <c r="BS74" i="21"/>
  <c r="BT74" i="21"/>
  <c r="BU74" i="21"/>
  <c r="BV74" i="21"/>
  <c r="AV74" i="21"/>
  <c r="AR113" i="20" s="1"/>
  <c r="AV73" i="21"/>
  <c r="AR112" i="20" s="1"/>
  <c r="AR128" i="20" s="1"/>
  <c r="AV72" i="21"/>
  <c r="AR111" i="20" s="1"/>
  <c r="AV71" i="21"/>
  <c r="AR94" i="20" s="1"/>
  <c r="AV70" i="21"/>
  <c r="AR93" i="20" s="1"/>
  <c r="AV69" i="21"/>
  <c r="AV68" i="21"/>
  <c r="AV67" i="21"/>
  <c r="AR106" i="20" s="1"/>
  <c r="AV66" i="21"/>
  <c r="AV65" i="21"/>
  <c r="AV64" i="21"/>
  <c r="AR87" i="20" s="1"/>
  <c r="AW48" i="21"/>
  <c r="AX48" i="21"/>
  <c r="AY48" i="21"/>
  <c r="BA48" i="21"/>
  <c r="BB48" i="21"/>
  <c r="BC48" i="21"/>
  <c r="BD48" i="21"/>
  <c r="BE48" i="21"/>
  <c r="BF48" i="21"/>
  <c r="BG48" i="21"/>
  <c r="BH48" i="21"/>
  <c r="BI48" i="21"/>
  <c r="BJ48" i="21"/>
  <c r="BK48" i="21"/>
  <c r="BL48" i="21"/>
  <c r="BM48" i="21"/>
  <c r="BN48" i="21"/>
  <c r="BO48" i="21"/>
  <c r="BP48" i="21"/>
  <c r="BQ48" i="21"/>
  <c r="BR48" i="21"/>
  <c r="BS48" i="21"/>
  <c r="BT48" i="21"/>
  <c r="BU48" i="21"/>
  <c r="BV48" i="21"/>
  <c r="AW49" i="21"/>
  <c r="AX49" i="21"/>
  <c r="AY49" i="21"/>
  <c r="BA49" i="21"/>
  <c r="BB49" i="21"/>
  <c r="BC49" i="21"/>
  <c r="BD49" i="21"/>
  <c r="BE49" i="21"/>
  <c r="BF49" i="21"/>
  <c r="BG49" i="21"/>
  <c r="BH49" i="21"/>
  <c r="BI49" i="21"/>
  <c r="BJ49" i="21"/>
  <c r="BK49" i="21"/>
  <c r="BL49" i="21"/>
  <c r="BM49" i="21"/>
  <c r="BN49" i="21"/>
  <c r="BO49" i="21"/>
  <c r="BP49" i="21"/>
  <c r="BQ49" i="21"/>
  <c r="BR49" i="21"/>
  <c r="BS49" i="21"/>
  <c r="BT49" i="21"/>
  <c r="BU49" i="21"/>
  <c r="BV49" i="21"/>
  <c r="AW50" i="21"/>
  <c r="AX50" i="21"/>
  <c r="AY50" i="21"/>
  <c r="BA50" i="21"/>
  <c r="BB50" i="21"/>
  <c r="BC50" i="21"/>
  <c r="BD50" i="21"/>
  <c r="BE50" i="21"/>
  <c r="BF50" i="21"/>
  <c r="BG50" i="21"/>
  <c r="BH50" i="21"/>
  <c r="BI50" i="21"/>
  <c r="BJ50" i="21"/>
  <c r="BK50" i="21"/>
  <c r="BL50" i="21"/>
  <c r="BM50" i="21"/>
  <c r="BN50" i="21"/>
  <c r="BO50" i="21"/>
  <c r="BP50" i="21"/>
  <c r="BQ50" i="21"/>
  <c r="BR50" i="21"/>
  <c r="BS50" i="21"/>
  <c r="BT50" i="21"/>
  <c r="BU50" i="21"/>
  <c r="BV50" i="21"/>
  <c r="AW51" i="21"/>
  <c r="AX51" i="21"/>
  <c r="AY51" i="21"/>
  <c r="BA51" i="21"/>
  <c r="BB51" i="21"/>
  <c r="BC51" i="21"/>
  <c r="BD51" i="21"/>
  <c r="BE51" i="21"/>
  <c r="BF51" i="21"/>
  <c r="BG51" i="21"/>
  <c r="BH51" i="21"/>
  <c r="BI51" i="21"/>
  <c r="BJ51" i="21"/>
  <c r="BK51" i="21"/>
  <c r="BL51" i="21"/>
  <c r="BM51" i="21"/>
  <c r="BN51" i="21"/>
  <c r="BO51" i="21"/>
  <c r="BP51" i="21"/>
  <c r="BQ51" i="21"/>
  <c r="BR51" i="21"/>
  <c r="BS51" i="21"/>
  <c r="BT51" i="21"/>
  <c r="BU51" i="21"/>
  <c r="BV51" i="21"/>
  <c r="AW52" i="21"/>
  <c r="AX52" i="21"/>
  <c r="AY52" i="21"/>
  <c r="BA52" i="21"/>
  <c r="BB52" i="21"/>
  <c r="BC52" i="21"/>
  <c r="BD52" i="21"/>
  <c r="BE52" i="21"/>
  <c r="BF52" i="21"/>
  <c r="BG52" i="21"/>
  <c r="BH52" i="21"/>
  <c r="BI52" i="21"/>
  <c r="BJ52" i="21"/>
  <c r="BK52" i="21"/>
  <c r="BL52" i="21"/>
  <c r="BM52" i="21"/>
  <c r="BN52" i="21"/>
  <c r="BO52" i="21"/>
  <c r="BP52" i="21"/>
  <c r="BQ52" i="21"/>
  <c r="BR52" i="21"/>
  <c r="BS52" i="21"/>
  <c r="BT52" i="21"/>
  <c r="BU52" i="21"/>
  <c r="BV52" i="21"/>
  <c r="AW53" i="21"/>
  <c r="AX53" i="21"/>
  <c r="AY53" i="21"/>
  <c r="BA53" i="21"/>
  <c r="BB53" i="21"/>
  <c r="BC53" i="21"/>
  <c r="BD53" i="21"/>
  <c r="BE53" i="21"/>
  <c r="BF53" i="21"/>
  <c r="BG53" i="21"/>
  <c r="BH53" i="21"/>
  <c r="BI53" i="21"/>
  <c r="BJ53" i="21"/>
  <c r="BK53" i="21"/>
  <c r="BL53" i="21"/>
  <c r="BM53" i="21"/>
  <c r="BN53" i="21"/>
  <c r="BO53" i="21"/>
  <c r="BP53" i="21"/>
  <c r="BQ53" i="21"/>
  <c r="BR53" i="21"/>
  <c r="BS53" i="21"/>
  <c r="BT53" i="21"/>
  <c r="BU53" i="21"/>
  <c r="BV53" i="21"/>
  <c r="AW54" i="21"/>
  <c r="AX54" i="21"/>
  <c r="AY54" i="21"/>
  <c r="BA54" i="21"/>
  <c r="BB54" i="21"/>
  <c r="BC54" i="21"/>
  <c r="BD54" i="21"/>
  <c r="BE54" i="21"/>
  <c r="BF54" i="21"/>
  <c r="BG54" i="21"/>
  <c r="BH54" i="21"/>
  <c r="BI54" i="21"/>
  <c r="BJ54" i="21"/>
  <c r="BK54" i="21"/>
  <c r="BL54" i="21"/>
  <c r="BM54" i="21"/>
  <c r="BN54" i="21"/>
  <c r="BO54" i="21"/>
  <c r="BP54" i="21"/>
  <c r="BQ54" i="21"/>
  <c r="BR54" i="21"/>
  <c r="BS54" i="21"/>
  <c r="BT54" i="21"/>
  <c r="BU54" i="21"/>
  <c r="BV54" i="21"/>
  <c r="AW55" i="21"/>
  <c r="AX55" i="21"/>
  <c r="AY55" i="21"/>
  <c r="BA55" i="21"/>
  <c r="BB55" i="21"/>
  <c r="BC55" i="21"/>
  <c r="BD55" i="21"/>
  <c r="BE55" i="21"/>
  <c r="BF55" i="21"/>
  <c r="BG55" i="21"/>
  <c r="BH55" i="21"/>
  <c r="BI55" i="21"/>
  <c r="BJ55" i="21"/>
  <c r="BK55" i="21"/>
  <c r="BL55" i="21"/>
  <c r="BM55" i="21"/>
  <c r="BN55" i="21"/>
  <c r="BO55" i="21"/>
  <c r="BP55" i="21"/>
  <c r="BQ55" i="21"/>
  <c r="BR55" i="21"/>
  <c r="BS55" i="21"/>
  <c r="BT55" i="21"/>
  <c r="BU55" i="21"/>
  <c r="BV55" i="21"/>
  <c r="AW56" i="21"/>
  <c r="AX56" i="21"/>
  <c r="AY56" i="21"/>
  <c r="BA56" i="21"/>
  <c r="BB56" i="21"/>
  <c r="BC56" i="21"/>
  <c r="BD56" i="21"/>
  <c r="BE56" i="21"/>
  <c r="BF56" i="21"/>
  <c r="BG56" i="21"/>
  <c r="BH56" i="21"/>
  <c r="BI56" i="21"/>
  <c r="BJ56" i="21"/>
  <c r="BK56" i="21"/>
  <c r="BL56" i="21"/>
  <c r="BM56" i="21"/>
  <c r="BN56" i="21"/>
  <c r="BO56" i="21"/>
  <c r="BP56" i="21"/>
  <c r="BQ56" i="21"/>
  <c r="BR56" i="21"/>
  <c r="BS56" i="21"/>
  <c r="BT56" i="21"/>
  <c r="BU56" i="21"/>
  <c r="BV56" i="21"/>
  <c r="AW57" i="21"/>
  <c r="AX57" i="21"/>
  <c r="AY57" i="21"/>
  <c r="BA57" i="21"/>
  <c r="BB57" i="21"/>
  <c r="BC57" i="21"/>
  <c r="BD57" i="21"/>
  <c r="BE57" i="21"/>
  <c r="BF57" i="21"/>
  <c r="BG57" i="21"/>
  <c r="BH57" i="21"/>
  <c r="BI57" i="21"/>
  <c r="BJ57" i="21"/>
  <c r="BK57" i="21"/>
  <c r="BL57" i="21"/>
  <c r="BM57" i="21"/>
  <c r="BN57" i="21"/>
  <c r="BO57" i="21"/>
  <c r="BP57" i="21"/>
  <c r="BQ57" i="21"/>
  <c r="BR57" i="21"/>
  <c r="BS57" i="21"/>
  <c r="BT57" i="21"/>
  <c r="BU57" i="21"/>
  <c r="BV57" i="21"/>
  <c r="AW58" i="21"/>
  <c r="AX58" i="21"/>
  <c r="AY58" i="21"/>
  <c r="BA58" i="21"/>
  <c r="BB58" i="21"/>
  <c r="BC58" i="21"/>
  <c r="BD58" i="21"/>
  <c r="BE58" i="21"/>
  <c r="BF58" i="21"/>
  <c r="BG58" i="21"/>
  <c r="BH58" i="21"/>
  <c r="BI58" i="21"/>
  <c r="BJ58" i="21"/>
  <c r="BK58" i="21"/>
  <c r="BL58" i="21"/>
  <c r="BM58" i="21"/>
  <c r="BN58" i="21"/>
  <c r="BO58" i="21"/>
  <c r="BP58" i="21"/>
  <c r="BQ58" i="21"/>
  <c r="BR58" i="21"/>
  <c r="BS58" i="21"/>
  <c r="BT58" i="21"/>
  <c r="BU58" i="21"/>
  <c r="BV58" i="21"/>
  <c r="AW5" i="21"/>
  <c r="AS46" i="20" s="1"/>
  <c r="AX5" i="21"/>
  <c r="AT46" i="20" s="1"/>
  <c r="AY5" i="21"/>
  <c r="BA5" i="21"/>
  <c r="BB5" i="21"/>
  <c r="BC5" i="21"/>
  <c r="BC46" i="20" s="1"/>
  <c r="BD5" i="21"/>
  <c r="BE5" i="21"/>
  <c r="BF5" i="21"/>
  <c r="BG5" i="21"/>
  <c r="BH5" i="21"/>
  <c r="BI5" i="21"/>
  <c r="BJ5" i="21"/>
  <c r="BK5" i="21"/>
  <c r="BL5" i="21"/>
  <c r="BM5" i="21"/>
  <c r="BN5" i="21"/>
  <c r="BO5" i="21"/>
  <c r="BP5" i="21"/>
  <c r="BQ5" i="21"/>
  <c r="BR5" i="21"/>
  <c r="BS5" i="21"/>
  <c r="BT5" i="21"/>
  <c r="BU5" i="21"/>
  <c r="BV5" i="21"/>
  <c r="AW6" i="21"/>
  <c r="AS47" i="20" s="1"/>
  <c r="AX6" i="21"/>
  <c r="AT6" i="20" s="1"/>
  <c r="AY6" i="21"/>
  <c r="BA6" i="21"/>
  <c r="BB6" i="21"/>
  <c r="BC6" i="21"/>
  <c r="BD6" i="21"/>
  <c r="BE6" i="21"/>
  <c r="BF6" i="21"/>
  <c r="BG6" i="21"/>
  <c r="BH6" i="21"/>
  <c r="BI6" i="21"/>
  <c r="BJ6" i="21"/>
  <c r="BK6" i="21"/>
  <c r="BL6" i="21"/>
  <c r="BM6" i="21"/>
  <c r="BN6" i="21"/>
  <c r="BN47" i="20" s="1"/>
  <c r="BO6" i="21"/>
  <c r="BP6" i="21"/>
  <c r="BQ6" i="21"/>
  <c r="BR6" i="21"/>
  <c r="BS6" i="21"/>
  <c r="BT6" i="21"/>
  <c r="BU6" i="21"/>
  <c r="BV6" i="21"/>
  <c r="AW7" i="21"/>
  <c r="AS48" i="20" s="1"/>
  <c r="AX7" i="21"/>
  <c r="AY7" i="21"/>
  <c r="BA7" i="21"/>
  <c r="BB7" i="21"/>
  <c r="BC7" i="21"/>
  <c r="BD7" i="21"/>
  <c r="BE7" i="21"/>
  <c r="BF7" i="21"/>
  <c r="BG7" i="21"/>
  <c r="BH7" i="21"/>
  <c r="BI7" i="21"/>
  <c r="BJ7" i="21"/>
  <c r="BK7" i="21"/>
  <c r="BL7" i="21"/>
  <c r="BM7" i="21"/>
  <c r="BN7" i="21"/>
  <c r="BO7" i="21"/>
  <c r="BP7" i="21"/>
  <c r="BQ7" i="21"/>
  <c r="BR7" i="21"/>
  <c r="BS7" i="21"/>
  <c r="BT7" i="21"/>
  <c r="BU7" i="21"/>
  <c r="BV7" i="21"/>
  <c r="AW8" i="21"/>
  <c r="AX8" i="21"/>
  <c r="AT8" i="20" s="1"/>
  <c r="AY8" i="21"/>
  <c r="AU49" i="20" s="1"/>
  <c r="BA8" i="21"/>
  <c r="BB8" i="21"/>
  <c r="BC8" i="21"/>
  <c r="BD8" i="21"/>
  <c r="BE8" i="21"/>
  <c r="BF8" i="21"/>
  <c r="BG8" i="21"/>
  <c r="BH8" i="21"/>
  <c r="BI8" i="21"/>
  <c r="BJ8" i="21"/>
  <c r="BK8" i="21"/>
  <c r="BL8" i="21"/>
  <c r="BM8" i="21"/>
  <c r="BN8" i="21"/>
  <c r="BO8" i="21"/>
  <c r="BP8" i="21"/>
  <c r="BQ8" i="21"/>
  <c r="BR8" i="21"/>
  <c r="BS8" i="21"/>
  <c r="BT8" i="21"/>
  <c r="BU8" i="21"/>
  <c r="BV8" i="21"/>
  <c r="AW9" i="21"/>
  <c r="AX9" i="21"/>
  <c r="AT50" i="20" s="1"/>
  <c r="AY9" i="21"/>
  <c r="AU50" i="20" s="1"/>
  <c r="BA9" i="21"/>
  <c r="BB9" i="21"/>
  <c r="BC9" i="21"/>
  <c r="BD9" i="21"/>
  <c r="BE9" i="21"/>
  <c r="BF9" i="21"/>
  <c r="BG9" i="21"/>
  <c r="BH9" i="21"/>
  <c r="BI9" i="21"/>
  <c r="BJ9" i="21"/>
  <c r="BK9" i="21"/>
  <c r="BK50" i="20" s="1"/>
  <c r="BL9" i="21"/>
  <c r="BM9" i="21"/>
  <c r="BN9" i="21"/>
  <c r="BO9" i="21"/>
  <c r="BP9" i="21"/>
  <c r="BQ9" i="21"/>
  <c r="BR9" i="21"/>
  <c r="BS9" i="21"/>
  <c r="BT9" i="21"/>
  <c r="BU9" i="21"/>
  <c r="BV9" i="21"/>
  <c r="AW10" i="21"/>
  <c r="AS51" i="20" s="1"/>
  <c r="AX10" i="21"/>
  <c r="AT51" i="20" s="1"/>
  <c r="AY10" i="21"/>
  <c r="BA10" i="21"/>
  <c r="BB10" i="21"/>
  <c r="BC10" i="21"/>
  <c r="BD10" i="21"/>
  <c r="BE10" i="21"/>
  <c r="BF10" i="21"/>
  <c r="BG10" i="21"/>
  <c r="BH10" i="21"/>
  <c r="BI10" i="21"/>
  <c r="BJ10" i="21"/>
  <c r="BK10" i="21"/>
  <c r="BL10" i="21"/>
  <c r="BM10" i="21"/>
  <c r="BN10" i="21"/>
  <c r="BO10" i="21"/>
  <c r="BP10" i="21"/>
  <c r="BQ10" i="21"/>
  <c r="BR10" i="21"/>
  <c r="BS10" i="21"/>
  <c r="BT10" i="21"/>
  <c r="BU10" i="21"/>
  <c r="BV10" i="21"/>
  <c r="AW11" i="21"/>
  <c r="AS52" i="20" s="1"/>
  <c r="AX11" i="21"/>
  <c r="AY11" i="21"/>
  <c r="BA11" i="21"/>
  <c r="BB11" i="21"/>
  <c r="BC11" i="21"/>
  <c r="BD11" i="21"/>
  <c r="BE11" i="21"/>
  <c r="BF11" i="21"/>
  <c r="BG11" i="21"/>
  <c r="BH11" i="21"/>
  <c r="BI11" i="21"/>
  <c r="BJ11" i="21"/>
  <c r="BK11" i="21"/>
  <c r="BL11" i="21"/>
  <c r="BM11" i="21"/>
  <c r="BN11" i="21"/>
  <c r="BO11" i="21"/>
  <c r="BP11" i="21"/>
  <c r="BQ11" i="21"/>
  <c r="BR11" i="21"/>
  <c r="BS11" i="21"/>
  <c r="BT11" i="21"/>
  <c r="BU11" i="21"/>
  <c r="BV11" i="21"/>
  <c r="AW12" i="21"/>
  <c r="AX12" i="21"/>
  <c r="AT53" i="20" s="1"/>
  <c r="AY12" i="21"/>
  <c r="BA12" i="21"/>
  <c r="BB12" i="21"/>
  <c r="BC12" i="21"/>
  <c r="BD12" i="21"/>
  <c r="BE12" i="21"/>
  <c r="BF12" i="21"/>
  <c r="BG12" i="21"/>
  <c r="BH12" i="21"/>
  <c r="BI12" i="21"/>
  <c r="BJ12" i="21"/>
  <c r="BK12" i="21"/>
  <c r="BL12" i="21"/>
  <c r="BM12" i="21"/>
  <c r="BN12" i="21"/>
  <c r="BO12" i="21"/>
  <c r="BP12" i="21"/>
  <c r="BQ12" i="21"/>
  <c r="BR12" i="21"/>
  <c r="BS12" i="21"/>
  <c r="BT12" i="21"/>
  <c r="BT53" i="20" s="1"/>
  <c r="BU12" i="21"/>
  <c r="BV12" i="21"/>
  <c r="AW13" i="21"/>
  <c r="AX13" i="21"/>
  <c r="AY13" i="21"/>
  <c r="AU54" i="20" s="1"/>
  <c r="BA13" i="21"/>
  <c r="BB13" i="21"/>
  <c r="BC13" i="21"/>
  <c r="BD13" i="21"/>
  <c r="BE13" i="21"/>
  <c r="BF13" i="21"/>
  <c r="BG13" i="21"/>
  <c r="BG54" i="20" s="1"/>
  <c r="BH13" i="21"/>
  <c r="BI13" i="21"/>
  <c r="BJ13" i="21"/>
  <c r="BK13" i="21"/>
  <c r="BL13" i="21"/>
  <c r="BM13" i="21"/>
  <c r="BN13" i="21"/>
  <c r="BO13" i="21"/>
  <c r="BP13" i="21"/>
  <c r="BQ13" i="21"/>
  <c r="BR13" i="21"/>
  <c r="BS13" i="21"/>
  <c r="BT13" i="21"/>
  <c r="BU13" i="21"/>
  <c r="BV13" i="21"/>
  <c r="AW14" i="21"/>
  <c r="AX14" i="21"/>
  <c r="AT14" i="20" s="1"/>
  <c r="AY14" i="21"/>
  <c r="AU55" i="20" s="1"/>
  <c r="BA14" i="21"/>
  <c r="BB14" i="21"/>
  <c r="BC14" i="21"/>
  <c r="BD14" i="21"/>
  <c r="BE14" i="21"/>
  <c r="BF14" i="21"/>
  <c r="BG14" i="21"/>
  <c r="BH14" i="21"/>
  <c r="BI14" i="21"/>
  <c r="BJ14" i="21"/>
  <c r="BK14" i="21"/>
  <c r="BL14" i="21"/>
  <c r="BM14" i="21"/>
  <c r="BN14" i="21"/>
  <c r="BO14" i="21"/>
  <c r="BP14" i="21"/>
  <c r="BQ14" i="21"/>
  <c r="BR14" i="21"/>
  <c r="BS14" i="21"/>
  <c r="BT14" i="21"/>
  <c r="BU14" i="21"/>
  <c r="BV14" i="21"/>
  <c r="AW15" i="21"/>
  <c r="AS56" i="20" s="1"/>
  <c r="AX15" i="21"/>
  <c r="AY15" i="21"/>
  <c r="BA15" i="21"/>
  <c r="BB15" i="21"/>
  <c r="BC15" i="21"/>
  <c r="BD15" i="21"/>
  <c r="BE15" i="21"/>
  <c r="BF15" i="21"/>
  <c r="BG15" i="21"/>
  <c r="BH15" i="21"/>
  <c r="BI15" i="21"/>
  <c r="BJ15" i="21"/>
  <c r="BK15" i="21"/>
  <c r="BL15" i="21"/>
  <c r="BM15" i="21"/>
  <c r="BN15" i="21"/>
  <c r="BO15" i="21"/>
  <c r="BP15" i="21"/>
  <c r="BQ15" i="21"/>
  <c r="BQ56" i="20" s="1"/>
  <c r="BR15" i="21"/>
  <c r="BS15" i="21"/>
  <c r="BT15" i="21"/>
  <c r="BU15" i="21"/>
  <c r="BV15" i="21"/>
  <c r="AW16" i="21"/>
  <c r="AX16" i="21"/>
  <c r="AY16" i="21"/>
  <c r="AU57" i="20" s="1"/>
  <c r="BA16" i="21"/>
  <c r="BB16" i="21"/>
  <c r="BC16" i="21"/>
  <c r="BD16" i="21"/>
  <c r="BD57" i="20" s="1"/>
  <c r="BE16" i="21"/>
  <c r="BF16" i="21"/>
  <c r="BG16" i="21"/>
  <c r="BH16" i="21"/>
  <c r="BI16" i="21"/>
  <c r="BJ16" i="21"/>
  <c r="BK16" i="21"/>
  <c r="BL16" i="21"/>
  <c r="BM16" i="21"/>
  <c r="BN16" i="21"/>
  <c r="BO16" i="21"/>
  <c r="BP16" i="21"/>
  <c r="BP57" i="20" s="1"/>
  <c r="BQ16" i="21"/>
  <c r="BR16" i="21"/>
  <c r="BS16" i="21"/>
  <c r="BT16" i="21"/>
  <c r="BU16" i="21"/>
  <c r="BV16" i="21"/>
  <c r="AW17" i="21"/>
  <c r="AS58" i="20" s="1"/>
  <c r="AX17" i="21"/>
  <c r="AT58" i="20" s="1"/>
  <c r="AY17" i="21"/>
  <c r="BA17" i="21"/>
  <c r="BB17" i="21"/>
  <c r="BC17" i="21"/>
  <c r="BC58" i="20" s="1"/>
  <c r="BD17" i="21"/>
  <c r="BE17" i="21"/>
  <c r="BF17" i="21"/>
  <c r="BG17" i="21"/>
  <c r="BH17" i="21"/>
  <c r="BI17" i="21"/>
  <c r="BJ17" i="21"/>
  <c r="BK17" i="21"/>
  <c r="BL17" i="21"/>
  <c r="BM17" i="21"/>
  <c r="BN17" i="21"/>
  <c r="BO17" i="21"/>
  <c r="BO58" i="20" s="1"/>
  <c r="BP17" i="21"/>
  <c r="BQ17" i="21"/>
  <c r="BR17" i="21"/>
  <c r="BS17" i="21"/>
  <c r="BT17" i="21"/>
  <c r="BU17" i="21"/>
  <c r="BV17" i="21"/>
  <c r="AW18" i="21"/>
  <c r="AS59" i="20" s="1"/>
  <c r="AX18" i="21"/>
  <c r="AT59" i="20" s="1"/>
  <c r="AY18" i="21"/>
  <c r="BA18" i="21"/>
  <c r="BB18" i="21"/>
  <c r="BC18" i="21"/>
  <c r="BD18" i="21"/>
  <c r="BE18" i="21"/>
  <c r="BF18" i="21"/>
  <c r="BG18" i="21"/>
  <c r="BH18" i="21"/>
  <c r="BI18" i="21"/>
  <c r="BJ18" i="21"/>
  <c r="BK18" i="21"/>
  <c r="BL18" i="21"/>
  <c r="BM18" i="21"/>
  <c r="BN18" i="21"/>
  <c r="BN59" i="20" s="1"/>
  <c r="BO18" i="21"/>
  <c r="BP18" i="21"/>
  <c r="BQ18" i="21"/>
  <c r="BR18" i="21"/>
  <c r="BS18" i="21"/>
  <c r="BT18" i="21"/>
  <c r="BU18" i="21"/>
  <c r="BV18" i="21"/>
  <c r="BA19" i="21"/>
  <c r="BB19" i="21"/>
  <c r="BC19" i="21"/>
  <c r="BD19" i="21"/>
  <c r="BE19" i="21"/>
  <c r="BF19" i="21"/>
  <c r="BG19" i="21"/>
  <c r="BH19" i="21"/>
  <c r="BI19" i="21"/>
  <c r="BJ19" i="21"/>
  <c r="BK19" i="21"/>
  <c r="BL19" i="21"/>
  <c r="BM19" i="21"/>
  <c r="BN19" i="21"/>
  <c r="BO19" i="21"/>
  <c r="BP19" i="21"/>
  <c r="BP60" i="20" s="1"/>
  <c r="BQ19" i="21"/>
  <c r="BR19" i="21"/>
  <c r="BS19" i="21"/>
  <c r="BT19" i="21"/>
  <c r="BU19" i="21"/>
  <c r="BV19" i="21"/>
  <c r="AW21" i="21"/>
  <c r="AS21" i="20" s="1"/>
  <c r="AX21" i="21"/>
  <c r="AT62" i="20" s="1"/>
  <c r="AY21" i="21"/>
  <c r="AU62" i="20" s="1"/>
  <c r="BA21" i="21"/>
  <c r="BB21" i="21"/>
  <c r="BC21" i="21"/>
  <c r="BD21" i="21"/>
  <c r="BE21" i="21"/>
  <c r="BF21" i="21"/>
  <c r="BG21" i="21"/>
  <c r="BH21" i="21"/>
  <c r="BI21" i="21"/>
  <c r="BJ21" i="21"/>
  <c r="BK21" i="21"/>
  <c r="BL21" i="21"/>
  <c r="BM21" i="21"/>
  <c r="BN21" i="21"/>
  <c r="BO21" i="21"/>
  <c r="BO62" i="20" s="1"/>
  <c r="BP21" i="21"/>
  <c r="BQ21" i="21"/>
  <c r="BR21" i="21"/>
  <c r="BS21" i="21"/>
  <c r="BT21" i="21"/>
  <c r="BU21" i="21"/>
  <c r="BV21" i="21"/>
  <c r="AW22" i="21"/>
  <c r="AS63" i="20" s="1"/>
  <c r="AX22" i="21"/>
  <c r="AT63" i="20" s="1"/>
  <c r="AY22" i="21"/>
  <c r="BA22" i="21"/>
  <c r="BB22" i="21"/>
  <c r="BC22" i="21"/>
  <c r="BD22" i="21"/>
  <c r="BE22" i="21"/>
  <c r="BF22" i="21"/>
  <c r="BG22" i="21"/>
  <c r="BH22" i="21"/>
  <c r="BI22" i="21"/>
  <c r="BJ22" i="21"/>
  <c r="BK22" i="21"/>
  <c r="BL22" i="21"/>
  <c r="BM22" i="21"/>
  <c r="BN22" i="21"/>
  <c r="BN63" i="20" s="1"/>
  <c r="BO22" i="21"/>
  <c r="BP22" i="21"/>
  <c r="BQ22" i="21"/>
  <c r="BR22" i="21"/>
  <c r="BS22" i="21"/>
  <c r="BT22" i="21"/>
  <c r="BU22" i="21"/>
  <c r="BV22" i="21"/>
  <c r="AW23" i="21"/>
  <c r="AX23" i="21"/>
  <c r="AY23" i="21"/>
  <c r="BA23" i="21"/>
  <c r="BB23" i="21"/>
  <c r="BC23" i="21"/>
  <c r="BD23" i="21"/>
  <c r="BE23" i="21"/>
  <c r="BF23" i="21"/>
  <c r="BG23" i="21"/>
  <c r="BH23" i="21"/>
  <c r="BI23" i="21"/>
  <c r="BJ23" i="21"/>
  <c r="BK23" i="21"/>
  <c r="BL23" i="21"/>
  <c r="BM23" i="21"/>
  <c r="BN23" i="21"/>
  <c r="BO23" i="21"/>
  <c r="BP23" i="21"/>
  <c r="BQ23" i="21"/>
  <c r="BR23" i="21"/>
  <c r="BS23" i="21"/>
  <c r="BT23" i="21"/>
  <c r="BU23" i="21"/>
  <c r="BV23" i="21"/>
  <c r="AW24" i="21"/>
  <c r="AS65" i="20" s="1"/>
  <c r="AX24" i="21"/>
  <c r="AT65" i="20" s="1"/>
  <c r="AY24" i="21"/>
  <c r="AU65" i="20" s="1"/>
  <c r="BA24" i="21"/>
  <c r="BB24" i="21"/>
  <c r="BC24" i="21"/>
  <c r="BD24" i="21"/>
  <c r="BE24" i="21"/>
  <c r="BF24" i="21"/>
  <c r="BG24" i="21"/>
  <c r="BH24" i="21"/>
  <c r="BI24" i="21"/>
  <c r="BJ24" i="21"/>
  <c r="BK24" i="21"/>
  <c r="BL24" i="21"/>
  <c r="BL65" i="20" s="1"/>
  <c r="BM24" i="21"/>
  <c r="BN24" i="21"/>
  <c r="BO24" i="21"/>
  <c r="BP24" i="21"/>
  <c r="BQ24" i="21"/>
  <c r="BR24" i="21"/>
  <c r="BS24" i="21"/>
  <c r="BT24" i="21"/>
  <c r="BU24" i="21"/>
  <c r="BV24" i="21"/>
  <c r="AW25" i="21"/>
  <c r="AS25" i="20" s="1"/>
  <c r="AX25" i="21"/>
  <c r="AT66" i="20" s="1"/>
  <c r="AY25" i="21"/>
  <c r="AU66" i="20" s="1"/>
  <c r="BA25" i="21"/>
  <c r="BB25" i="21"/>
  <c r="BC25" i="21"/>
  <c r="BD25" i="21"/>
  <c r="BE25" i="21"/>
  <c r="BF25" i="21"/>
  <c r="BG25" i="21"/>
  <c r="BH25" i="21"/>
  <c r="BI25" i="21"/>
  <c r="BJ25" i="21"/>
  <c r="BK25" i="21"/>
  <c r="BK66" i="20" s="1"/>
  <c r="BL25" i="21"/>
  <c r="BM25" i="21"/>
  <c r="BN25" i="21"/>
  <c r="BO25" i="21"/>
  <c r="BP25" i="21"/>
  <c r="BQ25" i="21"/>
  <c r="BR25" i="21"/>
  <c r="BS25" i="21"/>
  <c r="BS66" i="20" s="1"/>
  <c r="BT25" i="21"/>
  <c r="BU25" i="21"/>
  <c r="BV25" i="21"/>
  <c r="AW26" i="21"/>
  <c r="AS67" i="20" s="1"/>
  <c r="AX26" i="21"/>
  <c r="AT67" i="20" s="1"/>
  <c r="AY26" i="21"/>
  <c r="BA26" i="21"/>
  <c r="BB26" i="21"/>
  <c r="BC26" i="21"/>
  <c r="BD26" i="21"/>
  <c r="BE26" i="21"/>
  <c r="BF26" i="21"/>
  <c r="BG26" i="21"/>
  <c r="BH26" i="21"/>
  <c r="BI26" i="21"/>
  <c r="BJ26" i="21"/>
  <c r="BJ67" i="20" s="1"/>
  <c r="BK26" i="21"/>
  <c r="BL26" i="21"/>
  <c r="BM26" i="21"/>
  <c r="BN26" i="21"/>
  <c r="BO26" i="21"/>
  <c r="BP26" i="21"/>
  <c r="BQ26" i="21"/>
  <c r="BR26" i="21"/>
  <c r="BS26" i="21"/>
  <c r="BT26" i="21"/>
  <c r="BU26" i="21"/>
  <c r="BV26" i="21"/>
  <c r="AW27" i="21"/>
  <c r="AS27" i="20" s="1"/>
  <c r="AX27" i="21"/>
  <c r="AY27" i="21"/>
  <c r="BA27" i="21"/>
  <c r="BB27" i="21"/>
  <c r="BC27" i="21"/>
  <c r="BD27" i="21"/>
  <c r="BE27" i="21"/>
  <c r="BF27" i="21"/>
  <c r="BG27" i="21"/>
  <c r="BH27" i="21"/>
  <c r="BI27" i="21"/>
  <c r="BI68" i="20" s="1"/>
  <c r="BJ27" i="21"/>
  <c r="BK27" i="21"/>
  <c r="BL27" i="21"/>
  <c r="BM27" i="21"/>
  <c r="BN27" i="21"/>
  <c r="BO27" i="21"/>
  <c r="BP27" i="21"/>
  <c r="BQ27" i="21"/>
  <c r="BR27" i="21"/>
  <c r="BS27" i="21"/>
  <c r="BT27" i="21"/>
  <c r="BU27" i="21"/>
  <c r="BV27" i="21"/>
  <c r="AW28" i="21"/>
  <c r="AX28" i="21"/>
  <c r="AY28" i="21"/>
  <c r="BA28" i="21"/>
  <c r="BB28" i="21"/>
  <c r="BC28" i="21"/>
  <c r="BD28" i="21"/>
  <c r="BE28" i="21"/>
  <c r="BF28" i="21"/>
  <c r="BG28" i="21"/>
  <c r="BH28" i="21"/>
  <c r="BI28" i="21"/>
  <c r="BJ28" i="21"/>
  <c r="BK28" i="21"/>
  <c r="BL28" i="21"/>
  <c r="BM28" i="21"/>
  <c r="BN28" i="21"/>
  <c r="BO28" i="21"/>
  <c r="BP28" i="21"/>
  <c r="BQ28" i="21"/>
  <c r="BR28" i="21"/>
  <c r="BS28" i="21"/>
  <c r="BT28" i="21"/>
  <c r="BU28" i="21"/>
  <c r="BV28" i="21"/>
  <c r="AW29" i="21"/>
  <c r="AS70" i="20" s="1"/>
  <c r="AX29" i="21"/>
  <c r="AT70" i="20" s="1"/>
  <c r="AY29" i="21"/>
  <c r="AU70" i="20" s="1"/>
  <c r="BA29" i="21"/>
  <c r="BB29" i="21"/>
  <c r="BC29" i="21"/>
  <c r="BD29" i="21"/>
  <c r="BE29" i="21"/>
  <c r="BF29" i="21"/>
  <c r="BG29" i="21"/>
  <c r="BG70" i="20" s="1"/>
  <c r="BH29" i="21"/>
  <c r="BI29" i="21"/>
  <c r="BJ29" i="21"/>
  <c r="BK29" i="21"/>
  <c r="BL29" i="21"/>
  <c r="BM29" i="21"/>
  <c r="BN29" i="21"/>
  <c r="BO29" i="21"/>
  <c r="BP29" i="21"/>
  <c r="BQ29" i="21"/>
  <c r="BR29" i="21"/>
  <c r="BS29" i="21"/>
  <c r="BT29" i="21"/>
  <c r="BU29" i="21"/>
  <c r="BV29" i="21"/>
  <c r="AW30" i="21"/>
  <c r="AS71" i="20" s="1"/>
  <c r="AX30" i="21"/>
  <c r="AT71" i="20" s="1"/>
  <c r="AY30" i="21"/>
  <c r="BA30" i="21"/>
  <c r="BB30" i="21"/>
  <c r="AX71" i="20" s="1"/>
  <c r="BC30" i="21"/>
  <c r="BD30" i="21"/>
  <c r="BE30" i="21"/>
  <c r="BF30" i="21"/>
  <c r="BF71" i="20" s="1"/>
  <c r="BG30" i="21"/>
  <c r="BH30" i="21"/>
  <c r="BI30" i="21"/>
  <c r="BJ30" i="21"/>
  <c r="BK30" i="21"/>
  <c r="BL30" i="21"/>
  <c r="BM30" i="21"/>
  <c r="BN30" i="21"/>
  <c r="BO30" i="21"/>
  <c r="BP30" i="21"/>
  <c r="BQ30" i="21"/>
  <c r="BR30" i="21"/>
  <c r="BS30" i="21"/>
  <c r="BT30" i="21"/>
  <c r="BU30" i="21"/>
  <c r="BV30" i="21"/>
  <c r="AW31" i="21"/>
  <c r="AS72" i="20" s="1"/>
  <c r="AX31" i="21"/>
  <c r="AY31" i="21"/>
  <c r="AU72" i="20" s="1"/>
  <c r="BA31" i="21"/>
  <c r="BB31" i="21"/>
  <c r="BC31" i="21"/>
  <c r="BD31" i="21"/>
  <c r="BE31" i="21"/>
  <c r="BE72" i="20" s="1"/>
  <c r="BF31" i="21"/>
  <c r="BG31" i="21"/>
  <c r="BH31" i="21"/>
  <c r="BI31" i="21"/>
  <c r="BJ31" i="21"/>
  <c r="BK31" i="21"/>
  <c r="BL31" i="21"/>
  <c r="BM31" i="21"/>
  <c r="BN31" i="21"/>
  <c r="BO31" i="21"/>
  <c r="BP31" i="21"/>
  <c r="BQ31" i="21"/>
  <c r="BR31" i="21"/>
  <c r="BS31" i="21"/>
  <c r="BT31" i="21"/>
  <c r="BU31" i="21"/>
  <c r="BV31" i="21"/>
  <c r="AW32" i="21"/>
  <c r="AX32" i="21"/>
  <c r="AY32" i="21"/>
  <c r="BA32" i="21"/>
  <c r="BB32" i="21"/>
  <c r="BC32" i="21"/>
  <c r="BD32" i="21"/>
  <c r="BE32" i="21"/>
  <c r="BF32" i="21"/>
  <c r="BG32" i="21"/>
  <c r="BH32" i="21"/>
  <c r="BI32" i="21"/>
  <c r="BJ32" i="21"/>
  <c r="BK32" i="21"/>
  <c r="BL32" i="21"/>
  <c r="BM32" i="21"/>
  <c r="BN32" i="21"/>
  <c r="BO32" i="21"/>
  <c r="BP32" i="21"/>
  <c r="BQ32" i="21"/>
  <c r="BR32" i="21"/>
  <c r="BS32" i="21"/>
  <c r="BT32" i="21"/>
  <c r="BU32" i="21"/>
  <c r="BV32" i="21"/>
  <c r="AW33" i="21"/>
  <c r="AS74" i="20" s="1"/>
  <c r="AX33" i="21"/>
  <c r="AT74" i="20" s="1"/>
  <c r="AY33" i="21"/>
  <c r="BA33" i="21"/>
  <c r="BB33" i="21"/>
  <c r="BC33" i="21"/>
  <c r="BD33" i="21"/>
  <c r="BE33" i="21"/>
  <c r="BF33" i="21"/>
  <c r="BG33" i="21"/>
  <c r="BH33" i="21"/>
  <c r="BI33" i="21"/>
  <c r="BJ33" i="21"/>
  <c r="BK33" i="21"/>
  <c r="BL33" i="21"/>
  <c r="BM33" i="21"/>
  <c r="BN33" i="21"/>
  <c r="BO33" i="21"/>
  <c r="BP33" i="21"/>
  <c r="BQ33" i="21"/>
  <c r="BR33" i="21"/>
  <c r="BS33" i="21"/>
  <c r="BT33" i="21"/>
  <c r="BU33" i="21"/>
  <c r="BV33" i="21"/>
  <c r="AW34" i="21"/>
  <c r="AS75" i="20" s="1"/>
  <c r="AX34" i="21"/>
  <c r="AT34" i="20" s="1"/>
  <c r="AY34" i="21"/>
  <c r="BA34" i="21"/>
  <c r="BB34" i="21"/>
  <c r="BC34" i="21"/>
  <c r="BD34" i="21"/>
  <c r="BE34" i="21"/>
  <c r="BF34" i="21"/>
  <c r="BG34" i="21"/>
  <c r="BH34" i="21"/>
  <c r="BI34" i="21"/>
  <c r="BJ34" i="21"/>
  <c r="BK34" i="21"/>
  <c r="BL34" i="21"/>
  <c r="BM34" i="21"/>
  <c r="BN34" i="21"/>
  <c r="BN75" i="20" s="1"/>
  <c r="BO34" i="21"/>
  <c r="BP34" i="21"/>
  <c r="BQ34" i="21"/>
  <c r="BR34" i="21"/>
  <c r="BS34" i="21"/>
  <c r="BT34" i="21"/>
  <c r="BU34" i="21"/>
  <c r="BV34" i="21"/>
  <c r="BV75" i="20" s="1"/>
  <c r="AW35" i="21"/>
  <c r="AS35" i="20" s="1"/>
  <c r="AX35" i="21"/>
  <c r="AY35" i="21"/>
  <c r="BA35" i="21"/>
  <c r="BB35" i="21"/>
  <c r="BC35" i="21"/>
  <c r="BD35" i="21"/>
  <c r="BE35" i="21"/>
  <c r="BF35" i="21"/>
  <c r="BG35" i="21"/>
  <c r="BH35" i="21"/>
  <c r="BI35" i="21"/>
  <c r="BJ35" i="21"/>
  <c r="BK35" i="21"/>
  <c r="BL35" i="21"/>
  <c r="BM35" i="21"/>
  <c r="BM76" i="20" s="1"/>
  <c r="BN35" i="21"/>
  <c r="BO35" i="21"/>
  <c r="BP35" i="21"/>
  <c r="BQ35" i="21"/>
  <c r="BR35" i="21"/>
  <c r="BS35" i="21"/>
  <c r="BT35" i="21"/>
  <c r="BU35" i="21"/>
  <c r="BV35" i="21"/>
  <c r="AW36" i="21"/>
  <c r="AX36" i="21"/>
  <c r="AT77" i="20" s="1"/>
  <c r="AY36" i="21"/>
  <c r="AU77" i="20" s="1"/>
  <c r="BA36" i="21"/>
  <c r="BB36" i="21"/>
  <c r="BC36" i="21"/>
  <c r="BD36" i="21"/>
  <c r="BE36" i="21"/>
  <c r="BF36" i="21"/>
  <c r="BG36" i="21"/>
  <c r="BH36" i="21"/>
  <c r="BI36" i="21"/>
  <c r="BJ36" i="21"/>
  <c r="BK36" i="21"/>
  <c r="BL36" i="21"/>
  <c r="BM36" i="21"/>
  <c r="BN36" i="21"/>
  <c r="BO36" i="21"/>
  <c r="BP36" i="21"/>
  <c r="BQ36" i="21"/>
  <c r="BR36" i="21"/>
  <c r="BS36" i="21"/>
  <c r="BS77" i="20" s="1"/>
  <c r="BT36" i="21"/>
  <c r="BT77" i="20" s="1"/>
  <c r="BU36" i="21"/>
  <c r="BV36" i="21"/>
  <c r="AW37" i="21"/>
  <c r="AX37" i="21"/>
  <c r="AY37" i="21"/>
  <c r="BA37" i="21"/>
  <c r="BB37" i="21"/>
  <c r="BC37" i="21"/>
  <c r="BD37" i="21"/>
  <c r="BE37" i="21"/>
  <c r="BF37" i="21"/>
  <c r="BG37" i="21"/>
  <c r="BH37" i="21"/>
  <c r="BI37" i="21"/>
  <c r="BJ37" i="21"/>
  <c r="BK37" i="21"/>
  <c r="BL37" i="21"/>
  <c r="BM37" i="21"/>
  <c r="BN37" i="21"/>
  <c r="BO37" i="21"/>
  <c r="BP37" i="21"/>
  <c r="BQ37" i="21"/>
  <c r="BR37" i="21"/>
  <c r="BS37" i="21"/>
  <c r="BT37" i="21"/>
  <c r="BU37" i="21"/>
  <c r="BV37" i="21"/>
  <c r="AW41" i="21"/>
  <c r="AX41" i="21"/>
  <c r="AY41" i="21"/>
  <c r="BA41" i="21"/>
  <c r="BB41" i="21"/>
  <c r="BC41" i="21"/>
  <c r="BD41" i="21"/>
  <c r="BE41" i="21"/>
  <c r="BF41" i="21"/>
  <c r="BG41" i="21"/>
  <c r="BH41" i="21"/>
  <c r="BI41" i="21"/>
  <c r="BJ41" i="21"/>
  <c r="BK41" i="21"/>
  <c r="BL41" i="21"/>
  <c r="BM41" i="21"/>
  <c r="BN41" i="21"/>
  <c r="BO41" i="21"/>
  <c r="BP41" i="21"/>
  <c r="BQ41" i="21"/>
  <c r="BR41" i="21"/>
  <c r="BS41" i="21"/>
  <c r="BT41" i="21"/>
  <c r="BU41" i="21"/>
  <c r="BV41" i="21"/>
  <c r="AW42" i="21"/>
  <c r="AX42" i="21"/>
  <c r="AY42" i="21"/>
  <c r="BA42" i="21"/>
  <c r="AV6" i="21"/>
  <c r="AR47" i="20" s="1"/>
  <c r="AV7" i="21"/>
  <c r="AV8" i="21"/>
  <c r="AR49" i="20" s="1"/>
  <c r="AV9" i="21"/>
  <c r="AR50" i="20" s="1"/>
  <c r="AV10" i="21"/>
  <c r="AV11" i="21"/>
  <c r="AR52" i="20" s="1"/>
  <c r="AV12" i="21"/>
  <c r="AR53" i="20" s="1"/>
  <c r="AV13" i="21"/>
  <c r="AR54" i="20" s="1"/>
  <c r="AV14" i="21"/>
  <c r="AR14" i="20" s="1"/>
  <c r="AV15" i="21"/>
  <c r="AV16" i="21"/>
  <c r="AR16" i="20" s="1"/>
  <c r="AV17" i="21"/>
  <c r="AR17" i="20" s="1"/>
  <c r="AV18" i="21"/>
  <c r="AR18" i="20" s="1"/>
  <c r="AV21" i="21"/>
  <c r="AV22" i="21"/>
  <c r="AV23" i="21"/>
  <c r="AV24" i="21"/>
  <c r="AR65" i="20" s="1"/>
  <c r="AV25" i="21"/>
  <c r="AR66" i="20" s="1"/>
  <c r="AV26" i="21"/>
  <c r="AR26" i="20" s="1"/>
  <c r="AV27" i="21"/>
  <c r="AR68" i="20" s="1"/>
  <c r="AV28" i="21"/>
  <c r="AV29" i="21"/>
  <c r="AV30" i="21"/>
  <c r="AR30" i="20" s="1"/>
  <c r="AV31" i="21"/>
  <c r="AV32" i="21"/>
  <c r="AV33" i="21"/>
  <c r="AV34" i="21"/>
  <c r="AV35" i="21"/>
  <c r="AR35" i="20" s="1"/>
  <c r="AV36" i="21"/>
  <c r="AV37" i="21"/>
  <c r="AV41" i="21"/>
  <c r="AV42" i="21"/>
  <c r="AV43" i="21"/>
  <c r="AV44" i="21"/>
  <c r="AV45" i="21"/>
  <c r="AV46" i="21"/>
  <c r="AV48" i="21"/>
  <c r="AV49" i="21"/>
  <c r="AV50" i="21"/>
  <c r="AV51" i="21"/>
  <c r="AV52" i="21"/>
  <c r="AV53" i="21"/>
  <c r="AV54" i="21"/>
  <c r="AV55" i="21"/>
  <c r="AV56" i="21"/>
  <c r="AV57" i="21"/>
  <c r="AV58" i="21"/>
  <c r="AV5" i="21"/>
  <c r="AR5" i="20" s="1"/>
  <c r="C19" i="21"/>
  <c r="C81" i="20"/>
  <c r="C80" i="20"/>
  <c r="C79" i="20"/>
  <c r="C60" i="20"/>
  <c r="C38" i="20"/>
  <c r="C19" i="20"/>
  <c r="AB62" i="12"/>
  <c r="AC62" i="12"/>
  <c r="AD62" i="12"/>
  <c r="AE62" i="12"/>
  <c r="AF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U62" i="12"/>
  <c r="AV62" i="12"/>
  <c r="AW62" i="12"/>
  <c r="AX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L62" i="12"/>
  <c r="BM62" i="12"/>
  <c r="BN62" i="12"/>
  <c r="BO62" i="12"/>
  <c r="BP62" i="12"/>
  <c r="BQ62" i="12"/>
  <c r="BR62" i="12"/>
  <c r="AB63" i="12"/>
  <c r="AC63" i="12"/>
  <c r="AD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W63" i="12"/>
  <c r="AX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L63" i="12"/>
  <c r="BM63" i="12"/>
  <c r="BN63" i="12"/>
  <c r="BO63" i="12"/>
  <c r="BP63" i="12"/>
  <c r="BQ63" i="12"/>
  <c r="BR63" i="12"/>
  <c r="AB65" i="12"/>
  <c r="AC65" i="12"/>
  <c r="AD65" i="12"/>
  <c r="AE65" i="12"/>
  <c r="AF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W65" i="12"/>
  <c r="AX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L65" i="12"/>
  <c r="BM65" i="12"/>
  <c r="BN65" i="12"/>
  <c r="BO65" i="12"/>
  <c r="BP65" i="12"/>
  <c r="BQ65" i="12"/>
  <c r="BR65" i="12"/>
  <c r="AB66" i="12"/>
  <c r="AC66" i="12"/>
  <c r="AD66" i="12"/>
  <c r="AE66" i="12"/>
  <c r="AF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W66" i="12"/>
  <c r="AX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L66" i="12"/>
  <c r="BM66" i="12"/>
  <c r="BN66" i="12"/>
  <c r="BO66" i="12"/>
  <c r="BP66" i="12"/>
  <c r="BQ66" i="12"/>
  <c r="BR66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BN67" i="12"/>
  <c r="BO67" i="12"/>
  <c r="BP67" i="12"/>
  <c r="BQ67" i="12"/>
  <c r="BR67" i="12"/>
  <c r="AB68" i="12"/>
  <c r="AC68" i="12"/>
  <c r="AD68" i="12"/>
  <c r="AE68" i="12"/>
  <c r="AF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W68" i="12"/>
  <c r="AX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L68" i="12"/>
  <c r="BM68" i="12"/>
  <c r="BN68" i="12"/>
  <c r="BO68" i="12"/>
  <c r="BP68" i="12"/>
  <c r="BQ68" i="12"/>
  <c r="BR68" i="12"/>
  <c r="AB70" i="12"/>
  <c r="AC70" i="12"/>
  <c r="AD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W70" i="12"/>
  <c r="AX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L70" i="12"/>
  <c r="BM70" i="12"/>
  <c r="BN70" i="12"/>
  <c r="BO70" i="12"/>
  <c r="BP70" i="12"/>
  <c r="BQ70" i="12"/>
  <c r="BR70" i="12"/>
  <c r="AB71" i="12"/>
  <c r="AC71" i="12"/>
  <c r="AD71" i="12"/>
  <c r="AE71" i="12"/>
  <c r="AF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AV71" i="12"/>
  <c r="AW71" i="12"/>
  <c r="AX71" i="12"/>
  <c r="AY71" i="12"/>
  <c r="AZ71" i="12"/>
  <c r="BA71" i="12"/>
  <c r="BB71" i="12"/>
  <c r="BC71" i="12"/>
  <c r="BD71" i="12"/>
  <c r="BE71" i="12"/>
  <c r="BF71" i="12"/>
  <c r="BG71" i="12"/>
  <c r="BH71" i="12"/>
  <c r="BI71" i="12"/>
  <c r="BJ71" i="12"/>
  <c r="BK71" i="12"/>
  <c r="BL71" i="12"/>
  <c r="BM71" i="12"/>
  <c r="BN71" i="12"/>
  <c r="BO71" i="12"/>
  <c r="BP71" i="12"/>
  <c r="BQ71" i="12"/>
  <c r="BR71" i="12"/>
  <c r="AB72" i="12"/>
  <c r="AC72" i="12"/>
  <c r="AD72" i="12"/>
  <c r="AE72" i="12"/>
  <c r="AF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W72" i="12"/>
  <c r="AX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L72" i="12"/>
  <c r="BM72" i="12"/>
  <c r="BN72" i="12"/>
  <c r="BO72" i="12"/>
  <c r="BP72" i="12"/>
  <c r="BQ72" i="12"/>
  <c r="BR72" i="12"/>
  <c r="AB74" i="12"/>
  <c r="AC74" i="12"/>
  <c r="AD74" i="12"/>
  <c r="AE74" i="12"/>
  <c r="AF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U74" i="12"/>
  <c r="AV74" i="12"/>
  <c r="AW74" i="12"/>
  <c r="AX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L74" i="12"/>
  <c r="BM74" i="12"/>
  <c r="BN74" i="12"/>
  <c r="BO74" i="12"/>
  <c r="BP74" i="12"/>
  <c r="BQ74" i="12"/>
  <c r="BR74" i="12"/>
  <c r="AB75" i="12"/>
  <c r="AC75" i="12"/>
  <c r="AD75" i="12"/>
  <c r="AE75" i="12"/>
  <c r="AF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U75" i="12"/>
  <c r="AV75" i="12"/>
  <c r="AW75" i="12"/>
  <c r="AX75" i="12"/>
  <c r="AY75" i="12"/>
  <c r="AZ75" i="12"/>
  <c r="BA75" i="12"/>
  <c r="BB75" i="12"/>
  <c r="BC75" i="12"/>
  <c r="BD75" i="12"/>
  <c r="BE75" i="12"/>
  <c r="BF75" i="12"/>
  <c r="BG75" i="12"/>
  <c r="BH75" i="12"/>
  <c r="BI75" i="12"/>
  <c r="BJ75" i="12"/>
  <c r="BK75" i="12"/>
  <c r="BL75" i="12"/>
  <c r="BM75" i="12"/>
  <c r="BN75" i="12"/>
  <c r="BO75" i="12"/>
  <c r="BP75" i="12"/>
  <c r="BQ75" i="12"/>
  <c r="BR75" i="12"/>
  <c r="AB76" i="12"/>
  <c r="AC76" i="12"/>
  <c r="AD76" i="12"/>
  <c r="AE76" i="12"/>
  <c r="AF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W76" i="12"/>
  <c r="AX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L76" i="12"/>
  <c r="BM76" i="12"/>
  <c r="BN76" i="12"/>
  <c r="BO76" i="12"/>
  <c r="BP76" i="12"/>
  <c r="BQ76" i="12"/>
  <c r="BR76" i="12"/>
  <c r="AB77" i="12"/>
  <c r="AC77" i="12"/>
  <c r="AD77" i="12"/>
  <c r="AE77" i="12"/>
  <c r="AF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U77" i="12"/>
  <c r="AV77" i="12"/>
  <c r="AW77" i="12"/>
  <c r="AX77" i="12"/>
  <c r="AY77" i="12"/>
  <c r="AZ77" i="12"/>
  <c r="BA77" i="12"/>
  <c r="BB77" i="12"/>
  <c r="BC77" i="12"/>
  <c r="BD77" i="12"/>
  <c r="BE77" i="12"/>
  <c r="BF77" i="12"/>
  <c r="BG77" i="12"/>
  <c r="BH77" i="12"/>
  <c r="BI77" i="12"/>
  <c r="BJ77" i="12"/>
  <c r="BK77" i="12"/>
  <c r="BL77" i="12"/>
  <c r="BM77" i="12"/>
  <c r="BN77" i="12"/>
  <c r="BO77" i="12"/>
  <c r="BP77" i="12"/>
  <c r="BQ77" i="12"/>
  <c r="BR77" i="12"/>
  <c r="BT62" i="12"/>
  <c r="BU62" i="12"/>
  <c r="BV62" i="12"/>
  <c r="BW62" i="12"/>
  <c r="BX62" i="12"/>
  <c r="BY62" i="12"/>
  <c r="BZ62" i="12"/>
  <c r="CA62" i="12"/>
  <c r="CB62" i="12"/>
  <c r="CC62" i="12"/>
  <c r="CD62" i="12"/>
  <c r="CE62" i="12"/>
  <c r="CF62" i="12"/>
  <c r="BT63" i="12"/>
  <c r="BU63" i="12"/>
  <c r="BV63" i="12"/>
  <c r="BW63" i="12"/>
  <c r="BX63" i="12"/>
  <c r="BY63" i="12"/>
  <c r="BZ63" i="12"/>
  <c r="CA63" i="12"/>
  <c r="CB63" i="12"/>
  <c r="CC63" i="12"/>
  <c r="CD63" i="12"/>
  <c r="CE63" i="12"/>
  <c r="CF63" i="12"/>
  <c r="BT65" i="12"/>
  <c r="BU65" i="12"/>
  <c r="BV65" i="12"/>
  <c r="BW65" i="12"/>
  <c r="BX65" i="12"/>
  <c r="BY65" i="12"/>
  <c r="BZ65" i="12"/>
  <c r="CA65" i="12"/>
  <c r="CB65" i="12"/>
  <c r="CC65" i="12"/>
  <c r="CD65" i="12"/>
  <c r="CE65" i="12"/>
  <c r="CF65" i="12"/>
  <c r="BT66" i="12"/>
  <c r="BU66" i="12"/>
  <c r="BV66" i="12"/>
  <c r="BW66" i="12"/>
  <c r="BX66" i="12"/>
  <c r="BY66" i="12"/>
  <c r="BZ66" i="12"/>
  <c r="CA66" i="12"/>
  <c r="CB66" i="12"/>
  <c r="CC66" i="12"/>
  <c r="CD66" i="12"/>
  <c r="CE66" i="12"/>
  <c r="CF66" i="12"/>
  <c r="BT67" i="12"/>
  <c r="BU67" i="12"/>
  <c r="BV67" i="12"/>
  <c r="BW67" i="12"/>
  <c r="BX67" i="12"/>
  <c r="BY67" i="12"/>
  <c r="BZ67" i="12"/>
  <c r="CA67" i="12"/>
  <c r="CB67" i="12"/>
  <c r="CC67" i="12"/>
  <c r="CD67" i="12"/>
  <c r="CE67" i="12"/>
  <c r="CF67" i="12"/>
  <c r="BT68" i="12"/>
  <c r="BU68" i="12"/>
  <c r="BV68" i="12"/>
  <c r="BW68" i="12"/>
  <c r="BX68" i="12"/>
  <c r="BY68" i="12"/>
  <c r="BZ68" i="12"/>
  <c r="CA68" i="12"/>
  <c r="CB68" i="12"/>
  <c r="CC68" i="12"/>
  <c r="CD68" i="12"/>
  <c r="CE68" i="12"/>
  <c r="CF68" i="12"/>
  <c r="BT70" i="12"/>
  <c r="BU70" i="12"/>
  <c r="BV70" i="12"/>
  <c r="BW70" i="12"/>
  <c r="BX70" i="12"/>
  <c r="BY70" i="12"/>
  <c r="BZ70" i="12"/>
  <c r="CA70" i="12"/>
  <c r="CB70" i="12"/>
  <c r="CC70" i="12"/>
  <c r="CD70" i="12"/>
  <c r="CE70" i="12"/>
  <c r="CF70" i="12"/>
  <c r="BT71" i="12"/>
  <c r="BU71" i="12"/>
  <c r="BV71" i="12"/>
  <c r="BW71" i="12"/>
  <c r="BX71" i="12"/>
  <c r="BY71" i="12"/>
  <c r="BZ71" i="12"/>
  <c r="CA71" i="12"/>
  <c r="CB71" i="12"/>
  <c r="CC71" i="12"/>
  <c r="CD71" i="12"/>
  <c r="CE71" i="12"/>
  <c r="CF71" i="12"/>
  <c r="BT72" i="12"/>
  <c r="BU72" i="12"/>
  <c r="BV72" i="12"/>
  <c r="BW72" i="12"/>
  <c r="BX72" i="12"/>
  <c r="BY72" i="12"/>
  <c r="BZ72" i="12"/>
  <c r="CA72" i="12"/>
  <c r="CB72" i="12"/>
  <c r="CC72" i="12"/>
  <c r="CD72" i="12"/>
  <c r="CE72" i="12"/>
  <c r="CF72" i="12"/>
  <c r="BT74" i="12"/>
  <c r="BU74" i="12"/>
  <c r="BV74" i="12"/>
  <c r="BW74" i="12"/>
  <c r="BX74" i="12"/>
  <c r="BY74" i="12"/>
  <c r="BZ74" i="12"/>
  <c r="CA74" i="12"/>
  <c r="CB74" i="12"/>
  <c r="CC74" i="12"/>
  <c r="CD74" i="12"/>
  <c r="CE74" i="12"/>
  <c r="CF74" i="12"/>
  <c r="BT75" i="12"/>
  <c r="BU75" i="12"/>
  <c r="BV75" i="12"/>
  <c r="BW75" i="12"/>
  <c r="BX75" i="12"/>
  <c r="BY75" i="12"/>
  <c r="BZ75" i="12"/>
  <c r="CA75" i="12"/>
  <c r="CB75" i="12"/>
  <c r="CC75" i="12"/>
  <c r="CD75" i="12"/>
  <c r="CE75" i="12"/>
  <c r="CF75" i="12"/>
  <c r="BT76" i="12"/>
  <c r="BU76" i="12"/>
  <c r="BV76" i="12"/>
  <c r="BW76" i="12"/>
  <c r="BX76" i="12"/>
  <c r="BY76" i="12"/>
  <c r="BZ76" i="12"/>
  <c r="CA76" i="12"/>
  <c r="CB76" i="12"/>
  <c r="CC76" i="12"/>
  <c r="CD76" i="12"/>
  <c r="CE76" i="12"/>
  <c r="CF76" i="12"/>
  <c r="BT77" i="12"/>
  <c r="BU77" i="12"/>
  <c r="BV77" i="12"/>
  <c r="BW77" i="12"/>
  <c r="BX77" i="12"/>
  <c r="BY77" i="12"/>
  <c r="BZ77" i="12"/>
  <c r="CA77" i="12"/>
  <c r="CB77" i="12"/>
  <c r="CC77" i="12"/>
  <c r="CD77" i="12"/>
  <c r="CE77" i="12"/>
  <c r="CF77" i="12"/>
  <c r="BS77" i="12"/>
  <c r="BS76" i="12"/>
  <c r="BS75" i="12"/>
  <c r="BS74" i="12"/>
  <c r="BS72" i="12"/>
  <c r="BS71" i="12"/>
  <c r="BS70" i="12"/>
  <c r="BS68" i="12"/>
  <c r="BS67" i="12"/>
  <c r="BS66" i="12"/>
  <c r="BS65" i="12"/>
  <c r="AS6" i="12"/>
  <c r="AT6" i="12"/>
  <c r="AU6" i="12"/>
  <c r="AV6" i="12"/>
  <c r="AW6" i="12"/>
  <c r="AX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L6" i="12"/>
  <c r="BM6" i="12"/>
  <c r="BN6" i="12"/>
  <c r="BO6" i="12"/>
  <c r="BP6" i="12"/>
  <c r="BQ6" i="12"/>
  <c r="BR6" i="12"/>
  <c r="BS6" i="12"/>
  <c r="BT6" i="12"/>
  <c r="BU6" i="12"/>
  <c r="BV6" i="12"/>
  <c r="AS7" i="12"/>
  <c r="AT7" i="12"/>
  <c r="AU7" i="12"/>
  <c r="AV7" i="12"/>
  <c r="AW7" i="12"/>
  <c r="AX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L7" i="12"/>
  <c r="BM7" i="12"/>
  <c r="BN7" i="12"/>
  <c r="BO7" i="12"/>
  <c r="BP7" i="12"/>
  <c r="BQ7" i="12"/>
  <c r="BR7" i="12"/>
  <c r="BS7" i="12"/>
  <c r="BT7" i="12"/>
  <c r="BU7" i="12"/>
  <c r="BV7" i="12"/>
  <c r="AN24" i="12"/>
  <c r="AO24" i="12"/>
  <c r="AP24" i="12"/>
  <c r="AQ24" i="12"/>
  <c r="AR24" i="12"/>
  <c r="AS24" i="12"/>
  <c r="AT24" i="12"/>
  <c r="AU24" i="12"/>
  <c r="AV24" i="12"/>
  <c r="AW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AN25" i="12"/>
  <c r="AO25" i="12"/>
  <c r="AP25" i="12"/>
  <c r="AQ25" i="12"/>
  <c r="AR25" i="12"/>
  <c r="AS25" i="12"/>
  <c r="AT25" i="12"/>
  <c r="AU25" i="12"/>
  <c r="AV25" i="12"/>
  <c r="AW25" i="12"/>
  <c r="AX25" i="12"/>
  <c r="AY25" i="12"/>
  <c r="AZ25" i="12"/>
  <c r="BA25" i="12"/>
  <c r="BB25" i="12"/>
  <c r="BC25" i="12"/>
  <c r="BD25" i="12"/>
  <c r="BE25" i="12"/>
  <c r="BF25" i="12"/>
  <c r="BG25" i="12"/>
  <c r="BH25" i="12"/>
  <c r="BI25" i="12"/>
  <c r="AN26" i="12"/>
  <c r="AO26" i="12"/>
  <c r="AP26" i="12"/>
  <c r="AQ26" i="12"/>
  <c r="AR26" i="12"/>
  <c r="AS26" i="12"/>
  <c r="AT26" i="12"/>
  <c r="AU26" i="12"/>
  <c r="AV26" i="12"/>
  <c r="AW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AN27" i="12"/>
  <c r="AO27" i="12"/>
  <c r="AP27" i="12"/>
  <c r="AQ27" i="12"/>
  <c r="AR27" i="12"/>
  <c r="AS27" i="12"/>
  <c r="AT27" i="12"/>
  <c r="AU27" i="12"/>
  <c r="AV27" i="12"/>
  <c r="AW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AN29" i="12"/>
  <c r="AO29" i="12"/>
  <c r="AP29" i="12"/>
  <c r="AQ29" i="12"/>
  <c r="AR29" i="12"/>
  <c r="AS29" i="12"/>
  <c r="AT29" i="12"/>
  <c r="AU29" i="12"/>
  <c r="AV29" i="12"/>
  <c r="AW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AN30" i="12"/>
  <c r="AO30" i="12"/>
  <c r="AP30" i="12"/>
  <c r="AQ30" i="12"/>
  <c r="AR30" i="12"/>
  <c r="AS30" i="12"/>
  <c r="AT30" i="12"/>
  <c r="AU30" i="12"/>
  <c r="AV30" i="12"/>
  <c r="AW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AN31" i="12"/>
  <c r="AO31" i="12"/>
  <c r="AP31" i="12"/>
  <c r="AQ31" i="12"/>
  <c r="AR31" i="12"/>
  <c r="AS31" i="12"/>
  <c r="AT31" i="12"/>
  <c r="AU31" i="12"/>
  <c r="AV31" i="12"/>
  <c r="AW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AN33" i="12"/>
  <c r="AO33" i="12"/>
  <c r="AP33" i="12"/>
  <c r="AQ33" i="12"/>
  <c r="AR33" i="12"/>
  <c r="AS33" i="12"/>
  <c r="AT33" i="12"/>
  <c r="AU33" i="12"/>
  <c r="AV33" i="12"/>
  <c r="AW33" i="12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AN34" i="12"/>
  <c r="AO34" i="12"/>
  <c r="AP34" i="12"/>
  <c r="AQ34" i="12"/>
  <c r="AR34" i="12"/>
  <c r="AS34" i="12"/>
  <c r="AT34" i="12"/>
  <c r="AU34" i="12"/>
  <c r="AV34" i="12"/>
  <c r="AW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AN35" i="12"/>
  <c r="AO35" i="12"/>
  <c r="AP35" i="12"/>
  <c r="AQ35" i="12"/>
  <c r="AR35" i="12"/>
  <c r="AS35" i="12"/>
  <c r="AT35" i="12"/>
  <c r="AU35" i="12"/>
  <c r="AV35" i="12"/>
  <c r="AW35" i="12"/>
  <c r="AX35" i="12"/>
  <c r="AY35" i="12"/>
  <c r="AZ35" i="12"/>
  <c r="BA35" i="12"/>
  <c r="BB35" i="12"/>
  <c r="BC35" i="12"/>
  <c r="BD35" i="12"/>
  <c r="BE35" i="12"/>
  <c r="BF35" i="12"/>
  <c r="BG35" i="12"/>
  <c r="BH35" i="12"/>
  <c r="BI35" i="12"/>
  <c r="AN36" i="12"/>
  <c r="AO36" i="12"/>
  <c r="AP36" i="12"/>
  <c r="AQ36" i="12"/>
  <c r="AR36" i="12"/>
  <c r="AS36" i="12"/>
  <c r="AT36" i="12"/>
  <c r="AU36" i="12"/>
  <c r="AV36" i="12"/>
  <c r="AW36" i="12"/>
  <c r="AX36" i="12"/>
  <c r="AY36" i="12"/>
  <c r="AZ36" i="12"/>
  <c r="BA36" i="12"/>
  <c r="BB36" i="12"/>
  <c r="BC36" i="12"/>
  <c r="BD36" i="12"/>
  <c r="BE36" i="12"/>
  <c r="BF36" i="12"/>
  <c r="BG36" i="12"/>
  <c r="BH36" i="12"/>
  <c r="BI36" i="12"/>
  <c r="BK24" i="12"/>
  <c r="BL24" i="12"/>
  <c r="BM24" i="12"/>
  <c r="BN24" i="12"/>
  <c r="BO24" i="12"/>
  <c r="BP24" i="12"/>
  <c r="BQ24" i="12"/>
  <c r="BR24" i="12"/>
  <c r="BS24" i="12"/>
  <c r="BT24" i="12"/>
  <c r="BU24" i="12"/>
  <c r="BV24" i="12"/>
  <c r="BW24" i="12"/>
  <c r="BX24" i="12"/>
  <c r="BY24" i="12"/>
  <c r="BZ24" i="12"/>
  <c r="CA24" i="12"/>
  <c r="CB24" i="12"/>
  <c r="CC24" i="12"/>
  <c r="CD24" i="12"/>
  <c r="CE24" i="12"/>
  <c r="CF24" i="12"/>
  <c r="BK25" i="12"/>
  <c r="BL25" i="12"/>
  <c r="BM25" i="12"/>
  <c r="BN25" i="12"/>
  <c r="BO25" i="12"/>
  <c r="BP25" i="12"/>
  <c r="BQ25" i="12"/>
  <c r="BR25" i="12"/>
  <c r="BS25" i="12"/>
  <c r="BT25" i="12"/>
  <c r="BU25" i="12"/>
  <c r="BV25" i="12"/>
  <c r="BW25" i="12"/>
  <c r="BX25" i="12"/>
  <c r="BY25" i="12"/>
  <c r="BZ25" i="12"/>
  <c r="CA25" i="12"/>
  <c r="CB25" i="12"/>
  <c r="CC25" i="12"/>
  <c r="CD25" i="12"/>
  <c r="CE25" i="12"/>
  <c r="CF25" i="12"/>
  <c r="BK26" i="12"/>
  <c r="BL26" i="12"/>
  <c r="BM26" i="12"/>
  <c r="BN26" i="12"/>
  <c r="BO26" i="12"/>
  <c r="BP26" i="12"/>
  <c r="BQ26" i="12"/>
  <c r="BR26" i="12"/>
  <c r="BS26" i="12"/>
  <c r="BT26" i="12"/>
  <c r="BU26" i="12"/>
  <c r="BV26" i="12"/>
  <c r="BW26" i="12"/>
  <c r="BX26" i="12"/>
  <c r="BY26" i="12"/>
  <c r="BZ26" i="12"/>
  <c r="CA26" i="12"/>
  <c r="CB26" i="12"/>
  <c r="CC26" i="12"/>
  <c r="CD26" i="12"/>
  <c r="CE26" i="12"/>
  <c r="CF26" i="12"/>
  <c r="BK27" i="12"/>
  <c r="BL27" i="12"/>
  <c r="BM27" i="12"/>
  <c r="BN27" i="12"/>
  <c r="BO27" i="12"/>
  <c r="BP27" i="12"/>
  <c r="BQ27" i="12"/>
  <c r="BR27" i="12"/>
  <c r="BS27" i="12"/>
  <c r="BT27" i="12"/>
  <c r="BU27" i="12"/>
  <c r="BV27" i="12"/>
  <c r="BW27" i="12"/>
  <c r="BX27" i="12"/>
  <c r="BY27" i="12"/>
  <c r="BZ27" i="12"/>
  <c r="CA27" i="12"/>
  <c r="CB27" i="12"/>
  <c r="CC27" i="12"/>
  <c r="CD27" i="12"/>
  <c r="CE27" i="12"/>
  <c r="CF27" i="12"/>
  <c r="BK29" i="12"/>
  <c r="BL29" i="12"/>
  <c r="BM29" i="12"/>
  <c r="BN29" i="12"/>
  <c r="BO29" i="12"/>
  <c r="BP29" i="12"/>
  <c r="BQ29" i="12"/>
  <c r="BR29" i="12"/>
  <c r="BS29" i="12"/>
  <c r="BT29" i="12"/>
  <c r="BU29" i="12"/>
  <c r="BV29" i="12"/>
  <c r="BW29" i="12"/>
  <c r="BX29" i="12"/>
  <c r="BY29" i="12"/>
  <c r="BZ29" i="12"/>
  <c r="CA29" i="12"/>
  <c r="CB29" i="12"/>
  <c r="CC29" i="12"/>
  <c r="CD29" i="12"/>
  <c r="CE29" i="12"/>
  <c r="CF29" i="12"/>
  <c r="BK30" i="12"/>
  <c r="BL30" i="12"/>
  <c r="BM30" i="12"/>
  <c r="BN30" i="12"/>
  <c r="BO30" i="12"/>
  <c r="BP30" i="12"/>
  <c r="BQ30" i="12"/>
  <c r="BR30" i="12"/>
  <c r="BS30" i="12"/>
  <c r="BT30" i="12"/>
  <c r="BU30" i="12"/>
  <c r="BV30" i="12"/>
  <c r="BW30" i="12"/>
  <c r="BX30" i="12"/>
  <c r="BY30" i="12"/>
  <c r="BZ30" i="12"/>
  <c r="CA30" i="12"/>
  <c r="CB30" i="12"/>
  <c r="CC30" i="12"/>
  <c r="CD30" i="12"/>
  <c r="CE30" i="12"/>
  <c r="CF30" i="12"/>
  <c r="BK31" i="12"/>
  <c r="BL31" i="12"/>
  <c r="BM31" i="12"/>
  <c r="BN31" i="12"/>
  <c r="BO31" i="12"/>
  <c r="BP31" i="12"/>
  <c r="BQ31" i="12"/>
  <c r="BR31" i="12"/>
  <c r="BS31" i="12"/>
  <c r="BT31" i="12"/>
  <c r="BU31" i="12"/>
  <c r="BV31" i="12"/>
  <c r="BW31" i="12"/>
  <c r="BX31" i="12"/>
  <c r="BY31" i="12"/>
  <c r="BZ31" i="12"/>
  <c r="CA31" i="12"/>
  <c r="CB31" i="12"/>
  <c r="CC31" i="12"/>
  <c r="CD31" i="12"/>
  <c r="CE31" i="12"/>
  <c r="CF31" i="12"/>
  <c r="BK33" i="12"/>
  <c r="BL33" i="12"/>
  <c r="BM33" i="12"/>
  <c r="BN33" i="12"/>
  <c r="BO33" i="12"/>
  <c r="BP33" i="12"/>
  <c r="BQ33" i="12"/>
  <c r="BR33" i="12"/>
  <c r="BS33" i="12"/>
  <c r="BT33" i="12"/>
  <c r="BU33" i="12"/>
  <c r="BV33" i="12"/>
  <c r="BW33" i="12"/>
  <c r="BX33" i="12"/>
  <c r="BY33" i="12"/>
  <c r="BZ33" i="12"/>
  <c r="CA33" i="12"/>
  <c r="CB33" i="12"/>
  <c r="CC33" i="12"/>
  <c r="CD33" i="12"/>
  <c r="CE33" i="12"/>
  <c r="CF33" i="12"/>
  <c r="BK34" i="12"/>
  <c r="BL34" i="12"/>
  <c r="BM34" i="12"/>
  <c r="BN34" i="12"/>
  <c r="BO34" i="12"/>
  <c r="BP34" i="12"/>
  <c r="BQ34" i="12"/>
  <c r="BR34" i="12"/>
  <c r="BS34" i="12"/>
  <c r="BT34" i="12"/>
  <c r="BU34" i="12"/>
  <c r="BV34" i="12"/>
  <c r="BW34" i="12"/>
  <c r="BX34" i="12"/>
  <c r="BY34" i="12"/>
  <c r="BZ34" i="12"/>
  <c r="CA34" i="12"/>
  <c r="CB34" i="12"/>
  <c r="CC34" i="12"/>
  <c r="CD34" i="12"/>
  <c r="CE34" i="12"/>
  <c r="CF34" i="12"/>
  <c r="BK35" i="12"/>
  <c r="BL35" i="12"/>
  <c r="BM35" i="12"/>
  <c r="BN35" i="12"/>
  <c r="BO35" i="12"/>
  <c r="BP35" i="12"/>
  <c r="BQ35" i="12"/>
  <c r="BR35" i="12"/>
  <c r="BS35" i="12"/>
  <c r="BT35" i="12"/>
  <c r="BU35" i="12"/>
  <c r="BV35" i="12"/>
  <c r="BW35" i="12"/>
  <c r="BX35" i="12"/>
  <c r="BY35" i="12"/>
  <c r="BZ35" i="12"/>
  <c r="CA35" i="12"/>
  <c r="CB35" i="12"/>
  <c r="CC35" i="12"/>
  <c r="CD35" i="12"/>
  <c r="CE35" i="12"/>
  <c r="CF35" i="12"/>
  <c r="BK36" i="12"/>
  <c r="BL36" i="12"/>
  <c r="BM36" i="12"/>
  <c r="BN36" i="12"/>
  <c r="BO36" i="12"/>
  <c r="BP36" i="12"/>
  <c r="BQ36" i="12"/>
  <c r="BR36" i="12"/>
  <c r="BS36" i="12"/>
  <c r="BT36" i="12"/>
  <c r="BU36" i="12"/>
  <c r="BV36" i="12"/>
  <c r="BW36" i="12"/>
  <c r="BX36" i="12"/>
  <c r="BY36" i="12"/>
  <c r="BZ36" i="12"/>
  <c r="CA36" i="12"/>
  <c r="CB36" i="12"/>
  <c r="CC36" i="12"/>
  <c r="CD36" i="12"/>
  <c r="CE36" i="12"/>
  <c r="CF36" i="12"/>
  <c r="BJ36" i="12"/>
  <c r="BJ35" i="12"/>
  <c r="BJ34" i="12"/>
  <c r="BJ33" i="12"/>
  <c r="BJ31" i="12"/>
  <c r="BJ30" i="12"/>
  <c r="BJ29" i="12"/>
  <c r="BJ27" i="12"/>
  <c r="BJ26" i="12"/>
  <c r="BJ25" i="12"/>
  <c r="BJ24" i="12"/>
  <c r="CR79" i="12"/>
  <c r="EN38" i="12"/>
  <c r="EP38" i="12"/>
  <c r="AG38" i="23"/>
  <c r="CM80" i="12"/>
  <c r="CR80" i="12"/>
  <c r="CZ80" i="12"/>
  <c r="DC80" i="12"/>
  <c r="EP39" i="12"/>
  <c r="BW40" i="21"/>
  <c r="CM81" i="12"/>
  <c r="CP81" i="12"/>
  <c r="CU81" i="12"/>
  <c r="CX81" i="12"/>
  <c r="DC81" i="12"/>
  <c r="DF81" i="12"/>
  <c r="EP40" i="12"/>
  <c r="AG40" i="23"/>
  <c r="P46" i="12"/>
  <c r="Q46" i="12"/>
  <c r="R46" i="12"/>
  <c r="S46" i="12"/>
  <c r="T46" i="12"/>
  <c r="U46" i="12"/>
  <c r="V46" i="12"/>
  <c r="W46" i="12"/>
  <c r="X46" i="12"/>
  <c r="Y46" i="12"/>
  <c r="Z46" i="12"/>
  <c r="AA46" i="12"/>
  <c r="AN46" i="12"/>
  <c r="AO46" i="12"/>
  <c r="AP46" i="12"/>
  <c r="AQ46" i="12"/>
  <c r="AR46" i="12"/>
  <c r="AS46" i="12"/>
  <c r="AT46" i="12"/>
  <c r="AU46" i="12"/>
  <c r="AV46" i="12"/>
  <c r="AW46" i="12"/>
  <c r="AX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L46" i="12"/>
  <c r="BM46" i="12"/>
  <c r="BN46" i="12"/>
  <c r="BO46" i="12"/>
  <c r="BP46" i="12"/>
  <c r="BQ46" i="12"/>
  <c r="BR46" i="12"/>
  <c r="BS46" i="12"/>
  <c r="BT46" i="12"/>
  <c r="BU46" i="12"/>
  <c r="BV46" i="12"/>
  <c r="BW46" i="12"/>
  <c r="BX46" i="12"/>
  <c r="BY46" i="12"/>
  <c r="BZ46" i="12"/>
  <c r="CA46" i="12"/>
  <c r="CB46" i="12"/>
  <c r="CC46" i="12"/>
  <c r="CD46" i="12"/>
  <c r="CE46" i="12"/>
  <c r="CF46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N47" i="12"/>
  <c r="AO47" i="12"/>
  <c r="AP47" i="12"/>
  <c r="AQ47" i="12"/>
  <c r="AR47" i="12"/>
  <c r="AS47" i="12"/>
  <c r="AT47" i="12"/>
  <c r="AU47" i="12"/>
  <c r="AV47" i="12"/>
  <c r="AW47" i="12"/>
  <c r="AX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L47" i="12"/>
  <c r="BM47" i="12"/>
  <c r="BN47" i="12"/>
  <c r="BO47" i="12"/>
  <c r="BP47" i="12"/>
  <c r="BQ47" i="12"/>
  <c r="BR47" i="12"/>
  <c r="BS47" i="12"/>
  <c r="BT47" i="12"/>
  <c r="BU47" i="12"/>
  <c r="BV47" i="12"/>
  <c r="BW47" i="12"/>
  <c r="BX47" i="12"/>
  <c r="BY47" i="12"/>
  <c r="BZ47" i="12"/>
  <c r="CA47" i="12"/>
  <c r="CB47" i="12"/>
  <c r="CC47" i="12"/>
  <c r="CD47" i="12"/>
  <c r="CE47" i="12"/>
  <c r="CF47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N48" i="12"/>
  <c r="AO48" i="12"/>
  <c r="AP48" i="12"/>
  <c r="AQ48" i="12"/>
  <c r="AR48" i="12"/>
  <c r="AS48" i="12"/>
  <c r="AT48" i="12"/>
  <c r="AU48" i="12"/>
  <c r="AV48" i="12"/>
  <c r="AW48" i="12"/>
  <c r="AX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L48" i="12"/>
  <c r="BM48" i="12"/>
  <c r="BN48" i="12"/>
  <c r="BO48" i="12"/>
  <c r="BP48" i="12"/>
  <c r="BQ48" i="12"/>
  <c r="BR48" i="12"/>
  <c r="BS48" i="12"/>
  <c r="BT48" i="12"/>
  <c r="BU48" i="12"/>
  <c r="BV48" i="12"/>
  <c r="BW48" i="12"/>
  <c r="BX48" i="12"/>
  <c r="BY48" i="12"/>
  <c r="BZ48" i="12"/>
  <c r="CA48" i="12"/>
  <c r="CB48" i="12"/>
  <c r="CC48" i="12"/>
  <c r="CD48" i="12"/>
  <c r="CE48" i="12"/>
  <c r="CF48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N49" i="12"/>
  <c r="AO49" i="12"/>
  <c r="AP49" i="12"/>
  <c r="AQ49" i="12"/>
  <c r="AR49" i="12"/>
  <c r="AS49" i="12"/>
  <c r="AT49" i="12"/>
  <c r="AU49" i="12"/>
  <c r="AV49" i="12"/>
  <c r="AW49" i="12"/>
  <c r="AX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L49" i="12"/>
  <c r="BM49" i="12"/>
  <c r="BN49" i="12"/>
  <c r="BO49" i="12"/>
  <c r="BP49" i="12"/>
  <c r="BQ49" i="12"/>
  <c r="BR49" i="12"/>
  <c r="BS49" i="12"/>
  <c r="BT49" i="12"/>
  <c r="BU49" i="12"/>
  <c r="BV49" i="12"/>
  <c r="BW49" i="12"/>
  <c r="BX49" i="12"/>
  <c r="BY49" i="12"/>
  <c r="BZ49" i="12"/>
  <c r="CA49" i="12"/>
  <c r="CB49" i="12"/>
  <c r="CC49" i="12"/>
  <c r="CD49" i="12"/>
  <c r="CE49" i="12"/>
  <c r="CF49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N50" i="12"/>
  <c r="AO50" i="12"/>
  <c r="AP50" i="12"/>
  <c r="AQ50" i="12"/>
  <c r="AR50" i="12"/>
  <c r="AS50" i="12"/>
  <c r="AT50" i="12"/>
  <c r="AU50" i="12"/>
  <c r="AV50" i="12"/>
  <c r="AW50" i="12"/>
  <c r="AX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L50" i="12"/>
  <c r="BM50" i="12"/>
  <c r="BN50" i="12"/>
  <c r="BO50" i="12"/>
  <c r="BP50" i="12"/>
  <c r="BQ50" i="12"/>
  <c r="BR50" i="12"/>
  <c r="BS50" i="12"/>
  <c r="BT50" i="12"/>
  <c r="BU50" i="12"/>
  <c r="BV50" i="12"/>
  <c r="BW50" i="12"/>
  <c r="BX50" i="12"/>
  <c r="BY50" i="12"/>
  <c r="BZ50" i="12"/>
  <c r="CA50" i="12"/>
  <c r="CB50" i="12"/>
  <c r="CC50" i="12"/>
  <c r="CD50" i="12"/>
  <c r="CE50" i="12"/>
  <c r="CF50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N51" i="12"/>
  <c r="AO51" i="12"/>
  <c r="AP51" i="12"/>
  <c r="AQ51" i="12"/>
  <c r="AR51" i="12"/>
  <c r="AS51" i="12"/>
  <c r="AT51" i="12"/>
  <c r="AU51" i="12"/>
  <c r="AV51" i="12"/>
  <c r="AW51" i="12"/>
  <c r="AX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L51" i="12"/>
  <c r="BM51" i="12"/>
  <c r="BN51" i="12"/>
  <c r="BO51" i="12"/>
  <c r="BP51" i="12"/>
  <c r="BQ51" i="12"/>
  <c r="BR51" i="12"/>
  <c r="BS51" i="12"/>
  <c r="BT51" i="12"/>
  <c r="BU51" i="12"/>
  <c r="BV51" i="12"/>
  <c r="BW51" i="12"/>
  <c r="BX51" i="12"/>
  <c r="BY51" i="12"/>
  <c r="BZ51" i="12"/>
  <c r="CA51" i="12"/>
  <c r="CB51" i="12"/>
  <c r="CC51" i="12"/>
  <c r="CD51" i="12"/>
  <c r="CE51" i="12"/>
  <c r="CF51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N52" i="12"/>
  <c r="AO52" i="12"/>
  <c r="AP52" i="12"/>
  <c r="AQ52" i="12"/>
  <c r="AR52" i="12"/>
  <c r="AS52" i="12"/>
  <c r="AT52" i="12"/>
  <c r="AU52" i="12"/>
  <c r="AV52" i="12"/>
  <c r="AW52" i="12"/>
  <c r="AX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L52" i="12"/>
  <c r="BM52" i="12"/>
  <c r="BN52" i="12"/>
  <c r="BO52" i="12"/>
  <c r="BP52" i="12"/>
  <c r="BQ52" i="12"/>
  <c r="BR52" i="12"/>
  <c r="BS52" i="12"/>
  <c r="BT52" i="12"/>
  <c r="BU52" i="12"/>
  <c r="BV52" i="12"/>
  <c r="BW52" i="12"/>
  <c r="BX52" i="12"/>
  <c r="BY52" i="12"/>
  <c r="BZ52" i="12"/>
  <c r="CA52" i="12"/>
  <c r="CB52" i="12"/>
  <c r="CC52" i="12"/>
  <c r="CD52" i="12"/>
  <c r="CE52" i="12"/>
  <c r="CF52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N53" i="12"/>
  <c r="AO53" i="12"/>
  <c r="AP53" i="12"/>
  <c r="AQ53" i="12"/>
  <c r="AR53" i="12"/>
  <c r="AS53" i="12"/>
  <c r="AT53" i="12"/>
  <c r="AU53" i="12"/>
  <c r="AV53" i="12"/>
  <c r="AW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L53" i="12"/>
  <c r="BM53" i="12"/>
  <c r="BN53" i="12"/>
  <c r="BO53" i="12"/>
  <c r="BP53" i="12"/>
  <c r="BQ53" i="12"/>
  <c r="BR53" i="12"/>
  <c r="BS53" i="12"/>
  <c r="BT53" i="12"/>
  <c r="BU53" i="12"/>
  <c r="BV53" i="12"/>
  <c r="BW53" i="12"/>
  <c r="BX53" i="12"/>
  <c r="BY53" i="12"/>
  <c r="BZ53" i="12"/>
  <c r="CA53" i="12"/>
  <c r="CB53" i="12"/>
  <c r="CC53" i="12"/>
  <c r="CD53" i="12"/>
  <c r="CE53" i="12"/>
  <c r="CF53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N54" i="12"/>
  <c r="AO54" i="12"/>
  <c r="AP54" i="12"/>
  <c r="AQ54" i="12"/>
  <c r="AR54" i="12"/>
  <c r="AS54" i="12"/>
  <c r="AT54" i="12"/>
  <c r="AU54" i="12"/>
  <c r="AV54" i="12"/>
  <c r="AW54" i="12"/>
  <c r="AX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L54" i="12"/>
  <c r="BM54" i="12"/>
  <c r="BN54" i="12"/>
  <c r="BO54" i="12"/>
  <c r="BP54" i="12"/>
  <c r="BQ54" i="12"/>
  <c r="BR54" i="12"/>
  <c r="BS54" i="12"/>
  <c r="BT54" i="12"/>
  <c r="BU54" i="12"/>
  <c r="BV54" i="12"/>
  <c r="BW54" i="12"/>
  <c r="BX54" i="12"/>
  <c r="BY54" i="12"/>
  <c r="BZ54" i="12"/>
  <c r="CA54" i="12"/>
  <c r="CB54" i="12"/>
  <c r="CC54" i="12"/>
  <c r="CD54" i="12"/>
  <c r="CE54" i="12"/>
  <c r="CF54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N55" i="12"/>
  <c r="AO55" i="12"/>
  <c r="AP55" i="12"/>
  <c r="AQ55" i="12"/>
  <c r="AR55" i="12"/>
  <c r="AS55" i="12"/>
  <c r="AT55" i="12"/>
  <c r="AU55" i="12"/>
  <c r="AV55" i="12"/>
  <c r="AW55" i="12"/>
  <c r="AX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L55" i="12"/>
  <c r="BM55" i="12"/>
  <c r="BN55" i="12"/>
  <c r="BO55" i="12"/>
  <c r="BP55" i="12"/>
  <c r="BQ55" i="12"/>
  <c r="BR55" i="12"/>
  <c r="BS55" i="12"/>
  <c r="BT55" i="12"/>
  <c r="BU55" i="12"/>
  <c r="BV55" i="12"/>
  <c r="BW55" i="12"/>
  <c r="BX55" i="12"/>
  <c r="BY55" i="12"/>
  <c r="BZ55" i="12"/>
  <c r="CA55" i="12"/>
  <c r="CB55" i="12"/>
  <c r="CC55" i="12"/>
  <c r="CD55" i="12"/>
  <c r="CE55" i="12"/>
  <c r="CF55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N56" i="12"/>
  <c r="AO56" i="12"/>
  <c r="AP56" i="12"/>
  <c r="AQ56" i="12"/>
  <c r="AR56" i="12"/>
  <c r="AS56" i="12"/>
  <c r="AT56" i="12"/>
  <c r="AU56" i="12"/>
  <c r="AV56" i="12"/>
  <c r="AW56" i="12"/>
  <c r="AX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L56" i="12"/>
  <c r="BM56" i="12"/>
  <c r="BN56" i="12"/>
  <c r="BO56" i="12"/>
  <c r="BP56" i="12"/>
  <c r="BQ56" i="12"/>
  <c r="BR56" i="12"/>
  <c r="BS56" i="12"/>
  <c r="BT56" i="12"/>
  <c r="BU56" i="12"/>
  <c r="BV56" i="12"/>
  <c r="BW56" i="12"/>
  <c r="BX56" i="12"/>
  <c r="BY56" i="12"/>
  <c r="BZ56" i="12"/>
  <c r="CA56" i="12"/>
  <c r="CB56" i="12"/>
  <c r="CC56" i="12"/>
  <c r="CD56" i="12"/>
  <c r="CE56" i="12"/>
  <c r="CF56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N57" i="12"/>
  <c r="AO57" i="12"/>
  <c r="AP57" i="12"/>
  <c r="AQ57" i="12"/>
  <c r="AR57" i="12"/>
  <c r="AS57" i="12"/>
  <c r="AT57" i="12"/>
  <c r="AU57" i="12"/>
  <c r="AV57" i="12"/>
  <c r="AW57" i="12"/>
  <c r="AX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L57" i="12"/>
  <c r="BM57" i="12"/>
  <c r="BN57" i="12"/>
  <c r="BO57" i="12"/>
  <c r="BP57" i="12"/>
  <c r="BQ57" i="12"/>
  <c r="BR57" i="12"/>
  <c r="BS57" i="12"/>
  <c r="BT57" i="12"/>
  <c r="BU57" i="12"/>
  <c r="BV57" i="12"/>
  <c r="BW57" i="12"/>
  <c r="BX57" i="12"/>
  <c r="BY57" i="12"/>
  <c r="BZ57" i="12"/>
  <c r="CA57" i="12"/>
  <c r="CB57" i="12"/>
  <c r="CC57" i="12"/>
  <c r="CD57" i="12"/>
  <c r="CE57" i="12"/>
  <c r="CF57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N58" i="12"/>
  <c r="AO58" i="12"/>
  <c r="AP58" i="12"/>
  <c r="AQ58" i="12"/>
  <c r="AR58" i="12"/>
  <c r="AS58" i="12"/>
  <c r="AT58" i="12"/>
  <c r="AU58" i="12"/>
  <c r="AV58" i="12"/>
  <c r="AW58" i="12"/>
  <c r="AX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L58" i="12"/>
  <c r="BM58" i="12"/>
  <c r="BN58" i="12"/>
  <c r="BO58" i="12"/>
  <c r="BP58" i="12"/>
  <c r="BQ58" i="12"/>
  <c r="BR58" i="12"/>
  <c r="BS58" i="12"/>
  <c r="BT58" i="12"/>
  <c r="BU58" i="12"/>
  <c r="BV58" i="12"/>
  <c r="BW58" i="12"/>
  <c r="BX58" i="12"/>
  <c r="BY58" i="12"/>
  <c r="BZ58" i="12"/>
  <c r="CA58" i="12"/>
  <c r="CB58" i="12"/>
  <c r="CC58" i="12"/>
  <c r="CD58" i="12"/>
  <c r="CE58" i="12"/>
  <c r="CF58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N59" i="12"/>
  <c r="AO59" i="12"/>
  <c r="AP59" i="12"/>
  <c r="AQ59" i="12"/>
  <c r="AR59" i="12"/>
  <c r="AS59" i="12"/>
  <c r="AT59" i="12"/>
  <c r="AU59" i="12"/>
  <c r="AV59" i="12"/>
  <c r="AW59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L59" i="12"/>
  <c r="BM59" i="12"/>
  <c r="BN59" i="12"/>
  <c r="BO59" i="12"/>
  <c r="BP59" i="12"/>
  <c r="BQ59" i="12"/>
  <c r="BR59" i="12"/>
  <c r="BS59" i="12"/>
  <c r="BT59" i="12"/>
  <c r="BU59" i="12"/>
  <c r="BV59" i="12"/>
  <c r="BW59" i="12"/>
  <c r="BX59" i="12"/>
  <c r="BY59" i="12"/>
  <c r="BZ59" i="12"/>
  <c r="CA59" i="12"/>
  <c r="CB59" i="12"/>
  <c r="CC59" i="12"/>
  <c r="CD59" i="12"/>
  <c r="CE59" i="12"/>
  <c r="CF59" i="12"/>
  <c r="AN60" i="12"/>
  <c r="AO60" i="12"/>
  <c r="AP60" i="12"/>
  <c r="AQ60" i="12"/>
  <c r="AR60" i="12"/>
  <c r="AS60" i="12"/>
  <c r="AT60" i="12"/>
  <c r="AU60" i="12"/>
  <c r="AV60" i="12"/>
  <c r="AW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L60" i="12"/>
  <c r="BM60" i="12"/>
  <c r="BN60" i="12"/>
  <c r="BO60" i="12"/>
  <c r="BP60" i="12"/>
  <c r="BQ60" i="12"/>
  <c r="BR60" i="12"/>
  <c r="BS60" i="12"/>
  <c r="BT60" i="12"/>
  <c r="BU60" i="12"/>
  <c r="BV60" i="12"/>
  <c r="BW60" i="12"/>
  <c r="BX60" i="12"/>
  <c r="BY60" i="12"/>
  <c r="BZ60" i="12"/>
  <c r="CA60" i="12"/>
  <c r="CB60" i="12"/>
  <c r="CC60" i="12"/>
  <c r="CD60" i="12"/>
  <c r="CE60" i="12"/>
  <c r="CF60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BS62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BS63" i="12"/>
  <c r="S79" i="12"/>
  <c r="U79" i="12"/>
  <c r="AA79" i="12"/>
  <c r="AF79" i="12"/>
  <c r="AY79" i="12"/>
  <c r="BG79" i="12"/>
  <c r="BW79" i="12"/>
  <c r="Q80" i="12"/>
  <c r="T80" i="12"/>
  <c r="Y80" i="12"/>
  <c r="Z80" i="12"/>
  <c r="E39" i="27"/>
  <c r="AG80" i="12"/>
  <c r="AR80" i="12"/>
  <c r="G39" i="27"/>
  <c r="BE80" i="12"/>
  <c r="BM80" i="12"/>
  <c r="BP80" i="12"/>
  <c r="BW80" i="12"/>
  <c r="I39" i="27"/>
  <c r="Q81" i="20"/>
  <c r="U81" i="20"/>
  <c r="Y81" i="20"/>
  <c r="Q81" i="12"/>
  <c r="S81" i="12"/>
  <c r="T81" i="12"/>
  <c r="U81" i="12"/>
  <c r="Y81" i="12"/>
  <c r="Z81" i="12"/>
  <c r="AU81" i="12"/>
  <c r="BC81" i="12"/>
  <c r="BF81" i="12"/>
  <c r="BN81" i="12"/>
  <c r="BS81" i="12"/>
  <c r="CZ5" i="12"/>
  <c r="DA5" i="12"/>
  <c r="DB5" i="12"/>
  <c r="DC5" i="12"/>
  <c r="DD5" i="12"/>
  <c r="DE5" i="12"/>
  <c r="DF5" i="12"/>
  <c r="DG5" i="12"/>
  <c r="DH5" i="12"/>
  <c r="DI5" i="12"/>
  <c r="DJ5" i="12"/>
  <c r="DK5" i="12"/>
  <c r="DL5" i="12"/>
  <c r="DM5" i="12"/>
  <c r="DN5" i="12"/>
  <c r="DO5" i="12"/>
  <c r="DP5" i="12"/>
  <c r="DQ5" i="12"/>
  <c r="DR5" i="12"/>
  <c r="DS5" i="12"/>
  <c r="CZ6" i="12"/>
  <c r="DA6" i="12"/>
  <c r="DB6" i="12"/>
  <c r="DC6" i="12"/>
  <c r="DD6" i="12"/>
  <c r="DE6" i="12"/>
  <c r="DF6" i="12"/>
  <c r="DG6" i="12"/>
  <c r="DH6" i="12"/>
  <c r="DI6" i="12"/>
  <c r="DJ6" i="12"/>
  <c r="DK6" i="12"/>
  <c r="DL6" i="12"/>
  <c r="DM6" i="12"/>
  <c r="DN6" i="12"/>
  <c r="DO6" i="12"/>
  <c r="DP6" i="12"/>
  <c r="DQ6" i="12"/>
  <c r="DR6" i="12"/>
  <c r="DS6" i="12"/>
  <c r="CZ7" i="12"/>
  <c r="DA7" i="12"/>
  <c r="DB7" i="12"/>
  <c r="DC7" i="12"/>
  <c r="DD7" i="12"/>
  <c r="DE7" i="12"/>
  <c r="DF7" i="12"/>
  <c r="DG7" i="12"/>
  <c r="DH7" i="12"/>
  <c r="DI7" i="12"/>
  <c r="DJ7" i="12"/>
  <c r="DK7" i="12"/>
  <c r="DL7" i="12"/>
  <c r="DM7" i="12"/>
  <c r="DN7" i="12"/>
  <c r="DO7" i="12"/>
  <c r="DP7" i="12"/>
  <c r="DQ7" i="12"/>
  <c r="DR7" i="12"/>
  <c r="DS7" i="12"/>
  <c r="CZ8" i="12"/>
  <c r="DA8" i="12"/>
  <c r="DB8" i="12"/>
  <c r="DC8" i="12"/>
  <c r="DD8" i="12"/>
  <c r="DE8" i="12"/>
  <c r="DF8" i="12"/>
  <c r="DG8" i="12"/>
  <c r="DH8" i="12"/>
  <c r="DI8" i="12"/>
  <c r="DJ8" i="12"/>
  <c r="DK8" i="12"/>
  <c r="DL8" i="12"/>
  <c r="DM8" i="12"/>
  <c r="DN8" i="12"/>
  <c r="DO8" i="12"/>
  <c r="DP8" i="12"/>
  <c r="DQ8" i="12"/>
  <c r="DR8" i="12"/>
  <c r="DS8" i="12"/>
  <c r="CZ9" i="12"/>
  <c r="DA9" i="12"/>
  <c r="DB9" i="12"/>
  <c r="DC9" i="12"/>
  <c r="DD9" i="12"/>
  <c r="DE9" i="12"/>
  <c r="DF9" i="12"/>
  <c r="DG9" i="12"/>
  <c r="DH9" i="12"/>
  <c r="DI9" i="12"/>
  <c r="DJ9" i="12"/>
  <c r="DK9" i="12"/>
  <c r="DL9" i="12"/>
  <c r="DM9" i="12"/>
  <c r="DN9" i="12"/>
  <c r="DO9" i="12"/>
  <c r="DP9" i="12"/>
  <c r="DQ9" i="12"/>
  <c r="DR9" i="12"/>
  <c r="DS9" i="12"/>
  <c r="CZ10" i="12"/>
  <c r="DA10" i="12"/>
  <c r="DB10" i="12"/>
  <c r="DC10" i="12"/>
  <c r="DD10" i="12"/>
  <c r="DE10" i="12"/>
  <c r="DF10" i="12"/>
  <c r="DG10" i="12"/>
  <c r="DH10" i="12"/>
  <c r="DI10" i="12"/>
  <c r="DJ10" i="12"/>
  <c r="DK10" i="12"/>
  <c r="DL10" i="12"/>
  <c r="DM10" i="12"/>
  <c r="DN10" i="12"/>
  <c r="DO10" i="12"/>
  <c r="DP10" i="12"/>
  <c r="DQ10" i="12"/>
  <c r="DR10" i="12"/>
  <c r="DS10" i="12"/>
  <c r="CZ11" i="12"/>
  <c r="DA11" i="12"/>
  <c r="DB11" i="12"/>
  <c r="DC11" i="12"/>
  <c r="DD11" i="12"/>
  <c r="DE11" i="12"/>
  <c r="DF11" i="12"/>
  <c r="DG11" i="12"/>
  <c r="DH11" i="12"/>
  <c r="DI11" i="12"/>
  <c r="DJ11" i="12"/>
  <c r="DK11" i="12"/>
  <c r="DL11" i="12"/>
  <c r="DM11" i="12"/>
  <c r="DN11" i="12"/>
  <c r="DO11" i="12"/>
  <c r="DP11" i="12"/>
  <c r="DQ11" i="12"/>
  <c r="DR11" i="12"/>
  <c r="DS11" i="12"/>
  <c r="CZ12" i="12"/>
  <c r="DA12" i="12"/>
  <c r="DB12" i="12"/>
  <c r="DC12" i="12"/>
  <c r="DD12" i="12"/>
  <c r="DE12" i="12"/>
  <c r="DF12" i="12"/>
  <c r="DG12" i="12"/>
  <c r="DH12" i="12"/>
  <c r="DI12" i="12"/>
  <c r="DJ12" i="12"/>
  <c r="DK12" i="12"/>
  <c r="DL12" i="12"/>
  <c r="DM12" i="12"/>
  <c r="DN12" i="12"/>
  <c r="DO12" i="12"/>
  <c r="DP12" i="12"/>
  <c r="DQ12" i="12"/>
  <c r="DR12" i="12"/>
  <c r="DS12" i="12"/>
  <c r="CZ13" i="12"/>
  <c r="DA13" i="12"/>
  <c r="DB13" i="12"/>
  <c r="DC13" i="12"/>
  <c r="DD13" i="12"/>
  <c r="DE13" i="12"/>
  <c r="DF13" i="12"/>
  <c r="DG13" i="12"/>
  <c r="DH13" i="12"/>
  <c r="DI13" i="12"/>
  <c r="DJ13" i="12"/>
  <c r="DK13" i="12"/>
  <c r="DL13" i="12"/>
  <c r="DM13" i="12"/>
  <c r="DN13" i="12"/>
  <c r="DO13" i="12"/>
  <c r="DP13" i="12"/>
  <c r="DQ13" i="12"/>
  <c r="DR13" i="12"/>
  <c r="DS13" i="12"/>
  <c r="CZ14" i="12"/>
  <c r="DA14" i="12"/>
  <c r="DB14" i="12"/>
  <c r="DC14" i="12"/>
  <c r="DD14" i="12"/>
  <c r="DE14" i="12"/>
  <c r="DF14" i="12"/>
  <c r="DG14" i="12"/>
  <c r="DH14" i="12"/>
  <c r="DI14" i="12"/>
  <c r="DJ14" i="12"/>
  <c r="DK14" i="12"/>
  <c r="DL14" i="12"/>
  <c r="DM14" i="12"/>
  <c r="DN14" i="12"/>
  <c r="DO14" i="12"/>
  <c r="DP14" i="12"/>
  <c r="DQ14" i="12"/>
  <c r="DR14" i="12"/>
  <c r="DS14" i="12"/>
  <c r="CZ15" i="12"/>
  <c r="DA15" i="12"/>
  <c r="DB15" i="12"/>
  <c r="DC15" i="12"/>
  <c r="DD15" i="12"/>
  <c r="DE15" i="12"/>
  <c r="DF15" i="12"/>
  <c r="DG15" i="12"/>
  <c r="DH15" i="12"/>
  <c r="DI15" i="12"/>
  <c r="DJ15" i="12"/>
  <c r="DK15" i="12"/>
  <c r="DL15" i="12"/>
  <c r="DM15" i="12"/>
  <c r="DN15" i="12"/>
  <c r="DO15" i="12"/>
  <c r="DP15" i="12"/>
  <c r="DQ15" i="12"/>
  <c r="DR15" i="12"/>
  <c r="DS15" i="12"/>
  <c r="CZ16" i="12"/>
  <c r="DA16" i="12"/>
  <c r="DB16" i="12"/>
  <c r="DC16" i="12"/>
  <c r="DD16" i="12"/>
  <c r="DE16" i="12"/>
  <c r="DF16" i="12"/>
  <c r="DG16" i="12"/>
  <c r="DH16" i="12"/>
  <c r="DI16" i="12"/>
  <c r="DJ16" i="12"/>
  <c r="DK16" i="12"/>
  <c r="DL16" i="12"/>
  <c r="DM16" i="12"/>
  <c r="DN16" i="12"/>
  <c r="DO16" i="12"/>
  <c r="DP16" i="12"/>
  <c r="DQ16" i="12"/>
  <c r="DR16" i="12"/>
  <c r="DS16" i="12"/>
  <c r="CZ17" i="12"/>
  <c r="DA17" i="12"/>
  <c r="DB17" i="12"/>
  <c r="DC17" i="12"/>
  <c r="DD17" i="12"/>
  <c r="DE17" i="12"/>
  <c r="DF17" i="12"/>
  <c r="DG17" i="12"/>
  <c r="DH17" i="12"/>
  <c r="DI17" i="12"/>
  <c r="DJ17" i="12"/>
  <c r="DK17" i="12"/>
  <c r="DL17" i="12"/>
  <c r="DM17" i="12"/>
  <c r="DN17" i="12"/>
  <c r="DO17" i="12"/>
  <c r="DP17" i="12"/>
  <c r="DQ17" i="12"/>
  <c r="CZ18" i="12"/>
  <c r="DA18" i="12"/>
  <c r="DB18" i="12"/>
  <c r="DC18" i="12"/>
  <c r="DD18" i="12"/>
  <c r="DE18" i="12"/>
  <c r="DF18" i="12"/>
  <c r="DG18" i="12"/>
  <c r="DH18" i="12"/>
  <c r="DI18" i="12"/>
  <c r="DJ18" i="12"/>
  <c r="DK18" i="12"/>
  <c r="DL18" i="12"/>
  <c r="DM18" i="12"/>
  <c r="DN18" i="12"/>
  <c r="DO18" i="12"/>
  <c r="DP18" i="12"/>
  <c r="DQ18" i="12"/>
  <c r="DR18" i="12"/>
  <c r="DS18" i="12"/>
  <c r="CZ19" i="12"/>
  <c r="DA19" i="12"/>
  <c r="DB19" i="12"/>
  <c r="DC19" i="12"/>
  <c r="DD19" i="12"/>
  <c r="DE19" i="12"/>
  <c r="DF19" i="12"/>
  <c r="DG19" i="12"/>
  <c r="DH19" i="12"/>
  <c r="DI19" i="12"/>
  <c r="DJ19" i="12"/>
  <c r="DK19" i="12"/>
  <c r="DL19" i="12"/>
  <c r="DM19" i="12"/>
  <c r="DN19" i="12"/>
  <c r="DO19" i="12"/>
  <c r="DP19" i="12"/>
  <c r="DQ19" i="12"/>
  <c r="DR19" i="12"/>
  <c r="DS19" i="12"/>
  <c r="CZ21" i="12"/>
  <c r="DA21" i="12"/>
  <c r="DB21" i="12"/>
  <c r="DC21" i="12"/>
  <c r="DD21" i="12"/>
  <c r="DE21" i="12"/>
  <c r="DF21" i="12"/>
  <c r="DG21" i="12"/>
  <c r="DH21" i="12"/>
  <c r="DI21" i="12"/>
  <c r="DJ21" i="12"/>
  <c r="DK21" i="12"/>
  <c r="DL21" i="12"/>
  <c r="DM21" i="12"/>
  <c r="DN21" i="12"/>
  <c r="DO21" i="12"/>
  <c r="DP21" i="12"/>
  <c r="DQ21" i="12"/>
  <c r="DR21" i="12"/>
  <c r="DS21" i="12"/>
  <c r="CZ22" i="12"/>
  <c r="DA22" i="12"/>
  <c r="DB22" i="12"/>
  <c r="DC22" i="12"/>
  <c r="DD22" i="12"/>
  <c r="DE22" i="12"/>
  <c r="DF22" i="12"/>
  <c r="DG22" i="12"/>
  <c r="DH22" i="12"/>
  <c r="DI22" i="12"/>
  <c r="DJ22" i="12"/>
  <c r="DK22" i="12"/>
  <c r="DL22" i="12"/>
  <c r="DM22" i="12"/>
  <c r="DN22" i="12"/>
  <c r="DO22" i="12"/>
  <c r="DP22" i="12"/>
  <c r="DQ22" i="12"/>
  <c r="DR22" i="12"/>
  <c r="DS22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L5" i="12"/>
  <c r="BM5" i="12"/>
  <c r="BN5" i="12"/>
  <c r="BO5" i="12"/>
  <c r="BP5" i="12"/>
  <c r="BQ5" i="12"/>
  <c r="BR5" i="12"/>
  <c r="BS5" i="12"/>
  <c r="BT5" i="12"/>
  <c r="BU5" i="12"/>
  <c r="BV5" i="12"/>
  <c r="BW5" i="12"/>
  <c r="BX5" i="12"/>
  <c r="BY5" i="12"/>
  <c r="BZ5" i="12"/>
  <c r="CA5" i="12"/>
  <c r="CB5" i="12"/>
  <c r="CC5" i="12"/>
  <c r="CD5" i="12"/>
  <c r="CE5" i="12"/>
  <c r="CF5" i="12"/>
  <c r="CG5" i="12"/>
  <c r="CH5" i="12"/>
  <c r="CI5" i="12"/>
  <c r="CJ5" i="12"/>
  <c r="CK5" i="12"/>
  <c r="CL5" i="12"/>
  <c r="CM5" i="12"/>
  <c r="CN5" i="12"/>
  <c r="CO5" i="12"/>
  <c r="CP5" i="12"/>
  <c r="CR5" i="12"/>
  <c r="CS5" i="12"/>
  <c r="CT5" i="12"/>
  <c r="CU5" i="12"/>
  <c r="CV5" i="12"/>
  <c r="CW5" i="12"/>
  <c r="CX5" i="12"/>
  <c r="CY5" i="12"/>
  <c r="BW6" i="12"/>
  <c r="BX6" i="12"/>
  <c r="BY6" i="12"/>
  <c r="BZ6" i="12"/>
  <c r="CA6" i="12"/>
  <c r="CB6" i="12"/>
  <c r="CC6" i="12"/>
  <c r="CD6" i="12"/>
  <c r="CE6" i="12"/>
  <c r="CF6" i="12"/>
  <c r="CG6" i="12"/>
  <c r="CH6" i="12"/>
  <c r="CI6" i="12"/>
  <c r="CJ6" i="12"/>
  <c r="CK6" i="12"/>
  <c r="CL6" i="12"/>
  <c r="CM6" i="12"/>
  <c r="CN6" i="12"/>
  <c r="CO6" i="12"/>
  <c r="CP6" i="12"/>
  <c r="CQ6" i="12"/>
  <c r="CR6" i="12"/>
  <c r="CS6" i="12"/>
  <c r="CT6" i="12"/>
  <c r="CU6" i="12"/>
  <c r="CV6" i="12"/>
  <c r="CW6" i="12"/>
  <c r="CX6" i="12"/>
  <c r="CY6" i="12"/>
  <c r="BW7" i="12"/>
  <c r="BX7" i="12"/>
  <c r="BY7" i="12"/>
  <c r="BZ7" i="12"/>
  <c r="CA7" i="12"/>
  <c r="CB7" i="12"/>
  <c r="CC7" i="12"/>
  <c r="CD7" i="12"/>
  <c r="CE7" i="12"/>
  <c r="CF7" i="12"/>
  <c r="CG7" i="12"/>
  <c r="CH7" i="12"/>
  <c r="CI7" i="12"/>
  <c r="CJ7" i="12"/>
  <c r="CK7" i="12"/>
  <c r="CL7" i="12"/>
  <c r="CM7" i="12"/>
  <c r="CN7" i="12"/>
  <c r="CO7" i="12"/>
  <c r="CP7" i="12"/>
  <c r="CQ7" i="12"/>
  <c r="CR7" i="12"/>
  <c r="CS7" i="12"/>
  <c r="CT7" i="12"/>
  <c r="CU7" i="12"/>
  <c r="CV7" i="12"/>
  <c r="CW7" i="12"/>
  <c r="CX7" i="12"/>
  <c r="CY7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L8" i="12"/>
  <c r="BM8" i="12"/>
  <c r="BN8" i="12"/>
  <c r="BO8" i="12"/>
  <c r="BP8" i="12"/>
  <c r="BQ8" i="12"/>
  <c r="BR8" i="12"/>
  <c r="BS8" i="12"/>
  <c r="BT8" i="12"/>
  <c r="BU8" i="12"/>
  <c r="BV8" i="12"/>
  <c r="BW8" i="12"/>
  <c r="BX8" i="12"/>
  <c r="BY8" i="12"/>
  <c r="BZ8" i="12"/>
  <c r="CA8" i="12"/>
  <c r="CB8" i="12"/>
  <c r="CC8" i="12"/>
  <c r="CD8" i="12"/>
  <c r="CE8" i="12"/>
  <c r="CF8" i="12"/>
  <c r="CG8" i="12"/>
  <c r="CH8" i="12"/>
  <c r="CI8" i="12"/>
  <c r="CJ8" i="12"/>
  <c r="CK8" i="12"/>
  <c r="CL8" i="12"/>
  <c r="CM8" i="12"/>
  <c r="CN8" i="12"/>
  <c r="CO8" i="12"/>
  <c r="CP8" i="12"/>
  <c r="CQ8" i="12"/>
  <c r="CR8" i="12"/>
  <c r="CS8" i="12"/>
  <c r="CT8" i="12"/>
  <c r="CU8" i="12"/>
  <c r="CV8" i="12"/>
  <c r="CW8" i="12"/>
  <c r="CX8" i="12"/>
  <c r="CY8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L9" i="12"/>
  <c r="BM9" i="12"/>
  <c r="BN9" i="12"/>
  <c r="BO9" i="12"/>
  <c r="BP9" i="12"/>
  <c r="BQ9" i="12"/>
  <c r="BR9" i="12"/>
  <c r="BS9" i="12"/>
  <c r="BT9" i="12"/>
  <c r="BU9" i="12"/>
  <c r="BV9" i="12"/>
  <c r="BW9" i="12"/>
  <c r="BX9" i="12"/>
  <c r="BY9" i="12"/>
  <c r="BZ9" i="12"/>
  <c r="CA9" i="12"/>
  <c r="CB9" i="12"/>
  <c r="CC9" i="12"/>
  <c r="CD9" i="12"/>
  <c r="CE9" i="12"/>
  <c r="CF9" i="12"/>
  <c r="CG9" i="12"/>
  <c r="CH9" i="12"/>
  <c r="CI9" i="12"/>
  <c r="CJ9" i="12"/>
  <c r="CK9" i="12"/>
  <c r="CL9" i="12"/>
  <c r="CM9" i="12"/>
  <c r="CN9" i="12"/>
  <c r="CO9" i="12"/>
  <c r="CP9" i="12"/>
  <c r="CQ9" i="12"/>
  <c r="CR9" i="12"/>
  <c r="CS9" i="12"/>
  <c r="CT9" i="12"/>
  <c r="CU9" i="12"/>
  <c r="CV9" i="12"/>
  <c r="CW9" i="12"/>
  <c r="CX9" i="12"/>
  <c r="CY9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L10" i="12"/>
  <c r="BM10" i="12"/>
  <c r="BN10" i="12"/>
  <c r="BO10" i="12"/>
  <c r="BP10" i="12"/>
  <c r="BQ10" i="12"/>
  <c r="BR10" i="12"/>
  <c r="BS10" i="12"/>
  <c r="BT10" i="12"/>
  <c r="BU10" i="12"/>
  <c r="BV10" i="12"/>
  <c r="BW10" i="12"/>
  <c r="BX10" i="12"/>
  <c r="BY10" i="12"/>
  <c r="BZ10" i="12"/>
  <c r="CA10" i="12"/>
  <c r="CB10" i="12"/>
  <c r="CC10" i="12"/>
  <c r="CD10" i="12"/>
  <c r="CE10" i="12"/>
  <c r="CF10" i="12"/>
  <c r="CG10" i="12"/>
  <c r="CH10" i="12"/>
  <c r="CI10" i="12"/>
  <c r="CJ10" i="12"/>
  <c r="CK10" i="12"/>
  <c r="CL10" i="12"/>
  <c r="CM10" i="12"/>
  <c r="CN10" i="12"/>
  <c r="CO10" i="12"/>
  <c r="CP10" i="12"/>
  <c r="CQ10" i="12"/>
  <c r="CR10" i="12"/>
  <c r="CS10" i="12"/>
  <c r="CT10" i="12"/>
  <c r="CU10" i="12"/>
  <c r="CV10" i="12"/>
  <c r="CW10" i="12"/>
  <c r="CX10" i="12"/>
  <c r="CY10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L11" i="12"/>
  <c r="BM11" i="12"/>
  <c r="BN11" i="12"/>
  <c r="BO11" i="12"/>
  <c r="BP11" i="12"/>
  <c r="BQ11" i="12"/>
  <c r="BR11" i="12"/>
  <c r="BS11" i="12"/>
  <c r="BT11" i="12"/>
  <c r="BU11" i="12"/>
  <c r="BV11" i="12"/>
  <c r="BW11" i="12"/>
  <c r="BX11" i="12"/>
  <c r="BY11" i="12"/>
  <c r="BZ11" i="12"/>
  <c r="CA11" i="12"/>
  <c r="CB11" i="12"/>
  <c r="CC11" i="12"/>
  <c r="CD11" i="12"/>
  <c r="CE11" i="12"/>
  <c r="CF11" i="12"/>
  <c r="CG11" i="12"/>
  <c r="CH11" i="12"/>
  <c r="CI11" i="12"/>
  <c r="CJ11" i="12"/>
  <c r="CK11" i="12"/>
  <c r="CL11" i="12"/>
  <c r="CM11" i="12"/>
  <c r="CN11" i="12"/>
  <c r="CO11" i="12"/>
  <c r="CP11" i="12"/>
  <c r="CQ11" i="12"/>
  <c r="CR11" i="12"/>
  <c r="CS11" i="12"/>
  <c r="CT11" i="12"/>
  <c r="CU11" i="12"/>
  <c r="CV11" i="12"/>
  <c r="CW11" i="12"/>
  <c r="CX11" i="12"/>
  <c r="CY11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L12" i="12"/>
  <c r="BM12" i="12"/>
  <c r="BN12" i="12"/>
  <c r="BO12" i="12"/>
  <c r="BP12" i="12"/>
  <c r="BQ12" i="12"/>
  <c r="BR12" i="12"/>
  <c r="BS12" i="12"/>
  <c r="BT12" i="12"/>
  <c r="BU12" i="12"/>
  <c r="BV12" i="12"/>
  <c r="BW12" i="12"/>
  <c r="BX12" i="12"/>
  <c r="BY12" i="12"/>
  <c r="BZ12" i="12"/>
  <c r="CA12" i="12"/>
  <c r="CB12" i="12"/>
  <c r="CC12" i="12"/>
  <c r="CD12" i="12"/>
  <c r="CE12" i="12"/>
  <c r="CF12" i="12"/>
  <c r="CG12" i="12"/>
  <c r="CH12" i="12"/>
  <c r="CI12" i="12"/>
  <c r="CJ12" i="12"/>
  <c r="CK12" i="12"/>
  <c r="CL12" i="12"/>
  <c r="CM12" i="12"/>
  <c r="CN12" i="12"/>
  <c r="CO12" i="12"/>
  <c r="CP12" i="12"/>
  <c r="CQ12" i="12"/>
  <c r="CR12" i="12"/>
  <c r="CS12" i="12"/>
  <c r="CT12" i="12"/>
  <c r="CU12" i="12"/>
  <c r="CV12" i="12"/>
  <c r="CW12" i="12"/>
  <c r="CX12" i="12"/>
  <c r="CY12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L13" i="12"/>
  <c r="BM13" i="12"/>
  <c r="BN13" i="12"/>
  <c r="BO13" i="12"/>
  <c r="BP13" i="12"/>
  <c r="BQ13" i="12"/>
  <c r="BR13" i="12"/>
  <c r="BS13" i="12"/>
  <c r="BT13" i="12"/>
  <c r="BU13" i="12"/>
  <c r="BV13" i="12"/>
  <c r="BW13" i="12"/>
  <c r="BX13" i="12"/>
  <c r="BY13" i="12"/>
  <c r="BZ13" i="12"/>
  <c r="CA13" i="12"/>
  <c r="CB13" i="12"/>
  <c r="CC13" i="12"/>
  <c r="CD13" i="12"/>
  <c r="CE13" i="12"/>
  <c r="CF13" i="12"/>
  <c r="CG13" i="12"/>
  <c r="CH13" i="12"/>
  <c r="CI13" i="12"/>
  <c r="CJ13" i="12"/>
  <c r="CK13" i="12"/>
  <c r="CL13" i="12"/>
  <c r="CM13" i="12"/>
  <c r="CN13" i="12"/>
  <c r="CO13" i="12"/>
  <c r="CP13" i="12"/>
  <c r="CQ13" i="12"/>
  <c r="CR13" i="12"/>
  <c r="CS13" i="12"/>
  <c r="CT13" i="12"/>
  <c r="CU13" i="12"/>
  <c r="CV13" i="12"/>
  <c r="CW13" i="12"/>
  <c r="CX13" i="12"/>
  <c r="CY13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L14" i="12"/>
  <c r="BM14" i="12"/>
  <c r="BN14" i="12"/>
  <c r="BO14" i="12"/>
  <c r="BP14" i="12"/>
  <c r="BQ14" i="12"/>
  <c r="BR14" i="12"/>
  <c r="BS14" i="12"/>
  <c r="BT14" i="12"/>
  <c r="BU14" i="12"/>
  <c r="BV14" i="12"/>
  <c r="BW14" i="12"/>
  <c r="BX14" i="12"/>
  <c r="BY14" i="12"/>
  <c r="BZ14" i="12"/>
  <c r="CA14" i="12"/>
  <c r="CB14" i="12"/>
  <c r="CC14" i="12"/>
  <c r="CD14" i="12"/>
  <c r="CE14" i="12"/>
  <c r="CF14" i="12"/>
  <c r="CG14" i="12"/>
  <c r="CH14" i="12"/>
  <c r="CI14" i="12"/>
  <c r="CJ14" i="12"/>
  <c r="CK14" i="12"/>
  <c r="CL14" i="12"/>
  <c r="CM14" i="12"/>
  <c r="CN14" i="12"/>
  <c r="CO14" i="12"/>
  <c r="CP14" i="12"/>
  <c r="CQ14" i="12"/>
  <c r="CR14" i="12"/>
  <c r="CS14" i="12"/>
  <c r="CT14" i="12"/>
  <c r="CU14" i="12"/>
  <c r="CV14" i="12"/>
  <c r="CW14" i="12"/>
  <c r="CX14" i="12"/>
  <c r="CY14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L15" i="12"/>
  <c r="BM15" i="12"/>
  <c r="BN15" i="12"/>
  <c r="BO15" i="12"/>
  <c r="BP15" i="12"/>
  <c r="BQ15" i="12"/>
  <c r="BR15" i="12"/>
  <c r="BS15" i="12"/>
  <c r="BT15" i="12"/>
  <c r="BU15" i="12"/>
  <c r="BV15" i="12"/>
  <c r="BW15" i="12"/>
  <c r="BX15" i="12"/>
  <c r="BY15" i="12"/>
  <c r="BZ15" i="12"/>
  <c r="CA15" i="12"/>
  <c r="CB15" i="12"/>
  <c r="CC15" i="12"/>
  <c r="CD15" i="12"/>
  <c r="CE15" i="12"/>
  <c r="CF15" i="12"/>
  <c r="CG15" i="12"/>
  <c r="CH15" i="12"/>
  <c r="CI15" i="12"/>
  <c r="CJ15" i="12"/>
  <c r="CK15" i="12"/>
  <c r="CL15" i="12"/>
  <c r="CM15" i="12"/>
  <c r="CN15" i="12"/>
  <c r="CO15" i="12"/>
  <c r="CP15" i="12"/>
  <c r="CQ15" i="12"/>
  <c r="CR15" i="12"/>
  <c r="CS15" i="12"/>
  <c r="CT15" i="12"/>
  <c r="CU15" i="12"/>
  <c r="CV15" i="12"/>
  <c r="CW15" i="12"/>
  <c r="CX15" i="12"/>
  <c r="CY15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L16" i="12"/>
  <c r="BM16" i="12"/>
  <c r="BN16" i="12"/>
  <c r="BO16" i="12"/>
  <c r="BP16" i="12"/>
  <c r="BQ16" i="12"/>
  <c r="BR16" i="12"/>
  <c r="BS16" i="12"/>
  <c r="BT16" i="12"/>
  <c r="BU16" i="12"/>
  <c r="BV16" i="12"/>
  <c r="BW16" i="12"/>
  <c r="BX16" i="12"/>
  <c r="BY16" i="12"/>
  <c r="BZ16" i="12"/>
  <c r="CA16" i="12"/>
  <c r="CB16" i="12"/>
  <c r="CC16" i="12"/>
  <c r="CD16" i="12"/>
  <c r="CE16" i="12"/>
  <c r="CF16" i="12"/>
  <c r="CG16" i="12"/>
  <c r="CH16" i="12"/>
  <c r="CI16" i="12"/>
  <c r="CJ16" i="12"/>
  <c r="CK16" i="12"/>
  <c r="CL16" i="12"/>
  <c r="CM16" i="12"/>
  <c r="CN16" i="12"/>
  <c r="CO16" i="12"/>
  <c r="CP16" i="12"/>
  <c r="CQ16" i="12"/>
  <c r="CR16" i="12"/>
  <c r="CS16" i="12"/>
  <c r="CT16" i="12"/>
  <c r="CU16" i="12"/>
  <c r="CV16" i="12"/>
  <c r="CW16" i="12"/>
  <c r="CX16" i="12"/>
  <c r="CY16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L17" i="12"/>
  <c r="BM17" i="12"/>
  <c r="BN17" i="12"/>
  <c r="BO17" i="12"/>
  <c r="BP17" i="12"/>
  <c r="BQ17" i="12"/>
  <c r="BR17" i="12"/>
  <c r="BS17" i="12"/>
  <c r="BT17" i="12"/>
  <c r="BU17" i="12"/>
  <c r="BV17" i="12"/>
  <c r="BW17" i="12"/>
  <c r="BX17" i="12"/>
  <c r="BY17" i="12"/>
  <c r="BZ17" i="12"/>
  <c r="CA17" i="12"/>
  <c r="CB17" i="12"/>
  <c r="CC17" i="12"/>
  <c r="CD17" i="12"/>
  <c r="CE17" i="12"/>
  <c r="CF17" i="12"/>
  <c r="CG17" i="12"/>
  <c r="CH17" i="12"/>
  <c r="CI17" i="12"/>
  <c r="CJ17" i="12"/>
  <c r="CK17" i="12"/>
  <c r="CL17" i="12"/>
  <c r="CM17" i="12"/>
  <c r="CN17" i="12"/>
  <c r="CO17" i="12"/>
  <c r="CP17" i="12"/>
  <c r="CQ17" i="12"/>
  <c r="CR17" i="12"/>
  <c r="CS17" i="12"/>
  <c r="CT17" i="12"/>
  <c r="CU17" i="12"/>
  <c r="CV17" i="12"/>
  <c r="CW17" i="12"/>
  <c r="CX17" i="12"/>
  <c r="CY17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L18" i="12"/>
  <c r="BM18" i="12"/>
  <c r="BN18" i="12"/>
  <c r="BO18" i="12"/>
  <c r="BP18" i="12"/>
  <c r="BQ18" i="12"/>
  <c r="BR18" i="12"/>
  <c r="BS18" i="12"/>
  <c r="BT18" i="12"/>
  <c r="BU18" i="12"/>
  <c r="BV18" i="12"/>
  <c r="BW18" i="12"/>
  <c r="BX18" i="12"/>
  <c r="BY18" i="12"/>
  <c r="BZ18" i="12"/>
  <c r="CA18" i="12"/>
  <c r="CB18" i="12"/>
  <c r="CC18" i="12"/>
  <c r="CD18" i="12"/>
  <c r="CE18" i="12"/>
  <c r="CF18" i="12"/>
  <c r="CG18" i="12"/>
  <c r="CH18" i="12"/>
  <c r="CI18" i="12"/>
  <c r="CJ18" i="12"/>
  <c r="CK18" i="12"/>
  <c r="CL18" i="12"/>
  <c r="CM18" i="12"/>
  <c r="CN18" i="12"/>
  <c r="CO18" i="12"/>
  <c r="CP18" i="12"/>
  <c r="CQ18" i="12"/>
  <c r="CR18" i="12"/>
  <c r="CS18" i="12"/>
  <c r="CT18" i="12"/>
  <c r="CU18" i="12"/>
  <c r="CV18" i="12"/>
  <c r="CW18" i="12"/>
  <c r="CX18" i="12"/>
  <c r="CY18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L19" i="12"/>
  <c r="BM19" i="12"/>
  <c r="BN19" i="12"/>
  <c r="BO19" i="12"/>
  <c r="BP19" i="12"/>
  <c r="BQ19" i="12"/>
  <c r="BR19" i="12"/>
  <c r="BS19" i="12"/>
  <c r="BT19" i="12"/>
  <c r="BU19" i="12"/>
  <c r="BV19" i="12"/>
  <c r="BW19" i="12"/>
  <c r="BX19" i="12"/>
  <c r="BY19" i="12"/>
  <c r="BZ19" i="12"/>
  <c r="CA19" i="12"/>
  <c r="CB19" i="12"/>
  <c r="CC19" i="12"/>
  <c r="CD19" i="12"/>
  <c r="CE19" i="12"/>
  <c r="CF19" i="12"/>
  <c r="CG19" i="12"/>
  <c r="CH19" i="12"/>
  <c r="CI19" i="12"/>
  <c r="CJ19" i="12"/>
  <c r="CK19" i="12"/>
  <c r="CL19" i="12"/>
  <c r="CM19" i="12"/>
  <c r="CN19" i="12"/>
  <c r="CO19" i="12"/>
  <c r="CP19" i="12"/>
  <c r="CQ19" i="12"/>
  <c r="CR19" i="12"/>
  <c r="CS19" i="12"/>
  <c r="CT19" i="12"/>
  <c r="CU19" i="12"/>
  <c r="CV19" i="12"/>
  <c r="CW19" i="12"/>
  <c r="CX19" i="12"/>
  <c r="CY19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L21" i="12"/>
  <c r="BM21" i="12"/>
  <c r="BN21" i="12"/>
  <c r="BO21" i="12"/>
  <c r="BP21" i="12"/>
  <c r="BQ21" i="12"/>
  <c r="BR21" i="12"/>
  <c r="BS21" i="12"/>
  <c r="BT21" i="12"/>
  <c r="BU21" i="12"/>
  <c r="BV21" i="12"/>
  <c r="BW21" i="12"/>
  <c r="BX21" i="12"/>
  <c r="BY21" i="12"/>
  <c r="BZ21" i="12"/>
  <c r="CA21" i="12"/>
  <c r="CB21" i="12"/>
  <c r="CC21" i="12"/>
  <c r="CD21" i="12"/>
  <c r="CE21" i="12"/>
  <c r="CF21" i="12"/>
  <c r="CG21" i="12"/>
  <c r="CH21" i="12"/>
  <c r="CI21" i="12"/>
  <c r="CJ21" i="12"/>
  <c r="CK21" i="12"/>
  <c r="CL21" i="12"/>
  <c r="CM21" i="12"/>
  <c r="CN21" i="12"/>
  <c r="CO21" i="12"/>
  <c r="CP21" i="12"/>
  <c r="CQ21" i="12"/>
  <c r="CR21" i="12"/>
  <c r="CS21" i="12"/>
  <c r="CT21" i="12"/>
  <c r="CU21" i="12"/>
  <c r="CV21" i="12"/>
  <c r="CW21" i="12"/>
  <c r="CX21" i="12"/>
  <c r="CY21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L22" i="12"/>
  <c r="BM22" i="12"/>
  <c r="BN22" i="12"/>
  <c r="BO22" i="12"/>
  <c r="BP22" i="12"/>
  <c r="BQ22" i="12"/>
  <c r="BR22" i="12"/>
  <c r="BS22" i="12"/>
  <c r="BT22" i="12"/>
  <c r="BU22" i="12"/>
  <c r="BV22" i="12"/>
  <c r="BW22" i="12"/>
  <c r="BX22" i="12"/>
  <c r="BY22" i="12"/>
  <c r="BZ22" i="12"/>
  <c r="CA22" i="12"/>
  <c r="CB22" i="12"/>
  <c r="CC22" i="12"/>
  <c r="CD22" i="12"/>
  <c r="CE22" i="12"/>
  <c r="CF22" i="12"/>
  <c r="CG22" i="12"/>
  <c r="CH22" i="12"/>
  <c r="CI22" i="12"/>
  <c r="CJ22" i="12"/>
  <c r="CK22" i="12"/>
  <c r="CL22" i="12"/>
  <c r="CM22" i="12"/>
  <c r="CN22" i="12"/>
  <c r="CO22" i="12"/>
  <c r="CP22" i="12"/>
  <c r="CQ22" i="12"/>
  <c r="CR22" i="12"/>
  <c r="CS22" i="12"/>
  <c r="CT22" i="12"/>
  <c r="CU22" i="12"/>
  <c r="CV22" i="12"/>
  <c r="CW22" i="12"/>
  <c r="CX22" i="12"/>
  <c r="CY22" i="12"/>
  <c r="AN5" i="12"/>
  <c r="AO5" i="12"/>
  <c r="AP5" i="12"/>
  <c r="AQ5" i="12"/>
  <c r="AR5" i="12"/>
  <c r="AS5" i="12"/>
  <c r="AT5" i="12"/>
  <c r="AU5" i="12"/>
  <c r="AV5" i="12"/>
  <c r="AW5" i="12"/>
  <c r="AX5" i="12"/>
  <c r="AY5" i="12"/>
  <c r="AN6" i="12"/>
  <c r="AO6" i="12"/>
  <c r="AP6" i="12"/>
  <c r="AQ6" i="12"/>
  <c r="AR6" i="12"/>
  <c r="AN7" i="12"/>
  <c r="AO7" i="12"/>
  <c r="AP7" i="12"/>
  <c r="AQ7" i="12"/>
  <c r="AR7" i="12"/>
  <c r="AN8" i="12"/>
  <c r="AO8" i="12"/>
  <c r="AP8" i="12"/>
  <c r="AQ8" i="12"/>
  <c r="AR8" i="12"/>
  <c r="AS8" i="12"/>
  <c r="AT8" i="12"/>
  <c r="AU8" i="12"/>
  <c r="AV8" i="12"/>
  <c r="AW8" i="12"/>
  <c r="AX8" i="12"/>
  <c r="AY8" i="12"/>
  <c r="AN9" i="12"/>
  <c r="AO9" i="12"/>
  <c r="AP9" i="12"/>
  <c r="AQ9" i="12"/>
  <c r="AR9" i="12"/>
  <c r="AS9" i="12"/>
  <c r="AT9" i="12"/>
  <c r="AU9" i="12"/>
  <c r="AV9" i="12"/>
  <c r="AW9" i="12"/>
  <c r="AX9" i="12"/>
  <c r="AY9" i="12"/>
  <c r="AN10" i="12"/>
  <c r="AO10" i="12"/>
  <c r="AP10" i="12"/>
  <c r="AQ10" i="12"/>
  <c r="AR10" i="12"/>
  <c r="AS10" i="12"/>
  <c r="AT10" i="12"/>
  <c r="AU10" i="12"/>
  <c r="AV10" i="12"/>
  <c r="AW10" i="12"/>
  <c r="AX10" i="12"/>
  <c r="AY10" i="12"/>
  <c r="AN11" i="12"/>
  <c r="AO11" i="12"/>
  <c r="AP11" i="12"/>
  <c r="AQ11" i="12"/>
  <c r="AR11" i="12"/>
  <c r="AS11" i="12"/>
  <c r="AT11" i="12"/>
  <c r="AU11" i="12"/>
  <c r="AV11" i="12"/>
  <c r="AW11" i="12"/>
  <c r="AX11" i="12"/>
  <c r="AY11" i="12"/>
  <c r="AN12" i="12"/>
  <c r="AO12" i="12"/>
  <c r="AP12" i="12"/>
  <c r="AQ12" i="12"/>
  <c r="AR12" i="12"/>
  <c r="AS12" i="12"/>
  <c r="AT12" i="12"/>
  <c r="AU12" i="12"/>
  <c r="AV12" i="12"/>
  <c r="AW12" i="12"/>
  <c r="AX12" i="12"/>
  <c r="AY12" i="12"/>
  <c r="AN13" i="12"/>
  <c r="AO13" i="12"/>
  <c r="AP13" i="12"/>
  <c r="AQ13" i="12"/>
  <c r="AR13" i="12"/>
  <c r="AS13" i="12"/>
  <c r="AT13" i="12"/>
  <c r="AU13" i="12"/>
  <c r="AV13" i="12"/>
  <c r="AW13" i="12"/>
  <c r="AX13" i="12"/>
  <c r="AY13" i="12"/>
  <c r="AN14" i="12"/>
  <c r="AO14" i="12"/>
  <c r="AP14" i="12"/>
  <c r="AQ14" i="12"/>
  <c r="AR14" i="12"/>
  <c r="AS14" i="12"/>
  <c r="AT14" i="12"/>
  <c r="AU14" i="12"/>
  <c r="AV14" i="12"/>
  <c r="AW14" i="12"/>
  <c r="AX14" i="12"/>
  <c r="AY14" i="12"/>
  <c r="AN15" i="12"/>
  <c r="AO15" i="12"/>
  <c r="AP15" i="12"/>
  <c r="AQ15" i="12"/>
  <c r="AR15" i="12"/>
  <c r="AS15" i="12"/>
  <c r="AT15" i="12"/>
  <c r="AU15" i="12"/>
  <c r="AV15" i="12"/>
  <c r="AW15" i="12"/>
  <c r="AX15" i="12"/>
  <c r="AY15" i="12"/>
  <c r="AN16" i="12"/>
  <c r="AO16" i="12"/>
  <c r="AP16" i="12"/>
  <c r="AQ16" i="12"/>
  <c r="AR16" i="12"/>
  <c r="AS16" i="12"/>
  <c r="AT16" i="12"/>
  <c r="AU16" i="12"/>
  <c r="AV16" i="12"/>
  <c r="AW16" i="12"/>
  <c r="AX16" i="12"/>
  <c r="AY16" i="12"/>
  <c r="AN17" i="12"/>
  <c r="AO17" i="12"/>
  <c r="AP17" i="12"/>
  <c r="AQ17" i="12"/>
  <c r="AR17" i="12"/>
  <c r="AS17" i="12"/>
  <c r="AT17" i="12"/>
  <c r="AU17" i="12"/>
  <c r="AV17" i="12"/>
  <c r="AW17" i="12"/>
  <c r="AX17" i="12"/>
  <c r="AY17" i="12"/>
  <c r="AN18" i="12"/>
  <c r="AO18" i="12"/>
  <c r="AP18" i="12"/>
  <c r="AQ18" i="12"/>
  <c r="AR18" i="12"/>
  <c r="AS18" i="12"/>
  <c r="AT18" i="12"/>
  <c r="AU18" i="12"/>
  <c r="AV18" i="12"/>
  <c r="AW18" i="12"/>
  <c r="AX18" i="12"/>
  <c r="AY18" i="12"/>
  <c r="AN19" i="12"/>
  <c r="AO19" i="12"/>
  <c r="AP19" i="12"/>
  <c r="AQ19" i="12"/>
  <c r="AR19" i="12"/>
  <c r="AS19" i="12"/>
  <c r="AT19" i="12"/>
  <c r="AU19" i="12"/>
  <c r="AV19" i="12"/>
  <c r="AW19" i="12"/>
  <c r="AX19" i="12"/>
  <c r="AY19" i="12"/>
  <c r="AN21" i="12"/>
  <c r="AO21" i="12"/>
  <c r="AP21" i="12"/>
  <c r="AQ21" i="12"/>
  <c r="AR21" i="12"/>
  <c r="AS21" i="12"/>
  <c r="AT21" i="12"/>
  <c r="AU21" i="12"/>
  <c r="AV21" i="12"/>
  <c r="AW21" i="12"/>
  <c r="AX21" i="12"/>
  <c r="AY21" i="12"/>
  <c r="AN22" i="12"/>
  <c r="AO22" i="12"/>
  <c r="AP22" i="12"/>
  <c r="AQ22" i="12"/>
  <c r="AR22" i="12"/>
  <c r="AS22" i="12"/>
  <c r="AT22" i="12"/>
  <c r="AU22" i="12"/>
  <c r="AV22" i="12"/>
  <c r="AW22" i="12"/>
  <c r="AX22" i="12"/>
  <c r="AY22" i="12"/>
  <c r="O52" i="6"/>
  <c r="O21" i="6" s="1"/>
  <c r="O29" i="6" s="1"/>
  <c r="R49" i="6"/>
  <c r="F6" i="5"/>
  <c r="I39" i="20"/>
  <c r="C19" i="12"/>
  <c r="C38" i="12"/>
  <c r="C60" i="12"/>
  <c r="C79" i="12"/>
  <c r="C80" i="12"/>
  <c r="C81" i="12"/>
  <c r="BG81" i="12"/>
  <c r="G79" i="20"/>
  <c r="AG81" i="12"/>
  <c r="AP80" i="20"/>
  <c r="AH38" i="20"/>
  <c r="I38" i="20"/>
  <c r="AG81" i="20"/>
  <c r="AC81" i="20"/>
  <c r="Y39" i="20"/>
  <c r="T79" i="12"/>
  <c r="N38" i="20"/>
  <c r="AH39" i="20"/>
  <c r="G80" i="20"/>
  <c r="AP38" i="20"/>
  <c r="AH40" i="20"/>
  <c r="U80" i="12"/>
  <c r="AQ39" i="20"/>
  <c r="E80" i="20"/>
  <c r="H39" i="20"/>
  <c r="AG79" i="20"/>
  <c r="U38" i="20"/>
  <c r="W81" i="20"/>
  <c r="J81" i="20"/>
  <c r="V79" i="20"/>
  <c r="I81" i="20"/>
  <c r="Z38" i="20"/>
  <c r="AQ40" i="20"/>
  <c r="AF40" i="20"/>
  <c r="X81" i="20"/>
  <c r="AV79" i="12"/>
  <c r="AW38" i="21"/>
  <c r="AS79" i="20" s="1"/>
  <c r="AS55" i="20"/>
  <c r="AS14" i="20"/>
  <c r="AT54" i="20"/>
  <c r="AT13" i="20"/>
  <c r="L38" i="20"/>
  <c r="E79" i="20"/>
  <c r="AR59" i="20"/>
  <c r="AR46" i="20"/>
  <c r="AP76" i="20"/>
  <c r="AP74" i="20"/>
  <c r="AP33" i="20"/>
  <c r="AP72" i="20"/>
  <c r="AP31" i="20"/>
  <c r="AP70" i="20"/>
  <c r="AP68" i="20"/>
  <c r="AP27" i="20"/>
  <c r="AP66" i="20"/>
  <c r="AP25" i="20"/>
  <c r="AP62" i="20"/>
  <c r="AL59" i="20"/>
  <c r="AL18" i="20"/>
  <c r="AD59" i="20"/>
  <c r="AD18" i="20"/>
  <c r="V59" i="20"/>
  <c r="V18" i="20"/>
  <c r="N59" i="20"/>
  <c r="N18" i="20"/>
  <c r="AL58" i="20"/>
  <c r="AL17" i="20"/>
  <c r="AD58" i="20"/>
  <c r="AD17" i="20"/>
  <c r="V58" i="20"/>
  <c r="V17" i="20"/>
  <c r="N58" i="20"/>
  <c r="N17" i="20"/>
  <c r="AL57" i="20"/>
  <c r="AL16" i="20"/>
  <c r="AD57" i="20"/>
  <c r="AD16" i="20"/>
  <c r="V57" i="20"/>
  <c r="V16" i="20"/>
  <c r="N57" i="20"/>
  <c r="N16" i="20"/>
  <c r="AL56" i="20"/>
  <c r="AL15" i="20"/>
  <c r="AD56" i="20"/>
  <c r="AD15" i="20"/>
  <c r="V15" i="20"/>
  <c r="N56" i="20"/>
  <c r="N15" i="20"/>
  <c r="AL55" i="20"/>
  <c r="AL14" i="20"/>
  <c r="AD55" i="20"/>
  <c r="V55" i="20"/>
  <c r="V14" i="20"/>
  <c r="N55" i="20"/>
  <c r="AL54" i="20"/>
  <c r="AL13" i="20"/>
  <c r="AD54" i="20"/>
  <c r="AD13" i="20"/>
  <c r="V54" i="20"/>
  <c r="V13" i="20"/>
  <c r="N54" i="20"/>
  <c r="N13" i="20"/>
  <c r="AL53" i="20"/>
  <c r="AL12" i="20"/>
  <c r="AD53" i="20"/>
  <c r="AD12" i="20"/>
  <c r="V53" i="20"/>
  <c r="V12" i="20"/>
  <c r="N53" i="20"/>
  <c r="N12" i="20"/>
  <c r="AL52" i="20"/>
  <c r="AL11" i="20"/>
  <c r="AD52" i="20"/>
  <c r="AD11" i="20"/>
  <c r="V52" i="20"/>
  <c r="V11" i="20"/>
  <c r="N52" i="20"/>
  <c r="N11" i="20"/>
  <c r="AL51" i="20"/>
  <c r="AL10" i="20"/>
  <c r="AD51" i="20"/>
  <c r="V51" i="20"/>
  <c r="N51" i="20"/>
  <c r="N10" i="20"/>
  <c r="AD9" i="20"/>
  <c r="V50" i="20"/>
  <c r="V9" i="20"/>
  <c r="N50" i="20"/>
  <c r="N9" i="20"/>
  <c r="AL49" i="20"/>
  <c r="AL8" i="20"/>
  <c r="AD49" i="20"/>
  <c r="AD8" i="20"/>
  <c r="V49" i="20"/>
  <c r="V8" i="20"/>
  <c r="N49" i="20"/>
  <c r="N8" i="20"/>
  <c r="AL48" i="20"/>
  <c r="AL7" i="20"/>
  <c r="AD48" i="20"/>
  <c r="AD7" i="20"/>
  <c r="V48" i="20"/>
  <c r="V7" i="20"/>
  <c r="N48" i="20"/>
  <c r="N7" i="20"/>
  <c r="H38" i="20"/>
  <c r="AN38" i="20"/>
  <c r="AQ38" i="20"/>
  <c r="AF79" i="20"/>
  <c r="Q79" i="20"/>
  <c r="N34" i="20"/>
  <c r="AP112" i="20"/>
  <c r="AP128" i="20" s="1"/>
  <c r="AP96" i="20"/>
  <c r="AP110" i="20"/>
  <c r="AP108" i="20"/>
  <c r="AP106" i="20"/>
  <c r="AP90" i="20"/>
  <c r="AP104" i="20"/>
  <c r="AP120" i="20" s="1"/>
  <c r="AP88" i="20"/>
  <c r="AL77" i="20"/>
  <c r="AL36" i="20"/>
  <c r="AD77" i="20"/>
  <c r="V77" i="20"/>
  <c r="V36" i="20"/>
  <c r="N77" i="20"/>
  <c r="N36" i="20"/>
  <c r="AL76" i="20"/>
  <c r="AL35" i="20"/>
  <c r="AD76" i="20"/>
  <c r="AD35" i="20"/>
  <c r="V76" i="20"/>
  <c r="V35" i="20"/>
  <c r="N76" i="20"/>
  <c r="N35" i="20"/>
  <c r="AL75" i="20"/>
  <c r="AL34" i="20"/>
  <c r="AD75" i="20"/>
  <c r="AD34" i="20"/>
  <c r="V75" i="20"/>
  <c r="V34" i="20"/>
  <c r="AL74" i="20"/>
  <c r="AL33" i="20"/>
  <c r="AD74" i="20"/>
  <c r="AD33" i="20"/>
  <c r="V74" i="20"/>
  <c r="V33" i="20"/>
  <c r="N74" i="20"/>
  <c r="N33" i="20"/>
  <c r="AL72" i="20"/>
  <c r="AL31" i="20"/>
  <c r="AD72" i="20"/>
  <c r="AD31" i="20"/>
  <c r="V72" i="20"/>
  <c r="V31" i="20"/>
  <c r="N72" i="20"/>
  <c r="N31" i="20"/>
  <c r="AL71" i="20"/>
  <c r="AL30" i="20"/>
  <c r="AD71" i="20"/>
  <c r="AD30" i="20"/>
  <c r="V71" i="20"/>
  <c r="V30" i="20"/>
  <c r="N71" i="20"/>
  <c r="N30" i="20"/>
  <c r="AL70" i="20"/>
  <c r="AL29" i="20"/>
  <c r="AD70" i="20"/>
  <c r="V70" i="20"/>
  <c r="N70" i="20"/>
  <c r="N29" i="20"/>
  <c r="AL68" i="20"/>
  <c r="AL27" i="20"/>
  <c r="V68" i="20"/>
  <c r="V27" i="20"/>
  <c r="N68" i="20"/>
  <c r="N27" i="20"/>
  <c r="AL67" i="20"/>
  <c r="AL26" i="20"/>
  <c r="AD67" i="20"/>
  <c r="AD26" i="20"/>
  <c r="V67" i="20"/>
  <c r="V26" i="20"/>
  <c r="N67" i="20"/>
  <c r="N26" i="20"/>
  <c r="AL66" i="20"/>
  <c r="AL25" i="20"/>
  <c r="AD66" i="20"/>
  <c r="AD25" i="20"/>
  <c r="V66" i="20"/>
  <c r="V25" i="20"/>
  <c r="N66" i="20"/>
  <c r="N25" i="20"/>
  <c r="AL65" i="20"/>
  <c r="AL24" i="20"/>
  <c r="AD65" i="20"/>
  <c r="AD24" i="20"/>
  <c r="V65" i="20"/>
  <c r="V24" i="20"/>
  <c r="N65" i="20"/>
  <c r="N24" i="20"/>
  <c r="AL63" i="20"/>
  <c r="AL22" i="20"/>
  <c r="AD22" i="20"/>
  <c r="V63" i="20"/>
  <c r="V22" i="20"/>
  <c r="N63" i="20"/>
  <c r="N22" i="20"/>
  <c r="AL62" i="20"/>
  <c r="AL21" i="20"/>
  <c r="AD62" i="20"/>
  <c r="AD21" i="20"/>
  <c r="V21" i="20"/>
  <c r="V62" i="20"/>
  <c r="N62" i="20"/>
  <c r="N21" i="20"/>
  <c r="AP59" i="20"/>
  <c r="AP18" i="20"/>
  <c r="AP57" i="20"/>
  <c r="AP16" i="20"/>
  <c r="AP55" i="20"/>
  <c r="AP53" i="20"/>
  <c r="AP12" i="20"/>
  <c r="AP51" i="20"/>
  <c r="AP10" i="20"/>
  <c r="AP49" i="20"/>
  <c r="AP8" i="20"/>
  <c r="AP47" i="20"/>
  <c r="AP6" i="20"/>
  <c r="AL113" i="20"/>
  <c r="AL97" i="20"/>
  <c r="AD113" i="20"/>
  <c r="AD97" i="20"/>
  <c r="V113" i="20"/>
  <c r="V97" i="20"/>
  <c r="N113" i="20"/>
  <c r="N97" i="20"/>
  <c r="AL112" i="20"/>
  <c r="AL128" i="20" s="1"/>
  <c r="AL96" i="20"/>
  <c r="AD112" i="20"/>
  <c r="AD128" i="20" s="1"/>
  <c r="AD96" i="20"/>
  <c r="V112" i="20"/>
  <c r="V128" i="20" s="1"/>
  <c r="V96" i="20"/>
  <c r="N112" i="20"/>
  <c r="N128" i="20" s="1"/>
  <c r="N96" i="20"/>
  <c r="AL110" i="20"/>
  <c r="AL94" i="20"/>
  <c r="AD110" i="20"/>
  <c r="AD94" i="20"/>
  <c r="V110" i="20"/>
  <c r="N110" i="20"/>
  <c r="N94" i="20"/>
  <c r="AL109" i="20"/>
  <c r="AL93" i="20"/>
  <c r="AD109" i="20"/>
  <c r="AD93" i="20"/>
  <c r="V109" i="20"/>
  <c r="V93" i="20"/>
  <c r="N109" i="20"/>
  <c r="AL108" i="20"/>
  <c r="AD108" i="20"/>
  <c r="V108" i="20"/>
  <c r="V92" i="20"/>
  <c r="N108" i="20"/>
  <c r="AL107" i="20"/>
  <c r="AL123" i="20" s="1"/>
  <c r="AL91" i="20"/>
  <c r="AD107" i="20"/>
  <c r="AD123" i="20" s="1"/>
  <c r="V107" i="20"/>
  <c r="V123" i="20" s="1"/>
  <c r="N107" i="20"/>
  <c r="N123" i="20" s="1"/>
  <c r="N91" i="20"/>
  <c r="AL106" i="20"/>
  <c r="AD106" i="20"/>
  <c r="AD90" i="20"/>
  <c r="V106" i="20"/>
  <c r="V90" i="20"/>
  <c r="N106" i="20"/>
  <c r="AL105" i="20"/>
  <c r="AL89" i="20"/>
  <c r="AD105" i="20"/>
  <c r="AD89" i="20"/>
  <c r="V105" i="20"/>
  <c r="V89" i="20"/>
  <c r="N105" i="20"/>
  <c r="N89" i="20"/>
  <c r="AL104" i="20"/>
  <c r="AL120" i="20" s="1"/>
  <c r="AL88" i="20"/>
  <c r="AD104" i="20"/>
  <c r="AD120" i="20" s="1"/>
  <c r="V104" i="20"/>
  <c r="V120" i="20" s="1"/>
  <c r="V88" i="20"/>
  <c r="N104" i="20"/>
  <c r="N120" i="20" s="1"/>
  <c r="N88" i="20"/>
  <c r="AL103" i="20"/>
  <c r="AD103" i="20"/>
  <c r="AD87" i="20"/>
  <c r="V103" i="20"/>
  <c r="V87" i="20"/>
  <c r="N103" i="20"/>
  <c r="AU53" i="20"/>
  <c r="AR105" i="20"/>
  <c r="AR89" i="20"/>
  <c r="AS94" i="20"/>
  <c r="AO112" i="20"/>
  <c r="AO128" i="20" s="1"/>
  <c r="AO96" i="20"/>
  <c r="AO110" i="20"/>
  <c r="AO94" i="20"/>
  <c r="AO108" i="20"/>
  <c r="AO92" i="20"/>
  <c r="AO106" i="20"/>
  <c r="AO90" i="20"/>
  <c r="AO104" i="20"/>
  <c r="AO120" i="20" s="1"/>
  <c r="AO88" i="20"/>
  <c r="AO76" i="20"/>
  <c r="AO35" i="20"/>
  <c r="AO74" i="20"/>
  <c r="AO33" i="20"/>
  <c r="AO72" i="20"/>
  <c r="AO31" i="20"/>
  <c r="AO70" i="20"/>
  <c r="AO29" i="20"/>
  <c r="AO68" i="20"/>
  <c r="AO27" i="20"/>
  <c r="AO66" i="20"/>
  <c r="AO25" i="20"/>
  <c r="AO62" i="20"/>
  <c r="AO21" i="20"/>
  <c r="AO59" i="20"/>
  <c r="AO18" i="20"/>
  <c r="AO57" i="20"/>
  <c r="AO16" i="20"/>
  <c r="AO55" i="20"/>
  <c r="AO14" i="20"/>
  <c r="AO53" i="20"/>
  <c r="AO12" i="20"/>
  <c r="AO51" i="20"/>
  <c r="AO10" i="20"/>
  <c r="AO49" i="20"/>
  <c r="AO8" i="20"/>
  <c r="AO47" i="20"/>
  <c r="AO6" i="20"/>
  <c r="AK113" i="20"/>
  <c r="AK97" i="20"/>
  <c r="AC113" i="20"/>
  <c r="AC97" i="20"/>
  <c r="U113" i="20"/>
  <c r="U97" i="20"/>
  <c r="M113" i="20"/>
  <c r="M97" i="20"/>
  <c r="AK112" i="20"/>
  <c r="AK128" i="20" s="1"/>
  <c r="AK96" i="20"/>
  <c r="AC112" i="20"/>
  <c r="AC128" i="20" s="1"/>
  <c r="AC96" i="20"/>
  <c r="U112" i="20"/>
  <c r="U128" i="20" s="1"/>
  <c r="U96" i="20"/>
  <c r="M112" i="20"/>
  <c r="M128" i="20" s="1"/>
  <c r="M96" i="20"/>
  <c r="U111" i="20"/>
  <c r="AK94" i="20"/>
  <c r="AC110" i="20"/>
  <c r="AC94" i="20"/>
  <c r="U94" i="20"/>
  <c r="M94" i="20"/>
  <c r="AK93" i="20"/>
  <c r="AC93" i="20"/>
  <c r="AC109" i="20"/>
  <c r="U109" i="20"/>
  <c r="U93" i="20"/>
  <c r="M109" i="20"/>
  <c r="AK108" i="20"/>
  <c r="AK92" i="20"/>
  <c r="U92" i="20"/>
  <c r="M108" i="20"/>
  <c r="M92" i="20"/>
  <c r="AK91" i="20"/>
  <c r="AC107" i="20"/>
  <c r="AC123" i="20" s="1"/>
  <c r="AC91" i="20"/>
  <c r="M91" i="20"/>
  <c r="E107" i="20"/>
  <c r="E123" i="20" s="1"/>
  <c r="AK90" i="20"/>
  <c r="AC90" i="20"/>
  <c r="U106" i="20"/>
  <c r="U90" i="20"/>
  <c r="M90" i="20"/>
  <c r="AK105" i="20"/>
  <c r="AK89" i="20"/>
  <c r="AC105" i="20"/>
  <c r="U105" i="20"/>
  <c r="U89" i="20"/>
  <c r="M105" i="20"/>
  <c r="M89" i="20"/>
  <c r="E105" i="20"/>
  <c r="AK88" i="20"/>
  <c r="AC88" i="20"/>
  <c r="AC104" i="20"/>
  <c r="AC120" i="20" s="1"/>
  <c r="U88" i="20"/>
  <c r="M88" i="20"/>
  <c r="E104" i="20"/>
  <c r="E120" i="20" s="1"/>
  <c r="AC103" i="20"/>
  <c r="AC87" i="20"/>
  <c r="U103" i="20"/>
  <c r="U87" i="20"/>
  <c r="E103" i="20"/>
  <c r="AK77" i="20"/>
  <c r="AK36" i="20"/>
  <c r="U36" i="20"/>
  <c r="M77" i="20"/>
  <c r="M36" i="20"/>
  <c r="AK35" i="20"/>
  <c r="AC76" i="20"/>
  <c r="AC35" i="20"/>
  <c r="U76" i="20"/>
  <c r="U35" i="20"/>
  <c r="M76" i="20"/>
  <c r="M35" i="20"/>
  <c r="E76" i="20"/>
  <c r="AK75" i="20"/>
  <c r="AK34" i="20"/>
  <c r="AC75" i="20"/>
  <c r="AC34" i="20"/>
  <c r="U75" i="20"/>
  <c r="U34" i="20"/>
  <c r="M75" i="20"/>
  <c r="M34" i="20"/>
  <c r="E75" i="20"/>
  <c r="AK74" i="20"/>
  <c r="AK33" i="20"/>
  <c r="AC74" i="20"/>
  <c r="AC33" i="20"/>
  <c r="U74" i="20"/>
  <c r="U33" i="20"/>
  <c r="M74" i="20"/>
  <c r="M33" i="20"/>
  <c r="E74" i="20"/>
  <c r="AK72" i="20"/>
  <c r="AK31" i="20"/>
  <c r="AC31" i="20"/>
  <c r="AC72" i="20"/>
  <c r="U72" i="20"/>
  <c r="U31" i="20"/>
  <c r="M72" i="20"/>
  <c r="M31" i="20"/>
  <c r="E72" i="20"/>
  <c r="AK71" i="20"/>
  <c r="AK30" i="20"/>
  <c r="AC71" i="20"/>
  <c r="AC130" i="20" s="1"/>
  <c r="AC30" i="20"/>
  <c r="U71" i="20"/>
  <c r="U30" i="20"/>
  <c r="M71" i="20"/>
  <c r="M30" i="20"/>
  <c r="E71" i="20"/>
  <c r="E130" i="20" s="1"/>
  <c r="AK29" i="20"/>
  <c r="AC70" i="20"/>
  <c r="AC29" i="20"/>
  <c r="U70" i="20"/>
  <c r="U29" i="20"/>
  <c r="M29" i="20"/>
  <c r="E70" i="20"/>
  <c r="AK68" i="20"/>
  <c r="AC68" i="20"/>
  <c r="AC27" i="20"/>
  <c r="U68" i="20"/>
  <c r="U27" i="20"/>
  <c r="M68" i="20"/>
  <c r="M27" i="20"/>
  <c r="E68" i="20"/>
  <c r="AK67" i="20"/>
  <c r="AK26" i="20"/>
  <c r="AC67" i="20"/>
  <c r="AC26" i="20"/>
  <c r="U67" i="20"/>
  <c r="U26" i="20"/>
  <c r="M67" i="20"/>
  <c r="E67" i="20"/>
  <c r="AK66" i="20"/>
  <c r="AC66" i="20"/>
  <c r="AC25" i="20"/>
  <c r="U66" i="20"/>
  <c r="U25" i="20"/>
  <c r="M66" i="20"/>
  <c r="M25" i="20"/>
  <c r="E66" i="20"/>
  <c r="AK65" i="20"/>
  <c r="AK24" i="20"/>
  <c r="AC65" i="20"/>
  <c r="AC24" i="20"/>
  <c r="U24" i="20"/>
  <c r="U65" i="20"/>
  <c r="M65" i="20"/>
  <c r="M24" i="20"/>
  <c r="E65" i="20"/>
  <c r="AK63" i="20"/>
  <c r="AC63" i="20"/>
  <c r="AC22" i="20"/>
  <c r="U63" i="20"/>
  <c r="U22" i="20"/>
  <c r="M63" i="20"/>
  <c r="M22" i="20"/>
  <c r="AK62" i="20"/>
  <c r="AK21" i="20"/>
  <c r="AC62" i="20"/>
  <c r="AC21" i="20"/>
  <c r="U62" i="20"/>
  <c r="U21" i="20"/>
  <c r="M62" i="20"/>
  <c r="M21" i="20"/>
  <c r="E62" i="20"/>
  <c r="AK59" i="20"/>
  <c r="AK18" i="20"/>
  <c r="AC59" i="20"/>
  <c r="AC18" i="20"/>
  <c r="U59" i="20"/>
  <c r="U18" i="20"/>
  <c r="M59" i="20"/>
  <c r="M18" i="20"/>
  <c r="E59" i="20"/>
  <c r="AK58" i="20"/>
  <c r="AK17" i="20"/>
  <c r="AC58" i="20"/>
  <c r="AC17" i="20"/>
  <c r="U58" i="20"/>
  <c r="U17" i="20"/>
  <c r="M58" i="20"/>
  <c r="M17" i="20"/>
  <c r="E58" i="20"/>
  <c r="AK57" i="20"/>
  <c r="AK16" i="20"/>
  <c r="AC57" i="20"/>
  <c r="AC16" i="20"/>
  <c r="U57" i="20"/>
  <c r="U16" i="20"/>
  <c r="M57" i="20"/>
  <c r="M16" i="20"/>
  <c r="E57" i="20"/>
  <c r="AK56" i="20"/>
  <c r="AK15" i="20"/>
  <c r="AC56" i="20"/>
  <c r="AC15" i="20"/>
  <c r="U56" i="20"/>
  <c r="M56" i="20"/>
  <c r="M15" i="20"/>
  <c r="AK55" i="20"/>
  <c r="AK14" i="20"/>
  <c r="AC14" i="20"/>
  <c r="U14" i="20"/>
  <c r="M55" i="20"/>
  <c r="M14" i="20"/>
  <c r="E55" i="20"/>
  <c r="AK54" i="20"/>
  <c r="AK13" i="20"/>
  <c r="AC54" i="20"/>
  <c r="AC13" i="20"/>
  <c r="U54" i="20"/>
  <c r="M54" i="20"/>
  <c r="M13" i="20"/>
  <c r="E54" i="20"/>
  <c r="AK53" i="20"/>
  <c r="AK12" i="20"/>
  <c r="AC53" i="20"/>
  <c r="AC12" i="20"/>
  <c r="U12" i="20"/>
  <c r="U53" i="20"/>
  <c r="M53" i="20"/>
  <c r="M12" i="20"/>
  <c r="E53" i="20"/>
  <c r="AK52" i="20"/>
  <c r="AK11" i="20"/>
  <c r="AC52" i="20"/>
  <c r="AC11" i="20"/>
  <c r="U52" i="20"/>
  <c r="U11" i="20"/>
  <c r="M52" i="20"/>
  <c r="M11" i="20"/>
  <c r="AK10" i="20"/>
  <c r="AC51" i="20"/>
  <c r="AC10" i="20"/>
  <c r="U51" i="20"/>
  <c r="M10" i="20"/>
  <c r="E51" i="20"/>
  <c r="AK50" i="20"/>
  <c r="AK9" i="20"/>
  <c r="AC50" i="20"/>
  <c r="U50" i="20"/>
  <c r="U9" i="20"/>
  <c r="M50" i="20"/>
  <c r="M9" i="20"/>
  <c r="E50" i="20"/>
  <c r="AK49" i="20"/>
  <c r="AK8" i="20"/>
  <c r="AC49" i="20"/>
  <c r="AC8" i="20"/>
  <c r="U49" i="20"/>
  <c r="U8" i="20"/>
  <c r="M49" i="20"/>
  <c r="M8" i="20"/>
  <c r="E49" i="20"/>
  <c r="AK48" i="20"/>
  <c r="AK7" i="20"/>
  <c r="AC48" i="20"/>
  <c r="AC7" i="20"/>
  <c r="U48" i="20"/>
  <c r="U7" i="20"/>
  <c r="M48" i="20"/>
  <c r="M7" i="20"/>
  <c r="E48" i="20"/>
  <c r="AK47" i="20"/>
  <c r="AK6" i="20"/>
  <c r="AC47" i="20"/>
  <c r="AC6" i="20"/>
  <c r="U47" i="20"/>
  <c r="U6" i="20"/>
  <c r="M47" i="20"/>
  <c r="M6" i="20"/>
  <c r="E47" i="20"/>
  <c r="H35" i="20"/>
  <c r="Y26" i="20"/>
  <c r="AA17" i="20"/>
  <c r="AR90" i="20"/>
  <c r="AN112" i="20"/>
  <c r="AN128" i="20" s="1"/>
  <c r="AN96" i="20"/>
  <c r="AN94" i="20"/>
  <c r="AN110" i="20"/>
  <c r="AN108" i="20"/>
  <c r="AN92" i="20"/>
  <c r="AN106" i="20"/>
  <c r="AN104" i="20"/>
  <c r="AN120" i="20" s="1"/>
  <c r="AN74" i="20"/>
  <c r="AN33" i="20"/>
  <c r="AN72" i="20"/>
  <c r="AN31" i="20"/>
  <c r="AN70" i="20"/>
  <c r="AN27" i="20"/>
  <c r="AN66" i="20"/>
  <c r="AN25" i="20"/>
  <c r="AN62" i="20"/>
  <c r="AN21" i="20"/>
  <c r="AN59" i="20"/>
  <c r="AN18" i="20"/>
  <c r="AN57" i="20"/>
  <c r="AN16" i="20"/>
  <c r="AN55" i="20"/>
  <c r="AN14" i="20"/>
  <c r="AN53" i="20"/>
  <c r="AN12" i="20"/>
  <c r="AN51" i="20"/>
  <c r="AN49" i="20"/>
  <c r="AN8" i="20"/>
  <c r="AN47" i="20"/>
  <c r="AN6" i="20"/>
  <c r="AJ113" i="20"/>
  <c r="AJ97" i="20"/>
  <c r="AB113" i="20"/>
  <c r="AB97" i="20"/>
  <c r="T113" i="20"/>
  <c r="T97" i="20"/>
  <c r="L97" i="20"/>
  <c r="L113" i="20"/>
  <c r="D113" i="20"/>
  <c r="AJ112" i="20"/>
  <c r="AJ128" i="20" s="1"/>
  <c r="AJ96" i="20"/>
  <c r="AB112" i="20"/>
  <c r="AB128" i="20" s="1"/>
  <c r="AB96" i="20"/>
  <c r="T112" i="20"/>
  <c r="T128" i="20" s="1"/>
  <c r="T96" i="20"/>
  <c r="L112" i="20"/>
  <c r="L128" i="20" s="1"/>
  <c r="L96" i="20"/>
  <c r="D112" i="20"/>
  <c r="D128" i="20" s="1"/>
  <c r="D111" i="20"/>
  <c r="AJ110" i="20"/>
  <c r="AB110" i="20"/>
  <c r="T110" i="20"/>
  <c r="T94" i="20"/>
  <c r="L110" i="20"/>
  <c r="D110" i="20"/>
  <c r="AJ109" i="20"/>
  <c r="AJ93" i="20"/>
  <c r="AB109" i="20"/>
  <c r="AB93" i="20"/>
  <c r="T109" i="20"/>
  <c r="T93" i="20"/>
  <c r="L109" i="20"/>
  <c r="L93" i="20"/>
  <c r="D109" i="20"/>
  <c r="AJ108" i="20"/>
  <c r="AB108" i="20"/>
  <c r="AB92" i="20"/>
  <c r="T108" i="20"/>
  <c r="L108" i="20"/>
  <c r="D108" i="20"/>
  <c r="AJ107" i="20"/>
  <c r="AJ123" i="20" s="1"/>
  <c r="AB107" i="20"/>
  <c r="AB123" i="20" s="1"/>
  <c r="T107" i="20"/>
  <c r="T123" i="20" s="1"/>
  <c r="T91" i="20"/>
  <c r="L107" i="20"/>
  <c r="L123" i="20" s="1"/>
  <c r="D107" i="20"/>
  <c r="D123" i="20" s="1"/>
  <c r="AJ106" i="20"/>
  <c r="AJ90" i="20"/>
  <c r="AB106" i="20"/>
  <c r="T106" i="20"/>
  <c r="T90" i="20"/>
  <c r="L106" i="20"/>
  <c r="L90" i="20"/>
  <c r="D106" i="20"/>
  <c r="AJ105" i="20"/>
  <c r="AB105" i="20"/>
  <c r="AB89" i="20"/>
  <c r="T105" i="20"/>
  <c r="L105" i="20"/>
  <c r="D105" i="20"/>
  <c r="AJ104" i="20"/>
  <c r="AJ120" i="20" s="1"/>
  <c r="AJ88" i="20"/>
  <c r="AB104" i="20"/>
  <c r="AB120" i="20" s="1"/>
  <c r="T104" i="20"/>
  <c r="T120" i="20" s="1"/>
  <c r="T88" i="20"/>
  <c r="L104" i="20"/>
  <c r="L120" i="20" s="1"/>
  <c r="L88" i="20"/>
  <c r="D104" i="20"/>
  <c r="D120" i="20" s="1"/>
  <c r="AJ103" i="20"/>
  <c r="AJ87" i="20"/>
  <c r="AB103" i="20"/>
  <c r="T103" i="20"/>
  <c r="L103" i="20"/>
  <c r="L87" i="20"/>
  <c r="D103" i="20"/>
  <c r="AJ77" i="20"/>
  <c r="AJ36" i="20"/>
  <c r="AB77" i="20"/>
  <c r="AB36" i="20"/>
  <c r="T77" i="20"/>
  <c r="T36" i="20"/>
  <c r="L77" i="20"/>
  <c r="L36" i="20"/>
  <c r="D77" i="20"/>
  <c r="AJ76" i="20"/>
  <c r="AB76" i="20"/>
  <c r="AB35" i="20"/>
  <c r="T76" i="20"/>
  <c r="T35" i="20"/>
  <c r="L76" i="20"/>
  <c r="L35" i="20"/>
  <c r="D76" i="20"/>
  <c r="AJ75" i="20"/>
  <c r="AJ34" i="20"/>
  <c r="AB75" i="20"/>
  <c r="AB34" i="20"/>
  <c r="T75" i="20"/>
  <c r="T34" i="20"/>
  <c r="L75" i="20"/>
  <c r="L34" i="20"/>
  <c r="D75" i="20"/>
  <c r="AJ74" i="20"/>
  <c r="AB74" i="20"/>
  <c r="T74" i="20"/>
  <c r="L74" i="20"/>
  <c r="D74" i="20"/>
  <c r="AJ72" i="20"/>
  <c r="AJ31" i="20"/>
  <c r="AB72" i="20"/>
  <c r="AB31" i="20"/>
  <c r="T72" i="20"/>
  <c r="T31" i="20"/>
  <c r="L72" i="20"/>
  <c r="L31" i="20"/>
  <c r="D72" i="20"/>
  <c r="AJ71" i="20"/>
  <c r="AJ30" i="20"/>
  <c r="AB71" i="20"/>
  <c r="AB30" i="20"/>
  <c r="T71" i="20"/>
  <c r="T30" i="20"/>
  <c r="L71" i="20"/>
  <c r="L30" i="20"/>
  <c r="D71" i="20"/>
  <c r="AJ70" i="20"/>
  <c r="AB70" i="20"/>
  <c r="T70" i="20"/>
  <c r="T29" i="20"/>
  <c r="L70" i="20"/>
  <c r="AB68" i="20"/>
  <c r="AB27" i="20"/>
  <c r="T68" i="20"/>
  <c r="T27" i="20"/>
  <c r="L68" i="20"/>
  <c r="L27" i="20"/>
  <c r="D68" i="20"/>
  <c r="AJ67" i="20"/>
  <c r="AB67" i="20"/>
  <c r="AB26" i="20"/>
  <c r="T67" i="20"/>
  <c r="T26" i="20"/>
  <c r="L67" i="20"/>
  <c r="L26" i="20"/>
  <c r="D67" i="20"/>
  <c r="AJ66" i="20"/>
  <c r="AJ25" i="20"/>
  <c r="AB66" i="20"/>
  <c r="AB25" i="20"/>
  <c r="T66" i="20"/>
  <c r="T25" i="20"/>
  <c r="L66" i="20"/>
  <c r="L25" i="20"/>
  <c r="D66" i="20"/>
  <c r="AJ65" i="20"/>
  <c r="AJ24" i="20"/>
  <c r="AB65" i="20"/>
  <c r="AB24" i="20"/>
  <c r="T65" i="20"/>
  <c r="T24" i="20"/>
  <c r="L65" i="20"/>
  <c r="D65" i="20"/>
  <c r="AJ63" i="20"/>
  <c r="AJ22" i="20"/>
  <c r="AB22" i="20"/>
  <c r="T63" i="20"/>
  <c r="T22" i="20"/>
  <c r="D63" i="20"/>
  <c r="AJ62" i="20"/>
  <c r="AJ21" i="20"/>
  <c r="AB62" i="20"/>
  <c r="AB21" i="20"/>
  <c r="T62" i="20"/>
  <c r="T21" i="20"/>
  <c r="L62" i="20"/>
  <c r="L21" i="20"/>
  <c r="D62" i="20"/>
  <c r="AJ59" i="20"/>
  <c r="AJ18" i="20"/>
  <c r="AB59" i="20"/>
  <c r="T59" i="20"/>
  <c r="T18" i="20"/>
  <c r="L59" i="20"/>
  <c r="L18" i="20"/>
  <c r="D59" i="20"/>
  <c r="AJ58" i="20"/>
  <c r="AJ17" i="20"/>
  <c r="AB58" i="20"/>
  <c r="AB17" i="20"/>
  <c r="T58" i="20"/>
  <c r="T17" i="20"/>
  <c r="L58" i="20"/>
  <c r="L17" i="20"/>
  <c r="D58" i="20"/>
  <c r="AJ57" i="20"/>
  <c r="AJ16" i="20"/>
  <c r="AB57" i="20"/>
  <c r="AB16" i="20"/>
  <c r="T57" i="20"/>
  <c r="T16" i="20"/>
  <c r="L57" i="20"/>
  <c r="L16" i="20"/>
  <c r="D57" i="20"/>
  <c r="AJ56" i="20"/>
  <c r="AJ15" i="20"/>
  <c r="AB15" i="20"/>
  <c r="T56" i="20"/>
  <c r="T15" i="20"/>
  <c r="L15" i="20"/>
  <c r="D56" i="20"/>
  <c r="AJ55" i="20"/>
  <c r="AB55" i="20"/>
  <c r="AB14" i="20"/>
  <c r="T55" i="20"/>
  <c r="T14" i="20"/>
  <c r="L55" i="20"/>
  <c r="L14" i="20"/>
  <c r="D55" i="20"/>
  <c r="AJ54" i="20"/>
  <c r="AJ13" i="20"/>
  <c r="AB54" i="20"/>
  <c r="AB13" i="20"/>
  <c r="T54" i="20"/>
  <c r="T13" i="20"/>
  <c r="L54" i="20"/>
  <c r="L13" i="20"/>
  <c r="D54" i="20"/>
  <c r="AJ53" i="20"/>
  <c r="AJ12" i="20"/>
  <c r="AB53" i="20"/>
  <c r="AB12" i="20"/>
  <c r="T53" i="20"/>
  <c r="T12" i="20"/>
  <c r="L53" i="20"/>
  <c r="L12" i="20"/>
  <c r="D53" i="20"/>
  <c r="AJ52" i="20"/>
  <c r="AJ11" i="20"/>
  <c r="AB52" i="20"/>
  <c r="AB11" i="20"/>
  <c r="T52" i="20"/>
  <c r="T11" i="20"/>
  <c r="L52" i="20"/>
  <c r="L11" i="20"/>
  <c r="D52" i="20"/>
  <c r="AJ51" i="20"/>
  <c r="AB51" i="20"/>
  <c r="T51" i="20"/>
  <c r="T10" i="20"/>
  <c r="L51" i="20"/>
  <c r="AJ9" i="20"/>
  <c r="AB50" i="20"/>
  <c r="AB9" i="20"/>
  <c r="L50" i="20"/>
  <c r="L9" i="20"/>
  <c r="D50" i="20"/>
  <c r="AJ49" i="20"/>
  <c r="AJ8" i="20"/>
  <c r="AB49" i="20"/>
  <c r="AB8" i="20"/>
  <c r="T49" i="20"/>
  <c r="T8" i="20"/>
  <c r="L49" i="20"/>
  <c r="L8" i="20"/>
  <c r="D49" i="20"/>
  <c r="AJ48" i="20"/>
  <c r="AJ7" i="20"/>
  <c r="AB48" i="20"/>
  <c r="AB7" i="20"/>
  <c r="T48" i="20"/>
  <c r="T7" i="20"/>
  <c r="L48" i="20"/>
  <c r="L7" i="20"/>
  <c r="AJ47" i="20"/>
  <c r="AJ6" i="20"/>
  <c r="AB47" i="20"/>
  <c r="AB6" i="20"/>
  <c r="T47" i="20"/>
  <c r="T6" i="20"/>
  <c r="AK27" i="20"/>
  <c r="M26" i="20"/>
  <c r="L24" i="20"/>
  <c r="Y16" i="20"/>
  <c r="AS92" i="20"/>
  <c r="AT91" i="20"/>
  <c r="AQ113" i="20"/>
  <c r="AQ97" i="20"/>
  <c r="AQ109" i="20"/>
  <c r="AQ93" i="20"/>
  <c r="AQ107" i="20"/>
  <c r="AQ123" i="20" s="1"/>
  <c r="AQ91" i="20"/>
  <c r="AQ105" i="20"/>
  <c r="AQ89" i="20"/>
  <c r="AQ103" i="20"/>
  <c r="AQ87" i="20"/>
  <c r="AQ77" i="20"/>
  <c r="AQ36" i="20"/>
  <c r="AQ75" i="20"/>
  <c r="AQ34" i="20"/>
  <c r="AQ71" i="20"/>
  <c r="AQ30" i="20"/>
  <c r="AQ67" i="20"/>
  <c r="AQ26" i="20"/>
  <c r="AQ65" i="20"/>
  <c r="AQ24" i="20"/>
  <c r="AQ63" i="20"/>
  <c r="AQ22" i="20"/>
  <c r="AQ58" i="20"/>
  <c r="AQ17" i="20"/>
  <c r="AQ56" i="20"/>
  <c r="AQ15" i="20"/>
  <c r="AQ54" i="20"/>
  <c r="AQ13" i="20"/>
  <c r="AQ52" i="20"/>
  <c r="AQ11" i="20"/>
  <c r="AQ50" i="20"/>
  <c r="AQ9" i="20"/>
  <c r="AQ48" i="20"/>
  <c r="AQ7" i="20"/>
  <c r="AQ46" i="20"/>
  <c r="AQ5" i="20"/>
  <c r="AI113" i="20"/>
  <c r="AI97" i="20"/>
  <c r="AA113" i="20"/>
  <c r="AA97" i="20"/>
  <c r="S113" i="20"/>
  <c r="S97" i="20"/>
  <c r="K113" i="20"/>
  <c r="K97" i="20"/>
  <c r="AI112" i="20"/>
  <c r="AI128" i="20" s="1"/>
  <c r="AI96" i="20"/>
  <c r="AA112" i="20"/>
  <c r="AA128" i="20" s="1"/>
  <c r="AA96" i="20"/>
  <c r="S112" i="20"/>
  <c r="S128" i="20" s="1"/>
  <c r="S96" i="20"/>
  <c r="K112" i="20"/>
  <c r="K128" i="20" s="1"/>
  <c r="K96" i="20"/>
  <c r="S111" i="20"/>
  <c r="AI110" i="20"/>
  <c r="AI94" i="20"/>
  <c r="AA110" i="20"/>
  <c r="AA94" i="20"/>
  <c r="S110" i="20"/>
  <c r="S94" i="20"/>
  <c r="K110" i="20"/>
  <c r="K94" i="20"/>
  <c r="AI93" i="20"/>
  <c r="AI109" i="20"/>
  <c r="AA93" i="20"/>
  <c r="AA109" i="20"/>
  <c r="S109" i="20"/>
  <c r="K93" i="20"/>
  <c r="K109" i="20"/>
  <c r="AI108" i="20"/>
  <c r="AA108" i="20"/>
  <c r="AA92" i="20"/>
  <c r="S108" i="20"/>
  <c r="S92" i="20"/>
  <c r="K108" i="20"/>
  <c r="AI107" i="20"/>
  <c r="AI123" i="20" s="1"/>
  <c r="AI91" i="20"/>
  <c r="AA107" i="20"/>
  <c r="AA123" i="20" s="1"/>
  <c r="AA91" i="20"/>
  <c r="S91" i="20"/>
  <c r="K107" i="20"/>
  <c r="K123" i="20" s="1"/>
  <c r="K91" i="20"/>
  <c r="AI106" i="20"/>
  <c r="AI90" i="20"/>
  <c r="AA106" i="20"/>
  <c r="AA90" i="20"/>
  <c r="S106" i="20"/>
  <c r="S90" i="20"/>
  <c r="K106" i="20"/>
  <c r="K90" i="20"/>
  <c r="AI105" i="20"/>
  <c r="AA105" i="20"/>
  <c r="AA89" i="20"/>
  <c r="S105" i="20"/>
  <c r="S89" i="20"/>
  <c r="K105" i="20"/>
  <c r="AI104" i="20"/>
  <c r="AI120" i="20" s="1"/>
  <c r="AI88" i="20"/>
  <c r="AA104" i="20"/>
  <c r="AA120" i="20" s="1"/>
  <c r="S104" i="20"/>
  <c r="S120" i="20" s="1"/>
  <c r="S88" i="20"/>
  <c r="K104" i="20"/>
  <c r="K120" i="20" s="1"/>
  <c r="K88" i="20"/>
  <c r="AI87" i="20"/>
  <c r="AA103" i="20"/>
  <c r="AA87" i="20"/>
  <c r="S103" i="20"/>
  <c r="S87" i="20"/>
  <c r="K87" i="20"/>
  <c r="AI36" i="20"/>
  <c r="AA77" i="20"/>
  <c r="AA36" i="20"/>
  <c r="S77" i="20"/>
  <c r="S36" i="20"/>
  <c r="K36" i="20"/>
  <c r="AI76" i="20"/>
  <c r="AI35" i="20"/>
  <c r="AA76" i="20"/>
  <c r="AA35" i="20"/>
  <c r="K76" i="20"/>
  <c r="K35" i="20"/>
  <c r="AI75" i="20"/>
  <c r="AI34" i="20"/>
  <c r="AA75" i="20"/>
  <c r="AA34" i="20"/>
  <c r="S75" i="20"/>
  <c r="S34" i="20"/>
  <c r="K75" i="20"/>
  <c r="K34" i="20"/>
  <c r="AI74" i="20"/>
  <c r="AI33" i="20"/>
  <c r="AA74" i="20"/>
  <c r="AA33" i="20"/>
  <c r="S74" i="20"/>
  <c r="S33" i="20"/>
  <c r="K74" i="20"/>
  <c r="K33" i="20"/>
  <c r="AI72" i="20"/>
  <c r="AI31" i="20"/>
  <c r="AA72" i="20"/>
  <c r="AA31" i="20"/>
  <c r="S72" i="20"/>
  <c r="S31" i="20"/>
  <c r="K72" i="20"/>
  <c r="K31" i="20"/>
  <c r="AI71" i="20"/>
  <c r="AI30" i="20"/>
  <c r="AA71" i="20"/>
  <c r="AA30" i="20"/>
  <c r="S71" i="20"/>
  <c r="S130" i="20" s="1"/>
  <c r="S30" i="20"/>
  <c r="K71" i="20"/>
  <c r="K30" i="20"/>
  <c r="AI70" i="20"/>
  <c r="AI29" i="20"/>
  <c r="S29" i="20"/>
  <c r="K70" i="20"/>
  <c r="AI68" i="20"/>
  <c r="AI27" i="20"/>
  <c r="AA68" i="20"/>
  <c r="AA27" i="20"/>
  <c r="S68" i="20"/>
  <c r="S27" i="20"/>
  <c r="K68" i="20"/>
  <c r="K27" i="20"/>
  <c r="AI67" i="20"/>
  <c r="AI26" i="20"/>
  <c r="AA67" i="20"/>
  <c r="AA26" i="20"/>
  <c r="S67" i="20"/>
  <c r="S26" i="20"/>
  <c r="K67" i="20"/>
  <c r="K26" i="20"/>
  <c r="AI66" i="20"/>
  <c r="AI25" i="20"/>
  <c r="AA66" i="20"/>
  <c r="AA25" i="20"/>
  <c r="S66" i="20"/>
  <c r="S25" i="20"/>
  <c r="K66" i="20"/>
  <c r="K25" i="20"/>
  <c r="AI65" i="20"/>
  <c r="AI24" i="20"/>
  <c r="AA65" i="20"/>
  <c r="AA24" i="20"/>
  <c r="S65" i="20"/>
  <c r="S24" i="20"/>
  <c r="K65" i="20"/>
  <c r="K24" i="20"/>
  <c r="AI22" i="20"/>
  <c r="AI63" i="20"/>
  <c r="AA63" i="20"/>
  <c r="S63" i="20"/>
  <c r="K63" i="20"/>
  <c r="K22" i="20"/>
  <c r="AA62" i="20"/>
  <c r="AA21" i="20"/>
  <c r="S62" i="20"/>
  <c r="S21" i="20"/>
  <c r="K62" i="20"/>
  <c r="K21" i="20"/>
  <c r="AI59" i="20"/>
  <c r="AI18" i="20"/>
  <c r="AA59" i="20"/>
  <c r="AA18" i="20"/>
  <c r="S59" i="20"/>
  <c r="S18" i="20"/>
  <c r="K59" i="20"/>
  <c r="K18" i="20"/>
  <c r="AI58" i="20"/>
  <c r="AI17" i="20"/>
  <c r="S58" i="20"/>
  <c r="S17" i="20"/>
  <c r="K58" i="20"/>
  <c r="K17" i="20"/>
  <c r="AI57" i="20"/>
  <c r="AI16" i="20"/>
  <c r="AA57" i="20"/>
  <c r="AA16" i="20"/>
  <c r="S57" i="20"/>
  <c r="S16" i="20"/>
  <c r="K57" i="20"/>
  <c r="K16" i="20"/>
  <c r="AI56" i="20"/>
  <c r="AI15" i="20"/>
  <c r="AA56" i="20"/>
  <c r="S56" i="20"/>
  <c r="K56" i="20"/>
  <c r="K15" i="20"/>
  <c r="AA14" i="20"/>
  <c r="S14" i="20"/>
  <c r="S55" i="20"/>
  <c r="K14" i="20"/>
  <c r="AI54" i="20"/>
  <c r="AI13" i="20"/>
  <c r="AA54" i="20"/>
  <c r="AA13" i="20"/>
  <c r="S54" i="20"/>
  <c r="S13" i="20"/>
  <c r="K54" i="20"/>
  <c r="K13" i="20"/>
  <c r="AI53" i="20"/>
  <c r="AI12" i="20"/>
  <c r="AA53" i="20"/>
  <c r="AA12" i="20"/>
  <c r="K53" i="20"/>
  <c r="K12" i="20"/>
  <c r="AI52" i="20"/>
  <c r="AI11" i="20"/>
  <c r="AA52" i="20"/>
  <c r="AA11" i="20"/>
  <c r="S52" i="20"/>
  <c r="S11" i="20"/>
  <c r="K52" i="20"/>
  <c r="K11" i="20"/>
  <c r="AI51" i="20"/>
  <c r="AI10" i="20"/>
  <c r="S10" i="20"/>
  <c r="K51" i="20"/>
  <c r="K10" i="20"/>
  <c r="AI50" i="20"/>
  <c r="AA50" i="20"/>
  <c r="S50" i="20"/>
  <c r="S9" i="20"/>
  <c r="K50" i="20"/>
  <c r="K9" i="20"/>
  <c r="AI49" i="20"/>
  <c r="AI8" i="20"/>
  <c r="AA49" i="20"/>
  <c r="AA8" i="20"/>
  <c r="S49" i="20"/>
  <c r="S8" i="20"/>
  <c r="K49" i="20"/>
  <c r="K8" i="20"/>
  <c r="AI48" i="20"/>
  <c r="AI7" i="20"/>
  <c r="AA48" i="20"/>
  <c r="AA7" i="20"/>
  <c r="S48" i="20"/>
  <c r="S7" i="20"/>
  <c r="K48" i="20"/>
  <c r="K7" i="20"/>
  <c r="AI47" i="20"/>
  <c r="AI6" i="20"/>
  <c r="AA47" i="20"/>
  <c r="AA6" i="20"/>
  <c r="S47" i="20"/>
  <c r="S6" i="20"/>
  <c r="K47" i="20"/>
  <c r="K6" i="20"/>
  <c r="AI46" i="20"/>
  <c r="AI5" i="20"/>
  <c r="AA46" i="20"/>
  <c r="AA5" i="20"/>
  <c r="S46" i="20"/>
  <c r="S5" i="20"/>
  <c r="K46" i="20"/>
  <c r="X15" i="20"/>
  <c r="AS91" i="20"/>
  <c r="AU106" i="20"/>
  <c r="AP113" i="20"/>
  <c r="AP97" i="20"/>
  <c r="AP109" i="20"/>
  <c r="AP93" i="20"/>
  <c r="AP107" i="20"/>
  <c r="AP123" i="20" s="1"/>
  <c r="AP105" i="20"/>
  <c r="AP103" i="20"/>
  <c r="AP87" i="20"/>
  <c r="AP77" i="20"/>
  <c r="AP75" i="20"/>
  <c r="AP34" i="20"/>
  <c r="AP71" i="20"/>
  <c r="AP130" i="20" s="1"/>
  <c r="AP30" i="20"/>
  <c r="AP26" i="20"/>
  <c r="AP67" i="20"/>
  <c r="AP65" i="20"/>
  <c r="AP24" i="20"/>
  <c r="AP63" i="20"/>
  <c r="AP22" i="20"/>
  <c r="AP58" i="20"/>
  <c r="AP17" i="20"/>
  <c r="AP56" i="20"/>
  <c r="AP15" i="20"/>
  <c r="AP54" i="20"/>
  <c r="AP13" i="20"/>
  <c r="AP52" i="20"/>
  <c r="AP11" i="20"/>
  <c r="AP50" i="20"/>
  <c r="AP9" i="20"/>
  <c r="AP48" i="20"/>
  <c r="AP7" i="20"/>
  <c r="AP46" i="20"/>
  <c r="AP5" i="20"/>
  <c r="AH113" i="20"/>
  <c r="AH97" i="20"/>
  <c r="Z113" i="20"/>
  <c r="Z97" i="20"/>
  <c r="R113" i="20"/>
  <c r="R97" i="20"/>
  <c r="J113" i="20"/>
  <c r="J97" i="20"/>
  <c r="AH112" i="20"/>
  <c r="AH128" i="20" s="1"/>
  <c r="AH96" i="20"/>
  <c r="Z112" i="20"/>
  <c r="Z128" i="20" s="1"/>
  <c r="Z96" i="20"/>
  <c r="R112" i="20"/>
  <c r="R128" i="20" s="1"/>
  <c r="R96" i="20"/>
  <c r="J112" i="20"/>
  <c r="J128" i="20" s="1"/>
  <c r="J96" i="20"/>
  <c r="AH110" i="20"/>
  <c r="Z110" i="20"/>
  <c r="Z94" i="20"/>
  <c r="R94" i="20"/>
  <c r="R110" i="20"/>
  <c r="J110" i="20"/>
  <c r="AH109" i="20"/>
  <c r="Z109" i="20"/>
  <c r="Z93" i="20"/>
  <c r="R109" i="20"/>
  <c r="R93" i="20"/>
  <c r="J109" i="20"/>
  <c r="AH108" i="20"/>
  <c r="AH92" i="20"/>
  <c r="Z108" i="20"/>
  <c r="R108" i="20"/>
  <c r="J108" i="20"/>
  <c r="J92" i="20"/>
  <c r="AH107" i="20"/>
  <c r="AH123" i="20" s="1"/>
  <c r="Z107" i="20"/>
  <c r="Z123" i="20" s="1"/>
  <c r="Z91" i="20"/>
  <c r="R107" i="20"/>
  <c r="R123" i="20" s="1"/>
  <c r="R91" i="20"/>
  <c r="J107" i="20"/>
  <c r="J123" i="20" s="1"/>
  <c r="AH106" i="20"/>
  <c r="Z106" i="20"/>
  <c r="Z90" i="20"/>
  <c r="R106" i="20"/>
  <c r="R90" i="20"/>
  <c r="J106" i="20"/>
  <c r="AH105" i="20"/>
  <c r="AH89" i="20"/>
  <c r="Z105" i="20"/>
  <c r="R105" i="20"/>
  <c r="J105" i="20"/>
  <c r="J89" i="20"/>
  <c r="AH104" i="20"/>
  <c r="AH120" i="20" s="1"/>
  <c r="AH88" i="20"/>
  <c r="Z104" i="20"/>
  <c r="Z120" i="20" s="1"/>
  <c r="Z88" i="20"/>
  <c r="R104" i="20"/>
  <c r="R120" i="20" s="1"/>
  <c r="J104" i="20"/>
  <c r="J120" i="20" s="1"/>
  <c r="AH103" i="20"/>
  <c r="AH87" i="20"/>
  <c r="Z103" i="20"/>
  <c r="R103" i="20"/>
  <c r="R87" i="20"/>
  <c r="J103" i="20"/>
  <c r="J87" i="20"/>
  <c r="AH77" i="20"/>
  <c r="Z77" i="20"/>
  <c r="R77" i="20"/>
  <c r="J77" i="20"/>
  <c r="AH76" i="20"/>
  <c r="AH35" i="20"/>
  <c r="Z76" i="20"/>
  <c r="Z35" i="20"/>
  <c r="R76" i="20"/>
  <c r="R35" i="20"/>
  <c r="J76" i="20"/>
  <c r="J35" i="20"/>
  <c r="AH75" i="20"/>
  <c r="AH34" i="20"/>
  <c r="Z75" i="20"/>
  <c r="Z34" i="20"/>
  <c r="R75" i="20"/>
  <c r="R34" i="20"/>
  <c r="J75" i="20"/>
  <c r="J34" i="20"/>
  <c r="AH74" i="20"/>
  <c r="AH33" i="20"/>
  <c r="Z74" i="20"/>
  <c r="Z33" i="20"/>
  <c r="R74" i="20"/>
  <c r="R33" i="20"/>
  <c r="J74" i="20"/>
  <c r="J33" i="20"/>
  <c r="AH72" i="20"/>
  <c r="Z72" i="20"/>
  <c r="R72" i="20"/>
  <c r="J72" i="20"/>
  <c r="AH71" i="20"/>
  <c r="AH30" i="20"/>
  <c r="Z71" i="20"/>
  <c r="Z30" i="20"/>
  <c r="R71" i="20"/>
  <c r="R130" i="20" s="1"/>
  <c r="R30" i="20"/>
  <c r="J71" i="20"/>
  <c r="J30" i="20"/>
  <c r="AH70" i="20"/>
  <c r="AH29" i="20"/>
  <c r="Z70" i="20"/>
  <c r="Z29" i="20"/>
  <c r="R70" i="20"/>
  <c r="J70" i="20"/>
  <c r="J29" i="20"/>
  <c r="AH68" i="20"/>
  <c r="AH27" i="20"/>
  <c r="Z68" i="20"/>
  <c r="R68" i="20"/>
  <c r="R27" i="20"/>
  <c r="J68" i="20"/>
  <c r="J27" i="20"/>
  <c r="AH26" i="20"/>
  <c r="AH67" i="20"/>
  <c r="Z26" i="20"/>
  <c r="Z67" i="20"/>
  <c r="R26" i="20"/>
  <c r="R67" i="20"/>
  <c r="J26" i="20"/>
  <c r="J67" i="20"/>
  <c r="AH66" i="20"/>
  <c r="AH25" i="20"/>
  <c r="Z66" i="20"/>
  <c r="Z25" i="20"/>
  <c r="R66" i="20"/>
  <c r="R25" i="20"/>
  <c r="J66" i="20"/>
  <c r="AH65" i="20"/>
  <c r="Z65" i="20"/>
  <c r="Z24" i="20"/>
  <c r="R65" i="20"/>
  <c r="R24" i="20"/>
  <c r="J65" i="20"/>
  <c r="J24" i="20"/>
  <c r="AH63" i="20"/>
  <c r="AH22" i="20"/>
  <c r="Z63" i="20"/>
  <c r="Z22" i="20"/>
  <c r="J63" i="20"/>
  <c r="AH62" i="20"/>
  <c r="AH21" i="20"/>
  <c r="Z62" i="20"/>
  <c r="Z21" i="20"/>
  <c r="R62" i="20"/>
  <c r="R21" i="20"/>
  <c r="J62" i="20"/>
  <c r="J21" i="20"/>
  <c r="AH59" i="20"/>
  <c r="AH18" i="20"/>
  <c r="Z59" i="20"/>
  <c r="Z18" i="20"/>
  <c r="R59" i="20"/>
  <c r="R18" i="20"/>
  <c r="J59" i="20"/>
  <c r="J18" i="20"/>
  <c r="AH58" i="20"/>
  <c r="AH17" i="20"/>
  <c r="Z58" i="20"/>
  <c r="Z17" i="20"/>
  <c r="R58" i="20"/>
  <c r="R17" i="20"/>
  <c r="J58" i="20"/>
  <c r="J17" i="20"/>
  <c r="AH57" i="20"/>
  <c r="AH16" i="20"/>
  <c r="Z57" i="20"/>
  <c r="Z16" i="20"/>
  <c r="R57" i="20"/>
  <c r="R16" i="20"/>
  <c r="J57" i="20"/>
  <c r="J16" i="20"/>
  <c r="AH56" i="20"/>
  <c r="AH15" i="20"/>
  <c r="Z56" i="20"/>
  <c r="Z15" i="20"/>
  <c r="R56" i="20"/>
  <c r="J15" i="20"/>
  <c r="J56" i="20"/>
  <c r="AH55" i="20"/>
  <c r="AH14" i="20"/>
  <c r="Z55" i="20"/>
  <c r="R55" i="20"/>
  <c r="J55" i="20"/>
  <c r="J14" i="20"/>
  <c r="AH54" i="20"/>
  <c r="AH13" i="20"/>
  <c r="Z54" i="20"/>
  <c r="Z13" i="20"/>
  <c r="R54" i="20"/>
  <c r="R13" i="20"/>
  <c r="J54" i="20"/>
  <c r="J13" i="20"/>
  <c r="AH53" i="20"/>
  <c r="AH12" i="20"/>
  <c r="Z53" i="20"/>
  <c r="Z12" i="20"/>
  <c r="R53" i="20"/>
  <c r="R12" i="20"/>
  <c r="J53" i="20"/>
  <c r="J12" i="20"/>
  <c r="AH52" i="20"/>
  <c r="AH11" i="20"/>
  <c r="Z52" i="20"/>
  <c r="Z11" i="20"/>
  <c r="R52" i="20"/>
  <c r="R11" i="20"/>
  <c r="J52" i="20"/>
  <c r="J11" i="20"/>
  <c r="AH51" i="20"/>
  <c r="Z51" i="20"/>
  <c r="Z10" i="20"/>
  <c r="R51" i="20"/>
  <c r="R10" i="20"/>
  <c r="J51" i="20"/>
  <c r="J10" i="20"/>
  <c r="AH50" i="20"/>
  <c r="AH9" i="20"/>
  <c r="Z9" i="20"/>
  <c r="R50" i="20"/>
  <c r="R9" i="20"/>
  <c r="J50" i="20"/>
  <c r="J9" i="20"/>
  <c r="AH49" i="20"/>
  <c r="AH8" i="20"/>
  <c r="Z49" i="20"/>
  <c r="Z8" i="20"/>
  <c r="R49" i="20"/>
  <c r="R8" i="20"/>
  <c r="J49" i="20"/>
  <c r="J8" i="20"/>
  <c r="AH48" i="20"/>
  <c r="AH7" i="20"/>
  <c r="Z48" i="20"/>
  <c r="Z7" i="20"/>
  <c r="R48" i="20"/>
  <c r="R7" i="20"/>
  <c r="J48" i="20"/>
  <c r="J7" i="20"/>
  <c r="AN30" i="20"/>
  <c r="P27" i="20"/>
  <c r="AF22" i="20"/>
  <c r="S76" i="20"/>
  <c r="AU105" i="20"/>
  <c r="AO113" i="20"/>
  <c r="AO97" i="20"/>
  <c r="AO93" i="20"/>
  <c r="AO109" i="20"/>
  <c r="AO91" i="20"/>
  <c r="AO107" i="20"/>
  <c r="AO123" i="20" s="1"/>
  <c r="AO105" i="20"/>
  <c r="AO89" i="20"/>
  <c r="AO103" i="20"/>
  <c r="AO87" i="20"/>
  <c r="AO77" i="20"/>
  <c r="AO36" i="20"/>
  <c r="AO75" i="20"/>
  <c r="AO34" i="20"/>
  <c r="AO71" i="20"/>
  <c r="AO130" i="20" s="1"/>
  <c r="AO30" i="20"/>
  <c r="AO67" i="20"/>
  <c r="AO26" i="20"/>
  <c r="AO65" i="20"/>
  <c r="AO24" i="20"/>
  <c r="AO63" i="20"/>
  <c r="AO22" i="20"/>
  <c r="AO58" i="20"/>
  <c r="AO17" i="20"/>
  <c r="AO56" i="20"/>
  <c r="AO15" i="20"/>
  <c r="AO54" i="20"/>
  <c r="AO13" i="20"/>
  <c r="AO52" i="20"/>
  <c r="AO11" i="20"/>
  <c r="AO50" i="20"/>
  <c r="AO48" i="20"/>
  <c r="AO7" i="20"/>
  <c r="AO46" i="20"/>
  <c r="AO5" i="20"/>
  <c r="AG113" i="20"/>
  <c r="AG97" i="20"/>
  <c r="Y113" i="20"/>
  <c r="Y97" i="20"/>
  <c r="Q113" i="20"/>
  <c r="Q97" i="20"/>
  <c r="I113" i="20"/>
  <c r="I97" i="20"/>
  <c r="AG112" i="20"/>
  <c r="AG128" i="20" s="1"/>
  <c r="AG96" i="20"/>
  <c r="Y112" i="20"/>
  <c r="Y128" i="20" s="1"/>
  <c r="Y96" i="20"/>
  <c r="Q112" i="20"/>
  <c r="Q128" i="20" s="1"/>
  <c r="Q96" i="20"/>
  <c r="I112" i="20"/>
  <c r="I128" i="20" s="1"/>
  <c r="I96" i="20"/>
  <c r="I111" i="20"/>
  <c r="AG110" i="20"/>
  <c r="AG94" i="20"/>
  <c r="Y94" i="20"/>
  <c r="Q110" i="20"/>
  <c r="Q94" i="20"/>
  <c r="I110" i="20"/>
  <c r="AG93" i="20"/>
  <c r="AG109" i="20"/>
  <c r="Y93" i="20"/>
  <c r="Y109" i="20"/>
  <c r="Q93" i="20"/>
  <c r="I93" i="20"/>
  <c r="I109" i="20"/>
  <c r="AG108" i="20"/>
  <c r="AG92" i="20"/>
  <c r="Y108" i="20"/>
  <c r="Y92" i="20"/>
  <c r="Q92" i="20"/>
  <c r="I108" i="20"/>
  <c r="I92" i="20"/>
  <c r="AG91" i="20"/>
  <c r="Y91" i="20"/>
  <c r="Q107" i="20"/>
  <c r="Q123" i="20" s="1"/>
  <c r="Q91" i="20"/>
  <c r="I91" i="20"/>
  <c r="AG106" i="20"/>
  <c r="AG90" i="20"/>
  <c r="Y106" i="20"/>
  <c r="Y90" i="20"/>
  <c r="Q90" i="20"/>
  <c r="I106" i="20"/>
  <c r="I90" i="20"/>
  <c r="AG105" i="20"/>
  <c r="AG89" i="20"/>
  <c r="Y105" i="20"/>
  <c r="Y89" i="20"/>
  <c r="Q89" i="20"/>
  <c r="I105" i="20"/>
  <c r="I89" i="20"/>
  <c r="AG88" i="20"/>
  <c r="Y88" i="20"/>
  <c r="Q104" i="20"/>
  <c r="Q120" i="20" s="1"/>
  <c r="Q88" i="20"/>
  <c r="I104" i="20"/>
  <c r="I120" i="20" s="1"/>
  <c r="AG103" i="20"/>
  <c r="AG87" i="20"/>
  <c r="Y103" i="20"/>
  <c r="Q103" i="20"/>
  <c r="Q87" i="20"/>
  <c r="I103" i="20"/>
  <c r="I87" i="20"/>
  <c r="AG77" i="20"/>
  <c r="AG36" i="20"/>
  <c r="Y77" i="20"/>
  <c r="Y36" i="20"/>
  <c r="Q77" i="20"/>
  <c r="Q36" i="20"/>
  <c r="I77" i="20"/>
  <c r="I36" i="20"/>
  <c r="AG76" i="20"/>
  <c r="Y76" i="20"/>
  <c r="Y35" i="20"/>
  <c r="Q76" i="20"/>
  <c r="Q35" i="20"/>
  <c r="I76" i="20"/>
  <c r="I35" i="20"/>
  <c r="AG75" i="20"/>
  <c r="AG34" i="20"/>
  <c r="Y75" i="20"/>
  <c r="Y34" i="20"/>
  <c r="Q75" i="20"/>
  <c r="Q34" i="20"/>
  <c r="I75" i="20"/>
  <c r="I34" i="20"/>
  <c r="AG74" i="20"/>
  <c r="AG33" i="20"/>
  <c r="Y74" i="20"/>
  <c r="Y33" i="20"/>
  <c r="Q74" i="20"/>
  <c r="Q33" i="20"/>
  <c r="I74" i="20"/>
  <c r="I33" i="20"/>
  <c r="AG72" i="20"/>
  <c r="AG31" i="20"/>
  <c r="Y72" i="20"/>
  <c r="Y31" i="20"/>
  <c r="Q72" i="20"/>
  <c r="Q31" i="20"/>
  <c r="I72" i="20"/>
  <c r="I31" i="20"/>
  <c r="AG71" i="20"/>
  <c r="AG30" i="20"/>
  <c r="Y71" i="20"/>
  <c r="Y30" i="20"/>
  <c r="Q71" i="20"/>
  <c r="Q130" i="20" s="1"/>
  <c r="Q30" i="20"/>
  <c r="I71" i="20"/>
  <c r="I30" i="20"/>
  <c r="Y29" i="20"/>
  <c r="Q70" i="20"/>
  <c r="Q29" i="20"/>
  <c r="AG68" i="20"/>
  <c r="AG27" i="20"/>
  <c r="Y68" i="20"/>
  <c r="Y27" i="20"/>
  <c r="Q68" i="20"/>
  <c r="Q27" i="20"/>
  <c r="I68" i="20"/>
  <c r="I27" i="20"/>
  <c r="AG67" i="20"/>
  <c r="AG26" i="20"/>
  <c r="Q67" i="20"/>
  <c r="Q26" i="20"/>
  <c r="I67" i="20"/>
  <c r="I26" i="20"/>
  <c r="AG66" i="20"/>
  <c r="AG25" i="20"/>
  <c r="Q66" i="20"/>
  <c r="Q25" i="20"/>
  <c r="I66" i="20"/>
  <c r="I25" i="20"/>
  <c r="AG65" i="20"/>
  <c r="AG24" i="20"/>
  <c r="Y65" i="20"/>
  <c r="Y24" i="20"/>
  <c r="Q65" i="20"/>
  <c r="Q24" i="20"/>
  <c r="I65" i="20"/>
  <c r="I24" i="20"/>
  <c r="AG63" i="20"/>
  <c r="Y63" i="20"/>
  <c r="Y22" i="20"/>
  <c r="Q63" i="20"/>
  <c r="Q22" i="20"/>
  <c r="I63" i="20"/>
  <c r="I22" i="20"/>
  <c r="AG62" i="20"/>
  <c r="AG21" i="20"/>
  <c r="Y62" i="20"/>
  <c r="Y21" i="20"/>
  <c r="Q62" i="20"/>
  <c r="Q21" i="20"/>
  <c r="I62" i="20"/>
  <c r="I21" i="20"/>
  <c r="AG59" i="20"/>
  <c r="AG18" i="20"/>
  <c r="Y59" i="20"/>
  <c r="Y18" i="20"/>
  <c r="Q59" i="20"/>
  <c r="Q18" i="20"/>
  <c r="I59" i="20"/>
  <c r="I18" i="20"/>
  <c r="AG58" i="20"/>
  <c r="AG17" i="20"/>
  <c r="Y58" i="20"/>
  <c r="Y17" i="20"/>
  <c r="Q58" i="20"/>
  <c r="Q17" i="20"/>
  <c r="I58" i="20"/>
  <c r="I17" i="20"/>
  <c r="AG57" i="20"/>
  <c r="AG16" i="20"/>
  <c r="Q57" i="20"/>
  <c r="Q16" i="20"/>
  <c r="I57" i="20"/>
  <c r="I16" i="20"/>
  <c r="AG56" i="20"/>
  <c r="AG15" i="20"/>
  <c r="Y56" i="20"/>
  <c r="Q56" i="20"/>
  <c r="Q15" i="20"/>
  <c r="I56" i="20"/>
  <c r="I15" i="20"/>
  <c r="AG55" i="20"/>
  <c r="AG14" i="20"/>
  <c r="Y55" i="20"/>
  <c r="Y14" i="20"/>
  <c r="Q14" i="20"/>
  <c r="I55" i="20"/>
  <c r="I14" i="20"/>
  <c r="AG54" i="20"/>
  <c r="AG13" i="20"/>
  <c r="Y54" i="20"/>
  <c r="Y13" i="20"/>
  <c r="Q54" i="20"/>
  <c r="Q13" i="20"/>
  <c r="I54" i="20"/>
  <c r="I13" i="20"/>
  <c r="AG53" i="20"/>
  <c r="AG12" i="20"/>
  <c r="Y53" i="20"/>
  <c r="Y12" i="20"/>
  <c r="Q53" i="20"/>
  <c r="Q12" i="20"/>
  <c r="I53" i="20"/>
  <c r="I12" i="20"/>
  <c r="AG52" i="20"/>
  <c r="AG11" i="20"/>
  <c r="Y52" i="20"/>
  <c r="Y11" i="20"/>
  <c r="I11" i="20"/>
  <c r="AG51" i="20"/>
  <c r="Y10" i="20"/>
  <c r="Q51" i="20"/>
  <c r="Q10" i="20"/>
  <c r="I51" i="20"/>
  <c r="AG50" i="20"/>
  <c r="Y50" i="20"/>
  <c r="Y9" i="20"/>
  <c r="Q50" i="20"/>
  <c r="Q9" i="20"/>
  <c r="I50" i="20"/>
  <c r="I9" i="20"/>
  <c r="AG49" i="20"/>
  <c r="AG8" i="20"/>
  <c r="Y49" i="20"/>
  <c r="Y8" i="20"/>
  <c r="Q49" i="20"/>
  <c r="Q8" i="20"/>
  <c r="I49" i="20"/>
  <c r="I8" i="20"/>
  <c r="AG48" i="20"/>
  <c r="AG7" i="20"/>
  <c r="Y48" i="20"/>
  <c r="Y7" i="20"/>
  <c r="Q48" i="20"/>
  <c r="Q7" i="20"/>
  <c r="I48" i="20"/>
  <c r="I7" i="20"/>
  <c r="AG47" i="20"/>
  <c r="AG6" i="20"/>
  <c r="Y47" i="20"/>
  <c r="Y6" i="20"/>
  <c r="Q47" i="20"/>
  <c r="Q6" i="20"/>
  <c r="I47" i="20"/>
  <c r="I6" i="20"/>
  <c r="AG46" i="20"/>
  <c r="AG5" i="20"/>
  <c r="Y46" i="20"/>
  <c r="Y5" i="20"/>
  <c r="Q46" i="20"/>
  <c r="Q5" i="20"/>
  <c r="I46" i="20"/>
  <c r="I5" i="20"/>
  <c r="AN35" i="20"/>
  <c r="AJ33" i="20"/>
  <c r="AH31" i="20"/>
  <c r="AF30" i="20"/>
  <c r="AB29" i="20"/>
  <c r="AK25" i="20"/>
  <c r="J22" i="20"/>
  <c r="U13" i="20"/>
  <c r="AN113" i="20"/>
  <c r="AN97" i="20"/>
  <c r="AN109" i="20"/>
  <c r="AN93" i="20"/>
  <c r="AN107" i="20"/>
  <c r="AN123" i="20" s="1"/>
  <c r="AN91" i="20"/>
  <c r="AN89" i="20"/>
  <c r="AN105" i="20"/>
  <c r="AN103" i="20"/>
  <c r="AN87" i="20"/>
  <c r="AN77" i="20"/>
  <c r="AN36" i="20"/>
  <c r="AN75" i="20"/>
  <c r="AN34" i="20"/>
  <c r="AN67" i="20"/>
  <c r="AN26" i="20"/>
  <c r="AN65" i="20"/>
  <c r="AN24" i="20"/>
  <c r="AN63" i="20"/>
  <c r="AN22" i="20"/>
  <c r="AN58" i="20"/>
  <c r="AN17" i="20"/>
  <c r="AN56" i="20"/>
  <c r="AN15" i="20"/>
  <c r="AN54" i="20"/>
  <c r="AN13" i="20"/>
  <c r="AN52" i="20"/>
  <c r="AN11" i="20"/>
  <c r="AN50" i="20"/>
  <c r="AN9" i="20"/>
  <c r="AN48" i="20"/>
  <c r="AN7" i="20"/>
  <c r="AN46" i="20"/>
  <c r="AN5" i="20"/>
  <c r="AF113" i="20"/>
  <c r="AF97" i="20"/>
  <c r="X113" i="20"/>
  <c r="X97" i="20"/>
  <c r="P113" i="20"/>
  <c r="P97" i="20"/>
  <c r="H113" i="20"/>
  <c r="H97" i="20"/>
  <c r="AF112" i="20"/>
  <c r="AF128" i="20" s="1"/>
  <c r="AF96" i="20"/>
  <c r="X112" i="20"/>
  <c r="X128" i="20" s="1"/>
  <c r="X96" i="20"/>
  <c r="P112" i="20"/>
  <c r="P128" i="20" s="1"/>
  <c r="P96" i="20"/>
  <c r="H112" i="20"/>
  <c r="H128" i="20" s="1"/>
  <c r="H96" i="20"/>
  <c r="H111" i="20"/>
  <c r="AF94" i="20"/>
  <c r="AF110" i="20"/>
  <c r="X110" i="20"/>
  <c r="X94" i="20"/>
  <c r="P94" i="20"/>
  <c r="P110" i="20"/>
  <c r="H110" i="20"/>
  <c r="H94" i="20"/>
  <c r="AF109" i="20"/>
  <c r="AF93" i="20"/>
  <c r="X109" i="20"/>
  <c r="X93" i="20"/>
  <c r="P109" i="20"/>
  <c r="P93" i="20"/>
  <c r="H109" i="20"/>
  <c r="H93" i="20"/>
  <c r="AF108" i="20"/>
  <c r="AF92" i="20"/>
  <c r="X108" i="20"/>
  <c r="X92" i="20"/>
  <c r="P108" i="20"/>
  <c r="P92" i="20"/>
  <c r="H108" i="20"/>
  <c r="H92" i="20"/>
  <c r="AF107" i="20"/>
  <c r="AF123" i="20" s="1"/>
  <c r="AF91" i="20"/>
  <c r="X107" i="20"/>
  <c r="X123" i="20" s="1"/>
  <c r="X91" i="20"/>
  <c r="P107" i="20"/>
  <c r="P123" i="20" s="1"/>
  <c r="P91" i="20"/>
  <c r="H107" i="20"/>
  <c r="H123" i="20" s="1"/>
  <c r="H91" i="20"/>
  <c r="AF106" i="20"/>
  <c r="AF90" i="20"/>
  <c r="X106" i="20"/>
  <c r="X90" i="20"/>
  <c r="P106" i="20"/>
  <c r="P90" i="20"/>
  <c r="H106" i="20"/>
  <c r="H90" i="20"/>
  <c r="AF105" i="20"/>
  <c r="AF89" i="20"/>
  <c r="X105" i="20"/>
  <c r="X89" i="20"/>
  <c r="P105" i="20"/>
  <c r="P89" i="20"/>
  <c r="H105" i="20"/>
  <c r="H89" i="20"/>
  <c r="AF104" i="20"/>
  <c r="AF120" i="20" s="1"/>
  <c r="AF88" i="20"/>
  <c r="X104" i="20"/>
  <c r="X120" i="20" s="1"/>
  <c r="X88" i="20"/>
  <c r="P104" i="20"/>
  <c r="P120" i="20" s="1"/>
  <c r="P88" i="20"/>
  <c r="H104" i="20"/>
  <c r="H120" i="20" s="1"/>
  <c r="H88" i="20"/>
  <c r="AF103" i="20"/>
  <c r="AF87" i="20"/>
  <c r="X103" i="20"/>
  <c r="X87" i="20"/>
  <c r="P103" i="20"/>
  <c r="P87" i="20"/>
  <c r="H103" i="20"/>
  <c r="H87" i="20"/>
  <c r="AF77" i="20"/>
  <c r="AF36" i="20"/>
  <c r="X77" i="20"/>
  <c r="X36" i="20"/>
  <c r="P77" i="20"/>
  <c r="P36" i="20"/>
  <c r="H77" i="20"/>
  <c r="H36" i="20"/>
  <c r="AF75" i="20"/>
  <c r="AF34" i="20"/>
  <c r="X75" i="20"/>
  <c r="X34" i="20"/>
  <c r="P75" i="20"/>
  <c r="P34" i="20"/>
  <c r="H75" i="20"/>
  <c r="H34" i="20"/>
  <c r="AF74" i="20"/>
  <c r="AF33" i="20"/>
  <c r="X74" i="20"/>
  <c r="X33" i="20"/>
  <c r="P74" i="20"/>
  <c r="P33" i="20"/>
  <c r="H74" i="20"/>
  <c r="H33" i="20"/>
  <c r="AF72" i="20"/>
  <c r="AF31" i="20"/>
  <c r="X72" i="20"/>
  <c r="X31" i="20"/>
  <c r="P72" i="20"/>
  <c r="P31" i="20"/>
  <c r="H72" i="20"/>
  <c r="H31" i="20"/>
  <c r="AF70" i="20"/>
  <c r="AF29" i="20"/>
  <c r="X70" i="20"/>
  <c r="X29" i="20"/>
  <c r="P70" i="20"/>
  <c r="H29" i="20"/>
  <c r="AF68" i="20"/>
  <c r="AF27" i="20"/>
  <c r="X68" i="20"/>
  <c r="X27" i="20"/>
  <c r="H68" i="20"/>
  <c r="H27" i="20"/>
  <c r="AF67" i="20"/>
  <c r="AF26" i="20"/>
  <c r="X67" i="20"/>
  <c r="X26" i="20"/>
  <c r="P67" i="20"/>
  <c r="P26" i="20"/>
  <c r="H67" i="20"/>
  <c r="H26" i="20"/>
  <c r="AF66" i="20"/>
  <c r="AF25" i="20"/>
  <c r="X66" i="20"/>
  <c r="X25" i="20"/>
  <c r="P25" i="20"/>
  <c r="P66" i="20"/>
  <c r="H66" i="20"/>
  <c r="H25" i="20"/>
  <c r="AF24" i="20"/>
  <c r="AF65" i="20"/>
  <c r="X65" i="20"/>
  <c r="X24" i="20"/>
  <c r="P65" i="20"/>
  <c r="P24" i="20"/>
  <c r="H65" i="20"/>
  <c r="H24" i="20"/>
  <c r="X22" i="20"/>
  <c r="P63" i="20"/>
  <c r="P22" i="20"/>
  <c r="H63" i="20"/>
  <c r="X62" i="20"/>
  <c r="X21" i="20"/>
  <c r="P62" i="20"/>
  <c r="P21" i="20"/>
  <c r="H62" i="20"/>
  <c r="H21" i="20"/>
  <c r="AF59" i="20"/>
  <c r="AF18" i="20"/>
  <c r="X59" i="20"/>
  <c r="X18" i="20"/>
  <c r="P59" i="20"/>
  <c r="P18" i="20"/>
  <c r="H59" i="20"/>
  <c r="H18" i="20"/>
  <c r="AF58" i="20"/>
  <c r="AF17" i="20"/>
  <c r="X58" i="20"/>
  <c r="X17" i="20"/>
  <c r="P58" i="20"/>
  <c r="P17" i="20"/>
  <c r="H58" i="20"/>
  <c r="H17" i="20"/>
  <c r="AF57" i="20"/>
  <c r="AF16" i="20"/>
  <c r="X57" i="20"/>
  <c r="X16" i="20"/>
  <c r="P57" i="20"/>
  <c r="P16" i="20"/>
  <c r="H57" i="20"/>
  <c r="H16" i="20"/>
  <c r="AF56" i="20"/>
  <c r="AF15" i="20"/>
  <c r="P56" i="20"/>
  <c r="P15" i="20"/>
  <c r="H56" i="20"/>
  <c r="AF55" i="20"/>
  <c r="AF14" i="20"/>
  <c r="X55" i="20"/>
  <c r="P55" i="20"/>
  <c r="P14" i="20"/>
  <c r="H55" i="20"/>
  <c r="H14" i="20"/>
  <c r="AF54" i="20"/>
  <c r="AF13" i="20"/>
  <c r="X54" i="20"/>
  <c r="X13" i="20"/>
  <c r="P54" i="20"/>
  <c r="P13" i="20"/>
  <c r="H54" i="20"/>
  <c r="H13" i="20"/>
  <c r="AF53" i="20"/>
  <c r="AF12" i="20"/>
  <c r="X53" i="20"/>
  <c r="X12" i="20"/>
  <c r="P53" i="20"/>
  <c r="P12" i="20"/>
  <c r="H53" i="20"/>
  <c r="H12" i="20"/>
  <c r="AF52" i="20"/>
  <c r="AF11" i="20"/>
  <c r="X52" i="20"/>
  <c r="X11" i="20"/>
  <c r="P52" i="20"/>
  <c r="P11" i="20"/>
  <c r="H52" i="20"/>
  <c r="H11" i="20"/>
  <c r="AF51" i="20"/>
  <c r="AF10" i="20"/>
  <c r="X51" i="20"/>
  <c r="P51" i="20"/>
  <c r="P10" i="20"/>
  <c r="H51" i="20"/>
  <c r="H10" i="20"/>
  <c r="X9" i="20"/>
  <c r="P50" i="20"/>
  <c r="P9" i="20"/>
  <c r="H50" i="20"/>
  <c r="H9" i="20"/>
  <c r="AF49" i="20"/>
  <c r="AF8" i="20"/>
  <c r="X49" i="20"/>
  <c r="X8" i="20"/>
  <c r="P49" i="20"/>
  <c r="P8" i="20"/>
  <c r="H49" i="20"/>
  <c r="H8" i="20"/>
  <c r="AH36" i="20"/>
  <c r="AF35" i="20"/>
  <c r="AB33" i="20"/>
  <c r="Z31" i="20"/>
  <c r="X30" i="20"/>
  <c r="R29" i="20"/>
  <c r="Y25" i="20"/>
  <c r="AF21" i="20"/>
  <c r="S12" i="20"/>
  <c r="AS15" i="20"/>
  <c r="AT55" i="20"/>
  <c r="AQ112" i="20"/>
  <c r="AQ128" i="20" s="1"/>
  <c r="AQ96" i="20"/>
  <c r="AQ110" i="20"/>
  <c r="AQ94" i="20"/>
  <c r="AQ108" i="20"/>
  <c r="AQ92" i="20"/>
  <c r="AQ106" i="20"/>
  <c r="AQ90" i="20"/>
  <c r="AQ104" i="20"/>
  <c r="AQ120" i="20" s="1"/>
  <c r="AQ88" i="20"/>
  <c r="AQ76" i="20"/>
  <c r="AQ35" i="20"/>
  <c r="AQ74" i="20"/>
  <c r="AQ33" i="20"/>
  <c r="AQ72" i="20"/>
  <c r="AQ31" i="20"/>
  <c r="AQ29" i="20"/>
  <c r="AQ68" i="20"/>
  <c r="AQ66" i="20"/>
  <c r="AQ25" i="20"/>
  <c r="AQ62" i="20"/>
  <c r="AQ21" i="20"/>
  <c r="AQ59" i="20"/>
  <c r="AQ18" i="20"/>
  <c r="AQ57" i="20"/>
  <c r="AQ16" i="20"/>
  <c r="AQ55" i="20"/>
  <c r="AQ14" i="20"/>
  <c r="AQ53" i="20"/>
  <c r="AQ12" i="20"/>
  <c r="AQ51" i="20"/>
  <c r="AQ10" i="20"/>
  <c r="AQ49" i="20"/>
  <c r="AQ8" i="20"/>
  <c r="AQ47" i="20"/>
  <c r="AQ6" i="20"/>
  <c r="AM113" i="20"/>
  <c r="AM97" i="20"/>
  <c r="AE113" i="20"/>
  <c r="AE97" i="20"/>
  <c r="W113" i="20"/>
  <c r="W97" i="20"/>
  <c r="O113" i="20"/>
  <c r="O97" i="20"/>
  <c r="G113" i="20"/>
  <c r="G97" i="20"/>
  <c r="AM112" i="20"/>
  <c r="AM128" i="20" s="1"/>
  <c r="AM96" i="20"/>
  <c r="AE96" i="20"/>
  <c r="AE112" i="20"/>
  <c r="AE128" i="20" s="1"/>
  <c r="W112" i="20"/>
  <c r="W128" i="20" s="1"/>
  <c r="W96" i="20"/>
  <c r="O112" i="20"/>
  <c r="O128" i="20" s="1"/>
  <c r="O96" i="20"/>
  <c r="G112" i="20"/>
  <c r="G128" i="20" s="1"/>
  <c r="G96" i="20"/>
  <c r="O111" i="20"/>
  <c r="AM110" i="20"/>
  <c r="AM94" i="20"/>
  <c r="AE110" i="20"/>
  <c r="AE94" i="20"/>
  <c r="W110" i="20"/>
  <c r="W94" i="20"/>
  <c r="O110" i="20"/>
  <c r="O94" i="20"/>
  <c r="G110" i="20"/>
  <c r="G94" i="20"/>
  <c r="AM109" i="20"/>
  <c r="AM93" i="20"/>
  <c r="AE109" i="20"/>
  <c r="AE93" i="20"/>
  <c r="W109" i="20"/>
  <c r="W93" i="20"/>
  <c r="O109" i="20"/>
  <c r="O93" i="20"/>
  <c r="G109" i="20"/>
  <c r="G93" i="20"/>
  <c r="AM92" i="20"/>
  <c r="AM108" i="20"/>
  <c r="AE108" i="20"/>
  <c r="AE92" i="20"/>
  <c r="W92" i="20"/>
  <c r="W108" i="20"/>
  <c r="O92" i="20"/>
  <c r="O108" i="20"/>
  <c r="G108" i="20"/>
  <c r="G92" i="20"/>
  <c r="AM107" i="20"/>
  <c r="AM123" i="20" s="1"/>
  <c r="AM91" i="20"/>
  <c r="AE107" i="20"/>
  <c r="AE123" i="20" s="1"/>
  <c r="AE91" i="20"/>
  <c r="W107" i="20"/>
  <c r="W123" i="20" s="1"/>
  <c r="W91" i="20"/>
  <c r="O107" i="20"/>
  <c r="O123" i="20" s="1"/>
  <c r="O91" i="20"/>
  <c r="G107" i="20"/>
  <c r="G123" i="20" s="1"/>
  <c r="G91" i="20"/>
  <c r="AM106" i="20"/>
  <c r="AM90" i="20"/>
  <c r="AE106" i="20"/>
  <c r="AE90" i="20"/>
  <c r="W106" i="20"/>
  <c r="W90" i="20"/>
  <c r="O106" i="20"/>
  <c r="O90" i="20"/>
  <c r="G106" i="20"/>
  <c r="G90" i="20"/>
  <c r="AM105" i="20"/>
  <c r="AM89" i="20"/>
  <c r="AE105" i="20"/>
  <c r="AE89" i="20"/>
  <c r="W105" i="20"/>
  <c r="W89" i="20"/>
  <c r="O105" i="20"/>
  <c r="O89" i="20"/>
  <c r="G105" i="20"/>
  <c r="G89" i="20"/>
  <c r="AM104" i="20"/>
  <c r="AM120" i="20" s="1"/>
  <c r="AM88" i="20"/>
  <c r="AE104" i="20"/>
  <c r="AE120" i="20" s="1"/>
  <c r="AE88" i="20"/>
  <c r="W104" i="20"/>
  <c r="W120" i="20" s="1"/>
  <c r="W88" i="20"/>
  <c r="O104" i="20"/>
  <c r="O120" i="20" s="1"/>
  <c r="O88" i="20"/>
  <c r="G104" i="20"/>
  <c r="G120" i="20" s="1"/>
  <c r="G88" i="20"/>
  <c r="AM103" i="20"/>
  <c r="AM87" i="20"/>
  <c r="AE103" i="20"/>
  <c r="AE87" i="20"/>
  <c r="W103" i="20"/>
  <c r="W87" i="20"/>
  <c r="O103" i="20"/>
  <c r="O87" i="20"/>
  <c r="G103" i="20"/>
  <c r="G87" i="20"/>
  <c r="AM77" i="20"/>
  <c r="AM36" i="20"/>
  <c r="AE77" i="20"/>
  <c r="AE36" i="20"/>
  <c r="W77" i="20"/>
  <c r="W36" i="20"/>
  <c r="O77" i="20"/>
  <c r="O36" i="20"/>
  <c r="G77" i="20"/>
  <c r="AM76" i="20"/>
  <c r="AM35" i="20"/>
  <c r="AE76" i="20"/>
  <c r="AE35" i="20"/>
  <c r="W76" i="20"/>
  <c r="W35" i="20"/>
  <c r="O76" i="20"/>
  <c r="O35" i="20"/>
  <c r="G76" i="20"/>
  <c r="G35" i="20"/>
  <c r="AM75" i="20"/>
  <c r="AM34" i="20"/>
  <c r="AE75" i="20"/>
  <c r="AE34" i="20"/>
  <c r="W75" i="20"/>
  <c r="W34" i="20"/>
  <c r="O75" i="20"/>
  <c r="O34" i="20"/>
  <c r="G75" i="20"/>
  <c r="G34" i="20"/>
  <c r="AM74" i="20"/>
  <c r="AM33" i="20"/>
  <c r="AE74" i="20"/>
  <c r="AE33" i="20"/>
  <c r="W74" i="20"/>
  <c r="W33" i="20"/>
  <c r="O74" i="20"/>
  <c r="O33" i="20"/>
  <c r="G74" i="20"/>
  <c r="G33" i="20"/>
  <c r="AM72" i="20"/>
  <c r="AM31" i="20"/>
  <c r="AE72" i="20"/>
  <c r="AE31" i="20"/>
  <c r="W72" i="20"/>
  <c r="W31" i="20"/>
  <c r="O72" i="20"/>
  <c r="O31" i="20"/>
  <c r="G72" i="20"/>
  <c r="G31" i="20"/>
  <c r="AM71" i="20"/>
  <c r="AM30" i="20"/>
  <c r="AE71" i="20"/>
  <c r="AE30" i="20"/>
  <c r="W71" i="20"/>
  <c r="W30" i="20"/>
  <c r="O71" i="20"/>
  <c r="O30" i="20"/>
  <c r="G71" i="20"/>
  <c r="G30" i="20"/>
  <c r="AM70" i="20"/>
  <c r="AE70" i="20"/>
  <c r="AE29" i="20"/>
  <c r="W70" i="20"/>
  <c r="W29" i="20"/>
  <c r="O29" i="20"/>
  <c r="G70" i="20"/>
  <c r="AM68" i="20"/>
  <c r="AE68" i="20"/>
  <c r="AE27" i="20"/>
  <c r="W68" i="20"/>
  <c r="W27" i="20"/>
  <c r="O68" i="20"/>
  <c r="O27" i="20"/>
  <c r="G68" i="20"/>
  <c r="G27" i="20"/>
  <c r="AM67" i="20"/>
  <c r="AM26" i="20"/>
  <c r="AE67" i="20"/>
  <c r="AE26" i="20"/>
  <c r="W67" i="20"/>
  <c r="W26" i="20"/>
  <c r="O67" i="20"/>
  <c r="O26" i="20"/>
  <c r="G67" i="20"/>
  <c r="AM66" i="20"/>
  <c r="AM25" i="20"/>
  <c r="AE66" i="20"/>
  <c r="AE25" i="20"/>
  <c r="W66" i="20"/>
  <c r="W25" i="20"/>
  <c r="O66" i="20"/>
  <c r="O25" i="20"/>
  <c r="G66" i="20"/>
  <c r="G25" i="20"/>
  <c r="AM65" i="20"/>
  <c r="AM24" i="20"/>
  <c r="AE65" i="20"/>
  <c r="AE24" i="20"/>
  <c r="W65" i="20"/>
  <c r="W24" i="20"/>
  <c r="O65" i="20"/>
  <c r="O24" i="20"/>
  <c r="G65" i="20"/>
  <c r="G24" i="20"/>
  <c r="AM63" i="20"/>
  <c r="AM22" i="20"/>
  <c r="AE63" i="20"/>
  <c r="AE22" i="20"/>
  <c r="W63" i="20"/>
  <c r="W22" i="20"/>
  <c r="O63" i="20"/>
  <c r="O22" i="20"/>
  <c r="G63" i="20"/>
  <c r="G22" i="20"/>
  <c r="AM21" i="20"/>
  <c r="AE62" i="20"/>
  <c r="AE21" i="20"/>
  <c r="W62" i="20"/>
  <c r="W21" i="20"/>
  <c r="O62" i="20"/>
  <c r="O21" i="20"/>
  <c r="G62" i="20"/>
  <c r="G21" i="20"/>
  <c r="AM59" i="20"/>
  <c r="AM18" i="20"/>
  <c r="AE59" i="20"/>
  <c r="AE18" i="20"/>
  <c r="W59" i="20"/>
  <c r="W18" i="20"/>
  <c r="O59" i="20"/>
  <c r="O18" i="20"/>
  <c r="G59" i="20"/>
  <c r="G18" i="20"/>
  <c r="AM58" i="20"/>
  <c r="AM17" i="20"/>
  <c r="AE58" i="20"/>
  <c r="AE17" i="20"/>
  <c r="W58" i="20"/>
  <c r="W17" i="20"/>
  <c r="O58" i="20"/>
  <c r="O17" i="20"/>
  <c r="G58" i="20"/>
  <c r="G17" i="20"/>
  <c r="AM57" i="20"/>
  <c r="AM16" i="20"/>
  <c r="AE57" i="20"/>
  <c r="AE16" i="20"/>
  <c r="W57" i="20"/>
  <c r="W16" i="20"/>
  <c r="O57" i="20"/>
  <c r="O16" i="20"/>
  <c r="G57" i="20"/>
  <c r="AM56" i="20"/>
  <c r="AM15" i="20"/>
  <c r="AE56" i="20"/>
  <c r="W56" i="20"/>
  <c r="W15" i="20"/>
  <c r="O56" i="20"/>
  <c r="G56" i="20"/>
  <c r="G15" i="20"/>
  <c r="AM14" i="20"/>
  <c r="AE55" i="20"/>
  <c r="AE14" i="20"/>
  <c r="W55" i="20"/>
  <c r="O14" i="20"/>
  <c r="G55" i="20"/>
  <c r="G14" i="20"/>
  <c r="AM54" i="20"/>
  <c r="AM13" i="20"/>
  <c r="AE54" i="20"/>
  <c r="AE13" i="20"/>
  <c r="W54" i="20"/>
  <c r="W13" i="20"/>
  <c r="O54" i="20"/>
  <c r="O13" i="20"/>
  <c r="G54" i="20"/>
  <c r="G13" i="20"/>
  <c r="AM53" i="20"/>
  <c r="AM12" i="20"/>
  <c r="AE53" i="20"/>
  <c r="AE12" i="20"/>
  <c r="W53" i="20"/>
  <c r="W12" i="20"/>
  <c r="O53" i="20"/>
  <c r="O12" i="20"/>
  <c r="G53" i="20"/>
  <c r="G12" i="20"/>
  <c r="AM52" i="20"/>
  <c r="AM11" i="20"/>
  <c r="AE52" i="20"/>
  <c r="AE11" i="20"/>
  <c r="W52" i="20"/>
  <c r="W11" i="20"/>
  <c r="O52" i="20"/>
  <c r="O11" i="20"/>
  <c r="G52" i="20"/>
  <c r="G11" i="20"/>
  <c r="AM51" i="20"/>
  <c r="AM10" i="20"/>
  <c r="AE10" i="20"/>
  <c r="W51" i="20"/>
  <c r="W10" i="20"/>
  <c r="O51" i="20"/>
  <c r="G51" i="20"/>
  <c r="G10" i="20"/>
  <c r="AM50" i="20"/>
  <c r="AM9" i="20"/>
  <c r="AE50" i="20"/>
  <c r="AE9" i="20"/>
  <c r="W50" i="20"/>
  <c r="W9" i="20"/>
  <c r="O50" i="20"/>
  <c r="G50" i="20"/>
  <c r="G9" i="20"/>
  <c r="AM49" i="20"/>
  <c r="AM8" i="20"/>
  <c r="AE49" i="20"/>
  <c r="AE8" i="20"/>
  <c r="W49" i="20"/>
  <c r="W8" i="20"/>
  <c r="O49" i="20"/>
  <c r="O8" i="20"/>
  <c r="G49" i="20"/>
  <c r="AM48" i="20"/>
  <c r="AM7" i="20"/>
  <c r="AE48" i="20"/>
  <c r="AE7" i="20"/>
  <c r="W48" i="20"/>
  <c r="W7" i="20"/>
  <c r="O48" i="20"/>
  <c r="O7" i="20"/>
  <c r="G48" i="20"/>
  <c r="G7" i="20"/>
  <c r="AM47" i="20"/>
  <c r="AM6" i="20"/>
  <c r="AE47" i="20"/>
  <c r="AE6" i="20"/>
  <c r="W47" i="20"/>
  <c r="W6" i="20"/>
  <c r="O47" i="20"/>
  <c r="O6" i="20"/>
  <c r="G47" i="20"/>
  <c r="G6" i="20"/>
  <c r="AM46" i="20"/>
  <c r="AM5" i="20"/>
  <c r="AE46" i="20"/>
  <c r="AE5" i="20"/>
  <c r="W46" i="20"/>
  <c r="W5" i="20"/>
  <c r="O46" i="20"/>
  <c r="O5" i="20"/>
  <c r="G46" i="20"/>
  <c r="G5" i="20"/>
  <c r="G36" i="20"/>
  <c r="Z36" i="20"/>
  <c r="X35" i="20"/>
  <c r="T33" i="20"/>
  <c r="R31" i="20"/>
  <c r="P30" i="20"/>
  <c r="J25" i="20"/>
  <c r="Q11" i="20"/>
  <c r="AL47" i="20"/>
  <c r="AL6" i="20"/>
  <c r="AD47" i="20"/>
  <c r="AD6" i="20"/>
  <c r="V47" i="20"/>
  <c r="V6" i="20"/>
  <c r="N47" i="20"/>
  <c r="N6" i="20"/>
  <c r="F47" i="20"/>
  <c r="AL46" i="20"/>
  <c r="AL5" i="20"/>
  <c r="AD46" i="20"/>
  <c r="AD5" i="20"/>
  <c r="V46" i="20"/>
  <c r="V5" i="20"/>
  <c r="N46" i="20"/>
  <c r="N5" i="20"/>
  <c r="F46" i="20"/>
  <c r="AK46" i="20"/>
  <c r="AK5" i="20"/>
  <c r="AC46" i="20"/>
  <c r="AC5" i="20"/>
  <c r="U46" i="20"/>
  <c r="U5" i="20"/>
  <c r="M46" i="20"/>
  <c r="M5" i="20"/>
  <c r="E46" i="20"/>
  <c r="AV46" i="20"/>
  <c r="AJ46" i="20"/>
  <c r="AJ5" i="20"/>
  <c r="AB46" i="20"/>
  <c r="AB5" i="20"/>
  <c r="T46" i="20"/>
  <c r="T5" i="20"/>
  <c r="L46" i="20"/>
  <c r="L5" i="20"/>
  <c r="Z47" i="20"/>
  <c r="Z6" i="20"/>
  <c r="R47" i="20"/>
  <c r="R6" i="20"/>
  <c r="J47" i="20"/>
  <c r="J6" i="20"/>
  <c r="AH46" i="20"/>
  <c r="AH5" i="20"/>
  <c r="Z46" i="20"/>
  <c r="Z5" i="20"/>
  <c r="R46" i="20"/>
  <c r="R5" i="20"/>
  <c r="J46" i="20"/>
  <c r="J5" i="20"/>
  <c r="AH6" i="20"/>
  <c r="AF48" i="20"/>
  <c r="AF7" i="20"/>
  <c r="X48" i="20"/>
  <c r="X7" i="20"/>
  <c r="P48" i="20"/>
  <c r="P7" i="20"/>
  <c r="H48" i="20"/>
  <c r="H7" i="20"/>
  <c r="AF47" i="20"/>
  <c r="AF6" i="20"/>
  <c r="X47" i="20"/>
  <c r="X6" i="20"/>
  <c r="P47" i="20"/>
  <c r="P6" i="20"/>
  <c r="H47" i="20"/>
  <c r="H6" i="20"/>
  <c r="AF46" i="20"/>
  <c r="AF5" i="20"/>
  <c r="X46" i="20"/>
  <c r="X5" i="20"/>
  <c r="P46" i="20"/>
  <c r="P5" i="20"/>
  <c r="H46" i="20"/>
  <c r="H5" i="20"/>
  <c r="AV106" i="20"/>
  <c r="L6" i="20"/>
  <c r="X79" i="20"/>
  <c r="K40" i="20"/>
  <c r="AQ81" i="20"/>
  <c r="AK80" i="20"/>
  <c r="AB79" i="20"/>
  <c r="L80" i="20"/>
  <c r="AM79" i="20"/>
  <c r="AI80" i="20"/>
  <c r="O81" i="20"/>
  <c r="AN80" i="20"/>
  <c r="U39" i="20"/>
  <c r="AO79" i="20"/>
  <c r="S81" i="20"/>
  <c r="S40" i="20"/>
  <c r="AC38" i="20"/>
  <c r="N80" i="20"/>
  <c r="AQ80" i="20"/>
  <c r="AD81" i="20"/>
  <c r="AD40" i="20"/>
  <c r="W38" i="20"/>
  <c r="J79" i="20"/>
  <c r="J38" i="20"/>
  <c r="X80" i="20"/>
  <c r="X40" i="20"/>
  <c r="O80" i="20"/>
  <c r="AL39" i="20"/>
  <c r="Q80" i="20"/>
  <c r="Q39" i="20"/>
  <c r="M80" i="20"/>
  <c r="I79" i="20"/>
  <c r="L79" i="20"/>
  <c r="AA80" i="20"/>
  <c r="AQ79" i="20"/>
  <c r="AA81" i="20"/>
  <c r="T80" i="20"/>
  <c r="AE79" i="20"/>
  <c r="AA79" i="20"/>
  <c r="AG40" i="20"/>
  <c r="R80" i="20"/>
  <c r="AE81" i="20"/>
  <c r="N79" i="20"/>
  <c r="W80" i="20"/>
  <c r="W39" i="20"/>
  <c r="AP40" i="20"/>
  <c r="P80" i="20"/>
  <c r="AJ80" i="20"/>
  <c r="AJ40" i="20"/>
  <c r="AI81" i="20"/>
  <c r="AI40" i="20"/>
  <c r="AB39" i="20"/>
  <c r="S39" i="20"/>
  <c r="U40" i="20"/>
  <c r="AK40" i="20"/>
  <c r="Q38" i="20"/>
  <c r="AN81" i="20"/>
  <c r="AN40" i="20"/>
  <c r="AK79" i="20"/>
  <c r="AC80" i="20"/>
  <c r="R79" i="20"/>
  <c r="J80" i="20"/>
  <c r="Z39" i="20"/>
  <c r="R81" i="20"/>
  <c r="R40" i="20"/>
  <c r="AE80" i="20"/>
  <c r="S80" i="20"/>
  <c r="AE111" i="20"/>
  <c r="AI111" i="20"/>
  <c r="T95" i="20"/>
  <c r="K95" i="20"/>
  <c r="AQ111" i="20"/>
  <c r="K111" i="20"/>
  <c r="W95" i="20"/>
  <c r="AI95" i="20"/>
  <c r="AG111" i="20"/>
  <c r="R111" i="20"/>
  <c r="F111" i="20"/>
  <c r="AF95" i="20"/>
  <c r="Z111" i="20"/>
  <c r="E111" i="20"/>
  <c r="AH111" i="20"/>
  <c r="AJ111" i="20"/>
  <c r="AD95" i="20"/>
  <c r="X111" i="20"/>
  <c r="L111" i="20"/>
  <c r="AE95" i="20"/>
  <c r="AF111" i="20"/>
  <c r="AN95" i="20"/>
  <c r="I95" i="20"/>
  <c r="Z95" i="20"/>
  <c r="AP111" i="20"/>
  <c r="U95" i="20"/>
  <c r="G95" i="20"/>
  <c r="Q95" i="20"/>
  <c r="AO95" i="20"/>
  <c r="T111" i="20"/>
  <c r="N95" i="20"/>
  <c r="AL95" i="20"/>
  <c r="AM95" i="20"/>
  <c r="P95" i="20"/>
  <c r="AN111" i="20"/>
  <c r="AH95" i="20"/>
  <c r="S95" i="20"/>
  <c r="AB95" i="20"/>
  <c r="AC95" i="20"/>
  <c r="O95" i="20"/>
  <c r="Y95" i="20"/>
  <c r="J95" i="20"/>
  <c r="AQ95" i="20"/>
  <c r="AB111" i="20"/>
  <c r="P111" i="20"/>
  <c r="AA95" i="20"/>
  <c r="AJ95" i="20"/>
  <c r="V95" i="20"/>
  <c r="X95" i="20"/>
  <c r="AG95" i="20"/>
  <c r="J111" i="20"/>
  <c r="L95" i="20"/>
  <c r="M95" i="20"/>
  <c r="AK95" i="20"/>
  <c r="R95" i="20"/>
  <c r="AP95" i="20"/>
  <c r="BB47" i="20" l="1"/>
  <c r="BA48" i="20"/>
  <c r="AR58" i="20"/>
  <c r="BS47" i="20"/>
  <c r="BU57" i="20"/>
  <c r="AV90" i="20"/>
  <c r="AT106" i="20"/>
  <c r="BS55" i="20"/>
  <c r="AV14" i="20"/>
  <c r="CA51" i="20"/>
  <c r="AR6" i="20"/>
  <c r="AU90" i="20"/>
  <c r="BI72" i="20"/>
  <c r="BJ107" i="20"/>
  <c r="BJ123" i="20" s="1"/>
  <c r="AV59" i="20"/>
  <c r="AD130" i="20"/>
  <c r="AV91" i="20"/>
  <c r="AT25" i="20"/>
  <c r="AE130" i="20"/>
  <c r="AQ130" i="20"/>
  <c r="BU52" i="20"/>
  <c r="AV54" i="20"/>
  <c r="AI130" i="20"/>
  <c r="AS26" i="20"/>
  <c r="CA55" i="20"/>
  <c r="AR13" i="20"/>
  <c r="CA56" i="20"/>
  <c r="CA48" i="20"/>
  <c r="BF56" i="20"/>
  <c r="BN48" i="20"/>
  <c r="BW111" i="20"/>
  <c r="Y130" i="20"/>
  <c r="G130" i="20"/>
  <c r="BU48" i="20"/>
  <c r="AR27" i="20"/>
  <c r="BY108" i="20"/>
  <c r="AW36" i="20"/>
  <c r="BD112" i="20"/>
  <c r="BD128" i="20" s="1"/>
  <c r="BF108" i="20"/>
  <c r="AG125" i="20"/>
  <c r="M130" i="20"/>
  <c r="AV47" i="20"/>
  <c r="AV26" i="20"/>
  <c r="AK130" i="20"/>
  <c r="W130" i="20"/>
  <c r="K130" i="20"/>
  <c r="AR55" i="20"/>
  <c r="AV68" i="20"/>
  <c r="BV46" i="20"/>
  <c r="AR110" i="20"/>
  <c r="BK58" i="20"/>
  <c r="AR109" i="20"/>
  <c r="AR125" i="20" s="1"/>
  <c r="AS33" i="20"/>
  <c r="BL77" i="20"/>
  <c r="BO74" i="20"/>
  <c r="BB59" i="20"/>
  <c r="BE56" i="20"/>
  <c r="BF55" i="20"/>
  <c r="BH53" i="20"/>
  <c r="BI52" i="20"/>
  <c r="BJ51" i="20"/>
  <c r="BL49" i="20"/>
  <c r="BM48" i="20"/>
  <c r="BO46" i="20"/>
  <c r="CD66" i="20"/>
  <c r="BT58" i="20"/>
  <c r="AS10" i="20"/>
  <c r="BY52" i="20"/>
  <c r="AT30" i="20"/>
  <c r="BP53" i="20"/>
  <c r="BB107" i="20"/>
  <c r="BB123" i="20" s="1"/>
  <c r="BO70" i="20"/>
  <c r="AT9" i="20"/>
  <c r="AS31" i="20"/>
  <c r="AS87" i="20"/>
  <c r="AY10" i="20"/>
  <c r="AU36" i="20"/>
  <c r="BO60" i="20"/>
  <c r="BM59" i="20"/>
  <c r="BN58" i="20"/>
  <c r="BO57" i="20"/>
  <c r="BP56" i="20"/>
  <c r="BQ55" i="20"/>
  <c r="AV13" i="20"/>
  <c r="AX11" i="20"/>
  <c r="AY91" i="20"/>
  <c r="BA113" i="20"/>
  <c r="BB112" i="20"/>
  <c r="BB128" i="20" s="1"/>
  <c r="BC111" i="20"/>
  <c r="BD110" i="20"/>
  <c r="BF106" i="20"/>
  <c r="BH104" i="20"/>
  <c r="BH120" i="20" s="1"/>
  <c r="AY38" i="21"/>
  <c r="H40" i="27"/>
  <c r="F40" i="27"/>
  <c r="D40" i="27"/>
  <c r="Y79" i="12"/>
  <c r="K40" i="27"/>
  <c r="AZ54" i="20"/>
  <c r="L38" i="27"/>
  <c r="F38" i="27"/>
  <c r="L39" i="27"/>
  <c r="J39" i="27"/>
  <c r="D42" i="27"/>
  <c r="H39" i="27"/>
  <c r="F39" i="27"/>
  <c r="D39" i="27"/>
  <c r="W79" i="12"/>
  <c r="K38" i="27"/>
  <c r="BV70" i="20"/>
  <c r="E42" i="27"/>
  <c r="L42" i="27"/>
  <c r="J42" i="27"/>
  <c r="H42" i="27"/>
  <c r="F42" i="27"/>
  <c r="J38" i="27"/>
  <c r="H38" i="27"/>
  <c r="CC81" i="12"/>
  <c r="K42" i="27"/>
  <c r="I42" i="27"/>
  <c r="G42" i="27"/>
  <c r="D38" i="27"/>
  <c r="I40" i="27"/>
  <c r="G40" i="27"/>
  <c r="E40" i="27"/>
  <c r="L40" i="27"/>
  <c r="J40" i="27"/>
  <c r="I38" i="27"/>
  <c r="G38" i="27"/>
  <c r="E38" i="27"/>
  <c r="DG81" i="12"/>
  <c r="DD80" i="12"/>
  <c r="K39" i="27"/>
  <c r="CO81" i="12"/>
  <c r="DB80" i="12"/>
  <c r="CT80" i="12"/>
  <c r="DG79" i="12"/>
  <c r="CY79" i="12"/>
  <c r="CQ79" i="12"/>
  <c r="AY26" i="20"/>
  <c r="BG113" i="20"/>
  <c r="BC113" i="20"/>
  <c r="BH112" i="20"/>
  <c r="BH128" i="20" s="1"/>
  <c r="BI111" i="20"/>
  <c r="BE111" i="20"/>
  <c r="BJ110" i="20"/>
  <c r="BJ126" i="20" s="1"/>
  <c r="BF110" i="20"/>
  <c r="BK109" i="20"/>
  <c r="BK125" i="20" s="1"/>
  <c r="BJ108" i="20"/>
  <c r="BG107" i="20"/>
  <c r="BG123" i="20" s="1"/>
  <c r="BL106" i="20"/>
  <c r="CA107" i="20"/>
  <c r="CA123" i="20" s="1"/>
  <c r="CC105" i="20"/>
  <c r="BF63" i="20"/>
  <c r="BI105" i="20"/>
  <c r="BN104" i="20"/>
  <c r="BN120" i="20" s="1"/>
  <c r="BJ104" i="20"/>
  <c r="BJ120" i="20" s="1"/>
  <c r="BK103" i="20"/>
  <c r="AV31" i="20"/>
  <c r="CC68" i="20"/>
  <c r="CB106" i="20"/>
  <c r="DE79" i="12"/>
  <c r="CW79" i="12"/>
  <c r="CO79" i="12"/>
  <c r="BJ109" i="20"/>
  <c r="BK106" i="20"/>
  <c r="BM113" i="20"/>
  <c r="BP108" i="20"/>
  <c r="BQ107" i="20"/>
  <c r="BQ123" i="20" s="1"/>
  <c r="BR106" i="20"/>
  <c r="BY81" i="12"/>
  <c r="BA81" i="12"/>
  <c r="AK81" i="12"/>
  <c r="BS80" i="12"/>
  <c r="BK80" i="12"/>
  <c r="BC80" i="12"/>
  <c r="BJ79" i="12"/>
  <c r="BB79" i="12"/>
  <c r="AT79" i="12"/>
  <c r="CS81" i="12"/>
  <c r="BP81" i="12"/>
  <c r="AR81" i="12"/>
  <c r="AJ81" i="12"/>
  <c r="BR80" i="12"/>
  <c r="AD80" i="12"/>
  <c r="BI79" i="12"/>
  <c r="BA79" i="12"/>
  <c r="AS79" i="12"/>
  <c r="AK79" i="12"/>
  <c r="CZ81" i="12"/>
  <c r="CR81" i="12"/>
  <c r="DE80" i="12"/>
  <c r="CW80" i="12"/>
  <c r="CT79" i="12"/>
  <c r="BI60" i="20"/>
  <c r="BE60" i="20"/>
  <c r="BG59" i="20"/>
  <c r="BC59" i="20"/>
  <c r="BH58" i="20"/>
  <c r="BD58" i="20"/>
  <c r="BI57" i="20"/>
  <c r="BE57" i="20"/>
  <c r="BK55" i="20"/>
  <c r="BG55" i="20"/>
  <c r="BL54" i="20"/>
  <c r="BH54" i="20"/>
  <c r="AU13" i="20"/>
  <c r="BM53" i="20"/>
  <c r="BI53" i="20"/>
  <c r="BN52" i="20"/>
  <c r="BJ52" i="20"/>
  <c r="BO51" i="20"/>
  <c r="BK51" i="20"/>
  <c r="BP50" i="20"/>
  <c r="BL50" i="20"/>
  <c r="BQ49" i="20"/>
  <c r="BM49" i="20"/>
  <c r="BO47" i="20"/>
  <c r="BO113" i="20"/>
  <c r="BQ111" i="20"/>
  <c r="DE81" i="12"/>
  <c r="CW81" i="12"/>
  <c r="AW79" i="12"/>
  <c r="AO79" i="12"/>
  <c r="DA80" i="12"/>
  <c r="DF79" i="12"/>
  <c r="BB76" i="20"/>
  <c r="BC75" i="20"/>
  <c r="BP74" i="20"/>
  <c r="BD74" i="20"/>
  <c r="BF72" i="20"/>
  <c r="BG71" i="20"/>
  <c r="BG130" i="20" s="1"/>
  <c r="BH70" i="20"/>
  <c r="BJ68" i="20"/>
  <c r="BK67" i="20"/>
  <c r="BL66" i="20"/>
  <c r="BM65" i="20"/>
  <c r="BO63" i="20"/>
  <c r="BC63" i="20"/>
  <c r="BP62" i="20"/>
  <c r="BP65" i="20"/>
  <c r="BP46" i="20"/>
  <c r="DA79" i="12"/>
  <c r="AV72" i="20"/>
  <c r="AZ72" i="20"/>
  <c r="BM77" i="20"/>
  <c r="BN76" i="20"/>
  <c r="BO75" i="20"/>
  <c r="AX67" i="20"/>
  <c r="BA65" i="20"/>
  <c r="BD62" i="20"/>
  <c r="BW74" i="20"/>
  <c r="BY72" i="20"/>
  <c r="CA70" i="20"/>
  <c r="BQ76" i="20"/>
  <c r="BB67" i="20"/>
  <c r="BG62" i="20"/>
  <c r="AY39" i="21"/>
  <c r="AU80" i="20" s="1"/>
  <c r="AY50" i="20"/>
  <c r="AY40" i="21"/>
  <c r="AU81" i="20" s="1"/>
  <c r="BM81" i="12"/>
  <c r="BO80" i="12"/>
  <c r="AX79" i="12"/>
  <c r="AP79" i="12"/>
  <c r="CU80" i="12"/>
  <c r="BT81" i="12"/>
  <c r="BD81" i="12"/>
  <c r="AF81" i="12"/>
  <c r="BN80" i="12"/>
  <c r="AH80" i="12"/>
  <c r="BM79" i="12"/>
  <c r="CV81" i="12"/>
  <c r="CN81" i="12"/>
  <c r="CS80" i="12"/>
  <c r="CX79" i="12"/>
  <c r="BQ60" i="20"/>
  <c r="BO59" i="20"/>
  <c r="BP58" i="20"/>
  <c r="BQ57" i="20"/>
  <c r="BR56" i="20"/>
  <c r="BA53" i="20"/>
  <c r="BC51" i="20"/>
  <c r="BE49" i="20"/>
  <c r="BA49" i="20"/>
  <c r="BB48" i="20"/>
  <c r="BH46" i="20"/>
  <c r="BD46" i="20"/>
  <c r="CV79" i="12"/>
  <c r="CN79" i="12"/>
  <c r="BC60" i="20"/>
  <c r="BB58" i="20"/>
  <c r="BC57" i="20"/>
  <c r="BD56" i="20"/>
  <c r="BE55" i="20"/>
  <c r="BF54" i="20"/>
  <c r="BG53" i="20"/>
  <c r="BH52" i="20"/>
  <c r="BI51" i="20"/>
  <c r="BJ50" i="20"/>
  <c r="BK49" i="20"/>
  <c r="BL48" i="20"/>
  <c r="BM47" i="20"/>
  <c r="BN46" i="20"/>
  <c r="BC79" i="12"/>
  <c r="AM79" i="12"/>
  <c r="CT81" i="12"/>
  <c r="CQ80" i="12"/>
  <c r="CX80" i="12"/>
  <c r="CP80" i="12"/>
  <c r="CU79" i="12"/>
  <c r="CM79" i="12"/>
  <c r="BB81" i="12"/>
  <c r="AV80" i="12"/>
  <c r="BK79" i="12"/>
  <c r="CY80" i="12"/>
  <c r="BW81" i="12"/>
  <c r="BI80" i="12"/>
  <c r="AS80" i="12"/>
  <c r="BP79" i="12"/>
  <c r="CY81" i="12"/>
  <c r="CQ81" i="12"/>
  <c r="CV80" i="12"/>
  <c r="CN80" i="12"/>
  <c r="CS79" i="12"/>
  <c r="BG58" i="20"/>
  <c r="BH57" i="20"/>
  <c r="BL53" i="20"/>
  <c r="DD81" i="12"/>
  <c r="DG80" i="12"/>
  <c r="DA81" i="12"/>
  <c r="DF80" i="12"/>
  <c r="DC79" i="12"/>
  <c r="DB81" i="12"/>
  <c r="DB79" i="12"/>
  <c r="DD79" i="12"/>
  <c r="CO80" i="12"/>
  <c r="AW72" i="20"/>
  <c r="AY70" i="20"/>
  <c r="AY54" i="20"/>
  <c r="AW110" i="20"/>
  <c r="L3" i="24"/>
  <c r="F3" i="24"/>
  <c r="BL3" i="24"/>
  <c r="BF3" i="24"/>
  <c r="AZ3" i="24"/>
  <c r="AT3" i="24"/>
  <c r="AN3" i="24"/>
  <c r="AH3" i="24"/>
  <c r="AB3" i="24"/>
  <c r="V3" i="24"/>
  <c r="P3" i="24"/>
  <c r="CE3" i="24"/>
  <c r="BY3" i="24"/>
  <c r="BS3" i="24"/>
  <c r="AR4" i="24"/>
  <c r="AL4" i="24"/>
  <c r="AF4" i="24"/>
  <c r="Z4" i="24"/>
  <c r="T4" i="24"/>
  <c r="N4" i="24"/>
  <c r="H4" i="24"/>
  <c r="B4" i="24"/>
  <c r="AY77" i="20"/>
  <c r="BB33" i="20"/>
  <c r="AY74" i="20"/>
  <c r="AY65" i="20"/>
  <c r="BA18" i="20"/>
  <c r="AY58" i="20"/>
  <c r="AZ7" i="20"/>
  <c r="AY46" i="20"/>
  <c r="AX113" i="20"/>
  <c r="BN91" i="20"/>
  <c r="BD89" i="20"/>
  <c r="CC63" i="20"/>
  <c r="CC59" i="20"/>
  <c r="K3" i="24"/>
  <c r="E3" i="24"/>
  <c r="BK3" i="24"/>
  <c r="BE3" i="24"/>
  <c r="AY3" i="24"/>
  <c r="AS3" i="24"/>
  <c r="AM3" i="24"/>
  <c r="AG3" i="24"/>
  <c r="AA3" i="24"/>
  <c r="U3" i="24"/>
  <c r="O3" i="24"/>
  <c r="CD3" i="24"/>
  <c r="BX3" i="24"/>
  <c r="BR3" i="24"/>
  <c r="AQ4" i="24"/>
  <c r="AK4" i="24"/>
  <c r="AE4" i="24"/>
  <c r="Y4" i="24"/>
  <c r="S4" i="24"/>
  <c r="M4" i="24"/>
  <c r="G4" i="24"/>
  <c r="BH77" i="20"/>
  <c r="BI76" i="20"/>
  <c r="BJ75" i="20"/>
  <c r="BK74" i="20"/>
  <c r="BN71" i="20"/>
  <c r="BN130" i="20" s="1"/>
  <c r="BB71" i="20"/>
  <c r="BB130" i="20" s="1"/>
  <c r="BQ68" i="20"/>
  <c r="BE68" i="20"/>
  <c r="BR67" i="20"/>
  <c r="BG66" i="20"/>
  <c r="BH65" i="20"/>
  <c r="BL60" i="20"/>
  <c r="BJ59" i="20"/>
  <c r="BM56" i="20"/>
  <c r="BA56" i="20"/>
  <c r="BN55" i="20"/>
  <c r="BB55" i="20"/>
  <c r="BO54" i="20"/>
  <c r="BD53" i="20"/>
  <c r="BE52" i="20"/>
  <c r="BR51" i="20"/>
  <c r="BF51" i="20"/>
  <c r="BG50" i="20"/>
  <c r="BI48" i="20"/>
  <c r="BJ47" i="20"/>
  <c r="BM110" i="20"/>
  <c r="BM108" i="20"/>
  <c r="BA108" i="20"/>
  <c r="BC106" i="20"/>
  <c r="BP105" i="20"/>
  <c r="BD105" i="20"/>
  <c r="BE104" i="20"/>
  <c r="BE120" i="20" s="1"/>
  <c r="CB76" i="20"/>
  <c r="BX68" i="20"/>
  <c r="J3" i="24"/>
  <c r="D3" i="24"/>
  <c r="BJ3" i="24"/>
  <c r="BD3" i="24"/>
  <c r="AX3" i="24"/>
  <c r="AR3" i="24"/>
  <c r="AL3" i="24"/>
  <c r="AF3" i="24"/>
  <c r="Z3" i="24"/>
  <c r="T3" i="24"/>
  <c r="N3" i="24"/>
  <c r="CC3" i="24"/>
  <c r="BW3" i="24"/>
  <c r="BQ3" i="24"/>
  <c r="AP4" i="24"/>
  <c r="AJ4" i="24"/>
  <c r="AD4" i="24"/>
  <c r="X4" i="24"/>
  <c r="R4" i="24"/>
  <c r="L4" i="24"/>
  <c r="F4" i="24"/>
  <c r="AV87" i="20"/>
  <c r="I3" i="24"/>
  <c r="C3" i="24"/>
  <c r="BI3" i="24"/>
  <c r="BC3" i="24"/>
  <c r="AW3" i="24"/>
  <c r="AQ3" i="24"/>
  <c r="AK3" i="24"/>
  <c r="AE3" i="24"/>
  <c r="Y3" i="24"/>
  <c r="S3" i="24"/>
  <c r="CB3" i="24"/>
  <c r="BV3" i="24"/>
  <c r="BP3" i="24"/>
  <c r="AO4" i="24"/>
  <c r="AI4" i="24"/>
  <c r="AC4" i="24"/>
  <c r="W4" i="24"/>
  <c r="Q4" i="24"/>
  <c r="K4" i="24"/>
  <c r="E4" i="24"/>
  <c r="H3" i="24"/>
  <c r="B3" i="24"/>
  <c r="BH3" i="24"/>
  <c r="BB3" i="24"/>
  <c r="AV3" i="24"/>
  <c r="AP3" i="24"/>
  <c r="AJ3" i="24"/>
  <c r="AD3" i="24"/>
  <c r="X3" i="24"/>
  <c r="R3" i="24"/>
  <c r="CG3" i="24"/>
  <c r="CA3" i="24"/>
  <c r="BU3" i="24"/>
  <c r="BO3" i="24"/>
  <c r="AT4" i="24"/>
  <c r="AN4" i="24"/>
  <c r="AH4" i="24"/>
  <c r="AB4" i="24"/>
  <c r="V4" i="24"/>
  <c r="P4" i="24"/>
  <c r="J4" i="24"/>
  <c r="D4" i="24"/>
  <c r="M3" i="24"/>
  <c r="G3" i="24"/>
  <c r="BM3" i="24"/>
  <c r="BG3" i="24"/>
  <c r="BA3" i="24"/>
  <c r="AU3" i="24"/>
  <c r="AO3" i="24"/>
  <c r="AI3" i="24"/>
  <c r="AC3" i="24"/>
  <c r="W3" i="24"/>
  <c r="Q3" i="24"/>
  <c r="CF3" i="24"/>
  <c r="BZ3" i="24"/>
  <c r="BT3" i="24"/>
  <c r="BN3" i="24"/>
  <c r="AS4" i="24"/>
  <c r="AM4" i="24"/>
  <c r="AG4" i="24"/>
  <c r="AA4" i="24"/>
  <c r="U4" i="24"/>
  <c r="O4" i="24"/>
  <c r="I4" i="24"/>
  <c r="C4" i="24"/>
  <c r="EM40" i="12"/>
  <c r="BW65" i="20"/>
  <c r="BX63" i="20"/>
  <c r="BX62" i="20"/>
  <c r="BX60" i="20"/>
  <c r="BX58" i="20"/>
  <c r="BY112" i="20"/>
  <c r="BY128" i="20" s="1"/>
  <c r="CB109" i="20"/>
  <c r="CC108" i="20"/>
  <c r="CD107" i="20"/>
  <c r="CD123" i="20" s="1"/>
  <c r="CE106" i="20"/>
  <c r="AX51" i="20"/>
  <c r="CD67" i="20"/>
  <c r="CE103" i="20"/>
  <c r="BM52" i="20"/>
  <c r="BO50" i="20"/>
  <c r="BP49" i="20"/>
  <c r="BD49" i="20"/>
  <c r="BQ48" i="20"/>
  <c r="BG46" i="20"/>
  <c r="BF113" i="20"/>
  <c r="BG112" i="20"/>
  <c r="BG128" i="20" s="1"/>
  <c r="BH111" i="20"/>
  <c r="AY6" i="20"/>
  <c r="AV27" i="20"/>
  <c r="AV55" i="20"/>
  <c r="BY109" i="20"/>
  <c r="BX57" i="20"/>
  <c r="BV52" i="20"/>
  <c r="BQ77" i="20"/>
  <c r="BK77" i="20"/>
  <c r="BE77" i="20"/>
  <c r="BL76" i="20"/>
  <c r="BF76" i="20"/>
  <c r="BM75" i="20"/>
  <c r="BG75" i="20"/>
  <c r="BN74" i="20"/>
  <c r="BD72" i="20"/>
  <c r="BK71" i="20"/>
  <c r="BK130" i="20" s="1"/>
  <c r="BN68" i="20"/>
  <c r="BH68" i="20"/>
  <c r="BB68" i="20"/>
  <c r="AX27" i="20"/>
  <c r="BO67" i="20"/>
  <c r="BC67" i="20"/>
  <c r="BP66" i="20"/>
  <c r="BJ66" i="20"/>
  <c r="BQ65" i="20"/>
  <c r="BQ124" i="20" s="1"/>
  <c r="BK65" i="20"/>
  <c r="BE65" i="20"/>
  <c r="BE124" i="20" s="1"/>
  <c r="BM63" i="20"/>
  <c r="BG63" i="20"/>
  <c r="BG122" i="20" s="1"/>
  <c r="BA63" i="20"/>
  <c r="BN62" i="20"/>
  <c r="CC62" i="20"/>
  <c r="AW104" i="20"/>
  <c r="AW120" i="20" s="1"/>
  <c r="AT103" i="20"/>
  <c r="BC47" i="20"/>
  <c r="AS62" i="20"/>
  <c r="AS121" i="20" s="1"/>
  <c r="AY18" i="20"/>
  <c r="AS68" i="20"/>
  <c r="AW68" i="20"/>
  <c r="BP70" i="20"/>
  <c r="BD70" i="20"/>
  <c r="BH66" i="20"/>
  <c r="BL62" i="20"/>
  <c r="BN56" i="20"/>
  <c r="BB56" i="20"/>
  <c r="BC55" i="20"/>
  <c r="BF52" i="20"/>
  <c r="BH50" i="20"/>
  <c r="BJ48" i="20"/>
  <c r="BK47" i="20"/>
  <c r="BS111" i="20"/>
  <c r="BA111" i="20"/>
  <c r="BU109" i="20"/>
  <c r="BA109" i="20"/>
  <c r="BB108" i="20"/>
  <c r="BC107" i="20"/>
  <c r="BC123" i="20" s="1"/>
  <c r="BD106" i="20"/>
  <c r="BQ105" i="20"/>
  <c r="BF104" i="20"/>
  <c r="BF120" i="20" s="1"/>
  <c r="AX88" i="20"/>
  <c r="BX53" i="20"/>
  <c r="BX52" i="20"/>
  <c r="BX51" i="20"/>
  <c r="BX48" i="20"/>
  <c r="BX47" i="20"/>
  <c r="BX46" i="20"/>
  <c r="BX77" i="20"/>
  <c r="BY76" i="20"/>
  <c r="BX71" i="20"/>
  <c r="BX130" i="20" s="1"/>
  <c r="CE70" i="20"/>
  <c r="BY70" i="20"/>
  <c r="BX65" i="20"/>
  <c r="BY60" i="20"/>
  <c r="BY113" i="20"/>
  <c r="CA111" i="20"/>
  <c r="CC109" i="20"/>
  <c r="BW109" i="20"/>
  <c r="CD108" i="20"/>
  <c r="BX108" i="20"/>
  <c r="CE107" i="20"/>
  <c r="CE123" i="20" s="1"/>
  <c r="BS74" i="20"/>
  <c r="CE90" i="20"/>
  <c r="AT26" i="20"/>
  <c r="BA77" i="20"/>
  <c r="AX107" i="20"/>
  <c r="AX123" i="20" s="1"/>
  <c r="BM88" i="20"/>
  <c r="BN87" i="20"/>
  <c r="AZ46" i="20"/>
  <c r="Z130" i="20"/>
  <c r="N130" i="20"/>
  <c r="AL130" i="20"/>
  <c r="AS11" i="20"/>
  <c r="AW52" i="20"/>
  <c r="AS88" i="20"/>
  <c r="V81" i="12"/>
  <c r="V80" i="12"/>
  <c r="CP79" i="12"/>
  <c r="AX103" i="20"/>
  <c r="AT109" i="20"/>
  <c r="AT125" i="20" s="1"/>
  <c r="AX130" i="20"/>
  <c r="BG103" i="20"/>
  <c r="BW70" i="20"/>
  <c r="CA66" i="20"/>
  <c r="CD112" i="20"/>
  <c r="CD128" i="20" s="1"/>
  <c r="CE94" i="20"/>
  <c r="BX106" i="20"/>
  <c r="BB103" i="20"/>
  <c r="AV110" i="20"/>
  <c r="BW55" i="20"/>
  <c r="BW49" i="20"/>
  <c r="BW47" i="20"/>
  <c r="BW77" i="20"/>
  <c r="CB72" i="20"/>
  <c r="CD111" i="20"/>
  <c r="CE110" i="20"/>
  <c r="BX105" i="20"/>
  <c r="BZ103" i="20"/>
  <c r="AZ111" i="20"/>
  <c r="AV76" i="20"/>
  <c r="BU68" i="20"/>
  <c r="BZ95" i="20"/>
  <c r="BS107" i="20"/>
  <c r="BS123" i="20" s="1"/>
  <c r="BX89" i="20"/>
  <c r="BY88" i="20"/>
  <c r="BZ87" i="20"/>
  <c r="CF10" i="20"/>
  <c r="AV75" i="20"/>
  <c r="AV15" i="20"/>
  <c r="AZ50" i="20"/>
  <c r="BS106" i="20"/>
  <c r="BU104" i="20"/>
  <c r="BU120" i="20" s="1"/>
  <c r="BY56" i="20"/>
  <c r="BY50" i="20"/>
  <c r="BN103" i="20"/>
  <c r="BX76" i="20"/>
  <c r="BN109" i="20"/>
  <c r="BE48" i="20"/>
  <c r="BA110" i="20"/>
  <c r="BK46" i="20"/>
  <c r="AV94" i="20"/>
  <c r="AU9" i="20"/>
  <c r="BB51" i="20"/>
  <c r="BI108" i="20"/>
  <c r="AT112" i="20"/>
  <c r="AT128" i="20" s="1"/>
  <c r="BA104" i="20"/>
  <c r="BA120" i="20" s="1"/>
  <c r="AS18" i="20"/>
  <c r="BK62" i="20"/>
  <c r="BC70" i="20"/>
  <c r="BC54" i="20"/>
  <c r="CD91" i="20"/>
  <c r="BH60" i="20"/>
  <c r="AV50" i="20"/>
  <c r="BA68" i="20"/>
  <c r="AS34" i="20"/>
  <c r="AS22" i="20"/>
  <c r="AR76" i="20"/>
  <c r="AU93" i="20"/>
  <c r="BK112" i="20"/>
  <c r="BK128" i="20" s="1"/>
  <c r="BM104" i="20"/>
  <c r="BM120" i="20" s="1"/>
  <c r="BH49" i="20"/>
  <c r="BC66" i="20"/>
  <c r="BM72" i="20"/>
  <c r="BJ113" i="20"/>
  <c r="AV22" i="20"/>
  <c r="AV6" i="20"/>
  <c r="O130" i="20"/>
  <c r="AM130" i="20"/>
  <c r="AX55" i="20"/>
  <c r="AY106" i="20"/>
  <c r="BT105" i="20"/>
  <c r="AV18" i="20"/>
  <c r="CB93" i="20"/>
  <c r="BF59" i="20"/>
  <c r="BC50" i="20"/>
  <c r="BA52" i="20"/>
  <c r="BJ91" i="20"/>
  <c r="AS97" i="20"/>
  <c r="BD65" i="20"/>
  <c r="BI94" i="20"/>
  <c r="AS6" i="20"/>
  <c r="BO106" i="20"/>
  <c r="AY9" i="20"/>
  <c r="BN51" i="20"/>
  <c r="BF130" i="20"/>
  <c r="BL57" i="20"/>
  <c r="BA72" i="20"/>
  <c r="BN107" i="20"/>
  <c r="BN123" i="20" s="1"/>
  <c r="BK90" i="20"/>
  <c r="AY13" i="20"/>
  <c r="AV34" i="20"/>
  <c r="BI110" i="20"/>
  <c r="BU76" i="20"/>
  <c r="U130" i="20"/>
  <c r="BQ104" i="20"/>
  <c r="BQ120" i="20" s="1"/>
  <c r="AT17" i="20"/>
  <c r="BJ63" i="20"/>
  <c r="BF67" i="20"/>
  <c r="AW108" i="20"/>
  <c r="BW106" i="20"/>
  <c r="BF103" i="20"/>
  <c r="BF47" i="20"/>
  <c r="I130" i="20"/>
  <c r="AG130" i="20"/>
  <c r="BL89" i="20"/>
  <c r="BQ52" i="20"/>
  <c r="J130" i="20"/>
  <c r="AH130" i="20"/>
  <c r="AW56" i="20"/>
  <c r="CC92" i="20"/>
  <c r="AA130" i="20"/>
  <c r="AT5" i="20"/>
  <c r="V130" i="20"/>
  <c r="AT33" i="20"/>
  <c r="AT21" i="20"/>
  <c r="AR9" i="20"/>
  <c r="BL105" i="20"/>
  <c r="BI92" i="20"/>
  <c r="AT130" i="20"/>
  <c r="CA77" i="20"/>
  <c r="CH14" i="20"/>
  <c r="BZ77" i="20"/>
  <c r="CA76" i="20"/>
  <c r="CF12" i="20"/>
  <c r="BE105" i="20"/>
  <c r="BD50" i="20"/>
  <c r="BO109" i="20"/>
  <c r="AU24" i="20"/>
  <c r="AT97" i="20"/>
  <c r="AU5" i="20"/>
  <c r="BN108" i="20"/>
  <c r="BK63" i="20"/>
  <c r="AY62" i="20"/>
  <c r="AW30" i="20"/>
  <c r="AX29" i="20"/>
  <c r="AW55" i="20"/>
  <c r="AX54" i="20"/>
  <c r="AY53" i="20"/>
  <c r="AZ11" i="20"/>
  <c r="BA10" i="20"/>
  <c r="AV51" i="20"/>
  <c r="BA105" i="20"/>
  <c r="AT75" i="20"/>
  <c r="CB108" i="20"/>
  <c r="BK107" i="20"/>
  <c r="BK123" i="20" s="1"/>
  <c r="BG90" i="20"/>
  <c r="BD66" i="20"/>
  <c r="BG67" i="20"/>
  <c r="CC96" i="20"/>
  <c r="CD6" i="20"/>
  <c r="CB77" i="20"/>
  <c r="BY62" i="20"/>
  <c r="BZ104" i="20"/>
  <c r="BZ120" i="20" s="1"/>
  <c r="CB110" i="20"/>
  <c r="CC88" i="20"/>
  <c r="BJ56" i="20"/>
  <c r="AX59" i="20"/>
  <c r="AY112" i="20"/>
  <c r="AY128" i="20" s="1"/>
  <c r="BE88" i="20"/>
  <c r="BC90" i="20"/>
  <c r="BF48" i="20"/>
  <c r="BM105" i="20"/>
  <c r="BB52" i="20"/>
  <c r="CB89" i="20"/>
  <c r="AT113" i="20"/>
  <c r="AT129" i="20" s="1"/>
  <c r="BK59" i="20"/>
  <c r="BQ88" i="20"/>
  <c r="AU46" i="20"/>
  <c r="BH62" i="20"/>
  <c r="BH121" i="20" s="1"/>
  <c r="AX39" i="21"/>
  <c r="AT80" i="20" s="1"/>
  <c r="BY59" i="20"/>
  <c r="BU105" i="20"/>
  <c r="CE111" i="20"/>
  <c r="BY105" i="20"/>
  <c r="BI65" i="20"/>
  <c r="BN93" i="20"/>
  <c r="AX47" i="20"/>
  <c r="BN110" i="20"/>
  <c r="BQ92" i="20"/>
  <c r="BJ87" i="20"/>
  <c r="AS76" i="20"/>
  <c r="AW91" i="20"/>
  <c r="AY105" i="20"/>
  <c r="AZ88" i="20"/>
  <c r="AV10" i="20"/>
  <c r="AT22" i="20"/>
  <c r="BF87" i="20"/>
  <c r="AX63" i="20"/>
  <c r="BQ94" i="20"/>
  <c r="AU58" i="20"/>
  <c r="BC103" i="20"/>
  <c r="AT47" i="20"/>
  <c r="BL70" i="20"/>
  <c r="AX75" i="20"/>
  <c r="BW66" i="20"/>
  <c r="BO107" i="20"/>
  <c r="BO123" i="20" s="1"/>
  <c r="BD54" i="20"/>
  <c r="BG47" i="20"/>
  <c r="CH12" i="20"/>
  <c r="CH10" i="20"/>
  <c r="CH8" i="20"/>
  <c r="CH6" i="20"/>
  <c r="BM60" i="20"/>
  <c r="BM94" i="20"/>
  <c r="AW48" i="20"/>
  <c r="BO103" i="20"/>
  <c r="BQ53" i="20"/>
  <c r="CD87" i="20"/>
  <c r="BL58" i="20"/>
  <c r="AR24" i="20"/>
  <c r="AV40" i="21"/>
  <c r="AR81" i="20" s="1"/>
  <c r="AV38" i="21"/>
  <c r="AR38" i="20" s="1"/>
  <c r="BP89" i="20"/>
  <c r="AW87" i="20"/>
  <c r="AW9" i="20"/>
  <c r="BA46" i="20"/>
  <c r="BO110" i="20"/>
  <c r="BH90" i="20"/>
  <c r="BR105" i="20"/>
  <c r="BI89" i="20"/>
  <c r="BM87" i="20"/>
  <c r="EO40" i="12"/>
  <c r="BE103" i="20"/>
  <c r="BR71" i="20"/>
  <c r="BR130" i="20" s="1"/>
  <c r="BR65" i="20"/>
  <c r="BB63" i="20"/>
  <c r="BC62" i="20"/>
  <c r="BZ70" i="20"/>
  <c r="BX66" i="20"/>
  <c r="BY65" i="20"/>
  <c r="BX109" i="20"/>
  <c r="BZ107" i="20"/>
  <c r="BZ123" i="20" s="1"/>
  <c r="BW104" i="20"/>
  <c r="BW120" i="20" s="1"/>
  <c r="BW108" i="20"/>
  <c r="CC113" i="20"/>
  <c r="BP92" i="20"/>
  <c r="BD92" i="20"/>
  <c r="BY107" i="20"/>
  <c r="BY123" i="20" s="1"/>
  <c r="CD88" i="20"/>
  <c r="AU94" i="20"/>
  <c r="BI58" i="20"/>
  <c r="V122" i="20"/>
  <c r="BS40" i="21"/>
  <c r="BS81" i="20" s="1"/>
  <c r="BG40" i="21"/>
  <c r="BS39" i="21"/>
  <c r="BI39" i="21"/>
  <c r="BG39" i="21"/>
  <c r="BE39" i="21"/>
  <c r="CC80" i="12"/>
  <c r="CF79" i="12"/>
  <c r="BK75" i="20"/>
  <c r="BL74" i="20"/>
  <c r="BN72" i="20"/>
  <c r="BB72" i="20"/>
  <c r="BC71" i="20"/>
  <c r="BC130" i="20" s="1"/>
  <c r="AW26" i="20"/>
  <c r="AX25" i="20"/>
  <c r="BA60" i="20"/>
  <c r="AU17" i="20"/>
  <c r="BM57" i="20"/>
  <c r="BA57" i="20"/>
  <c r="BO55" i="20"/>
  <c r="AY14" i="20"/>
  <c r="BP54" i="20"/>
  <c r="BE53" i="20"/>
  <c r="BR52" i="20"/>
  <c r="BG51" i="20"/>
  <c r="BI49" i="20"/>
  <c r="BL46" i="20"/>
  <c r="BL112" i="20"/>
  <c r="BL128" i="20" s="1"/>
  <c r="BB110" i="20"/>
  <c r="BE109" i="20"/>
  <c r="BE92" i="20"/>
  <c r="BF91" i="20"/>
  <c r="BS90" i="20"/>
  <c r="BH89" i="20"/>
  <c r="BU88" i="20"/>
  <c r="BI88" i="20"/>
  <c r="BI87" i="20"/>
  <c r="AZ105" i="20"/>
  <c r="AV35" i="20"/>
  <c r="AZ57" i="20"/>
  <c r="BV67" i="20"/>
  <c r="BS62" i="20"/>
  <c r="BS59" i="20"/>
  <c r="BT112" i="20"/>
  <c r="BT128" i="20" s="1"/>
  <c r="BU111" i="20"/>
  <c r="BV110" i="20"/>
  <c r="BZ90" i="20"/>
  <c r="CA105" i="20"/>
  <c r="BW103" i="20"/>
  <c r="BT42" i="21"/>
  <c r="BP42" i="21"/>
  <c r="BJ88" i="20"/>
  <c r="BY75" i="20"/>
  <c r="CF14" i="20"/>
  <c r="CF8" i="20"/>
  <c r="E127" i="20"/>
  <c r="CG14" i="20"/>
  <c r="CG12" i="20"/>
  <c r="CG10" i="20"/>
  <c r="CG8" i="20"/>
  <c r="CG6" i="20"/>
  <c r="AZ70" i="20"/>
  <c r="CD77" i="20"/>
  <c r="CG36" i="20"/>
  <c r="CK36" i="20"/>
  <c r="CH77" i="20"/>
  <c r="CE76" i="20"/>
  <c r="CL35" i="20"/>
  <c r="CH35" i="20"/>
  <c r="CI76" i="20"/>
  <c r="CC72" i="20"/>
  <c r="CJ31" i="20"/>
  <c r="CF31" i="20"/>
  <c r="CG72" i="20"/>
  <c r="CD71" i="20"/>
  <c r="CD130" i="20" s="1"/>
  <c r="CH71" i="20"/>
  <c r="CH130" i="20" s="1"/>
  <c r="CG30" i="20"/>
  <c r="CK30" i="20"/>
  <c r="CL29" i="20"/>
  <c r="CH29" i="20"/>
  <c r="CI70" i="20"/>
  <c r="CB67" i="20"/>
  <c r="CF67" i="20"/>
  <c r="CI26" i="20"/>
  <c r="CC66" i="20"/>
  <c r="CF25" i="20"/>
  <c r="CG66" i="20"/>
  <c r="CJ25" i="20"/>
  <c r="CD65" i="20"/>
  <c r="CK24" i="20"/>
  <c r="CG24" i="20"/>
  <c r="CH65" i="20"/>
  <c r="CE113" i="20"/>
  <c r="CL97" i="20"/>
  <c r="CH97" i="20"/>
  <c r="CI113" i="20"/>
  <c r="CI94" i="20"/>
  <c r="CF110" i="20"/>
  <c r="CG109" i="20"/>
  <c r="CF93" i="20"/>
  <c r="CJ93" i="20"/>
  <c r="CG92" i="20"/>
  <c r="CH108" i="20"/>
  <c r="CK92" i="20"/>
  <c r="CH91" i="20"/>
  <c r="CI107" i="20"/>
  <c r="CI123" i="20" s="1"/>
  <c r="CL91" i="20"/>
  <c r="CB88" i="20"/>
  <c r="CF104" i="20"/>
  <c r="CF120" i="20" s="1"/>
  <c r="CI88" i="20"/>
  <c r="CC103" i="20"/>
  <c r="CF87" i="20"/>
  <c r="CJ87" i="20"/>
  <c r="CG103" i="20"/>
  <c r="CF56" i="20"/>
  <c r="CI15" i="20"/>
  <c r="CI13" i="20"/>
  <c r="CF54" i="20"/>
  <c r="CF52" i="20"/>
  <c r="CI11" i="20"/>
  <c r="CF50" i="20"/>
  <c r="CI9" i="20"/>
  <c r="CF48" i="20"/>
  <c r="CI7" i="20"/>
  <c r="CF46" i="20"/>
  <c r="CI5" i="20"/>
  <c r="AR10" i="20"/>
  <c r="AR36" i="20"/>
  <c r="BR68" i="20"/>
  <c r="EL40" i="12"/>
  <c r="EO39" i="12"/>
  <c r="EM38" i="12"/>
  <c r="CF36" i="20"/>
  <c r="CJ36" i="20"/>
  <c r="CG77" i="20"/>
  <c r="CG35" i="20"/>
  <c r="CK35" i="20"/>
  <c r="CH76" i="20"/>
  <c r="CI75" i="20"/>
  <c r="CH34" i="20"/>
  <c r="CL34" i="20"/>
  <c r="CI31" i="20"/>
  <c r="CF72" i="20"/>
  <c r="CJ30" i="20"/>
  <c r="CF30" i="20"/>
  <c r="CG71" i="20"/>
  <c r="CG130" i="20" s="1"/>
  <c r="CH70" i="20"/>
  <c r="CG29" i="20"/>
  <c r="CK29" i="20"/>
  <c r="CI25" i="20"/>
  <c r="CF66" i="20"/>
  <c r="CG65" i="20"/>
  <c r="CJ24" i="20"/>
  <c r="CF24" i="20"/>
  <c r="CI63" i="20"/>
  <c r="CH22" i="20"/>
  <c r="CL22" i="20"/>
  <c r="CI62" i="20"/>
  <c r="CL21" i="20"/>
  <c r="CH21" i="20"/>
  <c r="CI60" i="20"/>
  <c r="CH19" i="20"/>
  <c r="CL19" i="20"/>
  <c r="CI59" i="20"/>
  <c r="CH18" i="20"/>
  <c r="CL18" i="20"/>
  <c r="CH17" i="20"/>
  <c r="CI58" i="20"/>
  <c r="CL17" i="20"/>
  <c r="CI57" i="20"/>
  <c r="CL16" i="20"/>
  <c r="CH16" i="20"/>
  <c r="CH113" i="20"/>
  <c r="CG97" i="20"/>
  <c r="CK97" i="20"/>
  <c r="CI112" i="20"/>
  <c r="CI128" i="20" s="1"/>
  <c r="CL96" i="20"/>
  <c r="CH96" i="20"/>
  <c r="CI93" i="20"/>
  <c r="CF109" i="20"/>
  <c r="CJ92" i="20"/>
  <c r="CG108" i="20"/>
  <c r="CF92" i="20"/>
  <c r="CK91" i="20"/>
  <c r="CG91" i="20"/>
  <c r="CH107" i="20"/>
  <c r="CH123" i="20" s="1"/>
  <c r="CI106" i="20"/>
  <c r="CH90" i="20"/>
  <c r="CL90" i="20"/>
  <c r="CF103" i="20"/>
  <c r="CI87" i="20"/>
  <c r="CF15" i="20"/>
  <c r="CF9" i="20"/>
  <c r="CH15" i="20"/>
  <c r="CH13" i="20"/>
  <c r="CH11" i="20"/>
  <c r="CH9" i="20"/>
  <c r="CE48" i="20"/>
  <c r="CH7" i="20"/>
  <c r="CE46" i="20"/>
  <c r="CH5" i="20"/>
  <c r="V129" i="20"/>
  <c r="BJ76" i="20"/>
  <c r="AU16" i="20"/>
  <c r="AU27" i="20"/>
  <c r="AW76" i="20"/>
  <c r="AR51" i="20"/>
  <c r="AR77" i="20"/>
  <c r="F21" i="5"/>
  <c r="F24" i="5"/>
  <c r="F27" i="5"/>
  <c r="F30" i="5"/>
  <c r="F19" i="5"/>
  <c r="F25" i="5"/>
  <c r="F31" i="5"/>
  <c r="F22" i="5"/>
  <c r="F28" i="5"/>
  <c r="F20" i="5"/>
  <c r="F23" i="5"/>
  <c r="F26" i="5"/>
  <c r="F29" i="5"/>
  <c r="F32" i="5"/>
  <c r="BH70" i="21"/>
  <c r="BK93" i="20" s="1"/>
  <c r="X80" i="12"/>
  <c r="EN39" i="12"/>
  <c r="EL38" i="12"/>
  <c r="AY34" i="20"/>
  <c r="AY22" i="20"/>
  <c r="BC77" i="20"/>
  <c r="BP76" i="20"/>
  <c r="BD76" i="20"/>
  <c r="BE75" i="20"/>
  <c r="BF74" i="20"/>
  <c r="BH72" i="20"/>
  <c r="BI71" i="20"/>
  <c r="BI130" i="20" s="1"/>
  <c r="BJ70" i="20"/>
  <c r="BL68" i="20"/>
  <c r="BM67" i="20"/>
  <c r="BA67" i="20"/>
  <c r="BN66" i="20"/>
  <c r="BB66" i="20"/>
  <c r="BO65" i="20"/>
  <c r="BC65" i="20"/>
  <c r="BQ63" i="20"/>
  <c r="BE63" i="20"/>
  <c r="BF62" i="20"/>
  <c r="BG60" i="20"/>
  <c r="BE59" i="20"/>
  <c r="BR58" i="20"/>
  <c r="BF58" i="20"/>
  <c r="BG57" i="20"/>
  <c r="AW16" i="20"/>
  <c r="BH56" i="20"/>
  <c r="AX15" i="20"/>
  <c r="BI55" i="20"/>
  <c r="BJ54" i="20"/>
  <c r="BK53" i="20"/>
  <c r="BL52" i="20"/>
  <c r="BM51" i="20"/>
  <c r="BN50" i="20"/>
  <c r="BB50" i="20"/>
  <c r="BC49" i="20"/>
  <c r="BD48" i="20"/>
  <c r="BQ47" i="20"/>
  <c r="BE47" i="20"/>
  <c r="BF46" i="20"/>
  <c r="BQ113" i="20"/>
  <c r="BE113" i="20"/>
  <c r="BR112" i="20"/>
  <c r="BR128" i="20" s="1"/>
  <c r="BF112" i="20"/>
  <c r="BF128" i="20" s="1"/>
  <c r="BG111" i="20"/>
  <c r="AW95" i="20"/>
  <c r="BH110" i="20"/>
  <c r="BI109" i="20"/>
  <c r="BH108" i="20"/>
  <c r="BI107" i="20"/>
  <c r="BI123" i="20" s="1"/>
  <c r="BJ106" i="20"/>
  <c r="BK105" i="20"/>
  <c r="BL104" i="20"/>
  <c r="BL120" i="20" s="1"/>
  <c r="AZ109" i="20"/>
  <c r="AZ74" i="20"/>
  <c r="AZ62" i="20"/>
  <c r="BV51" i="20"/>
  <c r="BV47" i="20"/>
  <c r="CF77" i="20"/>
  <c r="CI36" i="20"/>
  <c r="CF35" i="20"/>
  <c r="CG76" i="20"/>
  <c r="CJ35" i="20"/>
  <c r="BW76" i="20"/>
  <c r="CG34" i="20"/>
  <c r="CK34" i="20"/>
  <c r="CH75" i="20"/>
  <c r="CL33" i="20"/>
  <c r="CH33" i="20"/>
  <c r="CI74" i="20"/>
  <c r="CF71" i="20"/>
  <c r="CF130" i="20" s="1"/>
  <c r="CI30" i="20"/>
  <c r="CJ29" i="20"/>
  <c r="CF29" i="20"/>
  <c r="CG70" i="20"/>
  <c r="CI68" i="20"/>
  <c r="CL27" i="20"/>
  <c r="CH27" i="20"/>
  <c r="CF65" i="20"/>
  <c r="CI24" i="20"/>
  <c r="CH63" i="20"/>
  <c r="CG22" i="20"/>
  <c r="CK22" i="20"/>
  <c r="BW63" i="20"/>
  <c r="CG21" i="20"/>
  <c r="CH62" i="20"/>
  <c r="CK21" i="20"/>
  <c r="BW62" i="20"/>
  <c r="CK19" i="20"/>
  <c r="CG19" i="20"/>
  <c r="CH60" i="20"/>
  <c r="BW60" i="20"/>
  <c r="CH59" i="20"/>
  <c r="CG18" i="20"/>
  <c r="CK18" i="20"/>
  <c r="CH58" i="20"/>
  <c r="CG17" i="20"/>
  <c r="CK17" i="20"/>
  <c r="BW58" i="20"/>
  <c r="CK16" i="20"/>
  <c r="CH57" i="20"/>
  <c r="CG16" i="20"/>
  <c r="BW57" i="20"/>
  <c r="CF97" i="20"/>
  <c r="CG113" i="20"/>
  <c r="CJ97" i="20"/>
  <c r="BW113" i="20"/>
  <c r="CK96" i="20"/>
  <c r="CG96" i="20"/>
  <c r="CH112" i="20"/>
  <c r="CH128" i="20" s="1"/>
  <c r="CL95" i="20"/>
  <c r="CH95" i="20"/>
  <c r="CI111" i="20"/>
  <c r="BY111" i="20"/>
  <c r="BZ110" i="20"/>
  <c r="CB92" i="20"/>
  <c r="CF108" i="20"/>
  <c r="CI92" i="20"/>
  <c r="CC107" i="20"/>
  <c r="CC123" i="20" s="1"/>
  <c r="CG107" i="20"/>
  <c r="CG123" i="20" s="1"/>
  <c r="CJ91" i="20"/>
  <c r="CF91" i="20"/>
  <c r="CD106" i="20"/>
  <c r="CH106" i="20"/>
  <c r="CK90" i="20"/>
  <c r="CG90" i="20"/>
  <c r="CE105" i="20"/>
  <c r="CL89" i="20"/>
  <c r="CI105" i="20"/>
  <c r="CH89" i="20"/>
  <c r="CG15" i="20"/>
  <c r="CG13" i="20"/>
  <c r="CG11" i="20"/>
  <c r="CG9" i="20"/>
  <c r="CG7" i="20"/>
  <c r="CG5" i="20"/>
  <c r="AT18" i="20"/>
  <c r="AR97" i="20"/>
  <c r="AS7" i="20"/>
  <c r="BO71" i="20"/>
  <c r="BO130" i="20" s="1"/>
  <c r="AU74" i="20"/>
  <c r="BF68" i="20"/>
  <c r="BJ72" i="20"/>
  <c r="EM39" i="12"/>
  <c r="BC87" i="20"/>
  <c r="CF76" i="20"/>
  <c r="CI35" i="20"/>
  <c r="CJ34" i="20"/>
  <c r="CF34" i="20"/>
  <c r="CG75" i="20"/>
  <c r="CK33" i="20"/>
  <c r="CH74" i="20"/>
  <c r="CG33" i="20"/>
  <c r="CF70" i="20"/>
  <c r="CI29" i="20"/>
  <c r="CH68" i="20"/>
  <c r="CG27" i="20"/>
  <c r="CK27" i="20"/>
  <c r="CL26" i="20"/>
  <c r="CH26" i="20"/>
  <c r="CI67" i="20"/>
  <c r="CJ22" i="20"/>
  <c r="CF22" i="20"/>
  <c r="CG63" i="20"/>
  <c r="CG62" i="20"/>
  <c r="CJ21" i="20"/>
  <c r="CF21" i="20"/>
  <c r="BZ62" i="20"/>
  <c r="CJ19" i="20"/>
  <c r="CF19" i="20"/>
  <c r="CG60" i="20"/>
  <c r="CG59" i="20"/>
  <c r="CF18" i="20"/>
  <c r="CJ18" i="20"/>
  <c r="CF17" i="20"/>
  <c r="CG58" i="20"/>
  <c r="CJ17" i="20"/>
  <c r="CG57" i="20"/>
  <c r="CF16" i="20"/>
  <c r="CJ16" i="20"/>
  <c r="CF113" i="20"/>
  <c r="CI97" i="20"/>
  <c r="CJ96" i="20"/>
  <c r="CF96" i="20"/>
  <c r="CG112" i="20"/>
  <c r="CG128" i="20" s="1"/>
  <c r="CH111" i="20"/>
  <c r="CK95" i="20"/>
  <c r="CG95" i="20"/>
  <c r="CH94" i="20"/>
  <c r="CI110" i="20"/>
  <c r="CL94" i="20"/>
  <c r="CI91" i="20"/>
  <c r="CF107" i="20"/>
  <c r="CF123" i="20" s="1"/>
  <c r="CG106" i="20"/>
  <c r="CJ90" i="20"/>
  <c r="CF90" i="20"/>
  <c r="CK89" i="20"/>
  <c r="CG89" i="20"/>
  <c r="CH105" i="20"/>
  <c r="CI104" i="20"/>
  <c r="CI120" i="20" s="1"/>
  <c r="CL88" i="20"/>
  <c r="CH88" i="20"/>
  <c r="CF13" i="20"/>
  <c r="CF7" i="20"/>
  <c r="CF55" i="20"/>
  <c r="CI14" i="20"/>
  <c r="CI12" i="20"/>
  <c r="CF53" i="20"/>
  <c r="CI10" i="20"/>
  <c r="CF51" i="20"/>
  <c r="CI8" i="20"/>
  <c r="CF49" i="20"/>
  <c r="CF47" i="20"/>
  <c r="CI6" i="20"/>
  <c r="Z125" i="20"/>
  <c r="BO90" i="20"/>
  <c r="BB104" i="20"/>
  <c r="BB120" i="20" s="1"/>
  <c r="BP106" i="20"/>
  <c r="BI77" i="20"/>
  <c r="BH74" i="20"/>
  <c r="BS51" i="20"/>
  <c r="BT89" i="20"/>
  <c r="BR40" i="21"/>
  <c r="BT39" i="21"/>
  <c r="BQ38" i="21"/>
  <c r="EL39" i="12"/>
  <c r="BG77" i="20"/>
  <c r="BH76" i="20"/>
  <c r="AX35" i="20"/>
  <c r="BI75" i="20"/>
  <c r="AW34" i="20"/>
  <c r="BJ74" i="20"/>
  <c r="AX33" i="20"/>
  <c r="BL72" i="20"/>
  <c r="BM71" i="20"/>
  <c r="BM130" i="20" s="1"/>
  <c r="BA71" i="20"/>
  <c r="BA130" i="20" s="1"/>
  <c r="BN70" i="20"/>
  <c r="BD68" i="20"/>
  <c r="BQ67" i="20"/>
  <c r="BQ126" i="20" s="1"/>
  <c r="BE67" i="20"/>
  <c r="BE126" i="20" s="1"/>
  <c r="BF66" i="20"/>
  <c r="BG65" i="20"/>
  <c r="BI63" i="20"/>
  <c r="AW22" i="20"/>
  <c r="BJ62" i="20"/>
  <c r="AX21" i="20"/>
  <c r="BK60" i="20"/>
  <c r="BI59" i="20"/>
  <c r="BJ58" i="20"/>
  <c r="BK57" i="20"/>
  <c r="BL56" i="20"/>
  <c r="AZ15" i="20"/>
  <c r="BM55" i="20"/>
  <c r="BN54" i="20"/>
  <c r="BB13" i="20"/>
  <c r="BO53" i="20"/>
  <c r="BC53" i="20"/>
  <c r="BP52" i="20"/>
  <c r="BD52" i="20"/>
  <c r="BQ51" i="20"/>
  <c r="BE51" i="20"/>
  <c r="BF50" i="20"/>
  <c r="AV9" i="20"/>
  <c r="BG49" i="20"/>
  <c r="BH48" i="20"/>
  <c r="AX7" i="20"/>
  <c r="BI47" i="20"/>
  <c r="AW47" i="20"/>
  <c r="BJ46" i="20"/>
  <c r="AX46" i="20"/>
  <c r="BI113" i="20"/>
  <c r="AX112" i="20"/>
  <c r="AX128" i="20" s="1"/>
  <c r="BK111" i="20"/>
  <c r="AY111" i="20"/>
  <c r="BL94" i="20"/>
  <c r="AZ110" i="20"/>
  <c r="BM109" i="20"/>
  <c r="AY109" i="20"/>
  <c r="AZ92" i="20"/>
  <c r="BM107" i="20"/>
  <c r="BM123" i="20" s="1"/>
  <c r="BA107" i="20"/>
  <c r="BA123" i="20" s="1"/>
  <c r="BB106" i="20"/>
  <c r="BC105" i="20"/>
  <c r="BD104" i="20"/>
  <c r="BD120" i="20" s="1"/>
  <c r="AV97" i="20"/>
  <c r="AZ66" i="20"/>
  <c r="AZ53" i="20"/>
  <c r="BT54" i="20"/>
  <c r="BT50" i="20"/>
  <c r="BT46" i="20"/>
  <c r="CI34" i="20"/>
  <c r="CF75" i="20"/>
  <c r="CF33" i="20"/>
  <c r="CG74" i="20"/>
  <c r="CJ33" i="20"/>
  <c r="CI72" i="20"/>
  <c r="CL31" i="20"/>
  <c r="CH31" i="20"/>
  <c r="CF27" i="20"/>
  <c r="CG68" i="20"/>
  <c r="CJ27" i="20"/>
  <c r="CG26" i="20"/>
  <c r="CH67" i="20"/>
  <c r="CK26" i="20"/>
  <c r="CL25" i="20"/>
  <c r="CH25" i="20"/>
  <c r="CI66" i="20"/>
  <c r="BZ65" i="20"/>
  <c r="CF63" i="20"/>
  <c r="CI22" i="20"/>
  <c r="CB62" i="20"/>
  <c r="CI21" i="20"/>
  <c r="CF62" i="20"/>
  <c r="CB60" i="20"/>
  <c r="CI19" i="20"/>
  <c r="CF60" i="20"/>
  <c r="CB59" i="20"/>
  <c r="CF59" i="20"/>
  <c r="CI18" i="20"/>
  <c r="CI17" i="20"/>
  <c r="CF58" i="20"/>
  <c r="CB57" i="20"/>
  <c r="CI16" i="20"/>
  <c r="CF57" i="20"/>
  <c r="CA97" i="20"/>
  <c r="CB96" i="20"/>
  <c r="CI96" i="20"/>
  <c r="CF112" i="20"/>
  <c r="CF128" i="20" s="1"/>
  <c r="CF95" i="20"/>
  <c r="CG111" i="20"/>
  <c r="CJ95" i="20"/>
  <c r="CD94" i="20"/>
  <c r="CG94" i="20"/>
  <c r="CH110" i="20"/>
  <c r="CK94" i="20"/>
  <c r="CE109" i="20"/>
  <c r="CH93" i="20"/>
  <c r="CI109" i="20"/>
  <c r="CL93" i="20"/>
  <c r="BS109" i="20"/>
  <c r="CF106" i="20"/>
  <c r="CI90" i="20"/>
  <c r="CG105" i="20"/>
  <c r="CJ89" i="20"/>
  <c r="CF89" i="20"/>
  <c r="BW89" i="20"/>
  <c r="CH104" i="20"/>
  <c r="CH120" i="20" s="1"/>
  <c r="CK88" i="20"/>
  <c r="CG88" i="20"/>
  <c r="BX104" i="20"/>
  <c r="BX120" i="20" s="1"/>
  <c r="CI103" i="20"/>
  <c r="CL87" i="20"/>
  <c r="CH87" i="20"/>
  <c r="CC47" i="20"/>
  <c r="CF6" i="20"/>
  <c r="BD42" i="21"/>
  <c r="BR42" i="21"/>
  <c r="AT122" i="20"/>
  <c r="E121" i="20"/>
  <c r="EN40" i="12"/>
  <c r="EO38" i="12"/>
  <c r="AS130" i="20"/>
  <c r="AY66" i="20"/>
  <c r="BJ57" i="20"/>
  <c r="CI77" i="20"/>
  <c r="CL36" i="20"/>
  <c r="CH36" i="20"/>
  <c r="CF74" i="20"/>
  <c r="CI33" i="20"/>
  <c r="CD72" i="20"/>
  <c r="CH72" i="20"/>
  <c r="CK31" i="20"/>
  <c r="CG31" i="20"/>
  <c r="CE71" i="20"/>
  <c r="CE130" i="20" s="1"/>
  <c r="CH30" i="20"/>
  <c r="CL30" i="20"/>
  <c r="CI71" i="20"/>
  <c r="CI130" i="20" s="1"/>
  <c r="CI27" i="20"/>
  <c r="CF68" i="20"/>
  <c r="CG67" i="20"/>
  <c r="CJ26" i="20"/>
  <c r="CF26" i="20"/>
  <c r="CH66" i="20"/>
  <c r="CK25" i="20"/>
  <c r="CG25" i="20"/>
  <c r="CH24" i="20"/>
  <c r="CI65" i="20"/>
  <c r="CL24" i="20"/>
  <c r="CI95" i="20"/>
  <c r="CF111" i="20"/>
  <c r="CF94" i="20"/>
  <c r="CJ94" i="20"/>
  <c r="CG110" i="20"/>
  <c r="CK93" i="20"/>
  <c r="CH109" i="20"/>
  <c r="CG93" i="20"/>
  <c r="CH92" i="20"/>
  <c r="CI108" i="20"/>
  <c r="CL92" i="20"/>
  <c r="CF105" i="20"/>
  <c r="CI89" i="20"/>
  <c r="CJ88" i="20"/>
  <c r="CG104" i="20"/>
  <c r="CG120" i="20" s="1"/>
  <c r="CF88" i="20"/>
  <c r="CK87" i="20"/>
  <c r="CG87" i="20"/>
  <c r="CH103" i="20"/>
  <c r="CF11" i="20"/>
  <c r="CF5" i="20"/>
  <c r="O41" i="6"/>
  <c r="F7" i="5"/>
  <c r="F8" i="5"/>
  <c r="F9" i="5"/>
  <c r="F10" i="5"/>
  <c r="F11" i="5"/>
  <c r="F12" i="5"/>
  <c r="F13" i="5"/>
  <c r="F14" i="5"/>
  <c r="F15" i="5"/>
  <c r="F16" i="5"/>
  <c r="F17" i="5"/>
  <c r="F18" i="5"/>
  <c r="O67" i="6"/>
  <c r="O54" i="6"/>
  <c r="C52" i="6"/>
  <c r="C37" i="6" s="1"/>
  <c r="O40" i="6"/>
  <c r="O5" i="6"/>
  <c r="O24" i="6" s="1"/>
  <c r="O53" i="6"/>
  <c r="O56" i="6"/>
  <c r="AU95" i="20"/>
  <c r="AR103" i="20"/>
  <c r="AW63" i="20"/>
  <c r="AT16" i="20"/>
  <c r="AX31" i="20"/>
  <c r="BA30" i="20"/>
  <c r="AV111" i="20"/>
  <c r="AV103" i="20"/>
  <c r="AU104" i="20"/>
  <c r="AU120" i="20" s="1"/>
  <c r="AS66" i="20"/>
  <c r="AW8" i="20"/>
  <c r="AS112" i="20"/>
  <c r="AS128" i="20" s="1"/>
  <c r="AR91" i="20"/>
  <c r="AU52" i="20"/>
  <c r="AR57" i="20"/>
  <c r="AU35" i="20"/>
  <c r="AR67" i="20"/>
  <c r="AT111" i="20"/>
  <c r="CD110" i="20"/>
  <c r="AU110" i="20"/>
  <c r="BK89" i="20"/>
  <c r="AT49" i="20"/>
  <c r="AV107" i="20"/>
  <c r="AV123" i="20" s="1"/>
  <c r="BH88" i="20"/>
  <c r="AR71" i="20"/>
  <c r="AR130" i="20" s="1"/>
  <c r="BU107" i="20"/>
  <c r="BU123" i="20" s="1"/>
  <c r="CB48" i="20"/>
  <c r="AV5" i="20"/>
  <c r="AV63" i="20"/>
  <c r="AV122" i="20" s="1"/>
  <c r="AW103" i="20"/>
  <c r="AW93" i="20"/>
  <c r="AX96" i="20"/>
  <c r="BD88" i="20"/>
  <c r="AS90" i="20"/>
  <c r="AS50" i="20"/>
  <c r="AU56" i="20"/>
  <c r="AT24" i="20"/>
  <c r="BA26" i="20"/>
  <c r="AS17" i="20"/>
  <c r="AR107" i="20"/>
  <c r="AR123" i="20" s="1"/>
  <c r="AT12" i="20"/>
  <c r="AW107" i="20"/>
  <c r="AW123" i="20" s="1"/>
  <c r="AU12" i="20"/>
  <c r="AS13" i="20"/>
  <c r="AR22" i="20"/>
  <c r="AW24" i="20"/>
  <c r="AU68" i="20"/>
  <c r="AU127" i="20" s="1"/>
  <c r="AR8" i="20"/>
  <c r="AU76" i="20"/>
  <c r="AR34" i="20"/>
  <c r="AW12" i="20"/>
  <c r="BW105" i="20"/>
  <c r="C42" i="21"/>
  <c r="AW74" i="20"/>
  <c r="AY72" i="20"/>
  <c r="AW66" i="20"/>
  <c r="BB7" i="20"/>
  <c r="AZ5" i="20"/>
  <c r="AU92" i="20"/>
  <c r="BA89" i="20"/>
  <c r="AV49" i="20"/>
  <c r="J127" i="20"/>
  <c r="CC6" i="20"/>
  <c r="AV57" i="20"/>
  <c r="CB104" i="20"/>
  <c r="CB120" i="20" s="1"/>
  <c r="AV109" i="20"/>
  <c r="AV71" i="20"/>
  <c r="AV130" i="20" s="1"/>
  <c r="CC87" i="20"/>
  <c r="AV113" i="20"/>
  <c r="BM103" i="20"/>
  <c r="AX92" i="20"/>
  <c r="AT89" i="20"/>
  <c r="AS106" i="20"/>
  <c r="AS122" i="20" s="1"/>
  <c r="BB9" i="20"/>
  <c r="AY87" i="20"/>
  <c r="BI91" i="20"/>
  <c r="AX94" i="20"/>
  <c r="AU8" i="20"/>
  <c r="AW89" i="20"/>
  <c r="AV67" i="20"/>
  <c r="AS5" i="20"/>
  <c r="AS54" i="20"/>
  <c r="BO77" i="20"/>
  <c r="AR63" i="20"/>
  <c r="AR122" i="20" s="1"/>
  <c r="AS29" i="20"/>
  <c r="AT36" i="20"/>
  <c r="AR75" i="20"/>
  <c r="AR12" i="20"/>
  <c r="BS60" i="20"/>
  <c r="BS119" i="20" s="1"/>
  <c r="BU103" i="20"/>
  <c r="CC10" i="20"/>
  <c r="AR95" i="20"/>
  <c r="CC91" i="20"/>
  <c r="CD90" i="20"/>
  <c r="AU48" i="20"/>
  <c r="BB90" i="20"/>
  <c r="BA51" i="20"/>
  <c r="I122" i="20"/>
  <c r="AX62" i="20"/>
  <c r="Z129" i="20"/>
  <c r="AT57" i="20"/>
  <c r="BA59" i="20"/>
  <c r="AC121" i="20"/>
  <c r="BS57" i="20"/>
  <c r="BV106" i="20"/>
  <c r="BZ51" i="20"/>
  <c r="BO111" i="20"/>
  <c r="AV25" i="20"/>
  <c r="AV21" i="20"/>
  <c r="CE89" i="20"/>
  <c r="CE93" i="20"/>
  <c r="BE87" i="20"/>
  <c r="BM93" i="20"/>
  <c r="CE97" i="20"/>
  <c r="BH92" i="20"/>
  <c r="BB25" i="20"/>
  <c r="AV33" i="20"/>
  <c r="BH94" i="20"/>
  <c r="AY89" i="20"/>
  <c r="BM91" i="20"/>
  <c r="BB54" i="20"/>
  <c r="BB74" i="20"/>
  <c r="AZ31" i="20"/>
  <c r="AX74" i="20"/>
  <c r="BZ81" i="12"/>
  <c r="BT40" i="21"/>
  <c r="CF80" i="12"/>
  <c r="BR39" i="21"/>
  <c r="BT80" i="12"/>
  <c r="AJ80" i="12"/>
  <c r="BF39" i="21"/>
  <c r="AZ76" i="20"/>
  <c r="AZ35" i="20"/>
  <c r="BU75" i="20"/>
  <c r="BQ75" i="20"/>
  <c r="BV74" i="20"/>
  <c r="BR74" i="20"/>
  <c r="BP72" i="20"/>
  <c r="BT72" i="20"/>
  <c r="BU71" i="20"/>
  <c r="BU130" i="20" s="1"/>
  <c r="BQ71" i="20"/>
  <c r="BQ130" i="20" s="1"/>
  <c r="BB70" i="20"/>
  <c r="BB29" i="20"/>
  <c r="BB62" i="20"/>
  <c r="BB21" i="20"/>
  <c r="AX50" i="20"/>
  <c r="AX9" i="20"/>
  <c r="BT48" i="20"/>
  <c r="BP48" i="20"/>
  <c r="AW113" i="20"/>
  <c r="AW97" i="20"/>
  <c r="BP110" i="20"/>
  <c r="BP94" i="20"/>
  <c r="BQ109" i="20"/>
  <c r="BT93" i="20"/>
  <c r="BQ93" i="20"/>
  <c r="BX93" i="20"/>
  <c r="BL108" i="20"/>
  <c r="BL124" i="20" s="1"/>
  <c r="BL92" i="20"/>
  <c r="BE107" i="20"/>
  <c r="BE123" i="20" s="1"/>
  <c r="BE91" i="20"/>
  <c r="BN106" i="20"/>
  <c r="BN122" i="20" s="1"/>
  <c r="BN90" i="20"/>
  <c r="AX106" i="20"/>
  <c r="AX90" i="20"/>
  <c r="BO105" i="20"/>
  <c r="BO121" i="20" s="1"/>
  <c r="BG105" i="20"/>
  <c r="BG89" i="20"/>
  <c r="BP104" i="20"/>
  <c r="BP120" i="20" s="1"/>
  <c r="BP88" i="20"/>
  <c r="BQ103" i="20"/>
  <c r="BQ87" i="20"/>
  <c r="BA103" i="20"/>
  <c r="BA87" i="20"/>
  <c r="BX56" i="20"/>
  <c r="CB56" i="20"/>
  <c r="CA72" i="20"/>
  <c r="BW59" i="20"/>
  <c r="BT108" i="20"/>
  <c r="BT92" i="20"/>
  <c r="BT104" i="20"/>
  <c r="BT120" i="20" s="1"/>
  <c r="CB52" i="20"/>
  <c r="AV29" i="20"/>
  <c r="BT76" i="20"/>
  <c r="BX92" i="20"/>
  <c r="BU87" i="20"/>
  <c r="BX88" i="20"/>
  <c r="AV105" i="20"/>
  <c r="BL110" i="20"/>
  <c r="AX5" i="20"/>
  <c r="AW6" i="20"/>
  <c r="BL88" i="20"/>
  <c r="BC89" i="20"/>
  <c r="BJ90" i="20"/>
  <c r="AY12" i="20"/>
  <c r="BA91" i="20"/>
  <c r="BQ91" i="20"/>
  <c r="AX13" i="20"/>
  <c r="AW14" i="20"/>
  <c r="BB17" i="20"/>
  <c r="BI103" i="20"/>
  <c r="BO89" i="20"/>
  <c r="AZ49" i="20"/>
  <c r="BA22" i="20"/>
  <c r="AX66" i="20"/>
  <c r="AW75" i="20"/>
  <c r="AW71" i="20"/>
  <c r="AW130" i="20" s="1"/>
  <c r="BX97" i="20"/>
  <c r="CB80" i="12"/>
  <c r="BS79" i="12"/>
  <c r="CE79" i="12"/>
  <c r="BA75" i="20"/>
  <c r="BA34" i="20"/>
  <c r="BU59" i="20"/>
  <c r="BQ59" i="20"/>
  <c r="AW59" i="20"/>
  <c r="AW18" i="20"/>
  <c r="AX58" i="20"/>
  <c r="AX17" i="20"/>
  <c r="AY57" i="20"/>
  <c r="AY16" i="20"/>
  <c r="BA55" i="20"/>
  <c r="BA14" i="20"/>
  <c r="AW51" i="20"/>
  <c r="AW10" i="20"/>
  <c r="BS49" i="20"/>
  <c r="BO49" i="20"/>
  <c r="AY49" i="20"/>
  <c r="AY8" i="20"/>
  <c r="BA47" i="20"/>
  <c r="BA6" i="20"/>
  <c r="BB46" i="20"/>
  <c r="BB5" i="20"/>
  <c r="AV53" i="20"/>
  <c r="BV112" i="20"/>
  <c r="BV128" i="20" s="1"/>
  <c r="BF90" i="20"/>
  <c r="BD108" i="20"/>
  <c r="AW67" i="20"/>
  <c r="BV90" i="20"/>
  <c r="BD31" i="20"/>
  <c r="AZ30" i="20"/>
  <c r="BJ25" i="20"/>
  <c r="BC22" i="20"/>
  <c r="BP21" i="20"/>
  <c r="BD21" i="20"/>
  <c r="BO19" i="20"/>
  <c r="AV16" i="20"/>
  <c r="AV12" i="20"/>
  <c r="BN95" i="20"/>
  <c r="BC95" i="20"/>
  <c r="BH93" i="20"/>
  <c r="AV93" i="20"/>
  <c r="CE34" i="20"/>
  <c r="BY29" i="20"/>
  <c r="CA26" i="20"/>
  <c r="CE25" i="20"/>
  <c r="CE22" i="20"/>
  <c r="CE21" i="20"/>
  <c r="CD97" i="20"/>
  <c r="BS112" i="20"/>
  <c r="BS128" i="20" s="1"/>
  <c r="BX94" i="20"/>
  <c r="BX91" i="20"/>
  <c r="BD39" i="21"/>
  <c r="AZ27" i="20"/>
  <c r="BY91" i="20"/>
  <c r="CD62" i="20"/>
  <c r="DR81" i="12"/>
  <c r="ED40" i="12"/>
  <c r="ED81" i="12"/>
  <c r="DN81" i="12"/>
  <c r="EK40" i="12"/>
  <c r="DZ40" i="12"/>
  <c r="DZ81" i="12"/>
  <c r="DJ81" i="12"/>
  <c r="EG40" i="12"/>
  <c r="DV40" i="12"/>
  <c r="DV81" i="12"/>
  <c r="CL81" i="12"/>
  <c r="CH81" i="12"/>
  <c r="DS80" i="12"/>
  <c r="EE80" i="12"/>
  <c r="EE39" i="12"/>
  <c r="DO80" i="12"/>
  <c r="EA39" i="12"/>
  <c r="EA80" i="12"/>
  <c r="DK80" i="12"/>
  <c r="DW80" i="12"/>
  <c r="EH39" i="12"/>
  <c r="DW39" i="12"/>
  <c r="CI80" i="12"/>
  <c r="DQ79" i="12"/>
  <c r="EC79" i="12"/>
  <c r="EC38" i="12"/>
  <c r="DM79" i="12"/>
  <c r="DY79" i="12"/>
  <c r="DY38" i="12"/>
  <c r="EI38" i="12"/>
  <c r="EJ38" i="12"/>
  <c r="DH79" i="12"/>
  <c r="DT79" i="12"/>
  <c r="DT38" i="12"/>
  <c r="CZ79" i="12"/>
  <c r="DL79" i="12"/>
  <c r="CJ79" i="12"/>
  <c r="DQ81" i="12"/>
  <c r="EC40" i="12"/>
  <c r="EC81" i="12"/>
  <c r="DM81" i="12"/>
  <c r="EJ40" i="12"/>
  <c r="DY40" i="12"/>
  <c r="DY81" i="12"/>
  <c r="DI81" i="12"/>
  <c r="DU40" i="12"/>
  <c r="EF40" i="12"/>
  <c r="DU81" i="12"/>
  <c r="CK81" i="12"/>
  <c r="CG81" i="12"/>
  <c r="DR80" i="12"/>
  <c r="ED39" i="12"/>
  <c r="ED80" i="12"/>
  <c r="DN80" i="12"/>
  <c r="DZ80" i="12"/>
  <c r="EK39" i="12"/>
  <c r="DZ39" i="12"/>
  <c r="DJ80" i="12"/>
  <c r="DV39" i="12"/>
  <c r="DV80" i="12"/>
  <c r="EG39" i="12"/>
  <c r="CL80" i="12"/>
  <c r="CH80" i="12"/>
  <c r="DP79" i="12"/>
  <c r="EB79" i="12"/>
  <c r="EB38" i="12"/>
  <c r="DK79" i="12"/>
  <c r="DW79" i="12"/>
  <c r="EH38" i="12"/>
  <c r="DW38" i="12"/>
  <c r="CI79" i="12"/>
  <c r="BN18" i="20"/>
  <c r="AZ18" i="20"/>
  <c r="AX18" i="20"/>
  <c r="BE15" i="20"/>
  <c r="AZ14" i="20"/>
  <c r="BL7" i="20"/>
  <c r="BN6" i="20"/>
  <c r="BC6" i="20"/>
  <c r="DP81" i="12"/>
  <c r="EB40" i="12"/>
  <c r="EB81" i="12"/>
  <c r="DL81" i="12"/>
  <c r="DX81" i="12"/>
  <c r="EI40" i="12"/>
  <c r="DX40" i="12"/>
  <c r="DH81" i="12"/>
  <c r="DT40" i="12"/>
  <c r="DT81" i="12"/>
  <c r="CJ81" i="12"/>
  <c r="DQ80" i="12"/>
  <c r="EC39" i="12"/>
  <c r="EC80" i="12"/>
  <c r="DM80" i="12"/>
  <c r="DY39" i="12"/>
  <c r="DY80" i="12"/>
  <c r="EJ39" i="12"/>
  <c r="DI80" i="12"/>
  <c r="EF39" i="12"/>
  <c r="DU39" i="12"/>
  <c r="DU80" i="12"/>
  <c r="CK80" i="12"/>
  <c r="CG80" i="12"/>
  <c r="DS79" i="12"/>
  <c r="EE79" i="12"/>
  <c r="EE38" i="12"/>
  <c r="DO79" i="12"/>
  <c r="EA38" i="12"/>
  <c r="EA79" i="12"/>
  <c r="DJ79" i="12"/>
  <c r="DV38" i="12"/>
  <c r="EG38" i="12"/>
  <c r="DV79" i="12"/>
  <c r="CL79" i="12"/>
  <c r="CH79" i="12"/>
  <c r="DS81" i="12"/>
  <c r="EE81" i="12"/>
  <c r="EE40" i="12"/>
  <c r="DO81" i="12"/>
  <c r="EA81" i="12"/>
  <c r="EA40" i="12"/>
  <c r="DK81" i="12"/>
  <c r="DW81" i="12"/>
  <c r="DW40" i="12"/>
  <c r="EH40" i="12"/>
  <c r="CI81" i="12"/>
  <c r="DP80" i="12"/>
  <c r="EB80" i="12"/>
  <c r="EB39" i="12"/>
  <c r="DL80" i="12"/>
  <c r="DX80" i="12"/>
  <c r="DX39" i="12"/>
  <c r="EI39" i="12"/>
  <c r="DH80" i="12"/>
  <c r="DT80" i="12"/>
  <c r="DT39" i="12"/>
  <c r="CJ80" i="12"/>
  <c r="DR79" i="12"/>
  <c r="ED38" i="12"/>
  <c r="ED79" i="12"/>
  <c r="DN79" i="12"/>
  <c r="DZ38" i="12"/>
  <c r="EK38" i="12"/>
  <c r="DZ79" i="12"/>
  <c r="DI79" i="12"/>
  <c r="DU79" i="12"/>
  <c r="EF38" i="12"/>
  <c r="DU38" i="12"/>
  <c r="CK79" i="12"/>
  <c r="CG79" i="12"/>
  <c r="AG127" i="20"/>
  <c r="CA80" i="12"/>
  <c r="O43" i="6"/>
  <c r="CE81" i="12"/>
  <c r="AJ122" i="20"/>
  <c r="E6" i="5"/>
  <c r="BN77" i="20"/>
  <c r="BB77" i="20"/>
  <c r="BT35" i="20"/>
  <c r="BP75" i="20"/>
  <c r="BH30" i="20"/>
  <c r="AU30" i="20"/>
  <c r="BP25" i="20"/>
  <c r="BQ62" i="20"/>
  <c r="BF21" i="20"/>
  <c r="BP18" i="20"/>
  <c r="BG17" i="20"/>
  <c r="BG15" i="20"/>
  <c r="BM9" i="20"/>
  <c r="BQ6" i="20"/>
  <c r="BG5" i="20"/>
  <c r="BD97" i="20"/>
  <c r="BF96" i="20"/>
  <c r="BU95" i="20"/>
  <c r="BJ94" i="20"/>
  <c r="BV103" i="20"/>
  <c r="AZ60" i="20"/>
  <c r="AZ48" i="20"/>
  <c r="CA10" i="20"/>
  <c r="BU77" i="20"/>
  <c r="BV76" i="20"/>
  <c r="CC75" i="20"/>
  <c r="CD74" i="20"/>
  <c r="BS67" i="20"/>
  <c r="BT66" i="20"/>
  <c r="BU65" i="20"/>
  <c r="BU124" i="20" s="1"/>
  <c r="BX22" i="20"/>
  <c r="BY18" i="20"/>
  <c r="CB107" i="20"/>
  <c r="CB123" i="20" s="1"/>
  <c r="CC106" i="20"/>
  <c r="CE104" i="20"/>
  <c r="CE120" i="20" s="1"/>
  <c r="BS88" i="20"/>
  <c r="BT87" i="20"/>
  <c r="CE7" i="20"/>
  <c r="O37" i="6"/>
  <c r="CA113" i="20"/>
  <c r="CA42" i="21"/>
  <c r="CA40" i="21"/>
  <c r="BW81" i="20" s="1"/>
  <c r="BK34" i="20"/>
  <c r="BO29" i="20"/>
  <c r="BD26" i="20"/>
  <c r="BI24" i="20"/>
  <c r="BK22" i="20"/>
  <c r="BM19" i="20"/>
  <c r="AX16" i="20"/>
  <c r="BN14" i="20"/>
  <c r="BQ10" i="20"/>
  <c r="BD10" i="20"/>
  <c r="BF8" i="20"/>
  <c r="BA7" i="20"/>
  <c r="BB6" i="20"/>
  <c r="BJ5" i="20"/>
  <c r="BN113" i="20"/>
  <c r="BR109" i="20"/>
  <c r="BQ89" i="20"/>
  <c r="BE89" i="20"/>
  <c r="BO88" i="20"/>
  <c r="CA36" i="20"/>
  <c r="CA34" i="20"/>
  <c r="CC33" i="20"/>
  <c r="BV68" i="20"/>
  <c r="CA63" i="20"/>
  <c r="CB21" i="20"/>
  <c r="BZ97" i="20"/>
  <c r="CA96" i="20"/>
  <c r="CB95" i="20"/>
  <c r="BV89" i="20"/>
  <c r="BX87" i="20"/>
  <c r="BO39" i="21"/>
  <c r="BM39" i="21"/>
  <c r="O58" i="6"/>
  <c r="O39" i="6"/>
  <c r="Y70" i="23"/>
  <c r="BV87" i="20"/>
  <c r="CA89" i="20"/>
  <c r="BU110" i="20"/>
  <c r="BX70" i="20"/>
  <c r="CE91" i="20"/>
  <c r="CE5" i="20"/>
  <c r="AF125" i="20"/>
  <c r="BB95" i="20"/>
  <c r="X127" i="20"/>
  <c r="CC22" i="20"/>
  <c r="BZ21" i="20"/>
  <c r="CA24" i="20"/>
  <c r="CE31" i="20"/>
  <c r="BV16" i="20"/>
  <c r="BZ58" i="20"/>
  <c r="BV111" i="20"/>
  <c r="BY27" i="20"/>
  <c r="CC90" i="20"/>
  <c r="AQ124" i="20"/>
  <c r="BF89" i="20"/>
  <c r="AJ125" i="20"/>
  <c r="CA21" i="20"/>
  <c r="CA22" i="20"/>
  <c r="CA62" i="20"/>
  <c r="CD113" i="20"/>
  <c r="AN124" i="20"/>
  <c r="AX6" i="20"/>
  <c r="AP124" i="20"/>
  <c r="CB34" i="20"/>
  <c r="BR111" i="20"/>
  <c r="L127" i="20"/>
  <c r="BY21" i="20"/>
  <c r="AN121" i="20"/>
  <c r="D122" i="20"/>
  <c r="BA21" i="20"/>
  <c r="AU96" i="20"/>
  <c r="AD129" i="20"/>
  <c r="AS16" i="20"/>
  <c r="AW57" i="20"/>
  <c r="AS57" i="20"/>
  <c r="BO12" i="20"/>
  <c r="BH11" i="20"/>
  <c r="BG11" i="20"/>
  <c r="BQ50" i="20"/>
  <c r="BM8" i="20"/>
  <c r="BJ49" i="20"/>
  <c r="BC48" i="20"/>
  <c r="BE7" i="20"/>
  <c r="BX5" i="20"/>
  <c r="BQ46" i="20"/>
  <c r="BU46" i="20"/>
  <c r="AX97" i="20"/>
  <c r="AY113" i="20"/>
  <c r="AY97" i="20"/>
  <c r="BD96" i="20"/>
  <c r="BB96" i="20"/>
  <c r="BF95" i="20"/>
  <c r="BG95" i="20"/>
  <c r="BB94" i="20"/>
  <c r="AZ94" i="20"/>
  <c r="AY110" i="20"/>
  <c r="BB109" i="20"/>
  <c r="BI93" i="20"/>
  <c r="BR92" i="20"/>
  <c r="BO108" i="20"/>
  <c r="AY92" i="20"/>
  <c r="BS91" i="20"/>
  <c r="BP107" i="20"/>
  <c r="BP123" i="20" s="1"/>
  <c r="BD107" i="20"/>
  <c r="BD123" i="20" s="1"/>
  <c r="BG91" i="20"/>
  <c r="AX91" i="20"/>
  <c r="AY107" i="20"/>
  <c r="AY123" i="20" s="1"/>
  <c r="BB91" i="20"/>
  <c r="BD90" i="20"/>
  <c r="BA106" i="20"/>
  <c r="BA90" i="20"/>
  <c r="BM89" i="20"/>
  <c r="BJ89" i="20"/>
  <c r="BB105" i="20"/>
  <c r="BB89" i="20"/>
  <c r="AZ89" i="20"/>
  <c r="AS89" i="20"/>
  <c r="AV89" i="20"/>
  <c r="BK104" i="20"/>
  <c r="BK120" i="20" s="1"/>
  <c r="BN88" i="20"/>
  <c r="BK88" i="20"/>
  <c r="BF88" i="20"/>
  <c r="BC88" i="20"/>
  <c r="BB88" i="20"/>
  <c r="AY88" i="20"/>
  <c r="BA88" i="20"/>
  <c r="AT104" i="20"/>
  <c r="AT120" i="20" s="1"/>
  <c r="AT88" i="20"/>
  <c r="BL103" i="20"/>
  <c r="BO87" i="20"/>
  <c r="BK87" i="20"/>
  <c r="BH87" i="20"/>
  <c r="AU103" i="20"/>
  <c r="AX87" i="20"/>
  <c r="AV112" i="20"/>
  <c r="AV128" i="20" s="1"/>
  <c r="AV96" i="20"/>
  <c r="AZ108" i="20"/>
  <c r="AV108" i="20"/>
  <c r="AZ104" i="20"/>
  <c r="AZ120" i="20" s="1"/>
  <c r="AV104" i="20"/>
  <c r="AV120" i="20" s="1"/>
  <c r="AY36" i="20"/>
  <c r="AV77" i="20"/>
  <c r="BC24" i="20"/>
  <c r="AV56" i="20"/>
  <c r="AV11" i="20"/>
  <c r="BU55" i="20"/>
  <c r="BX12" i="20"/>
  <c r="BX10" i="20"/>
  <c r="BZ10" i="20"/>
  <c r="BS50" i="20"/>
  <c r="BX6" i="20"/>
  <c r="BY47" i="20"/>
  <c r="BW75" i="20"/>
  <c r="BX34" i="20"/>
  <c r="BX74" i="20"/>
  <c r="CA33" i="20"/>
  <c r="BZ33" i="20"/>
  <c r="BW33" i="20"/>
  <c r="BZ72" i="20"/>
  <c r="CA31" i="20"/>
  <c r="CA71" i="20"/>
  <c r="CA130" i="20" s="1"/>
  <c r="CA30" i="20"/>
  <c r="BW71" i="20"/>
  <c r="BW130" i="20" s="1"/>
  <c r="BX30" i="20"/>
  <c r="BZ68" i="20"/>
  <c r="CB27" i="20"/>
  <c r="CA27" i="20"/>
  <c r="CA67" i="20"/>
  <c r="CD26" i="20"/>
  <c r="CC26" i="20"/>
  <c r="BW67" i="20"/>
  <c r="BW126" i="20" s="1"/>
  <c r="BX26" i="20"/>
  <c r="CE60" i="20"/>
  <c r="BX19" i="20"/>
  <c r="CA18" i="20"/>
  <c r="CA59" i="20"/>
  <c r="CB111" i="20"/>
  <c r="CE95" i="20"/>
  <c r="BX111" i="20"/>
  <c r="CA95" i="20"/>
  <c r="BW95" i="20"/>
  <c r="CC110" i="20"/>
  <c r="CC126" i="20" s="1"/>
  <c r="CC94" i="20"/>
  <c r="BY94" i="20"/>
  <c r="BY110" i="20"/>
  <c r="CD109" i="20"/>
  <c r="CD93" i="20"/>
  <c r="BZ93" i="20"/>
  <c r="CC93" i="20"/>
  <c r="CE108" i="20"/>
  <c r="CE92" i="20"/>
  <c r="CA92" i="20"/>
  <c r="CD92" i="20"/>
  <c r="BS108" i="20"/>
  <c r="BY90" i="20"/>
  <c r="CB90" i="20"/>
  <c r="BU106" i="20"/>
  <c r="BX90" i="20"/>
  <c r="CD105" i="20"/>
  <c r="CD89" i="20"/>
  <c r="CC89" i="20"/>
  <c r="BZ105" i="20"/>
  <c r="CE87" i="20"/>
  <c r="CB103" i="20"/>
  <c r="CB87" i="20"/>
  <c r="CC21" i="20"/>
  <c r="BZ29" i="20"/>
  <c r="BY6" i="20"/>
  <c r="BT95" i="20"/>
  <c r="BR95" i="20"/>
  <c r="BH95" i="20"/>
  <c r="BI95" i="20"/>
  <c r="BY95" i="20"/>
  <c r="CA12" i="20"/>
  <c r="BY26" i="20"/>
  <c r="BY89" i="20"/>
  <c r="CE88" i="20"/>
  <c r="BJ105" i="20"/>
  <c r="AZ52" i="20"/>
  <c r="AX14" i="20"/>
  <c r="BQ22" i="20"/>
  <c r="BW22" i="20"/>
  <c r="BO22" i="20"/>
  <c r="BM22" i="20"/>
  <c r="BR17" i="20"/>
  <c r="BX17" i="20"/>
  <c r="BO52" i="20"/>
  <c r="AW11" i="20"/>
  <c r="AT11" i="20"/>
  <c r="AZ8" i="20"/>
  <c r="AS49" i="20"/>
  <c r="BP5" i="20"/>
  <c r="BL95" i="20"/>
  <c r="BJ95" i="20"/>
  <c r="BK95" i="20"/>
  <c r="AX95" i="20"/>
  <c r="AX111" i="20"/>
  <c r="AY95" i="20"/>
  <c r="AS111" i="20"/>
  <c r="AZ95" i="20"/>
  <c r="AV95" i="20"/>
  <c r="AT110" i="20"/>
  <c r="AT126" i="20" s="1"/>
  <c r="AW94" i="20"/>
  <c r="BA93" i="20"/>
  <c r="AX109" i="20"/>
  <c r="BK92" i="20"/>
  <c r="BN92" i="20"/>
  <c r="AT108" i="20"/>
  <c r="AT124" i="20" s="1"/>
  <c r="BA92" i="20"/>
  <c r="AX108" i="20"/>
  <c r="BH91" i="20"/>
  <c r="BH107" i="20"/>
  <c r="BH123" i="20" s="1"/>
  <c r="BP90" i="20"/>
  <c r="BM90" i="20"/>
  <c r="BZ76" i="20"/>
  <c r="CB35" i="20"/>
  <c r="BM95" i="20"/>
  <c r="BA95" i="20"/>
  <c r="BX7" i="20"/>
  <c r="AV8" i="20"/>
  <c r="AV92" i="20"/>
  <c r="AY108" i="20"/>
  <c r="BK8" i="20"/>
  <c r="BE13" i="20"/>
  <c r="BF53" i="20"/>
  <c r="BD9" i="20"/>
  <c r="BA50" i="20"/>
  <c r="BQ7" i="20"/>
  <c r="BP7" i="20"/>
  <c r="BO7" i="20"/>
  <c r="BH47" i="20"/>
  <c r="BI6" i="20"/>
  <c r="BD47" i="20"/>
  <c r="BG6" i="20"/>
  <c r="AZ97" i="20"/>
  <c r="BA97" i="20"/>
  <c r="BC97" i="20"/>
  <c r="AZ113" i="20"/>
  <c r="BB111" i="20"/>
  <c r="BE95" i="20"/>
  <c r="BC94" i="20"/>
  <c r="BD94" i="20"/>
  <c r="AZ93" i="20"/>
  <c r="AS93" i="20"/>
  <c r="BG92" i="20"/>
  <c r="BJ92" i="20"/>
  <c r="BG108" i="20"/>
  <c r="BC108" i="20"/>
  <c r="BF92" i="20"/>
  <c r="BC92" i="20"/>
  <c r="BL107" i="20"/>
  <c r="BL123" i="20" s="1"/>
  <c r="BO91" i="20"/>
  <c r="BL91" i="20"/>
  <c r="AZ91" i="20"/>
  <c r="BC91" i="20"/>
  <c r="AZ107" i="20"/>
  <c r="AZ123" i="20" s="1"/>
  <c r="BQ106" i="20"/>
  <c r="BQ90" i="20"/>
  <c r="BI90" i="20"/>
  <c r="BL90" i="20"/>
  <c r="AZ90" i="20"/>
  <c r="AW106" i="20"/>
  <c r="CD7" i="20"/>
  <c r="CA75" i="20"/>
  <c r="BO95" i="20"/>
  <c r="BD95" i="20"/>
  <c r="BI106" i="20"/>
  <c r="AW109" i="20"/>
  <c r="BB49" i="20"/>
  <c r="CB18" i="20"/>
  <c r="CB33" i="20"/>
  <c r="BZ22" i="20"/>
  <c r="BZ31" i="20"/>
  <c r="BZ24" i="20"/>
  <c r="BV95" i="20"/>
  <c r="BQ95" i="20"/>
  <c r="BP95" i="20"/>
  <c r="BF111" i="20"/>
  <c r="BY30" i="20"/>
  <c r="BX27" i="20"/>
  <c r="CB94" i="20"/>
  <c r="CB91" i="20"/>
  <c r="CD12" i="20"/>
  <c r="CA108" i="20"/>
  <c r="AV88" i="20"/>
  <c r="BC104" i="20"/>
  <c r="BC120" i="20" s="1"/>
  <c r="BG97" i="20"/>
  <c r="BH51" i="20"/>
  <c r="AZ25" i="20"/>
  <c r="AY48" i="20"/>
  <c r="BK16" i="20"/>
  <c r="AU91" i="20"/>
  <c r="BL18" i="20"/>
  <c r="AP127" i="20"/>
  <c r="I124" i="20"/>
  <c r="V126" i="20"/>
  <c r="AL129" i="20"/>
  <c r="AF122" i="20"/>
  <c r="D126" i="20"/>
  <c r="AF129" i="20"/>
  <c r="AR74" i="20"/>
  <c r="AR33" i="20"/>
  <c r="AY33" i="20"/>
  <c r="AR70" i="20"/>
  <c r="AR129" i="20" s="1"/>
  <c r="AR29" i="20"/>
  <c r="AU29" i="20"/>
  <c r="AR62" i="20"/>
  <c r="AR121" i="20" s="1"/>
  <c r="AR21" i="20"/>
  <c r="AR56" i="20"/>
  <c r="AR15" i="20"/>
  <c r="AR48" i="20"/>
  <c r="AR7" i="20"/>
  <c r="BM36" i="20"/>
  <c r="BK36" i="20"/>
  <c r="BL36" i="20"/>
  <c r="BF77" i="20"/>
  <c r="BF36" i="20"/>
  <c r="BG36" i="20"/>
  <c r="BA36" i="20"/>
  <c r="AX77" i="20"/>
  <c r="AS77" i="20"/>
  <c r="AZ36" i="20"/>
  <c r="BO76" i="20"/>
  <c r="BP35" i="20"/>
  <c r="BQ35" i="20"/>
  <c r="BN35" i="20"/>
  <c r="BM35" i="20"/>
  <c r="BG76" i="20"/>
  <c r="BI35" i="20"/>
  <c r="BC76" i="20"/>
  <c r="BC35" i="20"/>
  <c r="BD35" i="20"/>
  <c r="AY76" i="20"/>
  <c r="AY35" i="20"/>
  <c r="BB35" i="20"/>
  <c r="AT76" i="20"/>
  <c r="BA35" i="20"/>
  <c r="BO34" i="20"/>
  <c r="BN34" i="20"/>
  <c r="BH75" i="20"/>
  <c r="BI34" i="20"/>
  <c r="BE34" i="20"/>
  <c r="BD75" i="20"/>
  <c r="BD34" i="20"/>
  <c r="AZ75" i="20"/>
  <c r="BC34" i="20"/>
  <c r="AU34" i="20"/>
  <c r="AU75" i="20"/>
  <c r="BB34" i="20"/>
  <c r="BQ74" i="20"/>
  <c r="BQ33" i="20"/>
  <c r="BP33" i="20"/>
  <c r="BO33" i="20"/>
  <c r="BM33" i="20"/>
  <c r="BL33" i="20"/>
  <c r="BI74" i="20"/>
  <c r="BK33" i="20"/>
  <c r="BJ33" i="20"/>
  <c r="BF33" i="20"/>
  <c r="BE74" i="20"/>
  <c r="BE33" i="20"/>
  <c r="BA33" i="20"/>
  <c r="BD33" i="20"/>
  <c r="BC33" i="20"/>
  <c r="BP31" i="20"/>
  <c r="BO31" i="20"/>
  <c r="BK31" i="20"/>
  <c r="BN31" i="20"/>
  <c r="BH31" i="20"/>
  <c r="BG31" i="20"/>
  <c r="BJ31" i="20"/>
  <c r="BI31" i="20"/>
  <c r="BG72" i="20"/>
  <c r="BC72" i="20"/>
  <c r="BE31" i="20"/>
  <c r="AT72" i="20"/>
  <c r="AX72" i="20"/>
  <c r="BA31" i="20"/>
  <c r="AT31" i="20"/>
  <c r="BQ30" i="20"/>
  <c r="BP30" i="20"/>
  <c r="BT71" i="20"/>
  <c r="BT130" i="20" s="1"/>
  <c r="BL30" i="20"/>
  <c r="BN30" i="20"/>
  <c r="BH71" i="20"/>
  <c r="BH130" i="20" s="1"/>
  <c r="BK30" i="20"/>
  <c r="BI30" i="20"/>
  <c r="BD71" i="20"/>
  <c r="BD130" i="20" s="1"/>
  <c r="BG30" i="20"/>
  <c r="BB30" i="20"/>
  <c r="AU71" i="20"/>
  <c r="AU130" i="20" s="1"/>
  <c r="AX30" i="20"/>
  <c r="AY71" i="20"/>
  <c r="AY130" i="20" s="1"/>
  <c r="BQ70" i="20"/>
  <c r="BQ29" i="20"/>
  <c r="BM70" i="20"/>
  <c r="BM29" i="20"/>
  <c r="BP29" i="20"/>
  <c r="BJ29" i="20"/>
  <c r="BL29" i="20"/>
  <c r="BI70" i="20"/>
  <c r="BE70" i="20"/>
  <c r="BG29" i="20"/>
  <c r="BH29" i="20"/>
  <c r="BC29" i="20"/>
  <c r="BA70" i="20"/>
  <c r="BA29" i="20"/>
  <c r="AW70" i="20"/>
  <c r="AZ29" i="20"/>
  <c r="BO68" i="20"/>
  <c r="BO27" i="20"/>
  <c r="BQ27" i="20"/>
  <c r="BN27" i="20"/>
  <c r="BM27" i="20"/>
  <c r="BL27" i="20"/>
  <c r="BK68" i="20"/>
  <c r="BG68" i="20"/>
  <c r="BJ27" i="20"/>
  <c r="BE27" i="20"/>
  <c r="BD27" i="20"/>
  <c r="BC68" i="20"/>
  <c r="BC27" i="20"/>
  <c r="AY68" i="20"/>
  <c r="AY27" i="20"/>
  <c r="BB27" i="20"/>
  <c r="AX68" i="20"/>
  <c r="BA27" i="20"/>
  <c r="AT68" i="20"/>
  <c r="BT67" i="20"/>
  <c r="BP26" i="20"/>
  <c r="BN26" i="20"/>
  <c r="BO26" i="20"/>
  <c r="BM26" i="20"/>
  <c r="BL67" i="20"/>
  <c r="BL26" i="20"/>
  <c r="BH67" i="20"/>
  <c r="BK26" i="20"/>
  <c r="BE26" i="20"/>
  <c r="BF26" i="20"/>
  <c r="BD67" i="20"/>
  <c r="AZ67" i="20"/>
  <c r="AZ26" i="20"/>
  <c r="AY67" i="20"/>
  <c r="AU67" i="20"/>
  <c r="AU26" i="20"/>
  <c r="BB26" i="20"/>
  <c r="BU66" i="20"/>
  <c r="BQ25" i="20"/>
  <c r="BN25" i="20"/>
  <c r="BM66" i="20"/>
  <c r="BI66" i="20"/>
  <c r="BK25" i="20"/>
  <c r="BG25" i="20"/>
  <c r="BF25" i="20"/>
  <c r="BE66" i="20"/>
  <c r="BE25" i="20"/>
  <c r="BA66" i="20"/>
  <c r="BA25" i="20"/>
  <c r="BD25" i="20"/>
  <c r="BO24" i="20"/>
  <c r="BN65" i="20"/>
  <c r="BN24" i="20"/>
  <c r="BJ24" i="20"/>
  <c r="BM24" i="20"/>
  <c r="BG24" i="20"/>
  <c r="BH24" i="20"/>
  <c r="BF65" i="20"/>
  <c r="BB24" i="20"/>
  <c r="BE24" i="20"/>
  <c r="AX65" i="20"/>
  <c r="AX24" i="20"/>
  <c r="BT63" i="20"/>
  <c r="BP22" i="20"/>
  <c r="BP63" i="20"/>
  <c r="BH63" i="20"/>
  <c r="BH122" i="20" s="1"/>
  <c r="BI22" i="20"/>
  <c r="BJ22" i="20"/>
  <c r="BD63" i="20"/>
  <c r="BD22" i="20"/>
  <c r="BG22" i="20"/>
  <c r="AU63" i="20"/>
  <c r="AU122" i="20" s="1"/>
  <c r="BB22" i="20"/>
  <c r="AY63" i="20"/>
  <c r="BK21" i="20"/>
  <c r="BI62" i="20"/>
  <c r="BJ21" i="20"/>
  <c r="BE21" i="20"/>
  <c r="BE62" i="20"/>
  <c r="BH21" i="20"/>
  <c r="BC21" i="20"/>
  <c r="BA62" i="20"/>
  <c r="AW62" i="20"/>
  <c r="AZ21" i="20"/>
  <c r="BV60" i="20"/>
  <c r="BR60" i="20"/>
  <c r="BN60" i="20"/>
  <c r="BQ19" i="20"/>
  <c r="BL19" i="20"/>
  <c r="BJ60" i="20"/>
  <c r="BF60" i="20"/>
  <c r="BI19" i="20"/>
  <c r="BF19" i="20"/>
  <c r="BD19" i="20"/>
  <c r="BB60" i="20"/>
  <c r="BT59" i="20"/>
  <c r="BW18" i="20"/>
  <c r="BL59" i="20"/>
  <c r="BJ18" i="20"/>
  <c r="BK18" i="20"/>
  <c r="BD59" i="20"/>
  <c r="BD18" i="20"/>
  <c r="BG18" i="20"/>
  <c r="BC18" i="20"/>
  <c r="BB18" i="20"/>
  <c r="AU59" i="20"/>
  <c r="BM58" i="20"/>
  <c r="BM17" i="20"/>
  <c r="BP17" i="20"/>
  <c r="BK17" i="20"/>
  <c r="BL17" i="20"/>
  <c r="BH17" i="20"/>
  <c r="BE58" i="20"/>
  <c r="BC17" i="20"/>
  <c r="BD17" i="20"/>
  <c r="AW58" i="20"/>
  <c r="AW17" i="20"/>
  <c r="AZ17" i="20"/>
  <c r="BR57" i="20"/>
  <c r="BQ16" i="20"/>
  <c r="BN57" i="20"/>
  <c r="BL16" i="20"/>
  <c r="BM16" i="20"/>
  <c r="BF57" i="20"/>
  <c r="BF16" i="20"/>
  <c r="BI16" i="20"/>
  <c r="BD16" i="20"/>
  <c r="BE16" i="20"/>
  <c r="BA16" i="20"/>
  <c r="AX57" i="20"/>
  <c r="BP15" i="20"/>
  <c r="BO15" i="20"/>
  <c r="BN15" i="20"/>
  <c r="BK56" i="20"/>
  <c r="BK15" i="20"/>
  <c r="BI15" i="20"/>
  <c r="BH15" i="20"/>
  <c r="BG56" i="20"/>
  <c r="BF15" i="20"/>
  <c r="BC15" i="20"/>
  <c r="AY56" i="20"/>
  <c r="BA15" i="20"/>
  <c r="AT56" i="20"/>
  <c r="AT15" i="20"/>
  <c r="BT55" i="20"/>
  <c r="BQ14" i="20"/>
  <c r="BP55" i="20"/>
  <c r="BT14" i="20"/>
  <c r="BO14" i="20"/>
  <c r="BL14" i="20"/>
  <c r="BJ14" i="20"/>
  <c r="BI14" i="20"/>
  <c r="BH55" i="20"/>
  <c r="BG14" i="20"/>
  <c r="BD55" i="20"/>
  <c r="BD14" i="20"/>
  <c r="AZ55" i="20"/>
  <c r="AY55" i="20"/>
  <c r="AU14" i="20"/>
  <c r="BB14" i="20"/>
  <c r="BQ54" i="20"/>
  <c r="BP13" i="20"/>
  <c r="BM54" i="20"/>
  <c r="BM13" i="20"/>
  <c r="BK13" i="20"/>
  <c r="BI54" i="20"/>
  <c r="BJ13" i="20"/>
  <c r="BC13" i="20"/>
  <c r="BA54" i="20"/>
  <c r="AZ13" i="20"/>
  <c r="BV53" i="20"/>
  <c r="BT12" i="20"/>
  <c r="BJ12" i="20"/>
  <c r="BL12" i="20"/>
  <c r="BJ53" i="20"/>
  <c r="BB53" i="20"/>
  <c r="BE12" i="20"/>
  <c r="BB12" i="20"/>
  <c r="BD12" i="20"/>
  <c r="AS12" i="20"/>
  <c r="AW53" i="20"/>
  <c r="AS53" i="20"/>
  <c r="BK52" i="20"/>
  <c r="BK11" i="20"/>
  <c r="BM11" i="20"/>
  <c r="BE11" i="20"/>
  <c r="BT51" i="20"/>
  <c r="BO10" i="20"/>
  <c r="BN10" i="20"/>
  <c r="BF10" i="20"/>
  <c r="AY51" i="20"/>
  <c r="AX10" i="20"/>
  <c r="BO9" i="20"/>
  <c r="BG9" i="20"/>
  <c r="AZ9" i="20"/>
  <c r="BP8" i="20"/>
  <c r="BG8" i="20"/>
  <c r="BH8" i="20"/>
  <c r="BA8" i="20"/>
  <c r="BK48" i="20"/>
  <c r="BJ7" i="20"/>
  <c r="BI7" i="20"/>
  <c r="BL47" i="20"/>
  <c r="BL6" i="20"/>
  <c r="BK6" i="20"/>
  <c r="BJ6" i="20"/>
  <c r="BM46" i="20"/>
  <c r="BL5" i="20"/>
  <c r="BE46" i="20"/>
  <c r="BE5" i="20"/>
  <c r="BD5" i="20"/>
  <c r="AW46" i="20"/>
  <c r="AR88" i="20"/>
  <c r="AR104" i="20"/>
  <c r="AR120" i="20" s="1"/>
  <c r="BS97" i="20"/>
  <c r="BT113" i="20"/>
  <c r="BQ97" i="20"/>
  <c r="BW97" i="20"/>
  <c r="BL113" i="20"/>
  <c r="BN97" i="20"/>
  <c r="BH113" i="20"/>
  <c r="BJ97" i="20"/>
  <c r="BK97" i="20"/>
  <c r="BF97" i="20"/>
  <c r="BE97" i="20"/>
  <c r="BU112" i="20"/>
  <c r="BU128" i="20" s="1"/>
  <c r="BQ112" i="20"/>
  <c r="BQ128" i="20" s="1"/>
  <c r="BR96" i="20"/>
  <c r="BQ96" i="20"/>
  <c r="BM96" i="20"/>
  <c r="BO96" i="20"/>
  <c r="BM112" i="20"/>
  <c r="BM128" i="20" s="1"/>
  <c r="BK96" i="20"/>
  <c r="BL96" i="20"/>
  <c r="BH96" i="20"/>
  <c r="BE112" i="20"/>
  <c r="BE128" i="20" s="1"/>
  <c r="BE96" i="20"/>
  <c r="AW112" i="20"/>
  <c r="AW128" i="20" s="1"/>
  <c r="AW96" i="20"/>
  <c r="BV94" i="20"/>
  <c r="BR94" i="20"/>
  <c r="BS110" i="20"/>
  <c r="BK110" i="20"/>
  <c r="BK94" i="20"/>
  <c r="BW93" i="20"/>
  <c r="BS93" i="20"/>
  <c r="BT109" i="20"/>
  <c r="BL109" i="20"/>
  <c r="BL93" i="20"/>
  <c r="BS104" i="20"/>
  <c r="BS120" i="20" s="1"/>
  <c r="BR88" i="20"/>
  <c r="BT103" i="20"/>
  <c r="BS87" i="20"/>
  <c r="BD103" i="20"/>
  <c r="BD87" i="20"/>
  <c r="BC19" i="20"/>
  <c r="AZ56" i="20"/>
  <c r="BW56" i="20"/>
  <c r="BW15" i="20"/>
  <c r="CA54" i="20"/>
  <c r="BW13" i="20"/>
  <c r="CD13" i="20"/>
  <c r="BV13" i="20"/>
  <c r="BW52" i="20"/>
  <c r="CA52" i="20"/>
  <c r="BX11" i="20"/>
  <c r="BY11" i="20"/>
  <c r="BY10" i="20"/>
  <c r="BY51" i="20"/>
  <c r="BW50" i="20"/>
  <c r="CA50" i="20"/>
  <c r="BV8" i="20"/>
  <c r="BW46" i="20"/>
  <c r="CA46" i="20"/>
  <c r="BZ36" i="20"/>
  <c r="BY77" i="20"/>
  <c r="CD76" i="20"/>
  <c r="CD35" i="20"/>
  <c r="BT70" i="20"/>
  <c r="BU29" i="20"/>
  <c r="CB25" i="20"/>
  <c r="CD25" i="20"/>
  <c r="BW21" i="20"/>
  <c r="BV62" i="20"/>
  <c r="BV18" i="20"/>
  <c r="BX18" i="20"/>
  <c r="CB16" i="20"/>
  <c r="CA16" i="20"/>
  <c r="BZ57" i="20"/>
  <c r="BX16" i="20"/>
  <c r="BV97" i="20"/>
  <c r="BY97" i="20"/>
  <c r="BW96" i="20"/>
  <c r="BW112" i="20"/>
  <c r="BW128" i="20" s="1"/>
  <c r="BV92" i="20"/>
  <c r="CA91" i="20"/>
  <c r="BX107" i="20"/>
  <c r="BX123" i="20" s="1"/>
  <c r="BT107" i="20"/>
  <c r="BT123" i="20" s="1"/>
  <c r="CC53" i="20"/>
  <c r="CD56" i="20"/>
  <c r="CE15" i="20"/>
  <c r="CD52" i="20"/>
  <c r="CE11" i="20"/>
  <c r="CE49" i="20"/>
  <c r="CD8" i="20"/>
  <c r="AV62" i="20"/>
  <c r="BF5" i="20"/>
  <c r="BM6" i="20"/>
  <c r="BD7" i="20"/>
  <c r="AS8" i="20"/>
  <c r="BJ8" i="20"/>
  <c r="BI9" i="20"/>
  <c r="AZ10" i="20"/>
  <c r="BP10" i="20"/>
  <c r="BG52" i="20"/>
  <c r="AX12" i="20"/>
  <c r="BN12" i="20"/>
  <c r="BD13" i="20"/>
  <c r="BK14" i="20"/>
  <c r="BB15" i="20"/>
  <c r="AZ16" i="20"/>
  <c r="BP16" i="20"/>
  <c r="BV25" i="20"/>
  <c r="BP91" i="20"/>
  <c r="AX93" i="20"/>
  <c r="BE94" i="20"/>
  <c r="BG96" i="20"/>
  <c r="BJ9" i="20"/>
  <c r="BE54" i="20"/>
  <c r="AV7" i="20"/>
  <c r="AY103" i="20"/>
  <c r="AY93" i="20"/>
  <c r="AX110" i="20"/>
  <c r="BN94" i="20"/>
  <c r="BN7" i="20"/>
  <c r="BD8" i="20"/>
  <c r="BK9" i="20"/>
  <c r="BB10" i="20"/>
  <c r="BA11" i="20"/>
  <c r="BQ11" i="20"/>
  <c r="BH12" i="20"/>
  <c r="BN13" i="20"/>
  <c r="BE14" i="20"/>
  <c r="AU15" i="20"/>
  <c r="BL15" i="20"/>
  <c r="BB16" i="20"/>
  <c r="BA17" i="20"/>
  <c r="BU58" i="20"/>
  <c r="AZ59" i="20"/>
  <c r="BP59" i="20"/>
  <c r="BU51" i="20"/>
  <c r="R124" i="20"/>
  <c r="BH103" i="20"/>
  <c r="AX104" i="20"/>
  <c r="AX120" i="20" s="1"/>
  <c r="BP93" i="20"/>
  <c r="BG94" i="20"/>
  <c r="BA96" i="20"/>
  <c r="AR92" i="20"/>
  <c r="BI5" i="20"/>
  <c r="AZ6" i="20"/>
  <c r="BP6" i="20"/>
  <c r="BG7" i="20"/>
  <c r="AW49" i="20"/>
  <c r="BC10" i="20"/>
  <c r="BJ11" i="20"/>
  <c r="BI12" i="20"/>
  <c r="BS54" i="20"/>
  <c r="BT18" i="20"/>
  <c r="BH19" i="20"/>
  <c r="AY21" i="20"/>
  <c r="BO21" i="20"/>
  <c r="BF22" i="20"/>
  <c r="BL24" i="20"/>
  <c r="AZ22" i="20"/>
  <c r="AY104" i="20"/>
  <c r="AY120" i="20" s="1"/>
  <c r="BO104" i="20"/>
  <c r="BO120" i="20" s="1"/>
  <c r="BF105" i="20"/>
  <c r="AW90" i="20"/>
  <c r="BM106" i="20"/>
  <c r="BF49" i="20"/>
  <c r="AW50" i="20"/>
  <c r="BM50" i="20"/>
  <c r="BD51" i="20"/>
  <c r="AT52" i="20"/>
  <c r="BU70" i="20"/>
  <c r="BW10" i="20"/>
  <c r="D130" i="20"/>
  <c r="T130" i="20"/>
  <c r="AJ130" i="20"/>
  <c r="D121" i="20"/>
  <c r="AU107" i="20"/>
  <c r="AU123" i="20" s="1"/>
  <c r="AS109" i="20"/>
  <c r="BA94" i="20"/>
  <c r="BD113" i="20"/>
  <c r="BN9" i="20"/>
  <c r="BE10" i="20"/>
  <c r="AU11" i="20"/>
  <c r="BL11" i="20"/>
  <c r="BC12" i="20"/>
  <c r="BA13" i="20"/>
  <c r="BH14" i="20"/>
  <c r="BS56" i="20"/>
  <c r="BI21" i="20"/>
  <c r="BN16" i="20"/>
  <c r="BL55" i="20"/>
  <c r="BO18" i="20"/>
  <c r="BC25" i="20"/>
  <c r="AY29" i="20"/>
  <c r="BM31" i="20"/>
  <c r="BO36" i="20"/>
  <c r="AU87" i="20"/>
  <c r="AW65" i="20"/>
  <c r="BF31" i="20"/>
  <c r="BJ34" i="20"/>
  <c r="BF24" i="20"/>
  <c r="AT27" i="20"/>
  <c r="AU33" i="20"/>
  <c r="BH13" i="20"/>
  <c r="AX56" i="20"/>
  <c r="BU49" i="20"/>
  <c r="CD11" i="20"/>
  <c r="AV66" i="20"/>
  <c r="AV52" i="20"/>
  <c r="AV70" i="20"/>
  <c r="BI50" i="20"/>
  <c r="AZ51" i="20"/>
  <c r="BP51" i="20"/>
  <c r="BS52" i="20"/>
  <c r="AX53" i="20"/>
  <c r="BN53" i="20"/>
  <c r="BO17" i="20"/>
  <c r="BF18" i="20"/>
  <c r="BE19" i="20"/>
  <c r="AU21" i="20"/>
  <c r="BL21" i="20"/>
  <c r="BQ24" i="20"/>
  <c r="BH25" i="20"/>
  <c r="BS68" i="20"/>
  <c r="BO5" i="20"/>
  <c r="BF6" i="20"/>
  <c r="AW7" i="20"/>
  <c r="BM7" i="20"/>
  <c r="BC8" i="20"/>
  <c r="BI10" i="20"/>
  <c r="BP11" i="20"/>
  <c r="BG12" i="20"/>
  <c r="AW13" i="20"/>
  <c r="BT19" i="20"/>
  <c r="AV48" i="20"/>
  <c r="BG87" i="20"/>
  <c r="AW88" i="20"/>
  <c r="BO93" i="20"/>
  <c r="BF94" i="20"/>
  <c r="BH5" i="20"/>
  <c r="AX48" i="20"/>
  <c r="BB57" i="20"/>
  <c r="BA58" i="20"/>
  <c r="BQ17" i="20"/>
  <c r="BH18" i="20"/>
  <c r="BG19" i="20"/>
  <c r="BN21" i="20"/>
  <c r="BE22" i="20"/>
  <c r="BK24" i="20"/>
  <c r="BU74" i="20"/>
  <c r="BW11" i="20"/>
  <c r="AZ87" i="20"/>
  <c r="BP87" i="20"/>
  <c r="BP109" i="20"/>
  <c r="BG110" i="20"/>
  <c r="BA112" i="20"/>
  <c r="BA128" i="20" s="1"/>
  <c r="BB97" i="20"/>
  <c r="AR108" i="20"/>
  <c r="AR124" i="20" s="1"/>
  <c r="BI46" i="20"/>
  <c r="AZ47" i="20"/>
  <c r="BP47" i="20"/>
  <c r="BG48" i="20"/>
  <c r="BE8" i="20"/>
  <c r="BL9" i="20"/>
  <c r="BO13" i="20"/>
  <c r="BF14" i="20"/>
  <c r="AW15" i="20"/>
  <c r="BM15" i="20"/>
  <c r="BC16" i="20"/>
  <c r="BJ17" i="20"/>
  <c r="BQ18" i="20"/>
  <c r="BU50" i="20"/>
  <c r="BG88" i="20"/>
  <c r="AX89" i="20"/>
  <c r="BN89" i="20"/>
  <c r="BE90" i="20"/>
  <c r="BK91" i="20"/>
  <c r="BB92" i="20"/>
  <c r="BH7" i="20"/>
  <c r="AX8" i="20"/>
  <c r="BN8" i="20"/>
  <c r="BE9" i="20"/>
  <c r="AU10" i="20"/>
  <c r="BL10" i="20"/>
  <c r="BC11" i="20"/>
  <c r="BS72" i="20"/>
  <c r="BB87" i="20"/>
  <c r="BD91" i="20"/>
  <c r="AT92" i="20"/>
  <c r="BK108" i="20"/>
  <c r="BB93" i="20"/>
  <c r="AU97" i="20"/>
  <c r="BI13" i="20"/>
  <c r="BP14" i="20"/>
  <c r="BO56" i="20"/>
  <c r="BQ21" i="20"/>
  <c r="BE17" i="20"/>
  <c r="BK19" i="20"/>
  <c r="BC56" i="20"/>
  <c r="AY59" i="20"/>
  <c r="BI27" i="20"/>
  <c r="AW31" i="20"/>
  <c r="BL87" i="20"/>
  <c r="BL25" i="20"/>
  <c r="BC26" i="20"/>
  <c r="BO30" i="20"/>
  <c r="AW25" i="20"/>
  <c r="BK27" i="20"/>
  <c r="AU47" i="20"/>
  <c r="BS16" i="20"/>
  <c r="AV74" i="20"/>
  <c r="BN5" i="20"/>
  <c r="BE6" i="20"/>
  <c r="AU7" i="20"/>
  <c r="BB8" i="20"/>
  <c r="BA9" i="20"/>
  <c r="BQ9" i="20"/>
  <c r="BH10" i="20"/>
  <c r="AY52" i="20"/>
  <c r="BO11" i="20"/>
  <c r="BF12" i="20"/>
  <c r="BL13" i="20"/>
  <c r="BC14" i="20"/>
  <c r="BJ15" i="20"/>
  <c r="BH16" i="20"/>
  <c r="BA24" i="20"/>
  <c r="AU88" i="20"/>
  <c r="BO92" i="20"/>
  <c r="BF109" i="20"/>
  <c r="BR9" i="20"/>
  <c r="AW54" i="20"/>
  <c r="AZ96" i="20"/>
  <c r="AY47" i="20"/>
  <c r="BO6" i="20"/>
  <c r="BF7" i="20"/>
  <c r="BL8" i="20"/>
  <c r="BC9" i="20"/>
  <c r="BJ10" i="20"/>
  <c r="BI11" i="20"/>
  <c r="AZ12" i="20"/>
  <c r="BP12" i="20"/>
  <c r="BF13" i="20"/>
  <c r="BM14" i="20"/>
  <c r="BD15" i="20"/>
  <c r="BJ16" i="20"/>
  <c r="BI17" i="20"/>
  <c r="BQ58" i="20"/>
  <c r="BH59" i="20"/>
  <c r="AZ103" i="20"/>
  <c r="BP103" i="20"/>
  <c r="BP119" i="20" s="1"/>
  <c r="AW105" i="20"/>
  <c r="AY94" i="20"/>
  <c r="BO94" i="20"/>
  <c r="BA5" i="20"/>
  <c r="BQ5" i="20"/>
  <c r="BH6" i="20"/>
  <c r="AY7" i="20"/>
  <c r="BO48" i="20"/>
  <c r="BK10" i="20"/>
  <c r="BB11" i="20"/>
  <c r="BA12" i="20"/>
  <c r="BQ12" i="20"/>
  <c r="BG13" i="20"/>
  <c r="BI18" i="20"/>
  <c r="BP19" i="20"/>
  <c r="BG21" i="20"/>
  <c r="AX22" i="20"/>
  <c r="BN22" i="20"/>
  <c r="BD24" i="20"/>
  <c r="BC5" i="20"/>
  <c r="BW14" i="20"/>
  <c r="AA122" i="20"/>
  <c r="BG104" i="20"/>
  <c r="BG120" i="20" s="1"/>
  <c r="AX105" i="20"/>
  <c r="BN105" i="20"/>
  <c r="BE106" i="20"/>
  <c r="AX49" i="20"/>
  <c r="BN49" i="20"/>
  <c r="BE50" i="20"/>
  <c r="AU51" i="20"/>
  <c r="BL51" i="20"/>
  <c r="BC52" i="20"/>
  <c r="L130" i="20"/>
  <c r="AB130" i="20"/>
  <c r="AU113" i="20"/>
  <c r="AU129" i="20" s="1"/>
  <c r="BK5" i="20"/>
  <c r="BO8" i="20"/>
  <c r="BF9" i="20"/>
  <c r="BM10" i="20"/>
  <c r="BD11" i="20"/>
  <c r="BK12" i="20"/>
  <c r="BQ13" i="20"/>
  <c r="AY15" i="20"/>
  <c r="BJ19" i="20"/>
  <c r="BH22" i="20"/>
  <c r="BJ96" i="20"/>
  <c r="AU18" i="20"/>
  <c r="BJ26" i="20"/>
  <c r="BF30" i="20"/>
  <c r="BQ34" i="20"/>
  <c r="BH35" i="20"/>
  <c r="BM25" i="20"/>
  <c r="BI29" i="20"/>
  <c r="BB36" i="20"/>
  <c r="BC110" i="20"/>
  <c r="BJ65" i="20"/>
  <c r="CD63" i="20"/>
  <c r="CD59" i="20"/>
  <c r="BY58" i="20"/>
  <c r="CB97" i="20"/>
  <c r="CC56" i="20"/>
  <c r="CC52" i="20"/>
  <c r="CE54" i="20"/>
  <c r="CE50" i="20"/>
  <c r="CD49" i="20"/>
  <c r="AY31" i="20"/>
  <c r="BP77" i="20"/>
  <c r="BE36" i="20"/>
  <c r="AZ24" i="20"/>
  <c r="BT60" i="20"/>
  <c r="BD60" i="20"/>
  <c r="BS58" i="20"/>
  <c r="BT57" i="20"/>
  <c r="BR47" i="20"/>
  <c r="BT111" i="20"/>
  <c r="AW92" i="20"/>
  <c r="X130" i="20"/>
  <c r="BW53" i="20"/>
  <c r="BW51" i="20"/>
  <c r="CC55" i="20"/>
  <c r="CC51" i="20"/>
  <c r="CE55" i="20"/>
  <c r="CE51" i="20"/>
  <c r="CD50" i="20"/>
  <c r="BV54" i="20"/>
  <c r="BZ30" i="20"/>
  <c r="CC54" i="20"/>
  <c r="CC50" i="20"/>
  <c r="CC46" i="20"/>
  <c r="CD55" i="20"/>
  <c r="CD51" i="20"/>
  <c r="AH121" i="20"/>
  <c r="AU125" i="20"/>
  <c r="Z70" i="23"/>
  <c r="AC39" i="23"/>
  <c r="BL80" i="12"/>
  <c r="AB39" i="23"/>
  <c r="AA39" i="23"/>
  <c r="AN80" i="12"/>
  <c r="Z39" i="23"/>
  <c r="CB29" i="20"/>
  <c r="CB19" i="20"/>
  <c r="CB13" i="20"/>
  <c r="CC7" i="20"/>
  <c r="BZ46" i="20"/>
  <c r="AB80" i="12"/>
  <c r="Y39" i="23"/>
  <c r="X39" i="23"/>
  <c r="BX67" i="20"/>
  <c r="BY48" i="20"/>
  <c r="CB6" i="20"/>
  <c r="X42" i="23"/>
  <c r="AE127" i="20"/>
  <c r="AM129" i="20"/>
  <c r="Q129" i="20"/>
  <c r="S126" i="20"/>
  <c r="O59" i="6"/>
  <c r="O42" i="6"/>
  <c r="BX79" i="12"/>
  <c r="AC38" i="23"/>
  <c r="AB38" i="23"/>
  <c r="AZ79" i="12"/>
  <c r="AA38" i="23"/>
  <c r="Z38" i="23"/>
  <c r="BF38" i="21"/>
  <c r="AB79" i="12"/>
  <c r="Y38" i="23"/>
  <c r="X38" i="23"/>
  <c r="AG39" i="23"/>
  <c r="AF39" i="23"/>
  <c r="AE39" i="23"/>
  <c r="CS39" i="12"/>
  <c r="AD39" i="23"/>
  <c r="CP38" i="12"/>
  <c r="BO35" i="20"/>
  <c r="BF35" i="20"/>
  <c r="BR75" i="20"/>
  <c r="BG34" i="20"/>
  <c r="BS33" i="20"/>
  <c r="BM74" i="20"/>
  <c r="BH33" i="20"/>
  <c r="BA74" i="20"/>
  <c r="BS31" i="20"/>
  <c r="BO72" i="20"/>
  <c r="BC31" i="20"/>
  <c r="BP71" i="20"/>
  <c r="BP130" i="20" s="1"/>
  <c r="BJ71" i="20"/>
  <c r="BJ130" i="20" s="1"/>
  <c r="BD30" i="20"/>
  <c r="BK70" i="20"/>
  <c r="BF29" i="20"/>
  <c r="BM68" i="20"/>
  <c r="BH27" i="20"/>
  <c r="BQ26" i="20"/>
  <c r="BH26" i="20"/>
  <c r="AX26" i="20"/>
  <c r="BO66" i="20"/>
  <c r="BI25" i="20"/>
  <c r="BR24" i="20"/>
  <c r="BP24" i="20"/>
  <c r="BR63" i="20"/>
  <c r="BL63" i="20"/>
  <c r="BT21" i="20"/>
  <c r="BM62" i="20"/>
  <c r="BN19" i="20"/>
  <c r="BR59" i="20"/>
  <c r="BM18" i="20"/>
  <c r="BE18" i="20"/>
  <c r="BN17" i="20"/>
  <c r="BF17" i="20"/>
  <c r="BO16" i="20"/>
  <c r="BG16" i="20"/>
  <c r="BQ15" i="20"/>
  <c r="BI56" i="20"/>
  <c r="BJ55" i="20"/>
  <c r="BK54" i="20"/>
  <c r="BR53" i="20"/>
  <c r="BM12" i="20"/>
  <c r="BN11" i="20"/>
  <c r="BF11" i="20"/>
  <c r="BG10" i="20"/>
  <c r="BP9" i="20"/>
  <c r="BW8" i="20"/>
  <c r="BQ8" i="20"/>
  <c r="BC7" i="20"/>
  <c r="AU6" i="20"/>
  <c r="BS5" i="20"/>
  <c r="BU96" i="20"/>
  <c r="CE77" i="20"/>
  <c r="Y42" i="23"/>
  <c r="I121" i="20"/>
  <c r="R129" i="20"/>
  <c r="O124" i="20"/>
  <c r="AP126" i="20"/>
  <c r="AL126" i="20"/>
  <c r="BX81" i="12"/>
  <c r="AC40" i="23"/>
  <c r="AB40" i="23"/>
  <c r="AA40" i="23"/>
  <c r="Z40" i="23"/>
  <c r="Y40" i="23"/>
  <c r="X40" i="23"/>
  <c r="AF40" i="23"/>
  <c r="AE40" i="23"/>
  <c r="CF38" i="21"/>
  <c r="BE71" i="20"/>
  <c r="BE130" i="20" s="1"/>
  <c r="BF70" i="20"/>
  <c r="BI67" i="20"/>
  <c r="BX8" i="20"/>
  <c r="BV91" i="20"/>
  <c r="AD40" i="23"/>
  <c r="AX52" i="20"/>
  <c r="AF42" i="23"/>
  <c r="AE42" i="23"/>
  <c r="AD42" i="23"/>
  <c r="AC42" i="23"/>
  <c r="AB42" i="23"/>
  <c r="AA42" i="23"/>
  <c r="Z42" i="23"/>
  <c r="AF38" i="23"/>
  <c r="AE38" i="23"/>
  <c r="AD38" i="23"/>
  <c r="CB36" i="20"/>
  <c r="CC76" i="20"/>
  <c r="CD34" i="20"/>
  <c r="CE30" i="20"/>
  <c r="CC29" i="20"/>
  <c r="CE24" i="20"/>
  <c r="Z121" i="20"/>
  <c r="AH129" i="20"/>
  <c r="Z127" i="20"/>
  <c r="AM126" i="20"/>
  <c r="AE129" i="20"/>
  <c r="AI124" i="20"/>
  <c r="L124" i="20"/>
  <c r="Y124" i="20"/>
  <c r="P125" i="20"/>
  <c r="BZ60" i="20"/>
  <c r="CC18" i="20"/>
  <c r="CD58" i="20"/>
  <c r="CD57" i="20"/>
  <c r="CA15" i="20"/>
  <c r="BZ56" i="20"/>
  <c r="BY14" i="20"/>
  <c r="CB14" i="20"/>
  <c r="BY55" i="20"/>
  <c r="CB12" i="20"/>
  <c r="CB38" i="21"/>
  <c r="CB51" i="20"/>
  <c r="CE9" i="20"/>
  <c r="CD9" i="20"/>
  <c r="CB9" i="20"/>
  <c r="BZ50" i="20"/>
  <c r="BX50" i="20"/>
  <c r="CB50" i="20"/>
  <c r="BX9" i="20"/>
  <c r="CC8" i="20"/>
  <c r="BZ49" i="20"/>
  <c r="CB8" i="20"/>
  <c r="BX49" i="20"/>
  <c r="CA7" i="20"/>
  <c r="CD48" i="20"/>
  <c r="CA5" i="20"/>
  <c r="DC39" i="12"/>
  <c r="CD10" i="20"/>
  <c r="CE12" i="20"/>
  <c r="CC39" i="21"/>
  <c r="CB49" i="20"/>
  <c r="CD14" i="20"/>
  <c r="BY54" i="20"/>
  <c r="DF39" i="12"/>
  <c r="BY53" i="20"/>
  <c r="CB10" i="20"/>
  <c r="CB40" i="21"/>
  <c r="DA40" i="12"/>
  <c r="DB39" i="12"/>
  <c r="CY38" i="12"/>
  <c r="DA38" i="12"/>
  <c r="CD75" i="20"/>
  <c r="CB71" i="20"/>
  <c r="CB130" i="20" s="1"/>
  <c r="CE29" i="20"/>
  <c r="CB24" i="20"/>
  <c r="CD21" i="20"/>
  <c r="DP38" i="12"/>
  <c r="CF40" i="21"/>
  <c r="AP121" i="20"/>
  <c r="AL81" i="20"/>
  <c r="AN79" i="12"/>
  <c r="BH38" i="21"/>
  <c r="DH39" i="12"/>
  <c r="AO39" i="20"/>
  <c r="AF81" i="20"/>
  <c r="H79" i="20"/>
  <c r="W126" i="20"/>
  <c r="AF124" i="20"/>
  <c r="R121" i="20"/>
  <c r="R125" i="20"/>
  <c r="AQ121" i="20"/>
  <c r="AD126" i="20"/>
  <c r="AU25" i="20"/>
  <c r="BA76" i="20"/>
  <c r="BH36" i="20"/>
  <c r="BI36" i="20"/>
  <c r="T38" i="20"/>
  <c r="BK35" i="20"/>
  <c r="BJ36" i="20"/>
  <c r="AR25" i="20"/>
  <c r="BO25" i="20"/>
  <c r="BK29" i="20"/>
  <c r="BJ30" i="20"/>
  <c r="BQ31" i="20"/>
  <c r="BN33" i="20"/>
  <c r="BM34" i="20"/>
  <c r="BL35" i="20"/>
  <c r="AX34" i="20"/>
  <c r="AW35" i="20"/>
  <c r="BM21" i="20"/>
  <c r="BL22" i="20"/>
  <c r="BQ66" i="20"/>
  <c r="BP67" i="20"/>
  <c r="BL71" i="20"/>
  <c r="BL130" i="20" s="1"/>
  <c r="BK72" i="20"/>
  <c r="BP27" i="20"/>
  <c r="BE30" i="20"/>
  <c r="BV71" i="20"/>
  <c r="BV130" i="20" s="1"/>
  <c r="DD40" i="12"/>
  <c r="Z80" i="20"/>
  <c r="R38" i="20"/>
  <c r="K79" i="20"/>
  <c r="M38" i="20"/>
  <c r="AP39" i="20"/>
  <c r="X129" i="20"/>
  <c r="K125" i="20"/>
  <c r="AN122" i="20"/>
  <c r="N125" i="20"/>
  <c r="BL34" i="20"/>
  <c r="BK76" i="20"/>
  <c r="BJ77" i="20"/>
  <c r="BQ72" i="20"/>
  <c r="BU72" i="20"/>
  <c r="AW29" i="20"/>
  <c r="AZ33" i="20"/>
  <c r="AR11" i="20"/>
  <c r="BX25" i="20"/>
  <c r="DG39" i="12"/>
  <c r="DD38" i="12"/>
  <c r="M79" i="20"/>
  <c r="V80" i="20"/>
  <c r="CY40" i="12"/>
  <c r="G126" i="20"/>
  <c r="P124" i="20"/>
  <c r="Z122" i="20"/>
  <c r="Z126" i="20"/>
  <c r="T121" i="20"/>
  <c r="AC129" i="20"/>
  <c r="BC74" i="20"/>
  <c r="BB75" i="20"/>
  <c r="BP36" i="20"/>
  <c r="AR31" i="20"/>
  <c r="BJ35" i="20"/>
  <c r="BQ36" i="20"/>
  <c r="BL75" i="20"/>
  <c r="AS36" i="20"/>
  <c r="AY25" i="20"/>
  <c r="BN67" i="20"/>
  <c r="AS30" i="20"/>
  <c r="BB31" i="20"/>
  <c r="BG33" i="20"/>
  <c r="BF34" i="20"/>
  <c r="BE35" i="20"/>
  <c r="BD36" i="20"/>
  <c r="AW21" i="20"/>
  <c r="AU22" i="20"/>
  <c r="AS24" i="20"/>
  <c r="AY75" i="20"/>
  <c r="AX76" i="20"/>
  <c r="AW77" i="20"/>
  <c r="BI26" i="20"/>
  <c r="AX70" i="20"/>
  <c r="BH34" i="20"/>
  <c r="Q79" i="12"/>
  <c r="AZ38" i="21"/>
  <c r="CD39" i="21"/>
  <c r="P126" i="20"/>
  <c r="DJ39" i="12"/>
  <c r="AC39" i="20"/>
  <c r="AL80" i="20"/>
  <c r="P122" i="20"/>
  <c r="AF126" i="20"/>
  <c r="AT121" i="20"/>
  <c r="AR72" i="20"/>
  <c r="AW33" i="20"/>
  <c r="AW27" i="20"/>
  <c r="BG26" i="20"/>
  <c r="BD29" i="20"/>
  <c r="BG74" i="20"/>
  <c r="BF75" i="20"/>
  <c r="BE76" i="20"/>
  <c r="BD77" i="20"/>
  <c r="BG27" i="20"/>
  <c r="BE29" i="20"/>
  <c r="AH81" i="20"/>
  <c r="BU36" i="20"/>
  <c r="BV77" i="20"/>
  <c r="BW30" i="20"/>
  <c r="BV30" i="20"/>
  <c r="BM30" i="20"/>
  <c r="BN29" i="20"/>
  <c r="BV65" i="20"/>
  <c r="BW24" i="20"/>
  <c r="BS21" i="20"/>
  <c r="BU21" i="20"/>
  <c r="BX15" i="20"/>
  <c r="BT15" i="20"/>
  <c r="BR55" i="20"/>
  <c r="BV55" i="20"/>
  <c r="BX14" i="20"/>
  <c r="AT7" i="20"/>
  <c r="AT48" i="20"/>
  <c r="W79" i="20"/>
  <c r="BI112" i="20"/>
  <c r="BI128" i="20" s="1"/>
  <c r="BP96" i="20"/>
  <c r="BO112" i="20"/>
  <c r="BO128" i="20" s="1"/>
  <c r="BS96" i="20"/>
  <c r="BL97" i="20"/>
  <c r="BW87" i="20"/>
  <c r="BU91" i="20"/>
  <c r="BV107" i="20"/>
  <c r="BV123" i="20" s="1"/>
  <c r="Q40" i="20"/>
  <c r="V40" i="20"/>
  <c r="BN96" i="20"/>
  <c r="BT96" i="20"/>
  <c r="BH97" i="20"/>
  <c r="BM97" i="20"/>
  <c r="BO97" i="20"/>
  <c r="BY93" i="20"/>
  <c r="F80" i="20"/>
  <c r="BP97" i="20"/>
  <c r="BR97" i="20"/>
  <c r="BT97" i="20"/>
  <c r="BV109" i="20"/>
  <c r="BV81" i="12"/>
  <c r="BJ39" i="12"/>
  <c r="AU80" i="12"/>
  <c r="AU39" i="12"/>
  <c r="AW40" i="21"/>
  <c r="AS81" i="20" s="1"/>
  <c r="AW39" i="21"/>
  <c r="AS80" i="20" s="1"/>
  <c r="BJ39" i="21"/>
  <c r="BT91" i="20"/>
  <c r="BU90" i="20"/>
  <c r="O57" i="6"/>
  <c r="BS38" i="21"/>
  <c r="CT39" i="12"/>
  <c r="BN111" i="20"/>
  <c r="F112" i="20"/>
  <c r="F128" i="20" s="1"/>
  <c r="V111" i="20"/>
  <c r="V127" i="20" s="1"/>
  <c r="F63" i="20"/>
  <c r="BZ34" i="20"/>
  <c r="CE74" i="20"/>
  <c r="CC70" i="20"/>
  <c r="CB66" i="20"/>
  <c r="CE59" i="20"/>
  <c r="BX59" i="20"/>
  <c r="CE57" i="20"/>
  <c r="BX113" i="20"/>
  <c r="BY106" i="20"/>
  <c r="O55" i="6"/>
  <c r="BH40" i="21"/>
  <c r="U79" i="20"/>
  <c r="AZ68" i="20"/>
  <c r="BR62" i="20"/>
  <c r="BK113" i="20"/>
  <c r="E112" i="20"/>
  <c r="E128" i="20" s="1"/>
  <c r="CB70" i="20"/>
  <c r="CE68" i="20"/>
  <c r="BZ26" i="20"/>
  <c r="CD42" i="21"/>
  <c r="BZ42" i="21"/>
  <c r="BV42" i="21"/>
  <c r="BF42" i="21"/>
  <c r="AN81" i="12"/>
  <c r="AC81" i="12"/>
  <c r="BB40" i="21"/>
  <c r="AJ79" i="12"/>
  <c r="BM92" i="20"/>
  <c r="AL111" i="20"/>
  <c r="AL127" i="20" s="1"/>
  <c r="F107" i="20"/>
  <c r="F123" i="20" s="1"/>
  <c r="F104" i="20"/>
  <c r="F120" i="20" s="1"/>
  <c r="F70" i="20"/>
  <c r="F67" i="20"/>
  <c r="F56" i="20"/>
  <c r="F53" i="20"/>
  <c r="D46" i="20"/>
  <c r="CB75" i="20"/>
  <c r="CD68" i="20"/>
  <c r="CC19" i="20"/>
  <c r="CD18" i="20"/>
  <c r="CD16" i="20"/>
  <c r="BZ109" i="20"/>
  <c r="BY104" i="20"/>
  <c r="BY120" i="20" s="1"/>
  <c r="M39" i="20"/>
  <c r="CE80" i="12"/>
  <c r="DM38" i="12"/>
  <c r="BP68" i="20"/>
  <c r="BP127" i="20" s="1"/>
  <c r="BS113" i="20"/>
  <c r="BJ112" i="20"/>
  <c r="BJ128" i="20" s="1"/>
  <c r="AR96" i="20"/>
  <c r="CB47" i="20"/>
  <c r="BU60" i="20"/>
  <c r="BZ92" i="20"/>
  <c r="CE42" i="21"/>
  <c r="CC42" i="21"/>
  <c r="BY42" i="21"/>
  <c r="BW42" i="21"/>
  <c r="BQ42" i="21"/>
  <c r="BO42" i="21"/>
  <c r="BK42" i="21"/>
  <c r="BG42" i="21"/>
  <c r="CC16" i="20"/>
  <c r="CC60" i="20"/>
  <c r="CC57" i="20"/>
  <c r="Y121" i="20"/>
  <c r="AO124" i="20"/>
  <c r="P79" i="20"/>
  <c r="P38" i="20"/>
  <c r="O79" i="20"/>
  <c r="S79" i="20"/>
  <c r="O38" i="20"/>
  <c r="BO38" i="21"/>
  <c r="AM81" i="20"/>
  <c r="AM40" i="20"/>
  <c r="AI79" i="20"/>
  <c r="AL38" i="20"/>
  <c r="AI38" i="20"/>
  <c r="AH127" i="20"/>
  <c r="T79" i="20"/>
  <c r="AJ81" i="20"/>
  <c r="AA40" i="20"/>
  <c r="T81" i="20"/>
  <c r="Z81" i="20"/>
  <c r="P40" i="20"/>
  <c r="G129" i="20"/>
  <c r="L129" i="20"/>
  <c r="AJ79" i="20"/>
  <c r="T122" i="20"/>
  <c r="G81" i="20"/>
  <c r="K81" i="20"/>
  <c r="G40" i="20"/>
  <c r="N40" i="20"/>
  <c r="AB80" i="20"/>
  <c r="AI39" i="20"/>
  <c r="BT38" i="21"/>
  <c r="BN79" i="12"/>
  <c r="BP38" i="21"/>
  <c r="AD79" i="12"/>
  <c r="BD38" i="21"/>
  <c r="BC38" i="21"/>
  <c r="Z79" i="12"/>
  <c r="K38" i="20"/>
  <c r="D79" i="20"/>
  <c r="DC40" i="12"/>
  <c r="CD40" i="21"/>
  <c r="DE40" i="12"/>
  <c r="CR40" i="12"/>
  <c r="BZ40" i="21"/>
  <c r="CN40" i="12"/>
  <c r="CZ40" i="12"/>
  <c r="CX40" i="12"/>
  <c r="CW40" i="12"/>
  <c r="CV40" i="12"/>
  <c r="CF81" i="12"/>
  <c r="CP40" i="12"/>
  <c r="CQ40" i="12"/>
  <c r="DR39" i="12"/>
  <c r="DN39" i="12"/>
  <c r="CF39" i="21"/>
  <c r="CB39" i="21"/>
  <c r="CX39" i="12"/>
  <c r="DI39" i="12"/>
  <c r="DE39" i="12"/>
  <c r="CP39" i="12"/>
  <c r="DA39" i="12"/>
  <c r="CL39" i="12"/>
  <c r="BX39" i="21"/>
  <c r="CV39" i="12"/>
  <c r="CW39" i="12"/>
  <c r="CQ39" i="12"/>
  <c r="CO39" i="12"/>
  <c r="CD80" i="12"/>
  <c r="CN39" i="12"/>
  <c r="DK38" i="12"/>
  <c r="CD38" i="21"/>
  <c r="CC38" i="21"/>
  <c r="CU38" i="12"/>
  <c r="CX38" i="12"/>
  <c r="CO38" i="12"/>
  <c r="BV38" i="21"/>
  <c r="AQ126" i="20"/>
  <c r="Y122" i="20"/>
  <c r="AA125" i="20"/>
  <c r="D125" i="20"/>
  <c r="AK121" i="20"/>
  <c r="Y80" i="20"/>
  <c r="U80" i="20"/>
  <c r="AG39" i="20"/>
  <c r="AD80" i="20"/>
  <c r="AH80" i="20"/>
  <c r="AD39" i="20"/>
  <c r="V39" i="20"/>
  <c r="O39" i="20"/>
  <c r="R39" i="20"/>
  <c r="L39" i="20"/>
  <c r="I80" i="20"/>
  <c r="AK39" i="20"/>
  <c r="AO80" i="20"/>
  <c r="Z40" i="20"/>
  <c r="AE39" i="20"/>
  <c r="BW39" i="21"/>
  <c r="K127" i="20"/>
  <c r="O121" i="20"/>
  <c r="AQ125" i="20"/>
  <c r="I40" i="20"/>
  <c r="AH81" i="12"/>
  <c r="BF40" i="21"/>
  <c r="AD81" i="12"/>
  <c r="AP81" i="12"/>
  <c r="AK81" i="20"/>
  <c r="AO81" i="20"/>
  <c r="M81" i="20"/>
  <c r="E81" i="20"/>
  <c r="BQ39" i="21"/>
  <c r="BQ80" i="12"/>
  <c r="AV39" i="12"/>
  <c r="AN125" i="20"/>
  <c r="Z124" i="20"/>
  <c r="AH125" i="20"/>
  <c r="R126" i="20"/>
  <c r="AH126" i="20"/>
  <c r="T127" i="20"/>
  <c r="AF127" i="20"/>
  <c r="AQ127" i="20"/>
  <c r="W124" i="20"/>
  <c r="O125" i="20"/>
  <c r="AE125" i="20"/>
  <c r="W129" i="20"/>
  <c r="G121" i="20"/>
  <c r="O122" i="20"/>
  <c r="AE126" i="20"/>
  <c r="AG126" i="20"/>
  <c r="AO129" i="20"/>
  <c r="S121" i="20"/>
  <c r="AI125" i="20"/>
  <c r="AI129" i="20"/>
  <c r="S122" i="20"/>
  <c r="AI122" i="20"/>
  <c r="K124" i="20"/>
  <c r="S125" i="20"/>
  <c r="AI126" i="20"/>
  <c r="AB121" i="20"/>
  <c r="T124" i="20"/>
  <c r="AJ124" i="20"/>
  <c r="AB126" i="20"/>
  <c r="L121" i="20"/>
  <c r="AJ121" i="20"/>
  <c r="AB124" i="20"/>
  <c r="L126" i="20"/>
  <c r="T129" i="20"/>
  <c r="AJ129" i="20"/>
  <c r="M124" i="20"/>
  <c r="M121" i="20"/>
  <c r="AC125" i="20"/>
  <c r="AO122" i="20"/>
  <c r="AO126" i="20"/>
  <c r="AF39" i="20"/>
  <c r="AS38" i="20"/>
  <c r="BU79" i="12"/>
  <c r="CB81" i="12"/>
  <c r="BH81" i="12"/>
  <c r="BN40" i="21"/>
  <c r="BX80" i="12"/>
  <c r="CC40" i="21"/>
  <c r="CS40" i="12"/>
  <c r="DK39" i="12"/>
  <c r="CE39" i="21"/>
  <c r="CU39" i="12"/>
  <c r="CM39" i="12"/>
  <c r="BZ38" i="21"/>
  <c r="AA81" i="12"/>
  <c r="BC40" i="21"/>
  <c r="BJ80" i="12"/>
  <c r="BV80" i="12"/>
  <c r="BF80" i="12"/>
  <c r="BN39" i="21"/>
  <c r="BL39" i="21"/>
  <c r="BB80" i="12"/>
  <c r="AX80" i="12"/>
  <c r="BK39" i="21"/>
  <c r="AP80" i="12"/>
  <c r="BH39" i="21"/>
  <c r="AM80" i="12"/>
  <c r="AA80" i="12"/>
  <c r="W80" i="12"/>
  <c r="BB39" i="21"/>
  <c r="S80" i="12"/>
  <c r="BA39" i="21"/>
  <c r="BY79" i="12"/>
  <c r="BQ79" i="12"/>
  <c r="CC79" i="12"/>
  <c r="DN40" i="12"/>
  <c r="BN36" i="20"/>
  <c r="AX36" i="20"/>
  <c r="BS76" i="20"/>
  <c r="BG35" i="20"/>
  <c r="BP34" i="20"/>
  <c r="AZ34" i="20"/>
  <c r="BI33" i="20"/>
  <c r="BX29" i="20"/>
  <c r="BS12" i="20"/>
  <c r="BV10" i="20"/>
  <c r="BT9" i="20"/>
  <c r="BH9" i="20"/>
  <c r="BI8" i="20"/>
  <c r="BS48" i="20"/>
  <c r="BK7" i="20"/>
  <c r="BD6" i="20"/>
  <c r="BM5" i="20"/>
  <c r="AW5" i="20"/>
  <c r="CA47" i="20"/>
  <c r="BS105" i="20"/>
  <c r="CF42" i="21"/>
  <c r="BX42" i="21"/>
  <c r="BL42" i="21"/>
  <c r="BH42" i="21"/>
  <c r="AD124" i="20"/>
  <c r="V124" i="20"/>
  <c r="V125" i="20"/>
  <c r="X38" i="20"/>
  <c r="AD79" i="20"/>
  <c r="X39" i="20"/>
  <c r="H40" i="20"/>
  <c r="AB81" i="20"/>
  <c r="AN39" i="20"/>
  <c r="AG80" i="20"/>
  <c r="AM81" i="12"/>
  <c r="BD38" i="12"/>
  <c r="BA38" i="21"/>
  <c r="AW79" i="20" s="1"/>
  <c r="DQ40" i="12"/>
  <c r="DM39" i="12"/>
  <c r="DS38" i="12"/>
  <c r="DF38" i="12"/>
  <c r="AW111" i="20"/>
  <c r="J31" i="20"/>
  <c r="CA60" i="20"/>
  <c r="CA58" i="20"/>
  <c r="BZ89" i="20"/>
  <c r="CA88" i="20"/>
  <c r="BV88" i="20"/>
  <c r="AP122" i="20"/>
  <c r="F79" i="20"/>
  <c r="AJ38" i="20"/>
  <c r="BG70" i="21"/>
  <c r="BC109" i="20" s="1"/>
  <c r="AL81" i="12"/>
  <c r="AE79" i="12"/>
  <c r="DL40" i="12"/>
  <c r="DB40" i="12"/>
  <c r="DL39" i="12"/>
  <c r="BS70" i="20"/>
  <c r="BT65" i="20"/>
  <c r="BW35" i="20"/>
  <c r="AU31" i="20"/>
  <c r="BI97" i="20"/>
  <c r="BI96" i="20"/>
  <c r="L29" i="20"/>
  <c r="BT49" i="20"/>
  <c r="CC5" i="20"/>
  <c r="CA90" i="20"/>
  <c r="BZ47" i="20"/>
  <c r="AB38" i="20"/>
  <c r="AC79" i="20"/>
  <c r="Y79" i="20"/>
  <c r="AL40" i="20"/>
  <c r="AE38" i="20"/>
  <c r="AA39" i="20"/>
  <c r="Y38" i="20"/>
  <c r="AO38" i="20"/>
  <c r="O126" i="20"/>
  <c r="O40" i="20"/>
  <c r="AB127" i="20"/>
  <c r="R127" i="20"/>
  <c r="AB40" i="20"/>
  <c r="AF80" i="20"/>
  <c r="S124" i="20"/>
  <c r="AC126" i="20"/>
  <c r="AU124" i="20"/>
  <c r="N129" i="20"/>
  <c r="AM38" i="20"/>
  <c r="AF38" i="20"/>
  <c r="T40" i="20"/>
  <c r="W40" i="20"/>
  <c r="G38" i="20"/>
  <c r="K80" i="20"/>
  <c r="S38" i="20"/>
  <c r="AE122" i="20"/>
  <c r="J39" i="20"/>
  <c r="AL79" i="20"/>
  <c r="AP81" i="20"/>
  <c r="Z79" i="20"/>
  <c r="V81" i="20"/>
  <c r="H81" i="20"/>
  <c r="W121" i="20"/>
  <c r="J124" i="20"/>
  <c r="D80" i="20"/>
  <c r="AI127" i="20"/>
  <c r="H80" i="20"/>
  <c r="V38" i="20"/>
  <c r="AN79" i="20"/>
  <c r="AC40" i="20"/>
  <c r="G39" i="20"/>
  <c r="N39" i="20"/>
  <c r="L81" i="20"/>
  <c r="Y40" i="20"/>
  <c r="AP79" i="20"/>
  <c r="AU121" i="20"/>
  <c r="AM39" i="20"/>
  <c r="N81" i="20"/>
  <c r="AE40" i="20"/>
  <c r="AA38" i="20"/>
  <c r="T39" i="20"/>
  <c r="M40" i="20"/>
  <c r="P81" i="20"/>
  <c r="J40" i="20"/>
  <c r="I126" i="20"/>
  <c r="AO121" i="20"/>
  <c r="BL31" i="20"/>
  <c r="BR29" i="20"/>
  <c r="BT10" i="20"/>
  <c r="BR113" i="20"/>
  <c r="BV113" i="20"/>
  <c r="BV104" i="20"/>
  <c r="BV120" i="20" s="1"/>
  <c r="BR104" i="20"/>
  <c r="BR120" i="20" s="1"/>
  <c r="L92" i="20"/>
  <c r="E106" i="20"/>
  <c r="L89" i="20"/>
  <c r="U77" i="20"/>
  <c r="F71" i="20"/>
  <c r="F130" i="20" s="1"/>
  <c r="F57" i="20"/>
  <c r="AD14" i="20"/>
  <c r="BT56" i="20"/>
  <c r="BZ55" i="20"/>
  <c r="BV14" i="20"/>
  <c r="CC14" i="20"/>
  <c r="CC12" i="20"/>
  <c r="BV12" i="20"/>
  <c r="BY87" i="20"/>
  <c r="AP129" i="20"/>
  <c r="AD125" i="20"/>
  <c r="N126" i="20"/>
  <c r="L40" i="20"/>
  <c r="F81" i="20"/>
  <c r="AM80" i="20"/>
  <c r="BR77" i="20"/>
  <c r="BW36" i="20"/>
  <c r="BR49" i="20"/>
  <c r="BV49" i="20"/>
  <c r="BT8" i="20"/>
  <c r="BS92" i="20"/>
  <c r="BW92" i="20"/>
  <c r="BR90" i="20"/>
  <c r="BS89" i="20"/>
  <c r="BT88" i="20"/>
  <c r="BR103" i="20"/>
  <c r="Y70" i="20"/>
  <c r="Y129" i="20" s="1"/>
  <c r="Y67" i="20"/>
  <c r="Y66" i="20"/>
  <c r="Y125" i="20" s="1"/>
  <c r="E63" i="20"/>
  <c r="AD50" i="20"/>
  <c r="F49" i="20"/>
  <c r="BU14" i="20"/>
  <c r="BX33" i="20"/>
  <c r="CD22" i="20"/>
  <c r="CE19" i="20"/>
  <c r="CD19" i="20"/>
  <c r="BY16" i="20"/>
  <c r="BY57" i="20"/>
  <c r="BU16" i="20"/>
  <c r="BU97" i="20"/>
  <c r="BU113" i="20"/>
  <c r="BZ112" i="20"/>
  <c r="BZ128" i="20" s="1"/>
  <c r="BZ96" i="20"/>
  <c r="BV96" i="20"/>
  <c r="BT110" i="20"/>
  <c r="BU93" i="20"/>
  <c r="BX103" i="20"/>
  <c r="CA87" i="20"/>
  <c r="W122" i="20"/>
  <c r="H121" i="20"/>
  <c r="AO125" i="20"/>
  <c r="AP125" i="20"/>
  <c r="AS129" i="20"/>
  <c r="K121" i="20"/>
  <c r="K129" i="20"/>
  <c r="AS124" i="20"/>
  <c r="T125" i="20"/>
  <c r="AL125" i="20"/>
  <c r="CA53" i="20"/>
  <c r="CE53" i="20"/>
  <c r="CC11" i="20"/>
  <c r="BZ52" i="20"/>
  <c r="P39" i="20"/>
  <c r="BZ48" i="20"/>
  <c r="BV48" i="20"/>
  <c r="BT47" i="20"/>
  <c r="BV35" i="20"/>
  <c r="BS71" i="20"/>
  <c r="BS130" i="20" s="1"/>
  <c r="BU30" i="20"/>
  <c r="BZ66" i="20"/>
  <c r="BS65" i="20"/>
  <c r="BV24" i="20"/>
  <c r="BT22" i="20"/>
  <c r="CD95" i="20"/>
  <c r="BS94" i="20"/>
  <c r="BU11" i="20"/>
  <c r="BS10" i="20"/>
  <c r="CA49" i="20"/>
  <c r="BV7" i="20"/>
  <c r="BU5" i="20"/>
  <c r="CC35" i="20"/>
  <c r="BZ106" i="20"/>
  <c r="CE47" i="20"/>
  <c r="CA6" i="20"/>
  <c r="BR36" i="20"/>
  <c r="BV34" i="20"/>
  <c r="BR33" i="20"/>
  <c r="BS24" i="20"/>
  <c r="BS19" i="20"/>
  <c r="BT16" i="20"/>
  <c r="BW5" i="20"/>
  <c r="AH94" i="20"/>
  <c r="V94" i="20"/>
  <c r="J94" i="20"/>
  <c r="AH93" i="20"/>
  <c r="S93" i="20"/>
  <c r="AP91" i="20"/>
  <c r="J91" i="20"/>
  <c r="Z89" i="20"/>
  <c r="R88" i="20"/>
  <c r="J88" i="20"/>
  <c r="Z87" i="20"/>
  <c r="AD36" i="20"/>
  <c r="AB18" i="20"/>
  <c r="E56" i="20"/>
  <c r="U55" i="20"/>
  <c r="AB10" i="20"/>
  <c r="L10" i="20"/>
  <c r="CC25" i="20"/>
  <c r="CB58" i="20"/>
  <c r="BZ94" i="20"/>
  <c r="CA93" i="20"/>
  <c r="BR91" i="20"/>
  <c r="F103" i="20"/>
  <c r="F72" i="20"/>
  <c r="V29" i="20"/>
  <c r="AJ50" i="20"/>
  <c r="L47" i="20"/>
  <c r="CC30" i="20"/>
  <c r="CD70" i="20"/>
  <c r="CE26" i="20"/>
  <c r="BV59" i="20"/>
  <c r="CE17" i="20"/>
  <c r="BV57" i="20"/>
  <c r="CE112" i="20"/>
  <c r="CE128" i="20" s="1"/>
  <c r="CA112" i="20"/>
  <c r="CA128" i="20" s="1"/>
  <c r="CD96" i="20"/>
  <c r="CD36" i="20"/>
  <c r="CE33" i="20"/>
  <c r="CD30" i="20"/>
  <c r="CC71" i="20"/>
  <c r="CC130" i="20" s="1"/>
  <c r="CD29" i="20"/>
  <c r="CC27" i="20"/>
  <c r="CE27" i="20"/>
  <c r="CD24" i="20"/>
  <c r="DS39" i="12"/>
  <c r="DP39" i="12"/>
  <c r="CE58" i="20"/>
  <c r="DS40" i="12"/>
  <c r="DO40" i="12"/>
  <c r="CE16" i="20"/>
  <c r="DQ39" i="12"/>
  <c r="DP40" i="12"/>
  <c r="DO38" i="12"/>
  <c r="DM40" i="12"/>
  <c r="CA17" i="20"/>
  <c r="CB17" i="20"/>
  <c r="CD17" i="20"/>
  <c r="DH40" i="12"/>
  <c r="DJ40" i="12"/>
  <c r="DH38" i="12"/>
  <c r="DI40" i="12"/>
  <c r="DG40" i="12"/>
  <c r="DF40" i="12"/>
  <c r="DR40" i="12"/>
  <c r="DJ38" i="12"/>
  <c r="DG38" i="12"/>
  <c r="CE40" i="21"/>
  <c r="CI40" i="21"/>
  <c r="CI38" i="21"/>
  <c r="DO39" i="12"/>
  <c r="DN38" i="12"/>
  <c r="DR38" i="12"/>
  <c r="CH39" i="21"/>
  <c r="CH38" i="21"/>
  <c r="DL38" i="12"/>
  <c r="CG40" i="21"/>
  <c r="DK40" i="12"/>
  <c r="AJ39" i="20"/>
  <c r="BE38" i="12"/>
  <c r="AX38" i="12"/>
  <c r="BF38" i="12"/>
  <c r="BG38" i="12"/>
  <c r="BK38" i="21"/>
  <c r="BC38" i="12"/>
  <c r="AY38" i="12"/>
  <c r="BA38" i="12"/>
  <c r="AZ38" i="12"/>
  <c r="BB38" i="12"/>
  <c r="AT38" i="12"/>
  <c r="AU38" i="12"/>
  <c r="AW38" i="12"/>
  <c r="BG38" i="21"/>
  <c r="Q127" i="20"/>
  <c r="AT94" i="20"/>
  <c r="AP94" i="20"/>
  <c r="AK110" i="20"/>
  <c r="AK126" i="20" s="1"/>
  <c r="AJ94" i="20"/>
  <c r="AB94" i="20"/>
  <c r="U110" i="20"/>
  <c r="U126" i="20" s="1"/>
  <c r="Y110" i="20"/>
  <c r="M110" i="20"/>
  <c r="M126" i="20" s="1"/>
  <c r="L94" i="20"/>
  <c r="I94" i="20"/>
  <c r="AK125" i="20"/>
  <c r="M93" i="20"/>
  <c r="Q109" i="20"/>
  <c r="Q125" i="20" s="1"/>
  <c r="N93" i="20"/>
  <c r="J93" i="20"/>
  <c r="AL92" i="20"/>
  <c r="AP92" i="20"/>
  <c r="AI92" i="20"/>
  <c r="AC108" i="20"/>
  <c r="AC124" i="20" s="1"/>
  <c r="AC92" i="20"/>
  <c r="AJ92" i="20"/>
  <c r="AD92" i="20"/>
  <c r="Z92" i="20"/>
  <c r="Q108" i="20"/>
  <c r="Q124" i="20" s="1"/>
  <c r="U108" i="20"/>
  <c r="U124" i="20" s="1"/>
  <c r="T92" i="20"/>
  <c r="R92" i="20"/>
  <c r="N92" i="20"/>
  <c r="K92" i="20"/>
  <c r="AK107" i="20"/>
  <c r="AK123" i="20" s="1"/>
  <c r="AJ91" i="20"/>
  <c r="AG107" i="20"/>
  <c r="AG123" i="20" s="1"/>
  <c r="AD91" i="20"/>
  <c r="AH91" i="20"/>
  <c r="U91" i="20"/>
  <c r="Y107" i="20"/>
  <c r="Y123" i="20" s="1"/>
  <c r="U107" i="20"/>
  <c r="U123" i="20" s="1"/>
  <c r="AB91" i="20"/>
  <c r="V91" i="20"/>
  <c r="S107" i="20"/>
  <c r="S123" i="20" s="1"/>
  <c r="M107" i="20"/>
  <c r="M123" i="20" s="1"/>
  <c r="L91" i="20"/>
  <c r="I107" i="20"/>
  <c r="I123" i="20" s="1"/>
  <c r="AK106" i="20"/>
  <c r="AK122" i="20" s="1"/>
  <c r="AN90" i="20"/>
  <c r="AH90" i="20"/>
  <c r="AL90" i="20"/>
  <c r="AC106" i="20"/>
  <c r="AC122" i="20" s="1"/>
  <c r="AB90" i="20"/>
  <c r="M106" i="20"/>
  <c r="M122" i="20" s="1"/>
  <c r="Q106" i="20"/>
  <c r="Q122" i="20" s="1"/>
  <c r="J90" i="20"/>
  <c r="N90" i="20"/>
  <c r="AI89" i="20"/>
  <c r="AP89" i="20"/>
  <c r="AJ89" i="20"/>
  <c r="AC89" i="20"/>
  <c r="T89" i="20"/>
  <c r="Q105" i="20"/>
  <c r="Q121" i="20" s="1"/>
  <c r="K89" i="20"/>
  <c r="R89" i="20"/>
  <c r="AN88" i="20"/>
  <c r="AK104" i="20"/>
  <c r="AK120" i="20" s="1"/>
  <c r="AG104" i="20"/>
  <c r="AG120" i="20" s="1"/>
  <c r="AD88" i="20"/>
  <c r="AA88" i="20"/>
  <c r="Y104" i="20"/>
  <c r="Y120" i="20" s="1"/>
  <c r="AB88" i="20"/>
  <c r="U104" i="20"/>
  <c r="U120" i="20" s="1"/>
  <c r="I88" i="20"/>
  <c r="M104" i="20"/>
  <c r="M120" i="20" s="1"/>
  <c r="AK103" i="20"/>
  <c r="AK87" i="20"/>
  <c r="AL87" i="20"/>
  <c r="AI103" i="20"/>
  <c r="AB87" i="20"/>
  <c r="Y87" i="20"/>
  <c r="T87" i="20"/>
  <c r="M103" i="20"/>
  <c r="M87" i="20"/>
  <c r="N87" i="20"/>
  <c r="K103" i="20"/>
  <c r="AI77" i="20"/>
  <c r="AP36" i="20"/>
  <c r="AC77" i="20"/>
  <c r="AC36" i="20"/>
  <c r="AT35" i="20"/>
  <c r="AP35" i="20"/>
  <c r="AG35" i="20"/>
  <c r="AK76" i="20"/>
  <c r="AJ35" i="20"/>
  <c r="BX55" i="20"/>
  <c r="CA14" i="20"/>
  <c r="CB55" i="20"/>
  <c r="BY13" i="20"/>
  <c r="CB54" i="20"/>
  <c r="BX13" i="20"/>
  <c r="CE13" i="20"/>
  <c r="X81" i="12"/>
  <c r="AX40" i="21"/>
  <c r="R80" i="12"/>
  <c r="AV39" i="21"/>
  <c r="AX38" i="21"/>
  <c r="X79" i="12"/>
  <c r="R79" i="12"/>
  <c r="J121" i="20"/>
  <c r="AV38" i="12"/>
  <c r="CQ38" i="12"/>
  <c r="BW38" i="21"/>
  <c r="CR38" i="12"/>
  <c r="CB79" i="12"/>
  <c r="H124" i="20"/>
  <c r="X125" i="20"/>
  <c r="P129" i="20"/>
  <c r="X121" i="20"/>
  <c r="Q126" i="20"/>
  <c r="AE124" i="20"/>
  <c r="AH124" i="20"/>
  <c r="AA126" i="20"/>
  <c r="J129" i="20"/>
  <c r="AS126" i="20"/>
  <c r="BD40" i="21"/>
  <c r="K39" i="20"/>
  <c r="BU94" i="20"/>
  <c r="BR110" i="20"/>
  <c r="BR93" i="20"/>
  <c r="BV93" i="20"/>
  <c r="BR108" i="20"/>
  <c r="BU92" i="20"/>
  <c r="BV105" i="20"/>
  <c r="BR89" i="20"/>
  <c r="AF76" i="20"/>
  <c r="BZ88" i="20"/>
  <c r="BW88" i="20"/>
  <c r="BR35" i="20"/>
  <c r="BU35" i="20"/>
  <c r="BV72" i="20"/>
  <c r="BR31" i="20"/>
  <c r="BT31" i="20"/>
  <c r="BS30" i="20"/>
  <c r="BT30" i="20"/>
  <c r="BR30" i="20"/>
  <c r="BS29" i="20"/>
  <c r="BR70" i="20"/>
  <c r="BT29" i="20"/>
  <c r="BR27" i="20"/>
  <c r="BT68" i="20"/>
  <c r="BV27" i="20"/>
  <c r="BT27" i="20"/>
  <c r="BS27" i="20"/>
  <c r="BU67" i="20"/>
  <c r="BV26" i="20"/>
  <c r="BT26" i="20"/>
  <c r="BS26" i="20"/>
  <c r="BU26" i="20"/>
  <c r="BW26" i="20"/>
  <c r="BR26" i="20"/>
  <c r="BT25" i="20"/>
  <c r="BV66" i="20"/>
  <c r="BR66" i="20"/>
  <c r="BW25" i="20"/>
  <c r="BU25" i="20"/>
  <c r="BR25" i="20"/>
  <c r="BS22" i="20"/>
  <c r="BR22" i="20"/>
  <c r="BS63" i="20"/>
  <c r="BT62" i="20"/>
  <c r="BR21" i="20"/>
  <c r="BR19" i="20"/>
  <c r="BR18" i="20"/>
  <c r="BU18" i="20"/>
  <c r="BS18" i="20"/>
  <c r="BS17" i="20"/>
  <c r="BU17" i="20"/>
  <c r="BT17" i="20"/>
  <c r="BW17" i="20"/>
  <c r="BR16" i="20"/>
  <c r="BR15" i="20"/>
  <c r="BY15" i="20"/>
  <c r="BV15" i="20"/>
  <c r="BV56" i="20"/>
  <c r="BS15" i="20"/>
  <c r="BS14" i="20"/>
  <c r="BR14" i="20"/>
  <c r="BR54" i="20"/>
  <c r="BU13" i="20"/>
  <c r="BR13" i="20"/>
  <c r="BS53" i="20"/>
  <c r="BR12" i="20"/>
  <c r="BT11" i="20"/>
  <c r="BT52" i="20"/>
  <c r="BR11" i="20"/>
  <c r="BS11" i="20"/>
  <c r="BR10" i="20"/>
  <c r="BV50" i="20"/>
  <c r="BR50" i="20"/>
  <c r="BY9" i="20"/>
  <c r="BS9" i="20"/>
  <c r="BR8" i="20"/>
  <c r="BS8" i="20"/>
  <c r="BR48" i="20"/>
  <c r="BR7" i="20"/>
  <c r="BT7" i="20"/>
  <c r="BS7" i="20"/>
  <c r="BR6" i="20"/>
  <c r="BT6" i="20"/>
  <c r="AM111" i="20"/>
  <c r="AM127" i="20" s="1"/>
  <c r="BX110" i="20"/>
  <c r="BT94" i="20"/>
  <c r="BW94" i="20"/>
  <c r="BV108" i="20"/>
  <c r="BY92" i="20"/>
  <c r="BZ91" i="20"/>
  <c r="BW91" i="20"/>
  <c r="BW107" i="20"/>
  <c r="BW123" i="20" s="1"/>
  <c r="BT90" i="20"/>
  <c r="BW90" i="20"/>
  <c r="BT106" i="20"/>
  <c r="BU89" i="20"/>
  <c r="BZ59" i="20"/>
  <c r="CE14" i="20"/>
  <c r="AB129" i="20"/>
  <c r="M125" i="20"/>
  <c r="U122" i="20"/>
  <c r="N121" i="20"/>
  <c r="AL121" i="20"/>
  <c r="AI79" i="12"/>
  <c r="CA39" i="21"/>
  <c r="CY39" i="12"/>
  <c r="CR39" i="12"/>
  <c r="CI39" i="12"/>
  <c r="DQ38" i="12"/>
  <c r="BY17" i="20"/>
  <c r="BV17" i="20"/>
  <c r="BV58" i="20"/>
  <c r="D124" i="20"/>
  <c r="U129" i="20"/>
  <c r="CT40" i="12"/>
  <c r="CZ39" i="12"/>
  <c r="BZ75" i="20"/>
  <c r="CC34" i="20"/>
  <c r="BT34" i="20"/>
  <c r="BT75" i="20"/>
  <c r="BX75" i="20"/>
  <c r="BY34" i="20"/>
  <c r="BW34" i="20"/>
  <c r="CA74" i="20"/>
  <c r="CD33" i="20"/>
  <c r="BY33" i="20"/>
  <c r="BY74" i="20"/>
  <c r="CD31" i="20"/>
  <c r="BX31" i="20"/>
  <c r="BW72" i="20"/>
  <c r="BW29" i="20"/>
  <c r="CA29" i="20"/>
  <c r="BV29" i="20"/>
  <c r="BW68" i="20"/>
  <c r="CD27" i="20"/>
  <c r="BY66" i="20"/>
  <c r="BY25" i="20"/>
  <c r="CA25" i="20"/>
  <c r="BS25" i="20"/>
  <c r="BZ25" i="20"/>
  <c r="BX24" i="20"/>
  <c r="BU24" i="20"/>
  <c r="BY24" i="20"/>
  <c r="BT24" i="20"/>
  <c r="BY63" i="20"/>
  <c r="BU63" i="20"/>
  <c r="BU22" i="20"/>
  <c r="BV21" i="20"/>
  <c r="BX21" i="20"/>
  <c r="BU62" i="20"/>
  <c r="BU19" i="20"/>
  <c r="CA19" i="20"/>
  <c r="BY19" i="20"/>
  <c r="J122" i="20"/>
  <c r="AA121" i="20"/>
  <c r="AA124" i="20"/>
  <c r="K126" i="20"/>
  <c r="L125" i="20"/>
  <c r="AC127" i="20"/>
  <c r="V121" i="20"/>
  <c r="N122" i="20"/>
  <c r="AL122" i="20"/>
  <c r="BS36" i="20"/>
  <c r="BY80" i="12"/>
  <c r="CD39" i="12"/>
  <c r="BP39" i="21"/>
  <c r="BZ80" i="12"/>
  <c r="BH80" i="12"/>
  <c r="BP39" i="12"/>
  <c r="AX39" i="12"/>
  <c r="AP39" i="12"/>
  <c r="AY39" i="12"/>
  <c r="BA39" i="12"/>
  <c r="AW39" i="12"/>
  <c r="AS39" i="12"/>
  <c r="AR39" i="12"/>
  <c r="AE80" i="12"/>
  <c r="AQ39" i="12"/>
  <c r="AO39" i="12"/>
  <c r="BS13" i="20"/>
  <c r="BT13" i="20"/>
  <c r="BW54" i="20"/>
  <c r="BW12" i="20"/>
  <c r="BU12" i="20"/>
  <c r="BV11" i="20"/>
  <c r="BU10" i="20"/>
  <c r="BV9" i="20"/>
  <c r="BW9" i="20"/>
  <c r="BU9" i="20"/>
  <c r="CA9" i="20"/>
  <c r="BY8" i="20"/>
  <c r="CA8" i="20"/>
  <c r="BU8" i="20"/>
  <c r="BV5" i="20"/>
  <c r="BY36" i="20"/>
  <c r="BV36" i="20"/>
  <c r="BX36" i="20"/>
  <c r="BY35" i="20"/>
  <c r="CA35" i="20"/>
  <c r="BZ35" i="20"/>
  <c r="BX35" i="20"/>
  <c r="AO80" i="12"/>
  <c r="AI80" i="12"/>
  <c r="BZ79" i="12"/>
  <c r="AL79" i="12"/>
  <c r="BX95" i="20"/>
  <c r="G8" i="20"/>
  <c r="CC95" i="20"/>
  <c r="CU40" i="12"/>
  <c r="AO81" i="12"/>
  <c r="R81" i="12"/>
  <c r="BY39" i="21"/>
  <c r="BJ111" i="20"/>
  <c r="F113" i="20"/>
  <c r="AA111" i="20"/>
  <c r="AA127" i="20" s="1"/>
  <c r="H76" i="20"/>
  <c r="F75" i="20"/>
  <c r="AJ29" i="20"/>
  <c r="AJ68" i="20"/>
  <c r="AJ127" i="20" s="1"/>
  <c r="F68" i="20"/>
  <c r="F127" i="20" s="1"/>
  <c r="F59" i="20"/>
  <c r="X56" i="20"/>
  <c r="L56" i="20"/>
  <c r="K55" i="20"/>
  <c r="S53" i="20"/>
  <c r="Q52" i="20"/>
  <c r="E52" i="20"/>
  <c r="AT10" i="20"/>
  <c r="AA51" i="20"/>
  <c r="D51" i="20"/>
  <c r="AL50" i="20"/>
  <c r="CA68" i="20"/>
  <c r="CB26" i="20"/>
  <c r="BZ113" i="20"/>
  <c r="BZ108" i="20"/>
  <c r="BE42" i="21"/>
  <c r="BZ39" i="21"/>
  <c r="AZ63" i="20"/>
  <c r="AK111" i="20"/>
  <c r="AK127" i="20" s="1"/>
  <c r="G16" i="20"/>
  <c r="CE10" i="20"/>
  <c r="BZ6" i="20"/>
  <c r="CB46" i="20"/>
  <c r="AI81" i="12"/>
  <c r="BD39" i="12"/>
  <c r="BL38" i="21"/>
  <c r="BX40" i="21"/>
  <c r="BV40" i="21"/>
  <c r="BP113" i="20"/>
  <c r="Y111" i="20"/>
  <c r="Y127" i="20" s="1"/>
  <c r="M111" i="20"/>
  <c r="M127" i="20" s="1"/>
  <c r="G111" i="20"/>
  <c r="G127" i="20" s="1"/>
  <c r="E108" i="20"/>
  <c r="E124" i="20" s="1"/>
  <c r="F76" i="20"/>
  <c r="AF71" i="20"/>
  <c r="AF130" i="20" s="1"/>
  <c r="P68" i="20"/>
  <c r="P127" i="20" s="1"/>
  <c r="F62" i="20"/>
  <c r="F50" i="20"/>
  <c r="D47" i="20"/>
  <c r="AZ106" i="20"/>
  <c r="AV58" i="20"/>
  <c r="AY11" i="20"/>
  <c r="BU54" i="20"/>
  <c r="CC74" i="20"/>
  <c r="CE72" i="20"/>
  <c r="CB65" i="20"/>
  <c r="BZ111" i="20"/>
  <c r="CB42" i="21"/>
  <c r="AX81" i="12"/>
  <c r="CB39" i="12"/>
  <c r="BF39" i="12"/>
  <c r="BV79" i="12"/>
  <c r="BM38" i="21"/>
  <c r="CG38" i="21"/>
  <c r="BU38" i="21"/>
  <c r="AD111" i="20"/>
  <c r="F108" i="20"/>
  <c r="F124" i="20" s="1"/>
  <c r="R36" i="20"/>
  <c r="AH24" i="20"/>
  <c r="AK22" i="20"/>
  <c r="R63" i="20"/>
  <c r="R122" i="20" s="1"/>
  <c r="CE75" i="20"/>
  <c r="CE67" i="20"/>
  <c r="BC42" i="21"/>
  <c r="G124" i="20"/>
  <c r="O127" i="20"/>
  <c r="H122" i="20"/>
  <c r="AN129" i="20"/>
  <c r="AN126" i="20"/>
  <c r="AK124" i="20"/>
  <c r="N124" i="20"/>
  <c r="BB42" i="21"/>
  <c r="BM42" i="21"/>
  <c r="AR40" i="12"/>
  <c r="BE40" i="21"/>
  <c r="AE81" i="12"/>
  <c r="AQ122" i="20"/>
  <c r="G122" i="20"/>
  <c r="AM124" i="20"/>
  <c r="X124" i="20"/>
  <c r="H126" i="20"/>
  <c r="AG121" i="20"/>
  <c r="AG124" i="20"/>
  <c r="S127" i="20"/>
  <c r="AJ126" i="20"/>
  <c r="AB125" i="20"/>
  <c r="D127" i="20"/>
  <c r="U121" i="20"/>
  <c r="U127" i="20"/>
  <c r="W125" i="20"/>
  <c r="H127" i="20"/>
  <c r="I125" i="20"/>
  <c r="I127" i="20"/>
  <c r="J125" i="20"/>
  <c r="K122" i="20"/>
  <c r="T126" i="20"/>
  <c r="AO40" i="20"/>
  <c r="BI42" i="21"/>
  <c r="AM125" i="20"/>
  <c r="AG122" i="20"/>
  <c r="D81" i="20"/>
  <c r="BN42" i="21"/>
  <c r="AM122" i="20"/>
  <c r="G125" i="20"/>
  <c r="P121" i="20"/>
  <c r="J126" i="20"/>
  <c r="BS42" i="21"/>
  <c r="CH39" i="12"/>
  <c r="BQ39" i="12"/>
  <c r="BK39" i="12"/>
  <c r="BJ81" i="12"/>
  <c r="BU80" i="12"/>
  <c r="BD80" i="12"/>
  <c r="DD39" i="12"/>
  <c r="BU42" i="21"/>
  <c r="BT36" i="20"/>
  <c r="BN112" i="20"/>
  <c r="BN128" i="20" s="1"/>
  <c r="BM111" i="20"/>
  <c r="E113" i="20"/>
  <c r="E129" i="20" s="1"/>
  <c r="W111" i="20"/>
  <c r="W127" i="20" s="1"/>
  <c r="F77" i="20"/>
  <c r="Z27" i="20"/>
  <c r="AJ26" i="20"/>
  <c r="G26" i="20"/>
  <c r="F66" i="20"/>
  <c r="Y57" i="20"/>
  <c r="F55" i="20"/>
  <c r="F52" i="20"/>
  <c r="O9" i="20"/>
  <c r="BZ11" i="20"/>
  <c r="CE6" i="20"/>
  <c r="CC77" i="20"/>
  <c r="CB63" i="20"/>
  <c r="CC58" i="20"/>
  <c r="CB113" i="20"/>
  <c r="CC112" i="20"/>
  <c r="CC128" i="20" s="1"/>
  <c r="CA109" i="20"/>
  <c r="BY103" i="20"/>
  <c r="CD15" i="20"/>
  <c r="BC96" i="20"/>
  <c r="AV30" i="20"/>
  <c r="AY24" i="20"/>
  <c r="AY5" i="20"/>
  <c r="BZ9" i="20"/>
  <c r="BO39" i="12"/>
  <c r="BI39" i="12"/>
  <c r="AW81" i="12"/>
  <c r="AQ81" i="12"/>
  <c r="AQ80" i="12"/>
  <c r="BL79" i="12"/>
  <c r="BF79" i="12"/>
  <c r="BY40" i="21"/>
  <c r="CI39" i="21"/>
  <c r="E110" i="20"/>
  <c r="E126" i="20" s="1"/>
  <c r="E109" i="20"/>
  <c r="E125" i="20" s="1"/>
  <c r="F105" i="20"/>
  <c r="BU53" i="20"/>
  <c r="CC9" i="20"/>
  <c r="CB74" i="20"/>
  <c r="BY67" i="20"/>
  <c r="CA104" i="20"/>
  <c r="CA120" i="20" s="1"/>
  <c r="CA103" i="20"/>
  <c r="CB53" i="20"/>
  <c r="CE8" i="20"/>
  <c r="BX39" i="12"/>
  <c r="BN39" i="12"/>
  <c r="BL40" i="21"/>
  <c r="BG80" i="12"/>
  <c r="BA80" i="12"/>
  <c r="AL80" i="12"/>
  <c r="AQ79" i="12"/>
  <c r="AC79" i="12"/>
  <c r="CH40" i="21"/>
  <c r="CG39" i="21"/>
  <c r="BU7" i="20"/>
  <c r="BS46" i="20"/>
  <c r="BL111" i="20"/>
  <c r="N111" i="20"/>
  <c r="N127" i="20" s="1"/>
  <c r="H95" i="20"/>
  <c r="F110" i="20"/>
  <c r="N75" i="20"/>
  <c r="F58" i="20"/>
  <c r="D48" i="20"/>
  <c r="BZ15" i="20"/>
  <c r="BX54" i="20"/>
  <c r="CB11" i="20"/>
  <c r="BZ67" i="20"/>
  <c r="CE63" i="20"/>
  <c r="CE62" i="20"/>
  <c r="CE18" i="20"/>
  <c r="BZ17" i="20"/>
  <c r="BV39" i="12"/>
  <c r="BM39" i="12"/>
  <c r="BS39" i="12"/>
  <c r="AZ80" i="12"/>
  <c r="AK80" i="12"/>
  <c r="BE79" i="12"/>
  <c r="AG79" i="12"/>
  <c r="BF27" i="20"/>
  <c r="BY12" i="20"/>
  <c r="BP112" i="20"/>
  <c r="BP128" i="20" s="1"/>
  <c r="F106" i="20"/>
  <c r="J36" i="20"/>
  <c r="AN71" i="20"/>
  <c r="AN130" i="20" s="1"/>
  <c r="AF62" i="20"/>
  <c r="AF121" i="20" s="1"/>
  <c r="F54" i="20"/>
  <c r="CC15" i="20"/>
  <c r="CC31" i="20"/>
  <c r="CD60" i="20"/>
  <c r="CD119" i="20" s="1"/>
  <c r="BZ53" i="20"/>
  <c r="CD5" i="20"/>
  <c r="CK39" i="12"/>
  <c r="BR39" i="12"/>
  <c r="BL39" i="12"/>
  <c r="AZ81" i="12"/>
  <c r="AT81" i="12"/>
  <c r="BA40" i="21"/>
  <c r="AY80" i="12"/>
  <c r="AT80" i="12"/>
  <c r="BC39" i="21"/>
  <c r="BE38" i="21"/>
  <c r="BU40" i="21"/>
  <c r="BR87" i="20"/>
  <c r="F109" i="20"/>
  <c r="X76" i="20"/>
  <c r="P71" i="20"/>
  <c r="P130" i="20" s="1"/>
  <c r="AH47" i="20"/>
  <c r="CE35" i="20"/>
  <c r="BZ74" i="20"/>
  <c r="CE66" i="20"/>
  <c r="BZ18" i="20"/>
  <c r="BW16" i="20"/>
  <c r="CC97" i="20"/>
  <c r="CB15" i="20"/>
  <c r="AU79" i="20"/>
  <c r="BO81" i="12"/>
  <c r="CA81" i="12"/>
  <c r="BO40" i="12"/>
  <c r="CA40" i="12"/>
  <c r="BZ40" i="12"/>
  <c r="BQ40" i="21"/>
  <c r="CL40" i="12"/>
  <c r="CI40" i="12"/>
  <c r="CK40" i="12"/>
  <c r="CJ40" i="12"/>
  <c r="AK38" i="20"/>
  <c r="AH79" i="20"/>
  <c r="AE121" i="20"/>
  <c r="H125" i="20"/>
  <c r="X126" i="20"/>
  <c r="U125" i="20"/>
  <c r="AD38" i="20"/>
  <c r="AG38" i="20"/>
  <c r="AH122" i="20"/>
  <c r="CF40" i="12"/>
  <c r="BU81" i="12"/>
  <c r="BI81" i="12"/>
  <c r="BI40" i="12"/>
  <c r="BU40" i="12"/>
  <c r="BT40" i="12"/>
  <c r="BP40" i="12"/>
  <c r="BE40" i="12"/>
  <c r="BQ40" i="12"/>
  <c r="BE81" i="12"/>
  <c r="BJ40" i="12"/>
  <c r="BK40" i="12"/>
  <c r="AY40" i="12"/>
  <c r="BK40" i="21"/>
  <c r="BK81" i="12"/>
  <c r="AY81" i="12"/>
  <c r="BD40" i="12"/>
  <c r="AS40" i="12"/>
  <c r="BI40" i="21"/>
  <c r="AS81" i="12"/>
  <c r="AW40" i="12"/>
  <c r="BA40" i="12"/>
  <c r="AU40" i="12"/>
  <c r="BB40" i="12"/>
  <c r="AB81" i="12"/>
  <c r="AZ40" i="21"/>
  <c r="BW38" i="12"/>
  <c r="CC38" i="12"/>
  <c r="BR38" i="12"/>
  <c r="CD38" i="12"/>
  <c r="BR79" i="12"/>
  <c r="BR38" i="21"/>
  <c r="CH38" i="12"/>
  <c r="CB38" i="12"/>
  <c r="CG38" i="12"/>
  <c r="CM38" i="12"/>
  <c r="CK38" i="12"/>
  <c r="CN38" i="12"/>
  <c r="BK38" i="12"/>
  <c r="BQ38" i="12"/>
  <c r="BL38" i="12"/>
  <c r="BM38" i="12"/>
  <c r="BS38" i="12"/>
  <c r="CE38" i="12"/>
  <c r="BH38" i="12"/>
  <c r="BN38" i="12"/>
  <c r="BT38" i="12"/>
  <c r="BJ38" i="12"/>
  <c r="BP38" i="12"/>
  <c r="BI38" i="12"/>
  <c r="BO38" i="12"/>
  <c r="BH79" i="12"/>
  <c r="V79" i="12"/>
  <c r="AN38" i="12"/>
  <c r="AS38" i="12"/>
  <c r="AO38" i="12"/>
  <c r="AP38" i="12"/>
  <c r="AQ38" i="12"/>
  <c r="AH79" i="12"/>
  <c r="BB38" i="21"/>
  <c r="DB38" i="12"/>
  <c r="CW38" i="12"/>
  <c r="DC38" i="12"/>
  <c r="CS38" i="12"/>
  <c r="CT38" i="12"/>
  <c r="CV38" i="12"/>
  <c r="CZ38" i="12"/>
  <c r="AM29" i="20"/>
  <c r="AP29" i="20"/>
  <c r="AD29" i="20"/>
  <c r="AA70" i="20"/>
  <c r="AA129" i="20" s="1"/>
  <c r="D70" i="20"/>
  <c r="D129" i="20" s="1"/>
  <c r="K29" i="20"/>
  <c r="AD68" i="20"/>
  <c r="AD27" i="20"/>
  <c r="AA22" i="20"/>
  <c r="AB63" i="20"/>
  <c r="AB122" i="20" s="1"/>
  <c r="L63" i="20"/>
  <c r="L122" i="20" s="1"/>
  <c r="L22" i="20"/>
  <c r="S22" i="20"/>
  <c r="AI62" i="20"/>
  <c r="AI121" i="20" s="1"/>
  <c r="AP21" i="20"/>
  <c r="AI21" i="20"/>
  <c r="V56" i="20"/>
  <c r="U15" i="20"/>
  <c r="AP14" i="20"/>
  <c r="AI55" i="20"/>
  <c r="AJ14" i="20"/>
  <c r="AC55" i="20"/>
  <c r="AJ10" i="20"/>
  <c r="AN10" i="20"/>
  <c r="O10" i="20"/>
  <c r="S51" i="20"/>
  <c r="T50" i="20"/>
  <c r="T9" i="20"/>
  <c r="AZ77" i="20"/>
  <c r="BC36" i="20"/>
  <c r="AV36" i="20"/>
  <c r="BZ7" i="20"/>
  <c r="BW48" i="20"/>
  <c r="BW7" i="20"/>
  <c r="BY68" i="20"/>
  <c r="BU27" i="20"/>
  <c r="BZ27" i="20"/>
  <c r="BW27" i="20"/>
  <c r="BZ54" i="20"/>
  <c r="BZ13" i="20"/>
  <c r="CD54" i="20"/>
  <c r="CA13" i="20"/>
  <c r="AE51" i="20"/>
  <c r="O55" i="20"/>
  <c r="AM55" i="20"/>
  <c r="O70" i="20"/>
  <c r="O129" i="20" s="1"/>
  <c r="AQ27" i="20"/>
  <c r="X50" i="20"/>
  <c r="X63" i="20"/>
  <c r="X122" i="20" s="1"/>
  <c r="AV24" i="20"/>
  <c r="I52" i="20"/>
  <c r="Q55" i="20"/>
  <c r="Z50" i="20"/>
  <c r="R22" i="20"/>
  <c r="S15" i="20"/>
  <c r="AJ27" i="20"/>
  <c r="AD63" i="20"/>
  <c r="AD122" i="20" s="1"/>
  <c r="V10" i="20"/>
  <c r="N14" i="20"/>
  <c r="BN38" i="21"/>
  <c r="CC13" i="20"/>
  <c r="BY7" i="20"/>
  <c r="CI38" i="12"/>
  <c r="CF38" i="12"/>
  <c r="AR38" i="12"/>
  <c r="BT79" i="12"/>
  <c r="CA38" i="12"/>
  <c r="W14" i="20"/>
  <c r="AE15" i="20"/>
  <c r="AM62" i="20"/>
  <c r="AM121" i="20" s="1"/>
  <c r="AF9" i="20"/>
  <c r="X10" i="20"/>
  <c r="H15" i="20"/>
  <c r="H22" i="20"/>
  <c r="AV65" i="20"/>
  <c r="AG9" i="20"/>
  <c r="AG22" i="20"/>
  <c r="I29" i="20"/>
  <c r="AG29" i="20"/>
  <c r="AO9" i="20"/>
  <c r="R14" i="20"/>
  <c r="K5" i="20"/>
  <c r="AA9" i="20"/>
  <c r="AD121" i="20"/>
  <c r="AZ58" i="20"/>
  <c r="AZ71" i="20"/>
  <c r="AZ130" i="20" s="1"/>
  <c r="BM40" i="21"/>
  <c r="BU38" i="12"/>
  <c r="AM27" i="20"/>
  <c r="AY17" i="20"/>
  <c r="AF50" i="20"/>
  <c r="H70" i="20"/>
  <c r="H129" i="20" s="1"/>
  <c r="Y51" i="20"/>
  <c r="I70" i="20"/>
  <c r="I129" i="20" s="1"/>
  <c r="AG70" i="20"/>
  <c r="AG129" i="20" s="1"/>
  <c r="AZ112" i="20"/>
  <c r="AZ128" i="20" s="1"/>
  <c r="AV17" i="20"/>
  <c r="AA10" i="20"/>
  <c r="AA55" i="20"/>
  <c r="AA15" i="20"/>
  <c r="S70" i="20"/>
  <c r="S129" i="20" s="1"/>
  <c r="AB56" i="20"/>
  <c r="AN68" i="20"/>
  <c r="AN127" i="20" s="1"/>
  <c r="AC9" i="20"/>
  <c r="M51" i="20"/>
  <c r="AK51" i="20"/>
  <c r="AD10" i="20"/>
  <c r="BN40" i="12"/>
  <c r="O15" i="20"/>
  <c r="G29" i="20"/>
  <c r="AQ70" i="20"/>
  <c r="AQ129" i="20" s="1"/>
  <c r="X14" i="20"/>
  <c r="P29" i="20"/>
  <c r="AY96" i="20"/>
  <c r="AS9" i="20"/>
  <c r="I10" i="20"/>
  <c r="AG10" i="20"/>
  <c r="Y15" i="20"/>
  <c r="AH10" i="20"/>
  <c r="Z14" i="20"/>
  <c r="R15" i="20"/>
  <c r="AI9" i="20"/>
  <c r="AI14" i="20"/>
  <c r="AA29" i="20"/>
  <c r="AN29" i="20"/>
  <c r="U10" i="20"/>
  <c r="M70" i="20"/>
  <c r="M129" i="20" s="1"/>
  <c r="AK70" i="20"/>
  <c r="AK129" i="20" s="1"/>
  <c r="AY90" i="20"/>
  <c r="AL124" i="20"/>
  <c r="AY30" i="20"/>
  <c r="AL9" i="20"/>
  <c r="AZ65" i="20"/>
  <c r="AT29" i="20"/>
  <c r="BC30" i="20"/>
  <c r="BH40" i="12"/>
  <c r="BS35" i="20"/>
  <c r="BR76" i="20"/>
  <c r="BS34" i="20"/>
  <c r="BR34" i="20"/>
  <c r="BU34" i="20"/>
  <c r="BS75" i="20"/>
  <c r="BV33" i="20"/>
  <c r="BU33" i="20"/>
  <c r="BT33" i="20"/>
  <c r="BT74" i="20"/>
  <c r="BR72" i="20"/>
  <c r="BW31" i="20"/>
  <c r="BU31" i="20"/>
  <c r="BV31" i="20"/>
  <c r="BY31" i="20"/>
  <c r="BW6" i="20"/>
  <c r="BS6" i="20"/>
  <c r="BU6" i="20"/>
  <c r="BV6" i="20"/>
  <c r="BY5" i="20"/>
  <c r="BR46" i="20"/>
  <c r="BR5" i="20"/>
  <c r="BT5" i="20"/>
  <c r="AV40" i="12"/>
  <c r="BG40" i="12"/>
  <c r="AV81" i="12"/>
  <c r="BJ40" i="21"/>
  <c r="W81" i="12"/>
  <c r="AQ40" i="12"/>
  <c r="AO40" i="12"/>
  <c r="BJ42" i="21"/>
  <c r="CB40" i="12"/>
  <c r="CC40" i="12"/>
  <c r="CM40" i="12"/>
  <c r="BR40" i="12"/>
  <c r="CD40" i="12"/>
  <c r="CO40" i="12"/>
  <c r="CD81" i="12"/>
  <c r="BR81" i="12"/>
  <c r="BV40" i="12"/>
  <c r="BW40" i="12"/>
  <c r="BL40" i="12"/>
  <c r="BX40" i="12"/>
  <c r="CG40" i="12"/>
  <c r="BL81" i="12"/>
  <c r="CH40" i="12"/>
  <c r="BP40" i="21"/>
  <c r="BX38" i="12"/>
  <c r="BQ81" i="12"/>
  <c r="BO40" i="21"/>
  <c r="BV63" i="20"/>
  <c r="CB22" i="20"/>
  <c r="BY22" i="20"/>
  <c r="BV22" i="20"/>
  <c r="BW19" i="20"/>
  <c r="BZ19" i="20"/>
  <c r="BV19" i="20"/>
  <c r="BX96" i="20"/>
  <c r="BX112" i="20"/>
  <c r="BX128" i="20" s="1"/>
  <c r="CB112" i="20"/>
  <c r="CB128" i="20" s="1"/>
  <c r="BY96" i="20"/>
  <c r="CA110" i="20"/>
  <c r="CA94" i="20"/>
  <c r="AT40" i="12"/>
  <c r="AT39" i="12"/>
  <c r="BC40" i="12"/>
  <c r="CJ39" i="12"/>
  <c r="CC39" i="12"/>
  <c r="BW39" i="12"/>
  <c r="BE39" i="12"/>
  <c r="CL38" i="12"/>
  <c r="BV38" i="12"/>
  <c r="AF80" i="12"/>
  <c r="AU79" i="12"/>
  <c r="BJ38" i="21"/>
  <c r="BU39" i="21"/>
  <c r="DE38" i="12"/>
  <c r="BB65" i="20"/>
  <c r="AO111" i="20"/>
  <c r="AO127" i="20" s="1"/>
  <c r="AA58" i="20"/>
  <c r="CB30" i="20"/>
  <c r="CA65" i="20"/>
  <c r="CE96" i="20"/>
  <c r="CB7" i="20"/>
  <c r="CA11" i="20"/>
  <c r="CE52" i="20"/>
  <c r="AP40" i="12"/>
  <c r="CE40" i="12"/>
  <c r="BY40" i="12"/>
  <c r="BS40" i="12"/>
  <c r="BM40" i="12"/>
  <c r="AZ40" i="12"/>
  <c r="CG39" i="12"/>
  <c r="CA39" i="12"/>
  <c r="BU39" i="12"/>
  <c r="BC39" i="12"/>
  <c r="CJ38" i="12"/>
  <c r="BZ38" i="12"/>
  <c r="AW80" i="12"/>
  <c r="BD79" i="12"/>
  <c r="DI38" i="12"/>
  <c r="BX38" i="21"/>
  <c r="BU15" i="20"/>
  <c r="P76" i="20"/>
  <c r="P35" i="20"/>
  <c r="S35" i="20"/>
  <c r="L33" i="20"/>
  <c r="BS95" i="20"/>
  <c r="BZ16" i="20"/>
  <c r="AN40" i="12"/>
  <c r="AN39" i="12"/>
  <c r="BF40" i="12"/>
  <c r="CF39" i="12"/>
  <c r="BZ39" i="12"/>
  <c r="BT39" i="12"/>
  <c r="BH39" i="12"/>
  <c r="BB39" i="12"/>
  <c r="BY38" i="12"/>
  <c r="AR79" i="12"/>
  <c r="BI38" i="21"/>
  <c r="BV39" i="21"/>
  <c r="AR127" i="20"/>
  <c r="H71" i="20"/>
  <c r="H130" i="20" s="1"/>
  <c r="H30" i="20"/>
  <c r="BZ63" i="20"/>
  <c r="CB5" i="20"/>
  <c r="AX40" i="12"/>
  <c r="CE39" i="12"/>
  <c r="BY39" i="12"/>
  <c r="BG39" i="12"/>
  <c r="AZ39" i="12"/>
  <c r="AC80" i="12"/>
  <c r="AZ39" i="21"/>
  <c r="CE38" i="21"/>
  <c r="CD79" i="12"/>
  <c r="BU47" i="20"/>
  <c r="CE36" i="20"/>
  <c r="CC65" i="20"/>
  <c r="CC24" i="20"/>
  <c r="CA57" i="20"/>
  <c r="BZ12" i="20"/>
  <c r="BZ14" i="20"/>
  <c r="BO79" i="12"/>
  <c r="CA79" i="12"/>
  <c r="CA38" i="21"/>
  <c r="BY38" i="21"/>
  <c r="CB31" i="20"/>
  <c r="CC49" i="20"/>
  <c r="BY49" i="20"/>
  <c r="BZ5" i="20"/>
  <c r="CD46" i="20"/>
  <c r="CC17" i="20"/>
  <c r="CC48" i="20"/>
  <c r="CC36" i="20"/>
  <c r="CC111" i="20"/>
  <c r="BZ8" i="20"/>
  <c r="BR124" i="20" l="1"/>
  <c r="CE124" i="20"/>
  <c r="AV127" i="20"/>
  <c r="BO119" i="20"/>
  <c r="AY129" i="20"/>
  <c r="AY124" i="20"/>
  <c r="CB121" i="20"/>
  <c r="BP124" i="20"/>
  <c r="CB122" i="20"/>
  <c r="BW127" i="20"/>
  <c r="CA122" i="20"/>
  <c r="BA80" i="20"/>
  <c r="BR122" i="20"/>
  <c r="CE122" i="20"/>
  <c r="BY124" i="20"/>
  <c r="BF121" i="20"/>
  <c r="CD126" i="20"/>
  <c r="BE127" i="20"/>
  <c r="BL119" i="20"/>
  <c r="AR126" i="20"/>
  <c r="BP121" i="20"/>
  <c r="BU125" i="20"/>
  <c r="BC127" i="20"/>
  <c r="BF124" i="20"/>
  <c r="BW124" i="20"/>
  <c r="BO129" i="20"/>
  <c r="BI127" i="20"/>
  <c r="AW126" i="20"/>
  <c r="BX122" i="20"/>
  <c r="BS125" i="20"/>
  <c r="BA39" i="20"/>
  <c r="CA121" i="20"/>
  <c r="BM124" i="20"/>
  <c r="BG129" i="20"/>
  <c r="BJ124" i="20"/>
  <c r="BC126" i="20"/>
  <c r="CB127" i="20"/>
  <c r="CC121" i="20"/>
  <c r="AT39" i="20"/>
  <c r="BZ119" i="20"/>
  <c r="AX121" i="20"/>
  <c r="BW125" i="20"/>
  <c r="CE119" i="20"/>
  <c r="BM126" i="20"/>
  <c r="CC124" i="20"/>
  <c r="BL122" i="20"/>
  <c r="BJ125" i="20"/>
  <c r="BR126" i="20"/>
  <c r="BK119" i="20"/>
  <c r="BD124" i="20"/>
  <c r="BC122" i="20"/>
  <c r="BR121" i="20"/>
  <c r="AS125" i="20"/>
  <c r="BF122" i="20"/>
  <c r="BN81" i="20"/>
  <c r="BK126" i="20"/>
  <c r="BH124" i="20"/>
  <c r="BQ119" i="20"/>
  <c r="BK122" i="20"/>
  <c r="BY125" i="20"/>
  <c r="AX126" i="20"/>
  <c r="BD122" i="20"/>
  <c r="CC122" i="20"/>
  <c r="BA122" i="20"/>
  <c r="BG119" i="20"/>
  <c r="BI126" i="20"/>
  <c r="BI121" i="20"/>
  <c r="BM122" i="20"/>
  <c r="BM125" i="20"/>
  <c r="AU38" i="20"/>
  <c r="AR79" i="20"/>
  <c r="BC129" i="20"/>
  <c r="BR81" i="20"/>
  <c r="BL125" i="20"/>
  <c r="BI129" i="20"/>
  <c r="BI119" i="20"/>
  <c r="BX119" i="20"/>
  <c r="BE119" i="20"/>
  <c r="BC125" i="20"/>
  <c r="BS121" i="20"/>
  <c r="AY81" i="20"/>
  <c r="AV79" i="20"/>
  <c r="BE125" i="20"/>
  <c r="AX40" i="20"/>
  <c r="BN121" i="20"/>
  <c r="AX122" i="20"/>
  <c r="AV121" i="20"/>
  <c r="BO122" i="20"/>
  <c r="AY121" i="20"/>
  <c r="BQ127" i="20"/>
  <c r="BD121" i="20"/>
  <c r="BX124" i="20"/>
  <c r="CG122" i="20"/>
  <c r="BG121" i="20"/>
  <c r="CG124" i="20"/>
  <c r="BA124" i="20"/>
  <c r="BX127" i="20"/>
  <c r="BP125" i="20"/>
  <c r="BH127" i="20"/>
  <c r="BC119" i="20"/>
  <c r="BA127" i="20"/>
  <c r="AR40" i="20"/>
  <c r="BO125" i="20"/>
  <c r="BX121" i="20"/>
  <c r="BV122" i="20"/>
  <c r="BS122" i="20"/>
  <c r="AX129" i="20"/>
  <c r="BQ121" i="20"/>
  <c r="BJ122" i="20"/>
  <c r="BP129" i="20"/>
  <c r="AW122" i="20"/>
  <c r="BN125" i="20"/>
  <c r="O68" i="6"/>
  <c r="BL121" i="20"/>
  <c r="CE126" i="20"/>
  <c r="BK124" i="20"/>
  <c r="BO126" i="20"/>
  <c r="AW127" i="20"/>
  <c r="BY129" i="20"/>
  <c r="BB124" i="20"/>
  <c r="BY119" i="20"/>
  <c r="CD124" i="20"/>
  <c r="CA125" i="20"/>
  <c r="AS127" i="20"/>
  <c r="AV126" i="20"/>
  <c r="BP122" i="20"/>
  <c r="BW119" i="20"/>
  <c r="BT80" i="20"/>
  <c r="BH109" i="20"/>
  <c r="BH125" i="20" s="1"/>
  <c r="BH119" i="20"/>
  <c r="BH129" i="20"/>
  <c r="BZ124" i="20"/>
  <c r="BD109" i="20"/>
  <c r="BD125" i="20" s="1"/>
  <c r="CD122" i="20"/>
  <c r="AW124" i="20"/>
  <c r="BG124" i="20"/>
  <c r="CB119" i="20"/>
  <c r="CH119" i="20"/>
  <c r="CH125" i="20"/>
  <c r="CB125" i="20"/>
  <c r="AY122" i="20"/>
  <c r="BG127" i="20"/>
  <c r="BD127" i="20"/>
  <c r="BK121" i="20"/>
  <c r="BT121" i="20"/>
  <c r="CG127" i="20"/>
  <c r="BI124" i="20"/>
  <c r="BN124" i="20"/>
  <c r="BU127" i="20"/>
  <c r="CC119" i="20"/>
  <c r="BF119" i="20"/>
  <c r="BE121" i="20"/>
  <c r="BW122" i="20"/>
  <c r="AY125" i="20"/>
  <c r="BW121" i="20"/>
  <c r="AZ121" i="20"/>
  <c r="BX125" i="20"/>
  <c r="AU40" i="20"/>
  <c r="CF121" i="20"/>
  <c r="CH127" i="20"/>
  <c r="BY121" i="20"/>
  <c r="BB122" i="20"/>
  <c r="CA127" i="20"/>
  <c r="BL129" i="20"/>
  <c r="BQ79" i="20"/>
  <c r="BU121" i="20"/>
  <c r="BS126" i="20"/>
  <c r="CA126" i="20"/>
  <c r="BG126" i="20"/>
  <c r="BK127" i="20"/>
  <c r="AZ129" i="20"/>
  <c r="BO124" i="20"/>
  <c r="BM79" i="20"/>
  <c r="BN126" i="20"/>
  <c r="BS127" i="20"/>
  <c r="BJ129" i="20"/>
  <c r="BI122" i="20"/>
  <c r="CB126" i="20"/>
  <c r="BA121" i="20"/>
  <c r="BW129" i="20"/>
  <c r="CE129" i="20"/>
  <c r="BC121" i="20"/>
  <c r="BM119" i="20"/>
  <c r="CB124" i="20"/>
  <c r="BQ122" i="20"/>
  <c r="CH121" i="20"/>
  <c r="BI125" i="20"/>
  <c r="BV129" i="20"/>
  <c r="BM129" i="20"/>
  <c r="BJ121" i="20"/>
  <c r="BC124" i="20"/>
  <c r="BO80" i="20"/>
  <c r="CI121" i="20"/>
  <c r="BA125" i="20"/>
  <c r="CC127" i="20"/>
  <c r="CE127" i="20"/>
  <c r="BN129" i="20"/>
  <c r="BH126" i="20"/>
  <c r="BQ129" i="20"/>
  <c r="BZ121" i="20"/>
  <c r="AZ124" i="20"/>
  <c r="BL127" i="20"/>
  <c r="BZ129" i="20"/>
  <c r="BS80" i="20"/>
  <c r="BM121" i="20"/>
  <c r="AY127" i="20"/>
  <c r="F129" i="20"/>
  <c r="AV125" i="20"/>
  <c r="BA126" i="20"/>
  <c r="AZ119" i="20"/>
  <c r="CG125" i="20"/>
  <c r="CI125" i="20"/>
  <c r="CA129" i="20"/>
  <c r="AY38" i="20"/>
  <c r="CG129" i="20"/>
  <c r="CH124" i="20"/>
  <c r="CC129" i="20"/>
  <c r="CC125" i="20"/>
  <c r="CD127" i="20"/>
  <c r="CD125" i="20"/>
  <c r="BV126" i="20"/>
  <c r="AV38" i="20"/>
  <c r="BT125" i="20"/>
  <c r="AT127" i="20"/>
  <c r="BE80" i="20"/>
  <c r="CF129" i="20"/>
  <c r="CG126" i="20"/>
  <c r="CH126" i="20"/>
  <c r="CI127" i="20"/>
  <c r="CG121" i="20"/>
  <c r="BB126" i="20"/>
  <c r="AU126" i="20"/>
  <c r="AW129" i="20"/>
  <c r="BE129" i="20"/>
  <c r="BA119" i="20"/>
  <c r="BI80" i="20"/>
  <c r="CI119" i="20"/>
  <c r="CF126" i="20"/>
  <c r="BX129" i="20"/>
  <c r="CE121" i="20"/>
  <c r="BY127" i="20"/>
  <c r="BZ126" i="20"/>
  <c r="BA129" i="20"/>
  <c r="AZ125" i="20"/>
  <c r="CF124" i="20"/>
  <c r="CI122" i="20"/>
  <c r="CE125" i="20"/>
  <c r="BE122" i="20"/>
  <c r="BB121" i="20"/>
  <c r="CF125" i="20"/>
  <c r="CL39" i="20"/>
  <c r="CI80" i="20"/>
  <c r="CH39" i="20"/>
  <c r="CF127" i="20"/>
  <c r="CF39" i="20"/>
  <c r="CJ39" i="20"/>
  <c r="CG80" i="20"/>
  <c r="CG119" i="20"/>
  <c r="CI129" i="20"/>
  <c r="CH81" i="20"/>
  <c r="CK40" i="20"/>
  <c r="CG40" i="20"/>
  <c r="CJ38" i="20"/>
  <c r="CG79" i="20"/>
  <c r="CF38" i="20"/>
  <c r="CF40" i="20"/>
  <c r="CG81" i="20"/>
  <c r="CJ40" i="20"/>
  <c r="CI40" i="20"/>
  <c r="CF81" i="20"/>
  <c r="CH129" i="20"/>
  <c r="CH38" i="20"/>
  <c r="CI79" i="20"/>
  <c r="CL38" i="20"/>
  <c r="E20" i="5"/>
  <c r="E26" i="5"/>
  <c r="E29" i="5"/>
  <c r="E24" i="5"/>
  <c r="E27" i="5"/>
  <c r="E23" i="5"/>
  <c r="E32" i="5"/>
  <c r="E21" i="5"/>
  <c r="E19" i="5"/>
  <c r="E25" i="5"/>
  <c r="E28" i="5"/>
  <c r="E22" i="5"/>
  <c r="E31" i="5"/>
  <c r="E30" i="5"/>
  <c r="CF119" i="20"/>
  <c r="CK38" i="20"/>
  <c r="CH79" i="20"/>
  <c r="CG38" i="20"/>
  <c r="CL40" i="20"/>
  <c r="CI81" i="20"/>
  <c r="CH40" i="20"/>
  <c r="CK39" i="20"/>
  <c r="CG39" i="20"/>
  <c r="CH80" i="20"/>
  <c r="CF80" i="20"/>
  <c r="CI39" i="20"/>
  <c r="CI38" i="20"/>
  <c r="CF79" i="20"/>
  <c r="CI124" i="20"/>
  <c r="CF122" i="20"/>
  <c r="CI126" i="20"/>
  <c r="CH122" i="20"/>
  <c r="C43" i="6"/>
  <c r="C5" i="6"/>
  <c r="C23" i="6" s="1"/>
  <c r="E7" i="5"/>
  <c r="E8" i="5"/>
  <c r="E9" i="5"/>
  <c r="E10" i="5"/>
  <c r="E11" i="5"/>
  <c r="E12" i="5"/>
  <c r="E13" i="5"/>
  <c r="E14" i="5"/>
  <c r="E15" i="5"/>
  <c r="E16" i="5"/>
  <c r="E17" i="5"/>
  <c r="E18" i="5"/>
  <c r="C58" i="6"/>
  <c r="C41" i="6"/>
  <c r="O10" i="6"/>
  <c r="C21" i="6"/>
  <c r="C29" i="6" s="1"/>
  <c r="O26" i="6"/>
  <c r="C42" i="6"/>
  <c r="O69" i="6"/>
  <c r="D52" i="6"/>
  <c r="D56" i="6" s="1"/>
  <c r="C39" i="6"/>
  <c r="C59" i="6"/>
  <c r="C57" i="6"/>
  <c r="C55" i="6"/>
  <c r="C40" i="6"/>
  <c r="C56" i="6"/>
  <c r="C54" i="6"/>
  <c r="C53" i="6"/>
  <c r="C67" i="6"/>
  <c r="O70" i="6"/>
  <c r="O11" i="6"/>
  <c r="O28" i="6"/>
  <c r="O27" i="6"/>
  <c r="O9" i="6"/>
  <c r="O71" i="6"/>
  <c r="O72" i="6"/>
  <c r="O7" i="6"/>
  <c r="O8" i="6"/>
  <c r="O6" i="6"/>
  <c r="O23" i="6"/>
  <c r="O22" i="6"/>
  <c r="O25" i="6"/>
  <c r="O12" i="6"/>
  <c r="O38" i="6" s="1"/>
  <c r="O13" i="6"/>
  <c r="D6" i="5"/>
  <c r="C6" i="5" s="1"/>
  <c r="BY126" i="20"/>
  <c r="CD129" i="20"/>
  <c r="AZ127" i="20"/>
  <c r="BF80" i="20"/>
  <c r="BT124" i="20"/>
  <c r="CD121" i="20"/>
  <c r="BU122" i="20"/>
  <c r="CA81" i="20"/>
  <c r="BN119" i="20"/>
  <c r="AZ126" i="20"/>
  <c r="AW125" i="20"/>
  <c r="BB129" i="20"/>
  <c r="BM80" i="20"/>
  <c r="BN127" i="20"/>
  <c r="CB79" i="20"/>
  <c r="AV129" i="20"/>
  <c r="AX127" i="20"/>
  <c r="BU126" i="20"/>
  <c r="BB119" i="20"/>
  <c r="BP126" i="20"/>
  <c r="BD119" i="20"/>
  <c r="BB125" i="20"/>
  <c r="BQ125" i="20"/>
  <c r="BL126" i="20"/>
  <c r="BO127" i="20"/>
  <c r="BF93" i="20"/>
  <c r="BY122" i="20"/>
  <c r="BS124" i="20"/>
  <c r="AX125" i="20"/>
  <c r="BJ127" i="20"/>
  <c r="BJ119" i="20"/>
  <c r="BZ127" i="20"/>
  <c r="BD129" i="20"/>
  <c r="BV119" i="20"/>
  <c r="BM127" i="20"/>
  <c r="BR125" i="20"/>
  <c r="BV121" i="20"/>
  <c r="BB127" i="20"/>
  <c r="BV127" i="20"/>
  <c r="AX124" i="20"/>
  <c r="BZ122" i="20"/>
  <c r="BT126" i="20"/>
  <c r="AY126" i="20"/>
  <c r="AW81" i="20"/>
  <c r="BT119" i="20"/>
  <c r="BB38" i="20"/>
  <c r="AS40" i="20"/>
  <c r="BK129" i="20"/>
  <c r="BS79" i="20"/>
  <c r="AZ79" i="20"/>
  <c r="BZ125" i="20"/>
  <c r="BH39" i="20"/>
  <c r="BS129" i="20"/>
  <c r="AV124" i="20"/>
  <c r="BR127" i="20"/>
  <c r="BD126" i="20"/>
  <c r="AW121" i="20"/>
  <c r="BC93" i="20"/>
  <c r="CA124" i="20"/>
  <c r="BH81" i="20"/>
  <c r="BG93" i="20"/>
  <c r="BT122" i="20"/>
  <c r="BD81" i="20"/>
  <c r="BT129" i="20"/>
  <c r="F122" i="20"/>
  <c r="BJ93" i="20"/>
  <c r="BF127" i="20"/>
  <c r="F126" i="20"/>
  <c r="BX126" i="20"/>
  <c r="BC79" i="20"/>
  <c r="AY79" i="20"/>
  <c r="CB129" i="20"/>
  <c r="BF129" i="20"/>
  <c r="BV124" i="20"/>
  <c r="BT127" i="20"/>
  <c r="BF126" i="20"/>
  <c r="BR119" i="20"/>
  <c r="AS39" i="20"/>
  <c r="BF125" i="20"/>
  <c r="AZ122" i="20"/>
  <c r="BZ79" i="20"/>
  <c r="BP79" i="20"/>
  <c r="BO79" i="20"/>
  <c r="BI39" i="20"/>
  <c r="Y126" i="20"/>
  <c r="BY80" i="20"/>
  <c r="CE80" i="20"/>
  <c r="CA80" i="20"/>
  <c r="CD80" i="20"/>
  <c r="BZ80" i="20"/>
  <c r="CD79" i="20"/>
  <c r="CB80" i="20"/>
  <c r="CB81" i="20"/>
  <c r="CE38" i="20"/>
  <c r="AZ40" i="20"/>
  <c r="BV79" i="20"/>
  <c r="BU119" i="20"/>
  <c r="BR129" i="20"/>
  <c r="BU129" i="20"/>
  <c r="AW80" i="20"/>
  <c r="BZ81" i="20"/>
  <c r="BZ39" i="20"/>
  <c r="CA39" i="20"/>
  <c r="AD127" i="20"/>
  <c r="F125" i="20"/>
  <c r="BV81" i="20"/>
  <c r="BV125" i="20"/>
  <c r="AZ39" i="20"/>
  <c r="AW39" i="20"/>
  <c r="BH80" i="20"/>
  <c r="BD80" i="20"/>
  <c r="BB81" i="20"/>
  <c r="BB40" i="20"/>
  <c r="BG39" i="20"/>
  <c r="BK39" i="20"/>
  <c r="BX40" i="20"/>
  <c r="CD81" i="20"/>
  <c r="F121" i="20"/>
  <c r="BD93" i="20"/>
  <c r="BG109" i="20"/>
  <c r="BG125" i="20" s="1"/>
  <c r="BK80" i="20"/>
  <c r="BG80" i="20"/>
  <c r="BJ39" i="20"/>
  <c r="BN80" i="20"/>
  <c r="BJ80" i="20"/>
  <c r="AX80" i="20"/>
  <c r="AX39" i="20"/>
  <c r="AZ38" i="20"/>
  <c r="BL39" i="20"/>
  <c r="BA79" i="20"/>
  <c r="CA119" i="20"/>
  <c r="BE93" i="20"/>
  <c r="CC38" i="20"/>
  <c r="BB80" i="20"/>
  <c r="BC81" i="20"/>
  <c r="BX80" i="20"/>
  <c r="BD79" i="20"/>
  <c r="E122" i="20"/>
  <c r="AW40" i="20"/>
  <c r="CE40" i="20"/>
  <c r="CE81" i="20"/>
  <c r="CA40" i="20"/>
  <c r="CE39" i="20"/>
  <c r="CC81" i="20"/>
  <c r="CC40" i="20"/>
  <c r="BA81" i="20"/>
  <c r="BW80" i="20"/>
  <c r="CD39" i="20"/>
  <c r="AT40" i="20"/>
  <c r="AT81" i="20"/>
  <c r="AX81" i="20"/>
  <c r="CB40" i="20"/>
  <c r="CB39" i="20"/>
  <c r="CC79" i="20"/>
  <c r="AW38" i="20"/>
  <c r="AT79" i="20"/>
  <c r="AT38" i="20"/>
  <c r="AU39" i="20"/>
  <c r="AR39" i="20"/>
  <c r="AR80" i="20"/>
  <c r="BK79" i="20"/>
  <c r="BG79" i="20"/>
  <c r="BT81" i="20"/>
  <c r="BX81" i="20"/>
  <c r="BH79" i="20"/>
  <c r="BL79" i="20"/>
  <c r="BN39" i="20"/>
  <c r="BP39" i="20"/>
  <c r="BL80" i="20"/>
  <c r="BO39" i="20"/>
  <c r="BP80" i="20"/>
  <c r="BM39" i="20"/>
  <c r="D60" i="20"/>
  <c r="D119" i="20" s="1"/>
  <c r="BV40" i="20"/>
  <c r="BU81" i="20"/>
  <c r="BY81" i="20"/>
  <c r="BW40" i="20"/>
  <c r="BU40" i="20"/>
  <c r="BZ40" i="20"/>
  <c r="BE39" i="20"/>
  <c r="BB39" i="20"/>
  <c r="BF39" i="20"/>
  <c r="BC80" i="20"/>
  <c r="BD39" i="20"/>
  <c r="AY80" i="20"/>
  <c r="CC39" i="20"/>
  <c r="CC80" i="20"/>
  <c r="AW19" i="21"/>
  <c r="AY19" i="21"/>
  <c r="CD40" i="20"/>
  <c r="AV19" i="21"/>
  <c r="BY40" i="20"/>
  <c r="AX19" i="21"/>
  <c r="BA40" i="20"/>
  <c r="BD40" i="20"/>
  <c r="CD38" i="20"/>
  <c r="CE79" i="20"/>
  <c r="CA38" i="20"/>
  <c r="CA79" i="20"/>
  <c r="BI79" i="20"/>
  <c r="BE79" i="20"/>
  <c r="BH38" i="20"/>
  <c r="BE38" i="20"/>
  <c r="BL38" i="20"/>
  <c r="BG38" i="20"/>
  <c r="BT38" i="20"/>
  <c r="BT79" i="20"/>
  <c r="BV38" i="20"/>
  <c r="BX79" i="20"/>
  <c r="BU80" i="20"/>
  <c r="BQ80" i="20"/>
  <c r="BX39" i="20"/>
  <c r="BW39" i="20"/>
  <c r="BS39" i="20"/>
  <c r="BQ39" i="20"/>
  <c r="BT39" i="20"/>
  <c r="BV39" i="20"/>
  <c r="BF38" i="20"/>
  <c r="BI38" i="20"/>
  <c r="BF79" i="20"/>
  <c r="BK81" i="20"/>
  <c r="BK40" i="20"/>
  <c r="BR40" i="20"/>
  <c r="BN40" i="20"/>
  <c r="BO81" i="20"/>
  <c r="BS40" i="20"/>
  <c r="BP81" i="20"/>
  <c r="BL81" i="20"/>
  <c r="BO40" i="20"/>
  <c r="BL40" i="20"/>
  <c r="BV80" i="20"/>
  <c r="BR39" i="20"/>
  <c r="BY39" i="20"/>
  <c r="BU39" i="20"/>
  <c r="BR80" i="20"/>
  <c r="BJ38" i="20"/>
  <c r="BM38" i="20"/>
  <c r="BK38" i="20"/>
  <c r="BJ79" i="20"/>
  <c r="BO38" i="20"/>
  <c r="BP38" i="20"/>
  <c r="BR79" i="20"/>
  <c r="BS38" i="20"/>
  <c r="BR38" i="20"/>
  <c r="BQ38" i="20"/>
  <c r="BN79" i="20"/>
  <c r="BN38" i="20"/>
  <c r="AV81" i="20"/>
  <c r="BC40" i="20"/>
  <c r="AV40" i="20"/>
  <c r="AZ81" i="20"/>
  <c r="AY40" i="20"/>
  <c r="BQ40" i="20"/>
  <c r="BQ81" i="20"/>
  <c r="BM81" i="20"/>
  <c r="BM40" i="20"/>
  <c r="BT40" i="20"/>
  <c r="BP40" i="20"/>
  <c r="BU79" i="20"/>
  <c r="BU38" i="20"/>
  <c r="BX38" i="20"/>
  <c r="CB38" i="20"/>
  <c r="BY79" i="20"/>
  <c r="AY39" i="20"/>
  <c r="AV39" i="20"/>
  <c r="BC39" i="20"/>
  <c r="AV80" i="20"/>
  <c r="AZ80" i="20"/>
  <c r="BF40" i="20"/>
  <c r="BJ81" i="20"/>
  <c r="BF81" i="20"/>
  <c r="BI81" i="20"/>
  <c r="BI40" i="20"/>
  <c r="BG81" i="20"/>
  <c r="BJ40" i="20"/>
  <c r="BG40" i="20"/>
  <c r="BW79" i="20"/>
  <c r="BZ38" i="20"/>
  <c r="BW38" i="20"/>
  <c r="BY38" i="20"/>
  <c r="BB79" i="20"/>
  <c r="AX79" i="20"/>
  <c r="AX38" i="20"/>
  <c r="BA38" i="20"/>
  <c r="BC38" i="20"/>
  <c r="BD38" i="20"/>
  <c r="BE81" i="20"/>
  <c r="BE40" i="20"/>
  <c r="BH40" i="20"/>
  <c r="C24" i="6" l="1"/>
  <c r="D53" i="6"/>
  <c r="C7" i="6"/>
  <c r="C6" i="6"/>
  <c r="E52" i="6"/>
  <c r="E53" i="6" s="1"/>
  <c r="D21" i="6"/>
  <c r="D29" i="6" s="1"/>
  <c r="D5" i="6"/>
  <c r="D6" i="6" s="1"/>
  <c r="D59" i="6"/>
  <c r="D67" i="6"/>
  <c r="D57" i="6"/>
  <c r="D58" i="6"/>
  <c r="D39" i="6"/>
  <c r="D43" i="6"/>
  <c r="D42" i="6"/>
  <c r="D37" i="6"/>
  <c r="D40" i="6"/>
  <c r="D55" i="6"/>
  <c r="C13" i="6"/>
  <c r="C10" i="6"/>
  <c r="D54" i="6"/>
  <c r="D68" i="6" s="1"/>
  <c r="D41" i="6"/>
  <c r="C27" i="6"/>
  <c r="C28" i="6"/>
  <c r="C25" i="6"/>
  <c r="C8" i="6"/>
  <c r="C12" i="6"/>
  <c r="C38" i="6" s="1"/>
  <c r="C22" i="6"/>
  <c r="C26" i="6"/>
  <c r="C9" i="6"/>
  <c r="C11" i="6"/>
  <c r="C30" i="5"/>
  <c r="I30" i="5" s="1"/>
  <c r="C24" i="5"/>
  <c r="I24" i="5" s="1"/>
  <c r="C23" i="5"/>
  <c r="I23" i="5" s="1"/>
  <c r="C26" i="5"/>
  <c r="I26" i="5" s="1"/>
  <c r="C29" i="5"/>
  <c r="I29" i="5" s="1"/>
  <c r="C31" i="5"/>
  <c r="I31" i="5" s="1"/>
  <c r="C28" i="5"/>
  <c r="I28" i="5" s="1"/>
  <c r="C22" i="5"/>
  <c r="I22" i="5" s="1"/>
  <c r="C27" i="5"/>
  <c r="I27" i="5" s="1"/>
  <c r="C32" i="5"/>
  <c r="I32" i="5" s="1"/>
  <c r="C25" i="5"/>
  <c r="I25" i="5" s="1"/>
  <c r="D20" i="5"/>
  <c r="D23" i="5"/>
  <c r="D26" i="5"/>
  <c r="D29" i="5"/>
  <c r="D32" i="5"/>
  <c r="D21" i="5"/>
  <c r="D24" i="5"/>
  <c r="D27" i="5"/>
  <c r="D19" i="5"/>
  <c r="D22" i="5"/>
  <c r="D25" i="5"/>
  <c r="D28" i="5"/>
  <c r="D31" i="5"/>
  <c r="D30" i="5"/>
  <c r="C70" i="6"/>
  <c r="C21" i="5"/>
  <c r="I21" i="5" s="1"/>
  <c r="C17" i="5"/>
  <c r="I17" i="5" s="1"/>
  <c r="C13" i="5"/>
  <c r="I13" i="5" s="1"/>
  <c r="C9" i="5"/>
  <c r="I9" i="5" s="1"/>
  <c r="C20" i="5"/>
  <c r="I20" i="5" s="1"/>
  <c r="C16" i="5"/>
  <c r="I16" i="5" s="1"/>
  <c r="C12" i="5"/>
  <c r="I12" i="5" s="1"/>
  <c r="C8" i="5"/>
  <c r="I8" i="5" s="1"/>
  <c r="C19" i="5"/>
  <c r="I19" i="5" s="1"/>
  <c r="C15" i="5"/>
  <c r="I15" i="5" s="1"/>
  <c r="C11" i="5"/>
  <c r="I11" i="5" s="1"/>
  <c r="C18" i="5"/>
  <c r="I18" i="5" s="1"/>
  <c r="C14" i="5"/>
  <c r="I14" i="5" s="1"/>
  <c r="C10" i="5"/>
  <c r="I10" i="5" s="1"/>
  <c r="D7" i="5"/>
  <c r="D8" i="5"/>
  <c r="D9" i="5"/>
  <c r="D10" i="5"/>
  <c r="D11" i="5"/>
  <c r="D12" i="5"/>
  <c r="D13" i="5"/>
  <c r="D14" i="5"/>
  <c r="D15" i="5"/>
  <c r="D16" i="5"/>
  <c r="D17" i="5"/>
  <c r="D18" i="5"/>
  <c r="C68" i="6"/>
  <c r="C69" i="6"/>
  <c r="C71" i="6"/>
  <c r="C72" i="6"/>
  <c r="C7" i="5"/>
  <c r="I7" i="5" s="1"/>
  <c r="E54" i="6"/>
  <c r="E40" i="6"/>
  <c r="E58" i="6"/>
  <c r="E43" i="6"/>
  <c r="E37" i="6"/>
  <c r="E57" i="6"/>
  <c r="D71" i="6"/>
  <c r="D70" i="6"/>
  <c r="D27" i="6"/>
  <c r="F60" i="20"/>
  <c r="F119" i="20" s="1"/>
  <c r="E60" i="20"/>
  <c r="E119" i="20" s="1"/>
  <c r="AT60" i="20"/>
  <c r="AT119" i="20" s="1"/>
  <c r="AX60" i="20"/>
  <c r="AX119" i="20" s="1"/>
  <c r="BA19" i="20"/>
  <c r="AW19" i="20"/>
  <c r="AT19" i="20"/>
  <c r="M60" i="20"/>
  <c r="M119" i="20" s="1"/>
  <c r="M19" i="20"/>
  <c r="AU19" i="20"/>
  <c r="AY60" i="20"/>
  <c r="AY119" i="20" s="1"/>
  <c r="AX19" i="20"/>
  <c r="BB19" i="20"/>
  <c r="AU60" i="20"/>
  <c r="AU119" i="20" s="1"/>
  <c r="AS60" i="20"/>
  <c r="AS119" i="20" s="1"/>
  <c r="AW60" i="20"/>
  <c r="AW119" i="20" s="1"/>
  <c r="AZ19" i="20"/>
  <c r="AV19" i="20"/>
  <c r="AS19" i="20"/>
  <c r="AH19" i="20"/>
  <c r="J60" i="20"/>
  <c r="J119" i="20" s="1"/>
  <c r="K19" i="20"/>
  <c r="K60" i="20"/>
  <c r="K119" i="20" s="1"/>
  <c r="U60" i="20"/>
  <c r="U119" i="20" s="1"/>
  <c r="U19" i="20"/>
  <c r="AO60" i="20"/>
  <c r="AO119" i="20" s="1"/>
  <c r="AM60" i="20"/>
  <c r="AM119" i="20" s="1"/>
  <c r="AM19" i="20"/>
  <c r="O60" i="20"/>
  <c r="O119" i="20" s="1"/>
  <c r="O19" i="20"/>
  <c r="H60" i="20"/>
  <c r="H119" i="20" s="1"/>
  <c r="H19" i="20"/>
  <c r="AP19" i="20"/>
  <c r="AP60" i="20"/>
  <c r="AP119" i="20" s="1"/>
  <c r="V60" i="20"/>
  <c r="V119" i="20" s="1"/>
  <c r="R19" i="20"/>
  <c r="R60" i="20"/>
  <c r="R119" i="20" s="1"/>
  <c r="P60" i="20"/>
  <c r="P119" i="20" s="1"/>
  <c r="P19" i="20"/>
  <c r="AQ60" i="20"/>
  <c r="AQ119" i="20" s="1"/>
  <c r="AQ19" i="20"/>
  <c r="S19" i="20"/>
  <c r="S60" i="20"/>
  <c r="S119" i="20" s="1"/>
  <c r="AO19" i="20"/>
  <c r="AL60" i="20"/>
  <c r="AL119" i="20" s="1"/>
  <c r="AL19" i="20"/>
  <c r="Q60" i="20"/>
  <c r="Q119" i="20" s="1"/>
  <c r="Q19" i="20"/>
  <c r="X60" i="20"/>
  <c r="X119" i="20" s="1"/>
  <c r="X19" i="20"/>
  <c r="Y60" i="20"/>
  <c r="Y119" i="20" s="1"/>
  <c r="Y19" i="20"/>
  <c r="AR19" i="20"/>
  <c r="AR60" i="20"/>
  <c r="AR119" i="20" s="1"/>
  <c r="AY19" i="20"/>
  <c r="AV60" i="20"/>
  <c r="AV119" i="20" s="1"/>
  <c r="AF19" i="20"/>
  <c r="AF60" i="20"/>
  <c r="AF119" i="20" s="1"/>
  <c r="AB60" i="20"/>
  <c r="AB119" i="20" s="1"/>
  <c r="AB19" i="20"/>
  <c r="N60" i="20"/>
  <c r="N119" i="20" s="1"/>
  <c r="N19" i="20"/>
  <c r="AC60" i="20"/>
  <c r="AC119" i="20" s="1"/>
  <c r="V19" i="20"/>
  <c r="W60" i="20"/>
  <c r="W119" i="20" s="1"/>
  <c r="W19" i="20"/>
  <c r="I19" i="20"/>
  <c r="I60" i="20"/>
  <c r="I119" i="20" s="1"/>
  <c r="AJ60" i="20"/>
  <c r="AJ119" i="20" s="1"/>
  <c r="AJ19" i="20"/>
  <c r="L60" i="20"/>
  <c r="L119" i="20" s="1"/>
  <c r="L19" i="20"/>
  <c r="AK60" i="20"/>
  <c r="AK119" i="20" s="1"/>
  <c r="AK19" i="20"/>
  <c r="T60" i="20"/>
  <c r="T119" i="20" s="1"/>
  <c r="T19" i="20"/>
  <c r="AH60" i="20"/>
  <c r="AH119" i="20" s="1"/>
  <c r="AD60" i="20"/>
  <c r="AD119" i="20" s="1"/>
  <c r="AD19" i="20"/>
  <c r="AG60" i="20"/>
  <c r="AG119" i="20" s="1"/>
  <c r="AG19" i="20"/>
  <c r="J19" i="20"/>
  <c r="G19" i="20"/>
  <c r="G60" i="20"/>
  <c r="G119" i="20" s="1"/>
  <c r="AA60" i="20"/>
  <c r="AA119" i="20" s="1"/>
  <c r="AA19" i="20"/>
  <c r="AI60" i="20"/>
  <c r="AI119" i="20" s="1"/>
  <c r="AI19" i="20"/>
  <c r="AN19" i="20"/>
  <c r="AN60" i="20"/>
  <c r="AN119" i="20" s="1"/>
  <c r="AE60" i="20"/>
  <c r="AE119" i="20" s="1"/>
  <c r="AE19" i="20"/>
  <c r="AC19" i="20"/>
  <c r="Z60" i="20"/>
  <c r="Z119" i="20" s="1"/>
  <c r="Z19" i="20"/>
  <c r="D23" i="6" l="1"/>
  <c r="D26" i="6"/>
  <c r="D11" i="6"/>
  <c r="D28" i="6"/>
  <c r="D12" i="6"/>
  <c r="D38" i="6" s="1"/>
  <c r="D69" i="6"/>
  <c r="D72" i="6"/>
  <c r="D9" i="6"/>
  <c r="D13" i="6"/>
  <c r="D24" i="6"/>
  <c r="D22" i="6"/>
  <c r="D10" i="6"/>
  <c r="D8" i="6"/>
  <c r="D7" i="6"/>
  <c r="D25" i="6"/>
  <c r="E55" i="6"/>
  <c r="E69" i="6" s="1"/>
  <c r="E41" i="6"/>
  <c r="E21" i="6"/>
  <c r="E29" i="6" s="1"/>
  <c r="F52" i="6"/>
  <c r="F54" i="6" s="1"/>
  <c r="E59" i="6"/>
  <c r="E67" i="6"/>
  <c r="E42" i="6"/>
  <c r="E39" i="6"/>
  <c r="E5" i="6"/>
  <c r="E27" i="6" s="1"/>
  <c r="E56" i="6"/>
  <c r="E70" i="6" s="1"/>
  <c r="E71" i="6"/>
  <c r="E72" i="6"/>
  <c r="E68" i="6"/>
  <c r="F59" i="6"/>
  <c r="F58" i="6" l="1"/>
  <c r="E6" i="6"/>
  <c r="E28" i="6"/>
  <c r="E9" i="6"/>
  <c r="F37" i="6"/>
  <c r="F21" i="6"/>
  <c r="F29" i="6" s="1"/>
  <c r="F56" i="6"/>
  <c r="F53" i="6"/>
  <c r="F70" i="6" s="1"/>
  <c r="F5" i="6"/>
  <c r="F11" i="6" s="1"/>
  <c r="E10" i="6"/>
  <c r="F55" i="6"/>
  <c r="F67" i="6"/>
  <c r="F43" i="6"/>
  <c r="G52" i="6"/>
  <c r="G43" i="6" s="1"/>
  <c r="F42" i="6"/>
  <c r="E8" i="6"/>
  <c r="E22" i="6"/>
  <c r="F57" i="6"/>
  <c r="E13" i="6"/>
  <c r="E26" i="6"/>
  <c r="F40" i="6"/>
  <c r="F39" i="6"/>
  <c r="E25" i="6"/>
  <c r="E23" i="6"/>
  <c r="E12" i="6"/>
  <c r="E38" i="6" s="1"/>
  <c r="E11" i="6"/>
  <c r="E24" i="6"/>
  <c r="E7" i="6"/>
  <c r="F41" i="6"/>
  <c r="G59" i="6" l="1"/>
  <c r="G41" i="6"/>
  <c r="G56" i="6"/>
  <c r="G55" i="6"/>
  <c r="F9" i="6"/>
  <c r="F25" i="6"/>
  <c r="F10" i="6"/>
  <c r="F27" i="6"/>
  <c r="F7" i="6"/>
  <c r="F28" i="6"/>
  <c r="F72" i="6"/>
  <c r="F22" i="6"/>
  <c r="F24" i="6"/>
  <c r="F69" i="6"/>
  <c r="F23" i="6"/>
  <c r="F8" i="6"/>
  <c r="F13" i="6"/>
  <c r="G37" i="6"/>
  <c r="F6" i="6"/>
  <c r="F12" i="6"/>
  <c r="F38" i="6" s="1"/>
  <c r="G40" i="6"/>
  <c r="F26" i="6"/>
  <c r="G42" i="6"/>
  <c r="G67" i="6"/>
  <c r="G54" i="6"/>
  <c r="G39" i="6"/>
  <c r="G5" i="6"/>
  <c r="G24" i="6" s="1"/>
  <c r="G53" i="6"/>
  <c r="G58" i="6"/>
  <c r="H52" i="6"/>
  <c r="H5" i="6" s="1"/>
  <c r="G21" i="6"/>
  <c r="G29" i="6" s="1"/>
  <c r="G57" i="6"/>
  <c r="F68" i="6"/>
  <c r="F71" i="6"/>
  <c r="G28" i="6"/>
  <c r="G7" i="6" l="1"/>
  <c r="G22" i="6"/>
  <c r="G27" i="6"/>
  <c r="G26" i="6"/>
  <c r="G11" i="6"/>
  <c r="G13" i="6"/>
  <c r="G6" i="6"/>
  <c r="G8" i="6"/>
  <c r="H39" i="6"/>
  <c r="H40" i="6"/>
  <c r="H42" i="6"/>
  <c r="G72" i="6"/>
  <c r="H54" i="6"/>
  <c r="G70" i="6"/>
  <c r="H53" i="6"/>
  <c r="H68" i="6" s="1"/>
  <c r="G25" i="6"/>
  <c r="G71" i="6"/>
  <c r="G9" i="6"/>
  <c r="G68" i="6"/>
  <c r="G69" i="6"/>
  <c r="G12" i="6"/>
  <c r="G38" i="6" s="1"/>
  <c r="H37" i="6"/>
  <c r="H67" i="6"/>
  <c r="H43" i="6"/>
  <c r="H55" i="6"/>
  <c r="H58" i="6"/>
  <c r="H57" i="6"/>
  <c r="H59" i="6"/>
  <c r="H41" i="6"/>
  <c r="H21" i="6"/>
  <c r="H29" i="6" s="1"/>
  <c r="H56" i="6"/>
  <c r="I52" i="6"/>
  <c r="I39" i="6" s="1"/>
  <c r="G23" i="6"/>
  <c r="G10" i="6"/>
  <c r="I40" i="6"/>
  <c r="I55" i="6"/>
  <c r="H10" i="6"/>
  <c r="H28" i="6"/>
  <c r="H13" i="6"/>
  <c r="H22" i="6"/>
  <c r="H23" i="6"/>
  <c r="H24" i="6"/>
  <c r="H25" i="6"/>
  <c r="H7" i="6"/>
  <c r="H9" i="6"/>
  <c r="H11" i="6"/>
  <c r="H26" i="6"/>
  <c r="H12" i="6"/>
  <c r="H38" i="6" s="1"/>
  <c r="H6" i="6"/>
  <c r="H8" i="6"/>
  <c r="H27" i="6"/>
  <c r="H69" i="6" l="1"/>
  <c r="I59" i="6"/>
  <c r="I42" i="6"/>
  <c r="H72" i="6"/>
  <c r="I54" i="6"/>
  <c r="H70" i="6"/>
  <c r="I43" i="6"/>
  <c r="H71" i="6"/>
  <c r="I57" i="6"/>
  <c r="I67" i="6"/>
  <c r="I56" i="6"/>
  <c r="I41" i="6"/>
  <c r="I5" i="6"/>
  <c r="I7" i="6" s="1"/>
  <c r="I37" i="6"/>
  <c r="I58" i="6"/>
  <c r="I53" i="6"/>
  <c r="I72" i="6" s="1"/>
  <c r="J52" i="6"/>
  <c r="J55" i="6" s="1"/>
  <c r="I21" i="6"/>
  <c r="I29" i="6" s="1"/>
  <c r="I25" i="6"/>
  <c r="I10" i="6"/>
  <c r="I22" i="6"/>
  <c r="I23" i="6"/>
  <c r="I8" i="6" l="1"/>
  <c r="I27" i="6"/>
  <c r="I24" i="6"/>
  <c r="I12" i="6"/>
  <c r="I38" i="6" s="1"/>
  <c r="I6" i="6"/>
  <c r="I9" i="6"/>
  <c r="I13" i="6"/>
  <c r="I28" i="6"/>
  <c r="I26" i="6"/>
  <c r="J58" i="6"/>
  <c r="J39" i="6"/>
  <c r="J42" i="6"/>
  <c r="K52" i="6"/>
  <c r="K43" i="6" s="1"/>
  <c r="J5" i="6"/>
  <c r="J11" i="6" s="1"/>
  <c r="J67" i="6"/>
  <c r="J59" i="6"/>
  <c r="J41" i="6"/>
  <c r="J54" i="6"/>
  <c r="J40" i="6"/>
  <c r="J56" i="6"/>
  <c r="J57" i="6"/>
  <c r="I68" i="6"/>
  <c r="J37" i="6"/>
  <c r="J21" i="6"/>
  <c r="J29" i="6" s="1"/>
  <c r="J43" i="6"/>
  <c r="I11" i="6"/>
  <c r="J53" i="6"/>
  <c r="J68" i="6" s="1"/>
  <c r="I69" i="6"/>
  <c r="I70" i="6"/>
  <c r="I71" i="6"/>
  <c r="K21" i="6"/>
  <c r="K29" i="6" s="1"/>
  <c r="K41" i="6"/>
  <c r="K67" i="6"/>
  <c r="J7" i="6"/>
  <c r="J72" i="6" l="1"/>
  <c r="J71" i="6"/>
  <c r="L52" i="6"/>
  <c r="L42" i="6" s="1"/>
  <c r="J69" i="6"/>
  <c r="K40" i="6"/>
  <c r="J23" i="6"/>
  <c r="K59" i="6"/>
  <c r="J27" i="6"/>
  <c r="K56" i="6"/>
  <c r="J26" i="6"/>
  <c r="K57" i="6"/>
  <c r="J70" i="6"/>
  <c r="J6" i="6"/>
  <c r="K5" i="6"/>
  <c r="K13" i="6" s="1"/>
  <c r="J22" i="6"/>
  <c r="J28" i="6"/>
  <c r="J13" i="6"/>
  <c r="K53" i="6"/>
  <c r="K55" i="6"/>
  <c r="J9" i="6"/>
  <c r="K54" i="6"/>
  <c r="K68" i="6" s="1"/>
  <c r="K37" i="6"/>
  <c r="J24" i="6"/>
  <c r="J10" i="6"/>
  <c r="J8" i="6"/>
  <c r="J12" i="6"/>
  <c r="J38" i="6" s="1"/>
  <c r="K39" i="6"/>
  <c r="K42" i="6"/>
  <c r="J25" i="6"/>
  <c r="K58" i="6"/>
  <c r="M52" i="6"/>
  <c r="L54" i="6"/>
  <c r="L40" i="6"/>
  <c r="L39" i="6"/>
  <c r="L21" i="6"/>
  <c r="L29" i="6" s="1"/>
  <c r="L5" i="6"/>
  <c r="L37" i="6"/>
  <c r="K72" i="6"/>
  <c r="K69" i="6"/>
  <c r="K70" i="6"/>
  <c r="K71" i="6"/>
  <c r="K12" i="6"/>
  <c r="K38" i="6" s="1"/>
  <c r="K23" i="6"/>
  <c r="K24" i="6"/>
  <c r="K25" i="6"/>
  <c r="K10" i="6"/>
  <c r="K28" i="6" l="1"/>
  <c r="K27" i="6"/>
  <c r="K9" i="6"/>
  <c r="L56" i="6"/>
  <c r="L41" i="6"/>
  <c r="K26" i="6"/>
  <c r="L57" i="6"/>
  <c r="L55" i="6"/>
  <c r="K7" i="6"/>
  <c r="L58" i="6"/>
  <c r="L67" i="6"/>
  <c r="K22" i="6"/>
  <c r="L59" i="6"/>
  <c r="L53" i="6"/>
  <c r="L70" i="6" s="1"/>
  <c r="K11" i="6"/>
  <c r="K6" i="6"/>
  <c r="L43" i="6"/>
  <c r="K8" i="6"/>
  <c r="M40" i="6"/>
  <c r="M55" i="6"/>
  <c r="M43" i="6"/>
  <c r="M56" i="6"/>
  <c r="N52" i="6"/>
  <c r="M67" i="6"/>
  <c r="M58" i="6"/>
  <c r="M21" i="6"/>
  <c r="M29" i="6" s="1"/>
  <c r="M39" i="6"/>
  <c r="M37" i="6"/>
  <c r="M53" i="6"/>
  <c r="M59" i="6"/>
  <c r="M42" i="6"/>
  <c r="M54" i="6"/>
  <c r="M5" i="6"/>
  <c r="M57" i="6"/>
  <c r="M41" i="6"/>
  <c r="L11" i="6"/>
  <c r="L7" i="6"/>
  <c r="L25" i="6"/>
  <c r="L13" i="6"/>
  <c r="L26" i="6"/>
  <c r="L28" i="6"/>
  <c r="L22" i="6"/>
  <c r="L23" i="6"/>
  <c r="L12" i="6"/>
  <c r="L38" i="6" s="1"/>
  <c r="L27" i="6"/>
  <c r="L24" i="6"/>
  <c r="L6" i="6"/>
  <c r="L10" i="6"/>
  <c r="L8" i="6"/>
  <c r="L9" i="6"/>
  <c r="L69" i="6" l="1"/>
  <c r="L71" i="6"/>
  <c r="L72" i="6"/>
  <c r="L68" i="6"/>
  <c r="M70" i="6"/>
  <c r="M72" i="6"/>
  <c r="M69" i="6"/>
  <c r="M71" i="6"/>
  <c r="M68" i="6"/>
  <c r="N57" i="6"/>
  <c r="N55" i="6"/>
  <c r="N5" i="6"/>
  <c r="N39" i="6"/>
  <c r="N53" i="6"/>
  <c r="N40" i="6"/>
  <c r="N37" i="6"/>
  <c r="N67" i="6"/>
  <c r="N59" i="6"/>
  <c r="N41" i="6"/>
  <c r="N21" i="6"/>
  <c r="N29" i="6" s="1"/>
  <c r="N58" i="6"/>
  <c r="N43" i="6"/>
  <c r="N56" i="6"/>
  <c r="N42" i="6"/>
  <c r="N54" i="6"/>
  <c r="M12" i="6"/>
  <c r="M38" i="6" s="1"/>
  <c r="M6" i="6"/>
  <c r="M11" i="6"/>
  <c r="M13" i="6"/>
  <c r="M7" i="6"/>
  <c r="M26" i="6"/>
  <c r="M9" i="6"/>
  <c r="M25" i="6"/>
  <c r="M24" i="6"/>
  <c r="M28" i="6"/>
  <c r="M8" i="6"/>
  <c r="M10" i="6"/>
  <c r="M23" i="6"/>
  <c r="M27" i="6"/>
  <c r="M22" i="6"/>
  <c r="N71" i="6" l="1"/>
  <c r="N68" i="6"/>
  <c r="N70" i="6"/>
  <c r="N72" i="6"/>
  <c r="N69" i="6"/>
  <c r="N28" i="6"/>
  <c r="N11" i="6"/>
  <c r="N8" i="6"/>
  <c r="N22" i="6"/>
  <c r="N12" i="6"/>
  <c r="N38" i="6" s="1"/>
  <c r="N27" i="6"/>
  <c r="N13" i="6"/>
  <c r="N23" i="6"/>
  <c r="N10" i="6"/>
  <c r="N6" i="6"/>
  <c r="N25" i="6"/>
  <c r="N7" i="6"/>
  <c r="N9" i="6"/>
  <c r="N24" i="6"/>
  <c r="N26" i="6"/>
</calcChain>
</file>

<file path=xl/comments1.xml><?xml version="1.0" encoding="utf-8"?>
<comments xmlns="http://schemas.openxmlformats.org/spreadsheetml/2006/main">
  <authors>
    <author>Joseph.elvis56@outlook.com</author>
    <author>a</author>
    <author>Utilisateur Windows</author>
  </authors>
  <commentList>
    <comment ref="B70" authorId="0" shapeId="0">
      <text>
        <r>
          <rPr>
            <b/>
            <sz val="9"/>
            <color indexed="81"/>
            <rFont val="Tahoma"/>
            <family val="2"/>
          </rPr>
          <t>ebouele : Source BCEAO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 xml:space="preserve">Source : </t>
        </r>
        <r>
          <rPr>
            <sz val="9"/>
            <color indexed="81"/>
            <rFont val="Tahoma"/>
            <family val="2"/>
          </rPr>
          <t>EUROSTAT</t>
        </r>
      </text>
    </comment>
    <comment ref="B72" authorId="1" shapeId="0">
      <text>
        <r>
          <rPr>
            <b/>
            <sz val="9"/>
            <color indexed="81"/>
            <rFont val="Tahoma"/>
            <family val="2"/>
          </rPr>
          <t xml:space="preserve">ebouele :
</t>
        </r>
        <r>
          <rPr>
            <sz val="9"/>
            <color indexed="81"/>
            <rFont val="Tahoma"/>
            <family val="2"/>
          </rPr>
          <t xml:space="preserve">source INSEE
</t>
        </r>
      </text>
    </comment>
    <comment ref="B73" authorId="1" shapeId="0">
      <text>
        <r>
          <rPr>
            <b/>
            <sz val="9"/>
            <color indexed="81"/>
            <rFont val="Tahoma"/>
            <family val="2"/>
          </rPr>
          <t xml:space="preserve">Source : </t>
        </r>
        <r>
          <rPr>
            <sz val="9"/>
            <color indexed="81"/>
            <rFont val="Tahoma"/>
            <family val="2"/>
          </rPr>
          <t xml:space="preserve">U.S. Department of Labor Bureau of Labor Statistic
</t>
        </r>
      </text>
    </comment>
    <comment ref="B74" authorId="1" shapeId="0">
      <text>
        <r>
          <rPr>
            <b/>
            <sz val="9"/>
            <color indexed="81"/>
            <rFont val="Tahoma"/>
            <family val="2"/>
          </rPr>
          <t>Source : https://microdata.nigerianstat.gov.ng/index.php/catalog/154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5" authorId="1" shapeId="0">
      <text>
        <r>
          <rPr>
            <sz val="9"/>
            <color indexed="81"/>
            <rFont val="Tahoma"/>
            <family val="2"/>
          </rPr>
          <t>source: trading economics</t>
        </r>
      </text>
    </comment>
    <comment ref="B76" authorId="1" shapeId="0">
      <text>
        <r>
          <rPr>
            <b/>
            <sz val="9"/>
            <color indexed="81"/>
            <rFont val="Tahoma"/>
            <family val="2"/>
          </rPr>
          <t>Source : Ghana statistical service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9" authorId="1" shapeId="0">
      <text>
        <r>
          <rPr>
            <b/>
            <sz val="9"/>
            <color indexed="81"/>
            <rFont val="Tahoma"/>
            <family val="2"/>
          </rPr>
          <t xml:space="preserve">ebouele :
</t>
        </r>
        <r>
          <rPr>
            <sz val="9"/>
            <color indexed="81"/>
            <rFont val="Tahoma"/>
            <family val="2"/>
          </rPr>
          <t>source: banque de Sierra leonne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G79" authorId="0" shapeId="0">
      <text>
        <r>
          <rPr>
            <b/>
            <sz val="9"/>
            <color indexed="81"/>
            <rFont val="Tahoma"/>
            <family val="2"/>
          </rPr>
          <t xml:space="preserve">ebouele : </t>
        </r>
        <r>
          <rPr>
            <sz val="9"/>
            <color indexed="81"/>
            <rFont val="Tahoma"/>
            <family val="2"/>
          </rPr>
          <t xml:space="preserve">reconstitué à partir du taux d'inflation en cours et du niveaux général des prix des années précédentes
</t>
        </r>
      </text>
    </comment>
    <comment ref="FH79" authorId="0" shapeId="0">
      <text>
        <r>
          <rPr>
            <b/>
            <sz val="9"/>
            <color indexed="81"/>
            <rFont val="Tahoma"/>
            <family val="2"/>
          </rPr>
          <t xml:space="preserve">ebouele </t>
        </r>
        <r>
          <rPr>
            <sz val="9"/>
            <color indexed="81"/>
            <rFont val="Tahoma"/>
            <family val="2"/>
          </rPr>
          <t xml:space="preserve">: reconstitué à partir du taux d'inflation en cours et du niveaux général des prix des années précédentes
</t>
        </r>
      </text>
    </comment>
    <comment ref="B81" authorId="2" shapeId="0">
      <text>
        <r>
          <rPr>
            <b/>
            <sz val="9"/>
            <color indexed="81"/>
            <rFont val="Tahoma"/>
            <family val="2"/>
          </rPr>
          <t>ebouele:
source : institut de la statistique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</author>
    <author>Utilisateur Windows</author>
  </authors>
  <commentList>
    <comment ref="B72" authorId="0" shapeId="0">
      <text>
        <r>
          <rPr>
            <b/>
            <sz val="9"/>
            <color indexed="81"/>
            <rFont val="Tahoma"/>
            <family val="2"/>
          </rPr>
          <t xml:space="preserve">ebouele :
</t>
        </r>
        <r>
          <rPr>
            <sz val="9"/>
            <color indexed="81"/>
            <rFont val="Tahoma"/>
            <family val="2"/>
          </rPr>
          <t xml:space="preserve">source INSEE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 xml:space="preserve">Source : </t>
        </r>
        <r>
          <rPr>
            <sz val="9"/>
            <color indexed="81"/>
            <rFont val="Tahoma"/>
            <family val="2"/>
          </rPr>
          <t xml:space="preserve">U.S. Department of Labor Bureau of Labor Statistic
</t>
        </r>
      </text>
    </comment>
    <comment ref="B74" authorId="0" shapeId="0">
      <text>
        <r>
          <rPr>
            <b/>
            <sz val="9"/>
            <color indexed="81"/>
            <rFont val="Tahoma"/>
            <family val="2"/>
          </rPr>
          <t>Source : Central bank of Nigeria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5" authorId="0" shapeId="0">
      <text>
        <r>
          <rPr>
            <sz val="9"/>
            <color indexed="81"/>
            <rFont val="Tahoma"/>
            <family val="2"/>
          </rPr>
          <t xml:space="preserve">source : banque centrale RDC
</t>
        </r>
      </text>
    </comment>
    <comment ref="B76" authorId="0" shapeId="0">
      <text>
        <r>
          <rPr>
            <b/>
            <sz val="9"/>
            <color indexed="81"/>
            <rFont val="Tahoma"/>
            <family val="2"/>
          </rPr>
          <t>Source : Ghana statistical service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 xml:space="preserve">ebouele :
</t>
        </r>
        <r>
          <rPr>
            <sz val="9"/>
            <color indexed="81"/>
            <rFont val="Tahoma"/>
            <family val="2"/>
          </rPr>
          <t>source: banque de Sierra leonne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1" authorId="1" shapeId="0">
      <text>
        <r>
          <rPr>
            <b/>
            <sz val="9"/>
            <color indexed="81"/>
            <rFont val="Tahoma"/>
            <family val="2"/>
          </rPr>
          <t>ebouele:
source : institut de la statistique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</author>
  </authors>
  <commentList>
    <comment ref="B72" authorId="0" shapeId="0">
      <text>
        <r>
          <rPr>
            <b/>
            <sz val="9"/>
            <color indexed="81"/>
            <rFont val="Tahoma"/>
            <family val="2"/>
          </rPr>
          <t xml:space="preserve">ebouele :
</t>
        </r>
        <r>
          <rPr>
            <sz val="9"/>
            <color indexed="81"/>
            <rFont val="Tahoma"/>
            <family val="2"/>
          </rPr>
          <t xml:space="preserve">source INSEE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 xml:space="preserve">Source : </t>
        </r>
        <r>
          <rPr>
            <sz val="9"/>
            <color indexed="81"/>
            <rFont val="Tahoma"/>
            <family val="2"/>
          </rPr>
          <t xml:space="preserve">U.S. Department of Labor Bureau of Labor Statistic
</t>
        </r>
      </text>
    </comment>
    <comment ref="B74" authorId="0" shapeId="0">
      <text>
        <r>
          <rPr>
            <b/>
            <sz val="9"/>
            <color indexed="81"/>
            <rFont val="Tahoma"/>
            <family val="2"/>
          </rPr>
          <t>Source : Central bank of Nigeria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5" authorId="0" shapeId="0">
      <text>
        <r>
          <rPr>
            <sz val="9"/>
            <color indexed="81"/>
            <rFont val="Tahoma"/>
            <family val="2"/>
          </rPr>
          <t xml:space="preserve">source : banque centrale RDC
</t>
        </r>
      </text>
    </comment>
    <comment ref="B76" authorId="0" shapeId="0">
      <text>
        <r>
          <rPr>
            <b/>
            <sz val="9"/>
            <color indexed="81"/>
            <rFont val="Tahoma"/>
            <family val="2"/>
          </rPr>
          <t>Source : Ghana statistical service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 xml:space="preserve">ebouele :
</t>
        </r>
        <r>
          <rPr>
            <sz val="9"/>
            <color indexed="81"/>
            <rFont val="Tahoma"/>
            <family val="2"/>
          </rPr>
          <t>source: banque de Sierra leonne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a</author>
  </authors>
  <commentList>
    <comment ref="B72" authorId="0" shapeId="0">
      <text>
        <r>
          <rPr>
            <b/>
            <sz val="9"/>
            <color indexed="81"/>
            <rFont val="Tahoma"/>
            <family val="2"/>
          </rPr>
          <t xml:space="preserve">ebouele :
</t>
        </r>
        <r>
          <rPr>
            <sz val="9"/>
            <color indexed="81"/>
            <rFont val="Tahoma"/>
            <family val="2"/>
          </rPr>
          <t xml:space="preserve">source INSEE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 xml:space="preserve">Source : </t>
        </r>
        <r>
          <rPr>
            <sz val="9"/>
            <color indexed="81"/>
            <rFont val="Tahoma"/>
            <family val="2"/>
          </rPr>
          <t xml:space="preserve">U.S. Department of Labor Bureau of Labor Statistic
</t>
        </r>
      </text>
    </comment>
    <comment ref="B74" authorId="0" shapeId="0">
      <text>
        <r>
          <rPr>
            <b/>
            <sz val="9"/>
            <color indexed="81"/>
            <rFont val="Tahoma"/>
            <family val="2"/>
          </rPr>
          <t>Source : Central bank of Nigeria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5" authorId="0" shapeId="0">
      <text>
        <r>
          <rPr>
            <sz val="9"/>
            <color indexed="81"/>
            <rFont val="Tahoma"/>
            <family val="2"/>
          </rPr>
          <t xml:space="preserve">source : banque centrale RDC
</t>
        </r>
      </text>
    </comment>
    <comment ref="B76" authorId="0" shapeId="0">
      <text>
        <r>
          <rPr>
            <b/>
            <sz val="9"/>
            <color indexed="81"/>
            <rFont val="Tahoma"/>
            <family val="2"/>
          </rPr>
          <t>Source : Ghana statistical service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 xml:space="preserve">ebouele :
</t>
        </r>
        <r>
          <rPr>
            <sz val="9"/>
            <color indexed="81"/>
            <rFont val="Tahoma"/>
            <family val="2"/>
          </rPr>
          <t>source: banque de Sierra leonne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ayiwoue</author>
  </authors>
  <commentList>
    <comment ref="G6" authorId="0" shapeId="0">
      <text>
        <r>
          <rPr>
            <b/>
            <sz val="8"/>
            <color indexed="81"/>
            <rFont val="Tahoma"/>
            <family val="2"/>
          </rPr>
          <t>ayiwoue:</t>
        </r>
        <r>
          <rPr>
            <sz val="8"/>
            <color indexed="81"/>
            <rFont val="Tahoma"/>
            <family val="2"/>
          </rPr>
          <t xml:space="preserve">
Saisir le mois de référence ici</t>
        </r>
      </text>
    </comment>
  </commentList>
</comments>
</file>

<file path=xl/sharedStrings.xml><?xml version="1.0" encoding="utf-8"?>
<sst xmlns="http://schemas.openxmlformats.org/spreadsheetml/2006/main" count="1421" uniqueCount="275">
  <si>
    <t>POSTES  DE CONSOMMATION</t>
  </si>
  <si>
    <t>Pondération</t>
  </si>
  <si>
    <t>Indice général national</t>
  </si>
  <si>
    <t>Biens locaux</t>
  </si>
  <si>
    <t>Biens importés</t>
  </si>
  <si>
    <t>Indice hors alimentation</t>
  </si>
  <si>
    <t>Indice hors transport</t>
  </si>
  <si>
    <t>Indice hors alimentation et transports</t>
  </si>
  <si>
    <t>N°</t>
  </si>
  <si>
    <t>01</t>
  </si>
  <si>
    <t>Produits alimentaires et boissons non alcoolisees</t>
  </si>
  <si>
    <t>02</t>
  </si>
  <si>
    <t>Boissons alcoolisees et tabac</t>
  </si>
  <si>
    <t>03</t>
  </si>
  <si>
    <t>Articles d'habillement et chaussures</t>
  </si>
  <si>
    <t>04</t>
  </si>
  <si>
    <t>Logement,eau,gaz,electricité et autres combustibles</t>
  </si>
  <si>
    <t>05</t>
  </si>
  <si>
    <t>meuble,articles de menage et entretien courant de la maison</t>
  </si>
  <si>
    <t>06</t>
  </si>
  <si>
    <t>santé</t>
  </si>
  <si>
    <t>07</t>
  </si>
  <si>
    <t>Transports</t>
  </si>
  <si>
    <t>08</t>
  </si>
  <si>
    <t>Communications</t>
  </si>
  <si>
    <t>09</t>
  </si>
  <si>
    <t>Loisirs et culture</t>
  </si>
  <si>
    <t>Enseignement</t>
  </si>
  <si>
    <t>Restarants et hotels</t>
  </si>
  <si>
    <t>Biens et services divers</t>
  </si>
  <si>
    <t>Indice hors Alimentation</t>
  </si>
  <si>
    <t>Indice hors Transport</t>
  </si>
  <si>
    <t>Indice hors alimentation et transport</t>
  </si>
  <si>
    <t>Santé</t>
  </si>
  <si>
    <t>Centres</t>
  </si>
  <si>
    <t>Yaoundé</t>
  </si>
  <si>
    <t>Douala</t>
  </si>
  <si>
    <t>Bafoussam</t>
  </si>
  <si>
    <t>Bamenda</t>
  </si>
  <si>
    <t>Garoua</t>
  </si>
  <si>
    <t>Cameroun</t>
  </si>
  <si>
    <t>République Centrafricaine</t>
  </si>
  <si>
    <t>Congo</t>
  </si>
  <si>
    <t>Gabon</t>
  </si>
  <si>
    <t>Guinée Equatoriale</t>
  </si>
  <si>
    <t>Tchad</t>
  </si>
  <si>
    <t>CEMAC</t>
  </si>
  <si>
    <t>RCA</t>
  </si>
  <si>
    <t>Indice Global       -       Base 100 : 1981</t>
  </si>
  <si>
    <t>(Variation en glissement annuel en %)</t>
  </si>
  <si>
    <t>UEMOA</t>
  </si>
  <si>
    <t>Zone Euro</t>
  </si>
  <si>
    <t>France</t>
  </si>
  <si>
    <t>Etats-unis</t>
  </si>
  <si>
    <t>Etats-Unis</t>
  </si>
  <si>
    <t>Moy. Ann.*</t>
  </si>
  <si>
    <t>Gli. Ann.**</t>
  </si>
  <si>
    <t>Source : Institut National de la Statistique (INS)</t>
  </si>
  <si>
    <t>(Variation en moyenne annuelle en %)</t>
  </si>
  <si>
    <t>Sources: BCE, BDF, BCEAO,  BEAC</t>
  </si>
  <si>
    <t>(Variation en % de l’indice des prix à la consommation)</t>
  </si>
  <si>
    <t>CEMAC*</t>
  </si>
  <si>
    <t>Sources: BCE, BDF, BCEAO, BEAC.</t>
  </si>
  <si>
    <t>Sources : Administrations Nationales et BEAC</t>
  </si>
  <si>
    <t>EVOLUTION DE L'INFLATION DANS LES PAYS DE LA CEMAC</t>
  </si>
  <si>
    <t>EVOLUTION DE L'INFLATION DANS LA CEMAC</t>
  </si>
  <si>
    <t>(Variations en moyenne annuelle)</t>
  </si>
  <si>
    <t>EVOLUTION DU DIFFERENTIEL D'INFLATION ENTRE LA CEMAC ET SES PRINCIPAUX PARTENAIRES</t>
  </si>
  <si>
    <t>EVOLUTION DE L'INFLATION DANS LES PAYS PARTENAIRES DE LA CEMAC</t>
  </si>
  <si>
    <t>(Variations en glissement annuel)</t>
  </si>
  <si>
    <t xml:space="preserve"> </t>
  </si>
  <si>
    <t>CEMAC, hors G.E.</t>
  </si>
  <si>
    <t>Nigéria</t>
  </si>
  <si>
    <t>RDC</t>
  </si>
  <si>
    <t>RD Congo</t>
  </si>
  <si>
    <t>Nigeria</t>
  </si>
  <si>
    <t xml:space="preserve">(*) Moyenne annuelle, (**) Glissement annuel </t>
  </si>
  <si>
    <t xml:space="preserve">  Tableau N° 10 : Evolution de l'inflation des principaux partenaires de la CEMAC</t>
  </si>
  <si>
    <t>Meubles, articles de ménage et entretien courant de la maison</t>
  </si>
  <si>
    <t>Logement, eau, gaz, électricité et autres combustibles</t>
  </si>
  <si>
    <t>Ancien Indice général national    -   Base 100 : Décembre 1993</t>
  </si>
  <si>
    <t>Indice général national        -       Base 100 : Année 2011</t>
  </si>
  <si>
    <t>Maroua</t>
  </si>
  <si>
    <t>Ngaoundéré</t>
  </si>
  <si>
    <t>Bertoua</t>
  </si>
  <si>
    <t>Buéa</t>
  </si>
  <si>
    <t>Ebolowa</t>
  </si>
  <si>
    <t>Base 100 : Année 2011</t>
  </si>
  <si>
    <t>Tableau 8 : Taux d’inflation en moyenne annuelle des pays de la CEMAC</t>
  </si>
  <si>
    <t>Tableau 9 : Taux d’inflation en glissement annuel des pays de la CEMAC</t>
  </si>
  <si>
    <t xml:space="preserve">  Tableau N° 11 : Evolution de l'inflation des principaux partenaires de la CEMAC</t>
  </si>
  <si>
    <t xml:space="preserve">  Tableau N° 12: Evolution du différentiel d'inflation entre la CEMAC  et ses principaux partenaires</t>
  </si>
  <si>
    <t>IPC NATIONAL</t>
  </si>
  <si>
    <t>IPC PAR VILLE</t>
  </si>
  <si>
    <t>IPC DES PARTENAIRES</t>
  </si>
  <si>
    <t>Base 100</t>
  </si>
  <si>
    <t>Novembre 2009</t>
  </si>
  <si>
    <t>Produits alimentaires</t>
  </si>
  <si>
    <t>Boissons non alcoolisees</t>
  </si>
  <si>
    <t>Moyenne annuelle</t>
  </si>
  <si>
    <t>Glissement annuel</t>
  </si>
  <si>
    <t>Partenaires (moyenne annuelle)</t>
  </si>
  <si>
    <t>Partenaires (Glissement annuel)</t>
  </si>
  <si>
    <t>Différentiel d'inflation (glissement annuel)</t>
  </si>
  <si>
    <t>Energie</t>
  </si>
  <si>
    <t>Produits pétroliers</t>
  </si>
  <si>
    <t>Produits frais</t>
  </si>
  <si>
    <t>Hors produits frais et énergie</t>
  </si>
  <si>
    <t>Primaire</t>
  </si>
  <si>
    <t>Secondaire</t>
  </si>
  <si>
    <t>Tertiaire</t>
  </si>
  <si>
    <t>Durable</t>
  </si>
  <si>
    <t>Non durable</t>
  </si>
  <si>
    <t>Semi durable</t>
  </si>
  <si>
    <t>Services</t>
  </si>
  <si>
    <t>2001T1</t>
  </si>
  <si>
    <t>2001T2</t>
  </si>
  <si>
    <t>2001T3</t>
  </si>
  <si>
    <t>2001T4</t>
  </si>
  <si>
    <t>2002T1</t>
  </si>
  <si>
    <t>2002T2</t>
  </si>
  <si>
    <t>2002T3</t>
  </si>
  <si>
    <t>2002T4</t>
  </si>
  <si>
    <t>2003T1</t>
  </si>
  <si>
    <t>2003T2</t>
  </si>
  <si>
    <t>2003T3</t>
  </si>
  <si>
    <t>2003T4</t>
  </si>
  <si>
    <t>2004T1</t>
  </si>
  <si>
    <t>2004T2</t>
  </si>
  <si>
    <t>2004T3</t>
  </si>
  <si>
    <t>2004T4</t>
  </si>
  <si>
    <t>2005T1</t>
  </si>
  <si>
    <t>2005T2</t>
  </si>
  <si>
    <t>2005T3</t>
  </si>
  <si>
    <t>2005T4</t>
  </si>
  <si>
    <t>2006T1</t>
  </si>
  <si>
    <t>2006T2</t>
  </si>
  <si>
    <t>2006T3</t>
  </si>
  <si>
    <t>2006T4</t>
  </si>
  <si>
    <t>2007T1</t>
  </si>
  <si>
    <t>2007T2</t>
  </si>
  <si>
    <t>2007T3</t>
  </si>
  <si>
    <t>2007T4</t>
  </si>
  <si>
    <t>2008T1</t>
  </si>
  <si>
    <t>2008T2</t>
  </si>
  <si>
    <t>2008T3</t>
  </si>
  <si>
    <t>2008T4</t>
  </si>
  <si>
    <t>2009T1</t>
  </si>
  <si>
    <t>2009T2</t>
  </si>
  <si>
    <t>2009T3</t>
  </si>
  <si>
    <t>2009T4</t>
  </si>
  <si>
    <t>2010T1</t>
  </si>
  <si>
    <t>2010T2</t>
  </si>
  <si>
    <t>2010T3</t>
  </si>
  <si>
    <t>2010T4</t>
  </si>
  <si>
    <t>2011T1</t>
  </si>
  <si>
    <t>2011T2</t>
  </si>
  <si>
    <t>2011T3</t>
  </si>
  <si>
    <t>2011T4</t>
  </si>
  <si>
    <t>2012T1</t>
  </si>
  <si>
    <t>2012T2</t>
  </si>
  <si>
    <t>2012T3</t>
  </si>
  <si>
    <t>2012T4</t>
  </si>
  <si>
    <t>2013T1</t>
  </si>
  <si>
    <t>2013T2</t>
  </si>
  <si>
    <t>2013T3</t>
  </si>
  <si>
    <t>2013T4</t>
  </si>
  <si>
    <t>2014T1</t>
  </si>
  <si>
    <t>2014T2</t>
  </si>
  <si>
    <t>2014T3</t>
  </si>
  <si>
    <t>2014T4</t>
  </si>
  <si>
    <t>2015T1</t>
  </si>
  <si>
    <t>2015T2</t>
  </si>
  <si>
    <t>2015T3</t>
  </si>
  <si>
    <t>2015T4</t>
  </si>
  <si>
    <t>2016T1</t>
  </si>
  <si>
    <t>2016T2</t>
  </si>
  <si>
    <t>2016T3</t>
  </si>
  <si>
    <t>2016T4</t>
  </si>
  <si>
    <t>2000T1</t>
  </si>
  <si>
    <t>2000T2</t>
  </si>
  <si>
    <t>2000T3</t>
  </si>
  <si>
    <t>2000T4</t>
  </si>
  <si>
    <t>2017T1</t>
  </si>
  <si>
    <t>2017T2</t>
  </si>
  <si>
    <t>2017T3</t>
  </si>
  <si>
    <t>Partenaire</t>
  </si>
  <si>
    <t>2017T4</t>
  </si>
  <si>
    <t>2018T1</t>
  </si>
  <si>
    <t>2018T2</t>
  </si>
  <si>
    <t>2018T3</t>
  </si>
  <si>
    <t>2018T4</t>
  </si>
  <si>
    <t>2019T1</t>
  </si>
  <si>
    <t>2019T2</t>
  </si>
  <si>
    <t>2019T3</t>
  </si>
  <si>
    <t>2019T4</t>
  </si>
  <si>
    <t>2020T1</t>
  </si>
  <si>
    <t>2020T2</t>
  </si>
  <si>
    <t>2020T3</t>
  </si>
  <si>
    <t>2020T4</t>
  </si>
  <si>
    <t>GHANA</t>
  </si>
  <si>
    <t>SIERRA LEONNE</t>
  </si>
  <si>
    <t>GAMBIE</t>
  </si>
  <si>
    <t>GUINEE BISSAU</t>
  </si>
  <si>
    <t>Décembre 2011</t>
  </si>
  <si>
    <t xml:space="preserve">Base year is chained; 1982-1984 = 100. </t>
  </si>
  <si>
    <t>Base 2015</t>
  </si>
  <si>
    <t>Base 2012</t>
  </si>
  <si>
    <t>Base 2007</t>
  </si>
  <si>
    <t>Année 2011</t>
  </si>
  <si>
    <t>Décembre 2013</t>
  </si>
  <si>
    <t>Nouvel IPC</t>
  </si>
  <si>
    <t>Ancien IPC</t>
  </si>
  <si>
    <t>Principaux fournisseurs (Base 100 : 2010)</t>
  </si>
  <si>
    <t>Belgium</t>
  </si>
  <si>
    <t>China</t>
  </si>
  <si>
    <t>Germany</t>
  </si>
  <si>
    <t>India</t>
  </si>
  <si>
    <t>Netherlands</t>
  </si>
  <si>
    <t>Togo</t>
  </si>
  <si>
    <t>Thailand</t>
  </si>
  <si>
    <t>United States</t>
  </si>
  <si>
    <t>Indice des prix des principaux fournisseurs</t>
  </si>
  <si>
    <t>Ghana</t>
  </si>
  <si>
    <t>Sierra Leone</t>
  </si>
  <si>
    <t>2021T4</t>
  </si>
  <si>
    <t>2021T1</t>
  </si>
  <si>
    <t>2021T2</t>
  </si>
  <si>
    <t>2021T3</t>
  </si>
  <si>
    <t>2022T1</t>
  </si>
  <si>
    <t>2022T2</t>
  </si>
  <si>
    <t>2022T3</t>
  </si>
  <si>
    <t>2022T4</t>
  </si>
  <si>
    <t>Indice général national - Base 100 : Année 2011</t>
  </si>
  <si>
    <t>Boissons alcoolisées et tabac</t>
  </si>
  <si>
    <t>Fonction de consommation / Nomenclatures secondaires</t>
  </si>
  <si>
    <t>Dont Produits pétroliers</t>
  </si>
  <si>
    <t>Tableau 1 : Indice des prix par fonction de consommation du Cameroun</t>
  </si>
  <si>
    <t>Restaurants et hôtels</t>
  </si>
  <si>
    <t>Kenya</t>
  </si>
  <si>
    <t>Guinée Conakry</t>
  </si>
  <si>
    <t xml:space="preserve">Angola </t>
  </si>
  <si>
    <t>2023T1</t>
  </si>
  <si>
    <t>2023T2</t>
  </si>
  <si>
    <t>2023T3</t>
  </si>
  <si>
    <t>Côte d'Ivoire</t>
  </si>
  <si>
    <t>Base 2008</t>
  </si>
  <si>
    <t>2023T4</t>
  </si>
  <si>
    <t>https://edenpub.bceao.int/rapportPredefini.php</t>
  </si>
  <si>
    <t>Base 2021</t>
  </si>
  <si>
    <t>https://tradingeconomics.com/republic-of-the-congo/consumer-price-index-cpi</t>
  </si>
  <si>
    <t>Ghana Consumer Price Index (CPI)</t>
  </si>
  <si>
    <t>Kenya Consumer Price Index (CPI)</t>
  </si>
  <si>
    <t>Guinea Consumer Price Index CPI</t>
  </si>
  <si>
    <t>Angola Consumer Price Index (CPI)</t>
  </si>
  <si>
    <t>BCEAO - Données statistiques économiques et financières</t>
  </si>
  <si>
    <t>Produits alimentaires et boissons non alcoolisées</t>
  </si>
  <si>
    <t>Boissons non alcoolisées</t>
  </si>
  <si>
    <t>Base 100 : Année 2022</t>
  </si>
  <si>
    <t>Euro Area Consumer Price Index (CPI)</t>
  </si>
  <si>
    <t>France Consumer Price Index (CPI)</t>
  </si>
  <si>
    <t>United States Consumer Price Index (CPI)</t>
  </si>
  <si>
    <t>Nigeria - Consumer Price Index and Inflation</t>
  </si>
  <si>
    <t>Novembre 2009 jusqu'en 2024 ; 2024 à partir de 2025</t>
  </si>
  <si>
    <t>2024T1</t>
  </si>
  <si>
    <t>2024T2</t>
  </si>
  <si>
    <t>2024T3</t>
  </si>
  <si>
    <t>2024T4</t>
  </si>
  <si>
    <t>2025T1</t>
  </si>
  <si>
    <t>Base 100 : année 2022</t>
  </si>
  <si>
    <t>Général Base 2008 et base 2019 à partir de janvier 2021</t>
  </si>
  <si>
    <t>Base 2005/raccordé à 2018</t>
  </si>
  <si>
    <t>Base 2018</t>
  </si>
  <si>
    <t>Base 2014</t>
  </si>
  <si>
    <t>Base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</si>
</sst>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\ _€_-;\-* #,##0.00\ _€_-;_-* &quot;-&quot;??\ _€_-;_-@_-"/>
    <numFmt numFmtId="164" formatCode="_-* #,##0\ _F_-;\-* #,##0\ _F_-;_-* &quot;-&quot;??\ _F_-;_-@_-"/>
    <numFmt numFmtId="165" formatCode="0.0"/>
    <numFmt numFmtId="166" formatCode="_-* #,##0\ _€_-;\-* #,##0\ _€_-;_-* &quot;-&quot;??\ _€_-;_-@_-"/>
    <numFmt numFmtId="167" formatCode="0.0%"/>
    <numFmt numFmtId="168" formatCode="#,##0.0"/>
    <numFmt numFmtId="169" formatCode="d\-mmm\-yy"/>
    <numFmt numFmtId="170" formatCode="_-* #,##0.00\ _F_-;\-* #,##0.00\ _F_-;_-* &quot;-&quot;??\ _F_-;_-@_-"/>
    <numFmt numFmtId="171" formatCode="#,##0.000"/>
  </numFmts>
  <fonts count="4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b/>
      <sz val="26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  <font>
      <b/>
      <i/>
      <sz val="8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8"/>
      <color indexed="12"/>
      <name val="Times New Roman"/>
      <family val="1"/>
    </font>
    <font>
      <sz val="8"/>
      <color theme="3"/>
      <name val="Times New Roman"/>
      <family val="1"/>
    </font>
    <font>
      <sz val="8"/>
      <color rgb="FFC00000"/>
      <name val="Times New Roman"/>
      <family val="1"/>
    </font>
    <font>
      <sz val="8"/>
      <color theme="9" tint="-0.499984740745262"/>
      <name val="Times New Roman"/>
      <family val="1"/>
    </font>
    <font>
      <b/>
      <sz val="26"/>
      <color theme="9" tint="-0.499984740745262"/>
      <name val="Times New Roman"/>
      <family val="1"/>
    </font>
    <font>
      <b/>
      <sz val="8"/>
      <color theme="9" tint="-0.499984740745262"/>
      <name val="Times New Roman"/>
      <family val="1"/>
    </font>
    <font>
      <sz val="10"/>
      <color theme="9" tint="-0.499984740745262"/>
      <name val="Times New Roman"/>
      <family val="1"/>
    </font>
    <font>
      <b/>
      <sz val="10"/>
      <color theme="9" tint="-0.499984740745262"/>
      <name val="Times New Roman"/>
      <family val="1"/>
    </font>
    <font>
      <i/>
      <sz val="8"/>
      <color theme="9" tint="-0.499984740745262"/>
      <name val="Times New Roman"/>
      <family val="1"/>
    </font>
    <font>
      <sz val="10"/>
      <color theme="9" tint="-0.499984740745262"/>
      <name val="Arial"/>
      <family val="2"/>
    </font>
    <font>
      <sz val="8"/>
      <color rgb="FFFF0000"/>
      <name val="Times New Roman"/>
      <family val="1"/>
    </font>
    <font>
      <b/>
      <sz val="8"/>
      <color rgb="FFFF0000"/>
      <name val="Times New Roman"/>
      <family val="1"/>
    </font>
    <font>
      <u/>
      <sz val="10"/>
      <color theme="10"/>
      <name val="Arial"/>
      <family val="2"/>
    </font>
    <font>
      <sz val="8"/>
      <color theme="3" tint="-0.249977111117893"/>
      <name val="Times New Roman"/>
      <family val="1"/>
    </font>
    <font>
      <b/>
      <sz val="8"/>
      <color theme="3" tint="-0.249977111117893"/>
      <name val="Times New Roman"/>
      <family val="1"/>
    </font>
    <font>
      <sz val="9"/>
      <color theme="3" tint="-0.249977111117893"/>
      <name val="Times New Roman"/>
      <family val="1"/>
    </font>
    <font>
      <sz val="10"/>
      <color theme="3" tint="-0.249977111117893"/>
      <name val="Arial"/>
      <family val="2"/>
    </font>
    <font>
      <sz val="10"/>
      <color theme="3" tint="-0.249977111117893"/>
      <name val="Times New Roman"/>
      <family val="1"/>
    </font>
    <font>
      <b/>
      <sz val="8"/>
      <color theme="4" tint="-0.499984740745262"/>
      <name val="Times New Roman"/>
      <family val="1"/>
    </font>
    <font>
      <sz val="8"/>
      <color theme="4" tint="-0.499984740745262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 style="thick">
        <color indexed="12"/>
      </top>
      <bottom style="thick">
        <color indexed="1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 style="thick">
        <color indexed="56"/>
      </top>
      <bottom style="thick">
        <color indexed="56"/>
      </bottom>
      <diagonal/>
    </border>
    <border>
      <left/>
      <right/>
      <top style="thick">
        <color indexed="56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2" fillId="0" borderId="0"/>
    <xf numFmtId="0" fontId="13" fillId="0" borderId="0"/>
    <xf numFmtId="9" fontId="1" fillId="0" borderId="0" applyFont="0" applyFill="0" applyBorder="0" applyAlignment="0" applyProtection="0"/>
    <xf numFmtId="0" fontId="35" fillId="0" borderId="0" applyNumberFormat="0" applyFill="0" applyBorder="0" applyAlignment="0" applyProtection="0"/>
  </cellStyleXfs>
  <cellXfs count="232">
    <xf numFmtId="0" fontId="0" fillId="0" borderId="0" xfId="0"/>
    <xf numFmtId="0" fontId="3" fillId="0" borderId="0" xfId="0" applyFont="1"/>
    <xf numFmtId="0" fontId="4" fillId="2" borderId="1" xfId="0" applyFont="1" applyFill="1" applyBorder="1"/>
    <xf numFmtId="0" fontId="5" fillId="0" borderId="0" xfId="0" applyFont="1" applyBorder="1"/>
    <xf numFmtId="0" fontId="3" fillId="0" borderId="0" xfId="0" applyFont="1" applyBorder="1"/>
    <xf numFmtId="164" fontId="3" fillId="0" borderId="0" xfId="1" applyNumberFormat="1" applyFont="1" applyBorder="1"/>
    <xf numFmtId="165" fontId="3" fillId="0" borderId="0" xfId="0" applyNumberFormat="1" applyFont="1" applyBorder="1"/>
    <xf numFmtId="165" fontId="3" fillId="0" borderId="0" xfId="0" applyNumberFormat="1" applyFont="1"/>
    <xf numFmtId="164" fontId="3" fillId="0" borderId="0" xfId="1" applyNumberFormat="1" applyFont="1" applyFill="1" applyBorder="1"/>
    <xf numFmtId="0" fontId="6" fillId="0" borderId="0" xfId="0" applyFont="1" applyBorder="1"/>
    <xf numFmtId="165" fontId="6" fillId="0" borderId="0" xfId="0" applyNumberFormat="1" applyFont="1" applyBorder="1"/>
    <xf numFmtId="49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166" fontId="3" fillId="0" borderId="0" xfId="1" applyNumberFormat="1" applyFont="1" applyBorder="1"/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8" fillId="0" borderId="0" xfId="0" applyFont="1"/>
    <xf numFmtId="0" fontId="9" fillId="0" borderId="2" xfId="0" applyFont="1" applyBorder="1"/>
    <xf numFmtId="0" fontId="5" fillId="0" borderId="2" xfId="0" applyFont="1" applyBorder="1"/>
    <xf numFmtId="17" fontId="5" fillId="0" borderId="2" xfId="0" applyNumberFormat="1" applyFont="1" applyFill="1" applyBorder="1"/>
    <xf numFmtId="0" fontId="8" fillId="0" borderId="2" xfId="0" applyFont="1" applyBorder="1"/>
    <xf numFmtId="0" fontId="10" fillId="0" borderId="0" xfId="0" applyFont="1"/>
    <xf numFmtId="166" fontId="0" fillId="0" borderId="0" xfId="1" applyNumberFormat="1" applyFont="1"/>
    <xf numFmtId="165" fontId="8" fillId="0" borderId="0" xfId="0" applyNumberFormat="1" applyFont="1"/>
    <xf numFmtId="167" fontId="3" fillId="0" borderId="0" xfId="5" applyNumberFormat="1" applyFont="1"/>
    <xf numFmtId="0" fontId="3" fillId="0" borderId="0" xfId="0" applyFont="1" applyFill="1" applyBorder="1"/>
    <xf numFmtId="165" fontId="5" fillId="0" borderId="0" xfId="5" applyNumberFormat="1" applyFont="1" applyBorder="1"/>
    <xf numFmtId="167" fontId="3" fillId="0" borderId="0" xfId="5" applyNumberFormat="1" applyFont="1" applyBorder="1"/>
    <xf numFmtId="167" fontId="5" fillId="0" borderId="0" xfId="5" applyNumberFormat="1" applyFont="1" applyBorder="1"/>
    <xf numFmtId="167" fontId="6" fillId="0" borderId="0" xfId="5" applyNumberFormat="1" applyFont="1"/>
    <xf numFmtId="167" fontId="6" fillId="0" borderId="0" xfId="5" applyNumberFormat="1" applyFont="1" applyBorder="1"/>
    <xf numFmtId="167" fontId="3" fillId="0" borderId="0" xfId="5" applyNumberFormat="1" applyFont="1" applyBorder="1" applyAlignment="1" applyProtection="1">
      <alignment horizontal="right"/>
    </xf>
    <xf numFmtId="167" fontId="3" fillId="0" borderId="0" xfId="5" applyNumberFormat="1" applyFont="1" applyAlignment="1">
      <alignment horizontal="right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justify"/>
    </xf>
    <xf numFmtId="0" fontId="12" fillId="0" borderId="0" xfId="0" applyFont="1" applyAlignment="1">
      <alignment horizontal="justify"/>
    </xf>
    <xf numFmtId="0" fontId="13" fillId="0" borderId="0" xfId="0" applyFont="1"/>
    <xf numFmtId="0" fontId="1" fillId="0" borderId="0" xfId="0" applyFont="1"/>
    <xf numFmtId="0" fontId="12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Border="1"/>
    <xf numFmtId="167" fontId="0" fillId="0" borderId="0" xfId="5" applyNumberFormat="1" applyFont="1"/>
    <xf numFmtId="167" fontId="15" fillId="0" borderId="0" xfId="0" applyNumberFormat="1" applyFont="1" applyBorder="1" applyAlignment="1">
      <alignment horizontal="right"/>
    </xf>
    <xf numFmtId="0" fontId="15" fillId="0" borderId="4" xfId="0" applyFont="1" applyBorder="1"/>
    <xf numFmtId="0" fontId="14" fillId="0" borderId="5" xfId="0" applyFont="1" applyBorder="1"/>
    <xf numFmtId="167" fontId="14" fillId="0" borderId="5" xfId="0" applyNumberFormat="1" applyFont="1" applyBorder="1" applyAlignment="1">
      <alignment horizontal="right"/>
    </xf>
    <xf numFmtId="17" fontId="1" fillId="0" borderId="0" xfId="0" applyNumberFormat="1" applyFont="1"/>
    <xf numFmtId="14" fontId="12" fillId="0" borderId="0" xfId="0" applyNumberFormat="1" applyFont="1" applyAlignment="1">
      <alignment horizontal="center"/>
    </xf>
    <xf numFmtId="0" fontId="15" fillId="0" borderId="0" xfId="0" applyFont="1" applyFill="1" applyBorder="1"/>
    <xf numFmtId="165" fontId="14" fillId="0" borderId="0" xfId="5" applyNumberFormat="1" applyFont="1" applyBorder="1"/>
    <xf numFmtId="165" fontId="14" fillId="0" borderId="4" xfId="5" applyNumberFormat="1" applyFont="1" applyBorder="1"/>
    <xf numFmtId="17" fontId="14" fillId="0" borderId="6" xfId="5" quotePrefix="1" applyNumberFormat="1" applyFont="1" applyBorder="1"/>
    <xf numFmtId="17" fontId="14" fillId="0" borderId="5" xfId="5" quotePrefix="1" applyNumberFormat="1" applyFont="1" applyBorder="1"/>
    <xf numFmtId="167" fontId="15" fillId="0" borderId="0" xfId="5" applyNumberFormat="1" applyFont="1" applyBorder="1" applyAlignment="1">
      <alignment horizontal="right"/>
    </xf>
    <xf numFmtId="167" fontId="15" fillId="0" borderId="4" xfId="5" applyNumberFormat="1" applyFont="1" applyBorder="1" applyAlignment="1">
      <alignment horizontal="right"/>
    </xf>
    <xf numFmtId="167" fontId="3" fillId="0" borderId="0" xfId="5" applyNumberFormat="1" applyFont="1" applyBorder="1" applyAlignment="1">
      <alignment horizontal="right"/>
    </xf>
    <xf numFmtId="164" fontId="6" fillId="0" borderId="0" xfId="0" applyNumberFormat="1" applyFont="1"/>
    <xf numFmtId="164" fontId="6" fillId="0" borderId="0" xfId="0" applyNumberFormat="1" applyFont="1" applyBorder="1"/>
    <xf numFmtId="0" fontId="5" fillId="4" borderId="0" xfId="0" applyFont="1" applyFill="1"/>
    <xf numFmtId="165" fontId="5" fillId="4" borderId="0" xfId="0" applyNumberFormat="1" applyFont="1" applyFill="1" applyBorder="1"/>
    <xf numFmtId="165" fontId="5" fillId="4" borderId="0" xfId="0" applyNumberFormat="1" applyFont="1" applyFill="1"/>
    <xf numFmtId="0" fontId="11" fillId="5" borderId="0" xfId="0" applyFont="1" applyFill="1"/>
    <xf numFmtId="0" fontId="5" fillId="5" borderId="0" xfId="0" applyFont="1" applyFill="1"/>
    <xf numFmtId="166" fontId="11" fillId="5" borderId="0" xfId="1" applyNumberFormat="1" applyFont="1" applyFill="1"/>
    <xf numFmtId="165" fontId="11" fillId="5" borderId="0" xfId="0" applyNumberFormat="1" applyFont="1" applyFill="1"/>
    <xf numFmtId="170" fontId="3" fillId="0" borderId="0" xfId="1" applyNumberFormat="1" applyFont="1" applyFill="1" applyBorder="1"/>
    <xf numFmtId="0" fontId="5" fillId="0" borderId="0" xfId="5" applyNumberFormat="1" applyFont="1" applyBorder="1"/>
    <xf numFmtId="0" fontId="5" fillId="0" borderId="0" xfId="5" quotePrefix="1" applyNumberFormat="1" applyFont="1" applyBorder="1"/>
    <xf numFmtId="165" fontId="3" fillId="0" borderId="0" xfId="5" applyNumberFormat="1" applyFont="1" applyBorder="1"/>
    <xf numFmtId="0" fontId="5" fillId="0" borderId="0" xfId="0" applyFont="1"/>
    <xf numFmtId="167" fontId="5" fillId="0" borderId="0" xfId="5" applyNumberFormat="1" applyFont="1"/>
    <xf numFmtId="165" fontId="5" fillId="0" borderId="0" xfId="0" applyNumberFormat="1" applyFont="1"/>
    <xf numFmtId="164" fontId="11" fillId="3" borderId="0" xfId="1" applyNumberFormat="1" applyFont="1" applyFill="1" applyBorder="1"/>
    <xf numFmtId="165" fontId="11" fillId="3" borderId="0" xfId="0" applyNumberFormat="1" applyFont="1" applyFill="1" applyAlignment="1">
      <alignment horizontal="right"/>
    </xf>
    <xf numFmtId="0" fontId="11" fillId="3" borderId="0" xfId="0" applyFont="1" applyFill="1" applyAlignment="1">
      <alignment horizontal="right"/>
    </xf>
    <xf numFmtId="165" fontId="5" fillId="0" borderId="0" xfId="0" applyNumberFormat="1" applyFont="1" applyBorder="1"/>
    <xf numFmtId="0" fontId="5" fillId="0" borderId="7" xfId="0" applyFont="1" applyBorder="1"/>
    <xf numFmtId="165" fontId="5" fillId="0" borderId="7" xfId="0" applyNumberFormat="1" applyFont="1" applyBorder="1"/>
    <xf numFmtId="0" fontId="5" fillId="0" borderId="0" xfId="0" applyFont="1" applyBorder="1" applyAlignment="1">
      <alignment horizontal="left" indent="2"/>
    </xf>
    <xf numFmtId="167" fontId="5" fillId="0" borderId="7" xfId="5" applyNumberFormat="1" applyFont="1" applyBorder="1"/>
    <xf numFmtId="0" fontId="3" fillId="3" borderId="7" xfId="0" applyFont="1" applyFill="1" applyBorder="1"/>
    <xf numFmtId="0" fontId="5" fillId="3" borderId="7" xfId="0" applyFont="1" applyFill="1" applyBorder="1"/>
    <xf numFmtId="164" fontId="5" fillId="3" borderId="7" xfId="1" applyNumberFormat="1" applyFont="1" applyFill="1" applyBorder="1"/>
    <xf numFmtId="167" fontId="5" fillId="3" borderId="7" xfId="5" applyNumberFormat="1" applyFont="1" applyFill="1" applyBorder="1"/>
    <xf numFmtId="167" fontId="5" fillId="3" borderId="7" xfId="5" applyNumberFormat="1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49" fontId="3" fillId="0" borderId="7" xfId="0" applyNumberFormat="1" applyFont="1" applyBorder="1" applyAlignment="1">
      <alignment horizontal="right"/>
    </xf>
    <xf numFmtId="165" fontId="3" fillId="0" borderId="7" xfId="5" applyNumberFormat="1" applyFont="1" applyBorder="1"/>
    <xf numFmtId="166" fontId="3" fillId="0" borderId="7" xfId="1" applyNumberFormat="1" applyFont="1" applyBorder="1"/>
    <xf numFmtId="167" fontId="3" fillId="0" borderId="7" xfId="5" applyNumberFormat="1" applyFont="1" applyBorder="1"/>
    <xf numFmtId="0" fontId="0" fillId="0" borderId="7" xfId="0" applyBorder="1"/>
    <xf numFmtId="49" fontId="3" fillId="5" borderId="8" xfId="0" applyNumberFormat="1" applyFont="1" applyFill="1" applyBorder="1" applyAlignment="1">
      <alignment horizontal="right"/>
    </xf>
    <xf numFmtId="0" fontId="5" fillId="5" borderId="8" xfId="0" applyFont="1" applyFill="1" applyBorder="1"/>
    <xf numFmtId="166" fontId="3" fillId="5" borderId="8" xfId="1" applyNumberFormat="1" applyFont="1" applyFill="1" applyBorder="1"/>
    <xf numFmtId="167" fontId="3" fillId="5" borderId="8" xfId="5" applyNumberFormat="1" applyFont="1" applyFill="1" applyBorder="1"/>
    <xf numFmtId="0" fontId="0" fillId="5" borderId="8" xfId="0" applyFill="1" applyBorder="1"/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67" fontId="3" fillId="0" borderId="0" xfId="5" applyNumberFormat="1" applyFont="1" applyFill="1" applyBorder="1"/>
    <xf numFmtId="0" fontId="3" fillId="0" borderId="0" xfId="5" applyNumberFormat="1" applyFont="1" applyBorder="1"/>
    <xf numFmtId="17" fontId="5" fillId="0" borderId="0" xfId="5" quotePrefix="1" applyNumberFormat="1" applyFont="1" applyBorder="1"/>
    <xf numFmtId="168" fontId="3" fillId="0" borderId="0" xfId="0" applyNumberFormat="1" applyFont="1"/>
    <xf numFmtId="168" fontId="11" fillId="5" borderId="0" xfId="0" applyNumberFormat="1" applyFont="1" applyFill="1"/>
    <xf numFmtId="168" fontId="3" fillId="0" borderId="0" xfId="5" applyNumberFormat="1" applyFont="1" applyBorder="1"/>
    <xf numFmtId="168" fontId="3" fillId="0" borderId="0" xfId="0" applyNumberFormat="1" applyFont="1" applyBorder="1"/>
    <xf numFmtId="0" fontId="8" fillId="0" borderId="0" xfId="0" applyFont="1" applyFill="1" applyBorder="1"/>
    <xf numFmtId="0" fontId="13" fillId="0" borderId="0" xfId="0" applyFont="1" applyFill="1" applyBorder="1"/>
    <xf numFmtId="0" fontId="10" fillId="0" borderId="0" xfId="0" applyFont="1" applyFill="1" applyBorder="1"/>
    <xf numFmtId="165" fontId="3" fillId="0" borderId="0" xfId="0" applyNumberFormat="1" applyFont="1" applyFill="1" applyBorder="1"/>
    <xf numFmtId="17" fontId="3" fillId="0" borderId="0" xfId="0" applyNumberFormat="1" applyFont="1" applyFill="1" applyBorder="1"/>
    <xf numFmtId="165" fontId="8" fillId="0" borderId="0" xfId="0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16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7" fontId="3" fillId="0" borderId="0" xfId="0" quotePrefix="1" applyNumberFormat="1" applyFont="1" applyFill="1" applyBorder="1" applyAlignment="1">
      <alignment horizontal="center"/>
    </xf>
    <xf numFmtId="0" fontId="6" fillId="0" borderId="0" xfId="0" applyFont="1"/>
    <xf numFmtId="0" fontId="6" fillId="0" borderId="0" xfId="0" applyFont="1"/>
    <xf numFmtId="167" fontId="5" fillId="0" borderId="0" xfId="5" applyNumberFormat="1" applyFont="1" applyFill="1" applyBorder="1"/>
    <xf numFmtId="165" fontId="0" fillId="0" borderId="0" xfId="0" applyNumberFormat="1"/>
    <xf numFmtId="9" fontId="11" fillId="5" borderId="0" xfId="5" applyFont="1" applyFill="1"/>
    <xf numFmtId="0" fontId="3" fillId="0" borderId="0" xfId="0" applyFont="1" applyBorder="1" applyAlignment="1">
      <alignment horizontal="left" indent="2"/>
    </xf>
    <xf numFmtId="0" fontId="3" fillId="0" borderId="7" xfId="0" applyFont="1" applyBorder="1"/>
    <xf numFmtId="17" fontId="5" fillId="0" borderId="3" xfId="0" applyNumberFormat="1" applyFont="1" applyBorder="1" applyAlignment="1">
      <alignment horizontal="center" vertical="center"/>
    </xf>
    <xf numFmtId="17" fontId="2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9" fontId="3" fillId="0" borderId="0" xfId="0" applyNumberFormat="1" applyFont="1" applyAlignment="1">
      <alignment vertical="center"/>
    </xf>
    <xf numFmtId="17" fontId="23" fillId="0" borderId="0" xfId="0" applyNumberFormat="1" applyFont="1" applyBorder="1" applyAlignment="1">
      <alignment horizontal="center" vertical="center"/>
    </xf>
    <xf numFmtId="17" fontId="3" fillId="0" borderId="0" xfId="0" applyNumberFormat="1" applyFont="1" applyBorder="1"/>
    <xf numFmtId="165" fontId="3" fillId="0" borderId="7" xfId="0" applyNumberFormat="1" applyFont="1" applyBorder="1" applyAlignment="1">
      <alignment horizontal="right"/>
    </xf>
    <xf numFmtId="167" fontId="3" fillId="0" borderId="7" xfId="5" applyNumberFormat="1" applyFont="1" applyBorder="1" applyAlignment="1">
      <alignment horizontal="right"/>
    </xf>
    <xf numFmtId="165" fontId="3" fillId="0" borderId="0" xfId="0" applyNumberFormat="1" applyFont="1" applyBorder="1" applyAlignment="1">
      <alignment horizontal="right"/>
    </xf>
    <xf numFmtId="165" fontId="5" fillId="3" borderId="7" xfId="0" applyNumberFormat="1" applyFont="1" applyFill="1" applyBorder="1" applyAlignment="1">
      <alignment horizontal="right"/>
    </xf>
    <xf numFmtId="4" fontId="0" fillId="0" borderId="0" xfId="0" applyNumberFormat="1" applyBorder="1"/>
    <xf numFmtId="0" fontId="8" fillId="0" borderId="0" xfId="0" applyFont="1" applyBorder="1" applyAlignment="1">
      <alignment vertical="center" wrapText="1"/>
    </xf>
    <xf numFmtId="168" fontId="3" fillId="0" borderId="0" xfId="5" applyNumberFormat="1" applyFont="1" applyFill="1" applyBorder="1"/>
    <xf numFmtId="0" fontId="3" fillId="0" borderId="0" xfId="0" applyNumberFormat="1" applyFont="1"/>
    <xf numFmtId="0" fontId="11" fillId="3" borderId="0" xfId="0" applyNumberFormat="1" applyFont="1" applyFill="1" applyAlignment="1">
      <alignment horizontal="right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/>
    <xf numFmtId="168" fontId="24" fillId="0" borderId="0" xfId="0" applyNumberFormat="1" applyFont="1"/>
    <xf numFmtId="168" fontId="25" fillId="0" borderId="0" xfId="0" applyNumberFormat="1" applyFont="1"/>
    <xf numFmtId="168" fontId="24" fillId="0" borderId="0" xfId="0" applyNumberFormat="1" applyFont="1" applyBorder="1"/>
    <xf numFmtId="168" fontId="24" fillId="0" borderId="0" xfId="0" applyNumberFormat="1" applyFont="1" applyFill="1" applyBorder="1"/>
    <xf numFmtId="0" fontId="6" fillId="0" borderId="0" xfId="0" applyFont="1"/>
    <xf numFmtId="0" fontId="26" fillId="0" borderId="0" xfId="0" applyFont="1"/>
    <xf numFmtId="2" fontId="26" fillId="0" borderId="0" xfId="0" applyNumberFormat="1" applyFont="1"/>
    <xf numFmtId="0" fontId="27" fillId="2" borderId="1" xfId="0" applyFont="1" applyFill="1" applyBorder="1"/>
    <xf numFmtId="2" fontId="27" fillId="2" borderId="1" xfId="0" applyNumberFormat="1" applyFont="1" applyFill="1" applyBorder="1"/>
    <xf numFmtId="17" fontId="28" fillId="0" borderId="2" xfId="0" applyNumberFormat="1" applyFont="1" applyFill="1" applyBorder="1"/>
    <xf numFmtId="0" fontId="29" fillId="0" borderId="2" xfId="0" applyFont="1" applyBorder="1"/>
    <xf numFmtId="0" fontId="26" fillId="0" borderId="0" xfId="0" applyNumberFormat="1" applyFont="1"/>
    <xf numFmtId="0" fontId="31" fillId="0" borderId="0" xfId="0" applyFont="1"/>
    <xf numFmtId="2" fontId="31" fillId="0" borderId="0" xfId="0" applyNumberFormat="1" applyFont="1"/>
    <xf numFmtId="0" fontId="28" fillId="0" borderId="0" xfId="0" applyFont="1" applyBorder="1"/>
    <xf numFmtId="2" fontId="28" fillId="0" borderId="0" xfId="0" applyNumberFormat="1" applyFont="1" applyBorder="1"/>
    <xf numFmtId="0" fontId="28" fillId="0" borderId="7" xfId="0" applyFont="1" applyBorder="1"/>
    <xf numFmtId="2" fontId="28" fillId="0" borderId="7" xfId="0" applyNumberFormat="1" applyFont="1" applyBorder="1"/>
    <xf numFmtId="0" fontId="28" fillId="0" borderId="0" xfId="0" applyFont="1"/>
    <xf numFmtId="2" fontId="28" fillId="0" borderId="0" xfId="0" applyNumberFormat="1" applyFont="1"/>
    <xf numFmtId="165" fontId="31" fillId="0" borderId="0" xfId="0" applyNumberFormat="1" applyFont="1" applyBorder="1"/>
    <xf numFmtId="2" fontId="31" fillId="0" borderId="0" xfId="0" applyNumberFormat="1" applyFont="1" applyBorder="1"/>
    <xf numFmtId="165" fontId="28" fillId="4" borderId="0" xfId="0" applyNumberFormat="1" applyFont="1" applyFill="1"/>
    <xf numFmtId="2" fontId="28" fillId="4" borderId="0" xfId="0" applyNumberFormat="1" applyFont="1" applyFill="1"/>
    <xf numFmtId="0" fontId="28" fillId="4" borderId="0" xfId="0" applyFont="1" applyFill="1"/>
    <xf numFmtId="0" fontId="29" fillId="0" borderId="0" xfId="0" applyFont="1"/>
    <xf numFmtId="2" fontId="29" fillId="0" borderId="0" xfId="0" applyNumberFormat="1" applyFont="1"/>
    <xf numFmtId="2" fontId="29" fillId="0" borderId="2" xfId="0" applyNumberFormat="1" applyFont="1" applyBorder="1"/>
    <xf numFmtId="0" fontId="30" fillId="5" borderId="0" xfId="0" applyFont="1" applyFill="1"/>
    <xf numFmtId="2" fontId="30" fillId="5" borderId="0" xfId="0" applyNumberFormat="1" applyFont="1" applyFill="1"/>
    <xf numFmtId="0" fontId="32" fillId="0" borderId="0" xfId="0" applyFont="1"/>
    <xf numFmtId="2" fontId="32" fillId="0" borderId="0" xfId="0" applyNumberFormat="1" applyFont="1"/>
    <xf numFmtId="2" fontId="28" fillId="0" borderId="2" xfId="0" applyNumberFormat="1" applyFont="1" applyFill="1" applyBorder="1"/>
    <xf numFmtId="168" fontId="26" fillId="0" borderId="0" xfId="0" applyNumberFormat="1" applyFont="1"/>
    <xf numFmtId="168" fontId="30" fillId="5" borderId="0" xfId="0" applyNumberFormat="1" applyFont="1" applyFill="1"/>
    <xf numFmtId="168" fontId="26" fillId="0" borderId="0" xfId="0" applyNumberFormat="1" applyFont="1" applyBorder="1"/>
    <xf numFmtId="2" fontId="26" fillId="0" borderId="0" xfId="0" applyNumberFormat="1" applyFont="1" applyBorder="1"/>
    <xf numFmtId="168" fontId="26" fillId="0" borderId="0" xfId="0" applyNumberFormat="1" applyFont="1" applyFill="1" applyBorder="1"/>
    <xf numFmtId="2" fontId="26" fillId="0" borderId="0" xfId="0" applyNumberFormat="1" applyFont="1" applyFill="1" applyBorder="1"/>
    <xf numFmtId="165" fontId="26" fillId="0" borderId="0" xfId="0" applyNumberFormat="1" applyFont="1"/>
    <xf numFmtId="165" fontId="30" fillId="3" borderId="0" xfId="0" applyNumberFormat="1" applyFont="1" applyFill="1" applyAlignment="1">
      <alignment horizontal="right"/>
    </xf>
    <xf numFmtId="168" fontId="33" fillId="0" borderId="0" xfId="0" applyNumberFormat="1" applyFont="1" applyBorder="1"/>
    <xf numFmtId="167" fontId="33" fillId="0" borderId="0" xfId="5" applyNumberFormat="1" applyFont="1" applyBorder="1"/>
    <xf numFmtId="17" fontId="34" fillId="0" borderId="0" xfId="5" quotePrefix="1" applyNumberFormat="1" applyFont="1" applyBorder="1"/>
    <xf numFmtId="168" fontId="33" fillId="0" borderId="0" xfId="0" applyNumberFormat="1" applyFont="1"/>
    <xf numFmtId="167" fontId="35" fillId="0" borderId="0" xfId="6" applyNumberFormat="1" applyBorder="1"/>
    <xf numFmtId="0" fontId="35" fillId="0" borderId="0" xfId="6"/>
    <xf numFmtId="165" fontId="35" fillId="0" borderId="0" xfId="6" applyNumberFormat="1" applyBorder="1"/>
    <xf numFmtId="168" fontId="3" fillId="0" borderId="0" xfId="0" applyNumberFormat="1" applyFont="1" applyFill="1" applyBorder="1"/>
    <xf numFmtId="0" fontId="6" fillId="0" borderId="0" xfId="0" applyFont="1"/>
    <xf numFmtId="0" fontId="6" fillId="0" borderId="0" xfId="0" applyFont="1"/>
    <xf numFmtId="49" fontId="36" fillId="0" borderId="0" xfId="0" applyNumberFormat="1" applyFont="1" applyBorder="1" applyAlignment="1">
      <alignment horizontal="right"/>
    </xf>
    <xf numFmtId="0" fontId="36" fillId="0" borderId="0" xfId="0" applyFont="1"/>
    <xf numFmtId="170" fontId="36" fillId="0" borderId="0" xfId="1" applyNumberFormat="1" applyFont="1" applyFill="1" applyBorder="1"/>
    <xf numFmtId="165" fontId="36" fillId="0" borderId="0" xfId="0" applyNumberFormat="1" applyFont="1"/>
    <xf numFmtId="0" fontId="36" fillId="0" borderId="0" xfId="0" applyNumberFormat="1" applyFont="1"/>
    <xf numFmtId="0" fontId="37" fillId="0" borderId="0" xfId="0" applyFont="1" applyBorder="1"/>
    <xf numFmtId="165" fontId="37" fillId="0" borderId="0" xfId="0" applyNumberFormat="1" applyFont="1" applyBorder="1"/>
    <xf numFmtId="0" fontId="37" fillId="0" borderId="7" xfId="0" applyFont="1" applyBorder="1"/>
    <xf numFmtId="165" fontId="37" fillId="0" borderId="7" xfId="0" applyNumberFormat="1" applyFont="1" applyBorder="1"/>
    <xf numFmtId="0" fontId="38" fillId="0" borderId="0" xfId="0" applyFont="1"/>
    <xf numFmtId="166" fontId="39" fillId="0" borderId="0" xfId="1" applyNumberFormat="1" applyFont="1"/>
    <xf numFmtId="0" fontId="40" fillId="0" borderId="0" xfId="0" applyFont="1"/>
    <xf numFmtId="165" fontId="40" fillId="0" borderId="0" xfId="0" applyNumberFormat="1" applyFont="1"/>
    <xf numFmtId="165" fontId="41" fillId="0" borderId="0" xfId="5" applyNumberFormat="1" applyFont="1" applyBorder="1"/>
    <xf numFmtId="165" fontId="42" fillId="0" borderId="0" xfId="5" applyNumberFormat="1" applyFont="1" applyBorder="1"/>
    <xf numFmtId="0" fontId="41" fillId="0" borderId="0" xfId="5" applyNumberFormat="1" applyFont="1" applyBorder="1"/>
    <xf numFmtId="168" fontId="42" fillId="0" borderId="0" xfId="0" applyNumberFormat="1" applyFont="1"/>
    <xf numFmtId="4" fontId="33" fillId="0" borderId="0" xfId="0" applyNumberFormat="1" applyFont="1"/>
    <xf numFmtId="168" fontId="43" fillId="5" borderId="0" xfId="0" applyNumberFormat="1" applyFont="1" applyFill="1"/>
    <xf numFmtId="168" fontId="33" fillId="0" borderId="0" xfId="0" applyNumberFormat="1" applyFont="1" applyFill="1" applyBorder="1"/>
    <xf numFmtId="0" fontId="44" fillId="0" borderId="0" xfId="0" applyFont="1"/>
    <xf numFmtId="171" fontId="0" fillId="0" borderId="0" xfId="0" applyNumberFormat="1"/>
    <xf numFmtId="43" fontId="11" fillId="3" borderId="0" xfId="0" applyNumberFormat="1" applyFont="1" applyFill="1" applyAlignment="1">
      <alignment horizontal="right"/>
    </xf>
    <xf numFmtId="0" fontId="33" fillId="0" borderId="0" xfId="0" applyNumberFormat="1" applyFont="1"/>
    <xf numFmtId="0" fontId="33" fillId="0" borderId="0" xfId="0" applyFont="1"/>
    <xf numFmtId="165" fontId="33" fillId="0" borderId="0" xfId="0" applyNumberFormat="1" applyFont="1"/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9" xfId="0" applyFont="1" applyBorder="1"/>
    <xf numFmtId="0" fontId="6" fillId="0" borderId="0" xfId="0" applyFont="1"/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7">
    <cellStyle name="Lien hypertexte" xfId="6" builtinId="8"/>
    <cellStyle name="Milliers" xfId="1" builtinId="3"/>
    <cellStyle name="Milliers 2" xfId="2"/>
    <cellStyle name="Normal" xfId="0" builtinId="0"/>
    <cellStyle name="Normal 2" xfId="3"/>
    <cellStyle name="Normal 4" xfId="4"/>
    <cellStyle name="Pourcentage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53289182977274"/>
          <c:y val="6.4213687681906634E-2"/>
          <c:w val="0.8825503355704698"/>
          <c:h val="0.67007632135185724"/>
        </c:manualLayout>
      </c:layout>
      <c:lineChart>
        <c:grouping val="standard"/>
        <c:varyColors val="0"/>
        <c:ser>
          <c:idx val="1"/>
          <c:order val="0"/>
          <c:tx>
            <c:strRef>
              <c:f>Feuil1!$A$3</c:f>
              <c:strCache>
                <c:ptCount val="1"/>
                <c:pt idx="0">
                  <c:v>Moyenne annuelle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Feuil1!$B$2:$DQ$2</c:f>
              <c:numCache>
                <c:formatCode>mmm\-yy</c:formatCode>
                <c:ptCount val="109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</c:numCache>
            </c:numRef>
          </c:cat>
          <c:val>
            <c:numRef>
              <c:f>Feuil1!$B$3:$DQ$3</c:f>
              <c:numCache>
                <c:formatCode>0.0%</c:formatCode>
                <c:ptCount val="109"/>
                <c:pt idx="0">
                  <c:v>1.8548985036678012E-2</c:v>
                </c:pt>
                <c:pt idx="1">
                  <c:v>1.9590649776059399E-2</c:v>
                </c:pt>
                <c:pt idx="2">
                  <c:v>2.0919623006404153E-2</c:v>
                </c:pt>
                <c:pt idx="3">
                  <c:v>2.2603782004749107E-2</c:v>
                </c:pt>
                <c:pt idx="4">
                  <c:v>2.5039341191791742E-2</c:v>
                </c:pt>
                <c:pt idx="5">
                  <c:v>2.7018294799979525E-2</c:v>
                </c:pt>
                <c:pt idx="6">
                  <c:v>2.9906982236717061E-2</c:v>
                </c:pt>
                <c:pt idx="7">
                  <c:v>2.9384456852646679E-2</c:v>
                </c:pt>
                <c:pt idx="8">
                  <c:v>2.8936308784528242E-2</c:v>
                </c:pt>
                <c:pt idx="9">
                  <c:v>2.8532416342309297E-2</c:v>
                </c:pt>
                <c:pt idx="10">
                  <c:v>2.8712966398681372E-2</c:v>
                </c:pt>
                <c:pt idx="11">
                  <c:v>2.7786762780519503E-2</c:v>
                </c:pt>
                <c:pt idx="12">
                  <c:v>2.6784391438096078E-2</c:v>
                </c:pt>
                <c:pt idx="13">
                  <c:v>2.6043230695800279E-2</c:v>
                </c:pt>
                <c:pt idx="14">
                  <c:v>2.462191343149378E-2</c:v>
                </c:pt>
                <c:pt idx="15">
                  <c:v>2.3185845166554309E-2</c:v>
                </c:pt>
                <c:pt idx="16">
                  <c:v>2.0898843849064486E-2</c:v>
                </c:pt>
                <c:pt idx="17">
                  <c:v>1.9043748071669864E-2</c:v>
                </c:pt>
                <c:pt idx="18">
                  <c:v>1.6088161706331094E-2</c:v>
                </c:pt>
                <c:pt idx="19">
                  <c:v>1.4515782693431234E-2</c:v>
                </c:pt>
                <c:pt idx="20">
                  <c:v>1.3491270342948836E-2</c:v>
                </c:pt>
                <c:pt idx="21">
                  <c:v>1.2164622526623647E-2</c:v>
                </c:pt>
                <c:pt idx="22">
                  <c:v>1.0535186901666549E-2</c:v>
                </c:pt>
                <c:pt idx="23">
                  <c:v>9.6927484404518705E-3</c:v>
                </c:pt>
                <c:pt idx="24">
                  <c:v>8.7279648608864502E-3</c:v>
                </c:pt>
                <c:pt idx="25">
                  <c:v>7.672610673957081E-3</c:v>
                </c:pt>
                <c:pt idx="26">
                  <c:v>6.9836073304712087E-3</c:v>
                </c:pt>
                <c:pt idx="27">
                  <c:v>6.1588727760233386E-3</c:v>
                </c:pt>
                <c:pt idx="28">
                  <c:v>5.8930686535871857E-3</c:v>
                </c:pt>
                <c:pt idx="29">
                  <c:v>5.0361889577490437E-3</c:v>
                </c:pt>
                <c:pt idx="30">
                  <c:v>4.9647329330104739E-3</c:v>
                </c:pt>
                <c:pt idx="31">
                  <c:v>5.0913573133994916E-3</c:v>
                </c:pt>
                <c:pt idx="32">
                  <c:v>4.8893976220734103E-3</c:v>
                </c:pt>
                <c:pt idx="33">
                  <c:v>5.1060689622961508E-3</c:v>
                </c:pt>
                <c:pt idx="34">
                  <c:v>5.6374322036130131E-3</c:v>
                </c:pt>
                <c:pt idx="35">
                  <c:v>6.0148028116149277E-3</c:v>
                </c:pt>
                <c:pt idx="36">
                  <c:v>6.4072443941860513E-3</c:v>
                </c:pt>
                <c:pt idx="37">
                  <c:v>6.7782119332739921E-3</c:v>
                </c:pt>
                <c:pt idx="38">
                  <c:v>7.0813722535680856E-3</c:v>
                </c:pt>
                <c:pt idx="39">
                  <c:v>7.3406714844337362E-3</c:v>
                </c:pt>
                <c:pt idx="40">
                  <c:v>7.2434397249070415E-3</c:v>
                </c:pt>
                <c:pt idx="41">
                  <c:v>7.6951783309056054E-3</c:v>
                </c:pt>
                <c:pt idx="42">
                  <c:v>7.954099262933445E-3</c:v>
                </c:pt>
                <c:pt idx="43">
                  <c:v>8.224537988214653E-3</c:v>
                </c:pt>
                <c:pt idx="44">
                  <c:v>8.2811579862143159E-3</c:v>
                </c:pt>
                <c:pt idx="45">
                  <c:v>8.3920956978134065E-3</c:v>
                </c:pt>
                <c:pt idx="46">
                  <c:v>8.9291522789540778E-3</c:v>
                </c:pt>
                <c:pt idx="47">
                  <c:v>9.625535859228318E-3</c:v>
                </c:pt>
                <c:pt idx="48">
                  <c:v>1.0637919899295412E-2</c:v>
                </c:pt>
                <c:pt idx="49">
                  <c:v>1.1485653719623512E-2</c:v>
                </c:pt>
                <c:pt idx="50">
                  <c:v>1.2649409190407024E-2</c:v>
                </c:pt>
                <c:pt idx="51">
                  <c:v>1.4210393642677399E-2</c:v>
                </c:pt>
                <c:pt idx="52">
                  <c:v>1.5816215749855811E-2</c:v>
                </c:pt>
                <c:pt idx="53">
                  <c:v>1.7085009875274615E-2</c:v>
                </c:pt>
                <c:pt idx="54">
                  <c:v>1.846832713270552E-2</c:v>
                </c:pt>
                <c:pt idx="55">
                  <c:v>1.9942123736231165E-2</c:v>
                </c:pt>
                <c:pt idx="56">
                  <c:v>2.1615121117221303E-2</c:v>
                </c:pt>
                <c:pt idx="57">
                  <c:v>2.2879415930877167E-2</c:v>
                </c:pt>
                <c:pt idx="58">
                  <c:v>2.3528258274908787E-2</c:v>
                </c:pt>
                <c:pt idx="59">
                  <c:v>2.4187454761179117E-2</c:v>
                </c:pt>
                <c:pt idx="60">
                  <c:v>2.4563294950604497E-2</c:v>
                </c:pt>
                <c:pt idx="61">
                  <c:v>2.5285120398924832E-2</c:v>
                </c:pt>
                <c:pt idx="62">
                  <c:v>2.5580657856834943E-2</c:v>
                </c:pt>
                <c:pt idx="63">
                  <c:v>2.5473369926357847E-2</c:v>
                </c:pt>
                <c:pt idx="64">
                  <c:v>2.5550994291470008E-2</c:v>
                </c:pt>
                <c:pt idx="65">
                  <c:v>2.5518110244729719E-2</c:v>
                </c:pt>
                <c:pt idx="66">
                  <c:v>2.534205549405244E-2</c:v>
                </c:pt>
                <c:pt idx="67">
                  <c:v>2.5222302312672085E-2</c:v>
                </c:pt>
                <c:pt idx="68">
                  <c:v>2.5092800355415168E-2</c:v>
                </c:pt>
                <c:pt idx="69">
                  <c:v>2.5022395329128422E-2</c:v>
                </c:pt>
                <c:pt idx="70">
                  <c:v>2.5109087179110201E-2</c:v>
                </c:pt>
                <c:pt idx="71">
                  <c:v>2.4766316687590662E-2</c:v>
                </c:pt>
                <c:pt idx="72">
                  <c:v>2.450526961881061E-2</c:v>
                </c:pt>
                <c:pt idx="73">
                  <c:v>2.3779655100443442E-2</c:v>
                </c:pt>
                <c:pt idx="74">
                  <c:v>2.3181835451368649E-2</c:v>
                </c:pt>
                <c:pt idx="75">
                  <c:v>2.2667650070731904E-2</c:v>
                </c:pt>
                <c:pt idx="76">
                  <c:v>2.1832624815153245E-2</c:v>
                </c:pt>
                <c:pt idx="77">
                  <c:v>2.1724801012158901E-2</c:v>
                </c:pt>
                <c:pt idx="78">
                  <c:v>2.1765737241582483E-2</c:v>
                </c:pt>
                <c:pt idx="79">
                  <c:v>2.1731387363248311E-2</c:v>
                </c:pt>
                <c:pt idx="80">
                  <c:v>2.1511821612036686E-2</c:v>
                </c:pt>
                <c:pt idx="81">
                  <c:v>2.1537706825711878E-2</c:v>
                </c:pt>
                <c:pt idx="82">
                  <c:v>2.1295165259939131E-2</c:v>
                </c:pt>
                <c:pt idx="83">
                  <c:v>2.1494695198027047E-2</c:v>
                </c:pt>
                <c:pt idx="84">
                  <c:v>2.2619561486628692E-2</c:v>
                </c:pt>
                <c:pt idx="85">
                  <c:v>2.4458609105032503E-2</c:v>
                </c:pt>
                <c:pt idx="86">
                  <c:v>2.6600541690216861E-2</c:v>
                </c:pt>
                <c:pt idx="87">
                  <c:v>2.8928703739263373E-2</c:v>
                </c:pt>
                <c:pt idx="88">
                  <c:v>3.2174539033665628E-2</c:v>
                </c:pt>
                <c:pt idx="89">
                  <c:v>3.5273616176213274E-2</c:v>
                </c:pt>
                <c:pt idx="90">
                  <c:v>3.8303037632624992E-2</c:v>
                </c:pt>
                <c:pt idx="91">
                  <c:v>4.1358323121325924E-2</c:v>
                </c:pt>
                <c:pt idx="92">
                  <c:v>4.5365702511540817E-2</c:v>
                </c:pt>
                <c:pt idx="93">
                  <c:v>4.9748658137519275E-2</c:v>
                </c:pt>
                <c:pt idx="94">
                  <c:v>5.4426381908800003E-2</c:v>
                </c:pt>
                <c:pt idx="95">
                  <c:v>5.929977174231893E-2</c:v>
                </c:pt>
                <c:pt idx="96">
                  <c:v>6.2512968661580626E-2</c:v>
                </c:pt>
                <c:pt idx="97">
                  <c:v>6.5040926931913878E-2</c:v>
                </c:pt>
                <c:pt idx="98">
                  <c:v>6.819229416901007E-2</c:v>
                </c:pt>
                <c:pt idx="99">
                  <c:v>7.1392014016477212E-2</c:v>
                </c:pt>
                <c:pt idx="100">
                  <c:v>7.3430019648015987E-2</c:v>
                </c:pt>
                <c:pt idx="101">
                  <c:v>7.4964289845163012E-2</c:v>
                </c:pt>
                <c:pt idx="102">
                  <c:v>7.6636408048564419E-2</c:v>
                </c:pt>
                <c:pt idx="103">
                  <c:v>7.7922107377487615E-2</c:v>
                </c:pt>
                <c:pt idx="104">
                  <c:v>7.8172079797758975E-2</c:v>
                </c:pt>
                <c:pt idx="105">
                  <c:v>7.7535434505026757E-2</c:v>
                </c:pt>
                <c:pt idx="106">
                  <c:v>7.6662932160357133E-2</c:v>
                </c:pt>
                <c:pt idx="107">
                  <c:v>7.4949079163938004E-2</c:v>
                </c:pt>
                <c:pt idx="108">
                  <c:v>7.3633160763857397E-2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C8-49E8-B3CF-D4EDE1CD3087}"/>
            </c:ext>
          </c:extLst>
        </c:ser>
        <c:ser>
          <c:idx val="2"/>
          <c:order val="1"/>
          <c:tx>
            <c:strRef>
              <c:f>Feuil1!$A$4</c:f>
              <c:strCache>
                <c:ptCount val="1"/>
                <c:pt idx="0">
                  <c:v>Glissement annuel</c:v>
                </c:pt>
              </c:strCache>
            </c:strRef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Feuil1!$B$2:$DQ$2</c:f>
              <c:numCache>
                <c:formatCode>mmm\-yy</c:formatCode>
                <c:ptCount val="109"/>
                <c:pt idx="0">
                  <c:v>41974</c:v>
                </c:pt>
                <c:pt idx="1">
                  <c:v>42005</c:v>
                </c:pt>
                <c:pt idx="2">
                  <c:v>42036</c:v>
                </c:pt>
                <c:pt idx="3">
                  <c:v>42064</c:v>
                </c:pt>
                <c:pt idx="4">
                  <c:v>42095</c:v>
                </c:pt>
                <c:pt idx="5">
                  <c:v>42125</c:v>
                </c:pt>
                <c:pt idx="6">
                  <c:v>42156</c:v>
                </c:pt>
                <c:pt idx="7">
                  <c:v>42186</c:v>
                </c:pt>
                <c:pt idx="8">
                  <c:v>42217</c:v>
                </c:pt>
                <c:pt idx="9">
                  <c:v>42248</c:v>
                </c:pt>
                <c:pt idx="10">
                  <c:v>42278</c:v>
                </c:pt>
                <c:pt idx="11">
                  <c:v>42309</c:v>
                </c:pt>
                <c:pt idx="12">
                  <c:v>42339</c:v>
                </c:pt>
                <c:pt idx="13">
                  <c:v>42370</c:v>
                </c:pt>
                <c:pt idx="14">
                  <c:v>42401</c:v>
                </c:pt>
                <c:pt idx="15">
                  <c:v>42430</c:v>
                </c:pt>
                <c:pt idx="16">
                  <c:v>42461</c:v>
                </c:pt>
                <c:pt idx="17">
                  <c:v>42491</c:v>
                </c:pt>
                <c:pt idx="18">
                  <c:v>42522</c:v>
                </c:pt>
                <c:pt idx="19">
                  <c:v>42552</c:v>
                </c:pt>
                <c:pt idx="20">
                  <c:v>42583</c:v>
                </c:pt>
                <c:pt idx="21">
                  <c:v>42614</c:v>
                </c:pt>
                <c:pt idx="22">
                  <c:v>42644</c:v>
                </c:pt>
                <c:pt idx="23">
                  <c:v>42675</c:v>
                </c:pt>
                <c:pt idx="24">
                  <c:v>42705</c:v>
                </c:pt>
                <c:pt idx="25">
                  <c:v>42736</c:v>
                </c:pt>
                <c:pt idx="26">
                  <c:v>42767</c:v>
                </c:pt>
                <c:pt idx="27">
                  <c:v>42795</c:v>
                </c:pt>
                <c:pt idx="28">
                  <c:v>42826</c:v>
                </c:pt>
                <c:pt idx="29">
                  <c:v>42856</c:v>
                </c:pt>
                <c:pt idx="30">
                  <c:v>42887</c:v>
                </c:pt>
                <c:pt idx="31">
                  <c:v>42917</c:v>
                </c:pt>
                <c:pt idx="32">
                  <c:v>42948</c:v>
                </c:pt>
                <c:pt idx="33">
                  <c:v>42979</c:v>
                </c:pt>
                <c:pt idx="34">
                  <c:v>43009</c:v>
                </c:pt>
                <c:pt idx="35">
                  <c:v>43040</c:v>
                </c:pt>
                <c:pt idx="36">
                  <c:v>43070</c:v>
                </c:pt>
                <c:pt idx="37">
                  <c:v>43101</c:v>
                </c:pt>
                <c:pt idx="38">
                  <c:v>43132</c:v>
                </c:pt>
                <c:pt idx="39">
                  <c:v>43160</c:v>
                </c:pt>
                <c:pt idx="40">
                  <c:v>43191</c:v>
                </c:pt>
                <c:pt idx="41">
                  <c:v>43221</c:v>
                </c:pt>
                <c:pt idx="42">
                  <c:v>43252</c:v>
                </c:pt>
                <c:pt idx="43">
                  <c:v>43282</c:v>
                </c:pt>
                <c:pt idx="44">
                  <c:v>43313</c:v>
                </c:pt>
                <c:pt idx="45">
                  <c:v>43344</c:v>
                </c:pt>
                <c:pt idx="46">
                  <c:v>43374</c:v>
                </c:pt>
                <c:pt idx="47">
                  <c:v>43405</c:v>
                </c:pt>
                <c:pt idx="48">
                  <c:v>43435</c:v>
                </c:pt>
                <c:pt idx="49">
                  <c:v>43466</c:v>
                </c:pt>
                <c:pt idx="50">
                  <c:v>43497</c:v>
                </c:pt>
                <c:pt idx="51">
                  <c:v>43525</c:v>
                </c:pt>
                <c:pt idx="52">
                  <c:v>43556</c:v>
                </c:pt>
                <c:pt idx="53">
                  <c:v>43586</c:v>
                </c:pt>
                <c:pt idx="54">
                  <c:v>43617</c:v>
                </c:pt>
                <c:pt idx="55">
                  <c:v>43647</c:v>
                </c:pt>
                <c:pt idx="56">
                  <c:v>43678</c:v>
                </c:pt>
                <c:pt idx="57">
                  <c:v>43709</c:v>
                </c:pt>
                <c:pt idx="58">
                  <c:v>43739</c:v>
                </c:pt>
                <c:pt idx="59">
                  <c:v>43770</c:v>
                </c:pt>
                <c:pt idx="60">
                  <c:v>43800</c:v>
                </c:pt>
                <c:pt idx="61">
                  <c:v>43831</c:v>
                </c:pt>
                <c:pt idx="62">
                  <c:v>43862</c:v>
                </c:pt>
                <c:pt idx="63">
                  <c:v>43891</c:v>
                </c:pt>
                <c:pt idx="64">
                  <c:v>43922</c:v>
                </c:pt>
                <c:pt idx="65">
                  <c:v>43952</c:v>
                </c:pt>
                <c:pt idx="66">
                  <c:v>43983</c:v>
                </c:pt>
                <c:pt idx="67">
                  <c:v>44013</c:v>
                </c:pt>
                <c:pt idx="68">
                  <c:v>44044</c:v>
                </c:pt>
                <c:pt idx="69">
                  <c:v>44075</c:v>
                </c:pt>
                <c:pt idx="70">
                  <c:v>44105</c:v>
                </c:pt>
                <c:pt idx="71">
                  <c:v>44136</c:v>
                </c:pt>
                <c:pt idx="72">
                  <c:v>44166</c:v>
                </c:pt>
                <c:pt idx="73">
                  <c:v>44197</c:v>
                </c:pt>
                <c:pt idx="74">
                  <c:v>44228</c:v>
                </c:pt>
                <c:pt idx="75">
                  <c:v>44256</c:v>
                </c:pt>
                <c:pt idx="76">
                  <c:v>44287</c:v>
                </c:pt>
                <c:pt idx="77">
                  <c:v>44317</c:v>
                </c:pt>
                <c:pt idx="78">
                  <c:v>44348</c:v>
                </c:pt>
                <c:pt idx="79">
                  <c:v>44378</c:v>
                </c:pt>
                <c:pt idx="80">
                  <c:v>44409</c:v>
                </c:pt>
                <c:pt idx="81">
                  <c:v>44440</c:v>
                </c:pt>
                <c:pt idx="82">
                  <c:v>44470</c:v>
                </c:pt>
                <c:pt idx="83">
                  <c:v>44501</c:v>
                </c:pt>
                <c:pt idx="84">
                  <c:v>44531</c:v>
                </c:pt>
                <c:pt idx="85">
                  <c:v>44562</c:v>
                </c:pt>
                <c:pt idx="86">
                  <c:v>44593</c:v>
                </c:pt>
                <c:pt idx="87">
                  <c:v>44621</c:v>
                </c:pt>
                <c:pt idx="88">
                  <c:v>44652</c:v>
                </c:pt>
                <c:pt idx="89">
                  <c:v>44682</c:v>
                </c:pt>
                <c:pt idx="90">
                  <c:v>44713</c:v>
                </c:pt>
                <c:pt idx="91">
                  <c:v>44743</c:v>
                </c:pt>
                <c:pt idx="92">
                  <c:v>44774</c:v>
                </c:pt>
                <c:pt idx="93">
                  <c:v>44805</c:v>
                </c:pt>
                <c:pt idx="94">
                  <c:v>44835</c:v>
                </c:pt>
                <c:pt idx="95">
                  <c:v>44866</c:v>
                </c:pt>
                <c:pt idx="96">
                  <c:v>44896</c:v>
                </c:pt>
                <c:pt idx="97">
                  <c:v>44927</c:v>
                </c:pt>
                <c:pt idx="98">
                  <c:v>44958</c:v>
                </c:pt>
                <c:pt idx="99">
                  <c:v>44986</c:v>
                </c:pt>
                <c:pt idx="100">
                  <c:v>45017</c:v>
                </c:pt>
                <c:pt idx="101">
                  <c:v>45047</c:v>
                </c:pt>
                <c:pt idx="102">
                  <c:v>45078</c:v>
                </c:pt>
                <c:pt idx="103">
                  <c:v>45108</c:v>
                </c:pt>
                <c:pt idx="104">
                  <c:v>45139</c:v>
                </c:pt>
                <c:pt idx="105">
                  <c:v>45170</c:v>
                </c:pt>
                <c:pt idx="106">
                  <c:v>45200</c:v>
                </c:pt>
                <c:pt idx="107">
                  <c:v>45231</c:v>
                </c:pt>
                <c:pt idx="108">
                  <c:v>45261</c:v>
                </c:pt>
              </c:numCache>
            </c:numRef>
          </c:cat>
          <c:val>
            <c:numRef>
              <c:f>Feuil1!$B$4:$DQ$4</c:f>
              <c:numCache>
                <c:formatCode>0.0%</c:formatCode>
                <c:ptCount val="109"/>
                <c:pt idx="0">
                  <c:v>2.6205051452555361E-2</c:v>
                </c:pt>
                <c:pt idx="1">
                  <c:v>2.579822475950766E-2</c:v>
                </c:pt>
                <c:pt idx="2">
                  <c:v>2.9977374047936323E-2</c:v>
                </c:pt>
                <c:pt idx="3">
                  <c:v>3.1680257657490607E-2</c:v>
                </c:pt>
                <c:pt idx="4">
                  <c:v>3.8720080392903089E-2</c:v>
                </c:pt>
                <c:pt idx="5">
                  <c:v>3.6226204341202939E-2</c:v>
                </c:pt>
                <c:pt idx="6">
                  <c:v>4.2728882575406413E-2</c:v>
                </c:pt>
                <c:pt idx="7">
                  <c:v>2.33126864027422E-2</c:v>
                </c:pt>
                <c:pt idx="8">
                  <c:v>2.1143262896138548E-2</c:v>
                </c:pt>
                <c:pt idx="9">
                  <c:v>2.1464103814544888E-2</c:v>
                </c:pt>
                <c:pt idx="10">
                  <c:v>2.2555383805340057E-2</c:v>
                </c:pt>
                <c:pt idx="11">
                  <c:v>1.4608808597642353E-2</c:v>
                </c:pt>
                <c:pt idx="12">
                  <c:v>1.4462410967416517E-2</c:v>
                </c:pt>
                <c:pt idx="13">
                  <c:v>1.7033584184282136E-2</c:v>
                </c:pt>
                <c:pt idx="14">
                  <c:v>1.3021826601636421E-2</c:v>
                </c:pt>
                <c:pt idx="15">
                  <c:v>1.4405466781653997E-2</c:v>
                </c:pt>
                <c:pt idx="16">
                  <c:v>1.1016000692325889E-2</c:v>
                </c:pt>
                <c:pt idx="17">
                  <c:v>1.3667232059983991E-2</c:v>
                </c:pt>
                <c:pt idx="18">
                  <c:v>6.6953206715028024E-3</c:v>
                </c:pt>
                <c:pt idx="19">
                  <c:v>4.5123450522570607E-3</c:v>
                </c:pt>
                <c:pt idx="20">
                  <c:v>8.830832735301497E-3</c:v>
                </c:pt>
                <c:pt idx="21">
                  <c:v>5.5512188355810732E-3</c:v>
                </c:pt>
                <c:pt idx="22">
                  <c:v>2.9531225838990149E-3</c:v>
                </c:pt>
                <c:pt idx="23">
                  <c:v>4.5040373617983853E-3</c:v>
                </c:pt>
                <c:pt idx="24">
                  <c:v>2.9154791068275454E-3</c:v>
                </c:pt>
                <c:pt idx="25">
                  <c:v>4.2681384671134914E-3</c:v>
                </c:pt>
                <c:pt idx="26">
                  <c:v>4.6956494729364362E-3</c:v>
                </c:pt>
                <c:pt idx="27">
                  <c:v>4.4188317169848723E-3</c:v>
                </c:pt>
                <c:pt idx="28">
                  <c:v>7.7796867701702688E-3</c:v>
                </c:pt>
                <c:pt idx="29">
                  <c:v>3.3358429644907428E-3</c:v>
                </c:pt>
                <c:pt idx="30">
                  <c:v>5.8286728171188518E-3</c:v>
                </c:pt>
                <c:pt idx="31">
                  <c:v>6.0300680363090109E-3</c:v>
                </c:pt>
                <c:pt idx="32">
                  <c:v>6.3869423545348525E-3</c:v>
                </c:pt>
                <c:pt idx="33">
                  <c:v>8.1360471032481119E-3</c:v>
                </c:pt>
                <c:pt idx="34">
                  <c:v>9.3248281039530756E-3</c:v>
                </c:pt>
                <c:pt idx="35">
                  <c:v>9.0325264983293074E-3</c:v>
                </c:pt>
                <c:pt idx="36">
                  <c:v>7.6207951852085287E-3</c:v>
                </c:pt>
                <c:pt idx="37">
                  <c:v>8.7305603537013443E-3</c:v>
                </c:pt>
                <c:pt idx="38">
                  <c:v>8.3469058532537055E-3</c:v>
                </c:pt>
                <c:pt idx="39">
                  <c:v>7.5426206898574488E-3</c:v>
                </c:pt>
                <c:pt idx="40">
                  <c:v>6.6139860475546985E-3</c:v>
                </c:pt>
                <c:pt idx="41">
                  <c:v>8.7493194499339566E-3</c:v>
                </c:pt>
                <c:pt idx="42">
                  <c:v>8.9371412225192071E-3</c:v>
                </c:pt>
                <c:pt idx="43">
                  <c:v>9.2757251187434164E-3</c:v>
                </c:pt>
                <c:pt idx="44">
                  <c:v>7.0735735528879573E-3</c:v>
                </c:pt>
                <c:pt idx="45">
                  <c:v>9.4585613538198388E-3</c:v>
                </c:pt>
                <c:pt idx="46">
                  <c:v>1.5726275567223169E-2</c:v>
                </c:pt>
                <c:pt idx="47">
                  <c:v>1.7353938902409993E-2</c:v>
                </c:pt>
                <c:pt idx="48">
                  <c:v>1.9736457510479699E-2</c:v>
                </c:pt>
                <c:pt idx="49">
                  <c:v>1.8904108856008239E-2</c:v>
                </c:pt>
                <c:pt idx="50">
                  <c:v>2.2334225797552509E-2</c:v>
                </c:pt>
                <c:pt idx="51">
                  <c:v>2.6311826752848377E-2</c:v>
                </c:pt>
                <c:pt idx="52">
                  <c:v>2.5871952965443645E-2</c:v>
                </c:pt>
                <c:pt idx="53">
                  <c:v>2.3963055243812592E-2</c:v>
                </c:pt>
                <c:pt idx="54">
                  <c:v>2.5542781861157104E-2</c:v>
                </c:pt>
                <c:pt idx="55">
                  <c:v>2.6966702258945263E-2</c:v>
                </c:pt>
                <c:pt idx="56">
                  <c:v>2.7131738511966486E-2</c:v>
                </c:pt>
                <c:pt idx="57">
                  <c:v>2.4615164537570511E-2</c:v>
                </c:pt>
                <c:pt idx="58">
                  <c:v>2.3529491272348046E-2</c:v>
                </c:pt>
                <c:pt idx="59">
                  <c:v>2.5277337138753131E-2</c:v>
                </c:pt>
                <c:pt idx="60">
                  <c:v>2.4274745020240296E-2</c:v>
                </c:pt>
                <c:pt idx="61">
                  <c:v>2.7594619232494955E-2</c:v>
                </c:pt>
                <c:pt idx="62">
                  <c:v>2.5910607393824447E-2</c:v>
                </c:pt>
                <c:pt idx="63">
                  <c:v>2.5020863928777448E-2</c:v>
                </c:pt>
                <c:pt idx="64">
                  <c:v>2.6781304071629153E-2</c:v>
                </c:pt>
                <c:pt idx="65">
                  <c:v>2.3610140210370778E-2</c:v>
                </c:pt>
                <c:pt idx="66">
                  <c:v>2.3452468869172183E-2</c:v>
                </c:pt>
                <c:pt idx="67">
                  <c:v>2.5503213254453039E-2</c:v>
                </c:pt>
                <c:pt idx="68">
                  <c:v>2.55439534342361E-2</c:v>
                </c:pt>
                <c:pt idx="69">
                  <c:v>2.3790372716809172E-2</c:v>
                </c:pt>
                <c:pt idx="70">
                  <c:v>2.4591600337922737E-2</c:v>
                </c:pt>
                <c:pt idx="71">
                  <c:v>2.1212248894317387E-2</c:v>
                </c:pt>
                <c:pt idx="72">
                  <c:v>2.1193203384297199E-2</c:v>
                </c:pt>
                <c:pt idx="73">
                  <c:v>1.8900474905213738E-2</c:v>
                </c:pt>
                <c:pt idx="74">
                  <c:v>1.8755092815244678E-2</c:v>
                </c:pt>
                <c:pt idx="75">
                  <c:v>1.8876083723129877E-2</c:v>
                </c:pt>
                <c:pt idx="76">
                  <c:v>1.679560304755201E-2</c:v>
                </c:pt>
                <c:pt idx="77">
                  <c:v>2.2287731663223509E-2</c:v>
                </c:pt>
                <c:pt idx="78">
                  <c:v>2.3899672815504314E-2</c:v>
                </c:pt>
                <c:pt idx="79">
                  <c:v>2.5002828848551539E-2</c:v>
                </c:pt>
                <c:pt idx="80">
                  <c:v>2.2843622758515814E-2</c:v>
                </c:pt>
                <c:pt idx="81">
                  <c:v>2.4045257719570001E-2</c:v>
                </c:pt>
                <c:pt idx="82">
                  <c:v>2.164135944411294E-2</c:v>
                </c:pt>
                <c:pt idx="83">
                  <c:v>2.3586109799982768E-2</c:v>
                </c:pt>
                <c:pt idx="84">
                  <c:v>3.4571423942522772E-2</c:v>
                </c:pt>
                <c:pt idx="85">
                  <c:v>4.089875587488212E-2</c:v>
                </c:pt>
                <c:pt idx="86">
                  <c:v>4.44153736459727E-2</c:v>
                </c:pt>
                <c:pt idx="87">
                  <c:v>4.6741447059279961E-2</c:v>
                </c:pt>
                <c:pt idx="88">
                  <c:v>5.5584690777525481E-2</c:v>
                </c:pt>
                <c:pt idx="89">
                  <c:v>5.9313327374650004E-2</c:v>
                </c:pt>
                <c:pt idx="90">
                  <c:v>6.0114475028770764E-2</c:v>
                </c:pt>
                <c:pt idx="91">
                  <c:v>6.1451519613426653E-2</c:v>
                </c:pt>
                <c:pt idx="92">
                  <c:v>7.0746790197427467E-2</c:v>
                </c:pt>
                <c:pt idx="93">
                  <c:v>7.6541362695469184E-2</c:v>
                </c:pt>
                <c:pt idx="94">
                  <c:v>7.7703476813928862E-2</c:v>
                </c:pt>
                <c:pt idx="95">
                  <c:v>8.2116323178105022E-2</c:v>
                </c:pt>
                <c:pt idx="96">
                  <c:v>7.3153687006621171E-2</c:v>
                </c:pt>
                <c:pt idx="97">
                  <c:v>7.14159619844279E-2</c:v>
                </c:pt>
                <c:pt idx="98">
                  <c:v>8.224996553395636E-2</c:v>
                </c:pt>
                <c:pt idx="99">
                  <c:v>8.5151161771732653E-2</c:v>
                </c:pt>
                <c:pt idx="100">
                  <c:v>8.0108908068659224E-2</c:v>
                </c:pt>
                <c:pt idx="101">
                  <c:v>7.7913859440823741E-2</c:v>
                </c:pt>
                <c:pt idx="102">
                  <c:v>8.0390858571991464E-2</c:v>
                </c:pt>
                <c:pt idx="103">
                  <c:v>7.7244372586469545E-2</c:v>
                </c:pt>
                <c:pt idx="104">
                  <c:v>7.411297350178625E-2</c:v>
                </c:pt>
                <c:pt idx="105">
                  <c:v>6.9292679269495672E-2</c:v>
                </c:pt>
                <c:pt idx="106">
                  <c:v>6.7569006986611058E-2</c:v>
                </c:pt>
                <c:pt idx="107">
                  <c:v>6.179749110910393E-2</c:v>
                </c:pt>
                <c:pt idx="108">
                  <c:v>5.7966990508653504E-2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C8-49E8-B3CF-D4EDE1CD3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0939376"/>
        <c:axId val="1110924688"/>
      </c:lineChart>
      <c:dateAx>
        <c:axId val="1110939376"/>
        <c:scaling>
          <c:orientation val="minMax"/>
        </c:scaling>
        <c:delete val="0"/>
        <c:axPos val="b"/>
        <c:majorGridlines/>
        <c:numFmt formatCode="mmm\-yy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10924688"/>
        <c:crosses val="autoZero"/>
        <c:auto val="1"/>
        <c:lblOffset val="100"/>
        <c:baseTimeUnit val="months"/>
        <c:majorUnit val="6"/>
        <c:majorTimeUnit val="months"/>
        <c:minorUnit val="1"/>
        <c:minorTimeUnit val="months"/>
      </c:dateAx>
      <c:valAx>
        <c:axId val="1110924688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10939376"/>
        <c:crossesAt val="41640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401669168568606"/>
          <c:y val="0.90194819319680597"/>
          <c:w val="0.66472143315433996"/>
          <c:h val="7.2433168806988441E-2"/>
        </c:manualLayout>
      </c:layout>
      <c:overlay val="0"/>
      <c:txPr>
        <a:bodyPr/>
        <a:lstStyle/>
        <a:p>
          <a:pPr>
            <a:defRPr sz="10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Inflation CEMAC</a:t>
            </a:r>
          </a:p>
        </c:rich>
      </c:tx>
      <c:layout>
        <c:manualLayout>
          <c:xMode val="edge"/>
          <c:yMode val="edge"/>
          <c:x val="0.4106986141295445"/>
          <c:y val="3.3101016219126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5478539652053661E-2"/>
          <c:y val="0.12820544923239491"/>
          <c:w val="0.9112350137849814"/>
          <c:h val="0.71025818874746782"/>
        </c:manualLayout>
      </c:layout>
      <c:lineChart>
        <c:grouping val="standard"/>
        <c:varyColors val="0"/>
        <c:ser>
          <c:idx val="1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7E9-4D7B-96AA-AEDF1A7B96D3}"/>
            </c:ext>
          </c:extLst>
        </c:ser>
        <c:ser>
          <c:idx val="2"/>
          <c:order val="1"/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7E9-4D7B-96AA-AEDF1A7B9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821968"/>
        <c:axId val="666821576"/>
      </c:lineChart>
      <c:catAx>
        <c:axId val="666821968"/>
        <c:scaling>
          <c:orientation val="minMax"/>
        </c:scaling>
        <c:delete val="0"/>
        <c:axPos val="b"/>
        <c:numFmt formatCode="mmm\-yy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66821576"/>
        <c:crosses val="autoZero"/>
        <c:auto val="0"/>
        <c:lblAlgn val="ctr"/>
        <c:lblOffset val="100"/>
        <c:tickLblSkip val="3"/>
        <c:tickMarkSkip val="1"/>
        <c:noMultiLvlLbl val="0"/>
      </c:catAx>
      <c:valAx>
        <c:axId val="666821576"/>
        <c:scaling>
          <c:orientation val="minMax"/>
        </c:scaling>
        <c:delete val="0"/>
        <c:axPos val="l"/>
        <c:numFmt formatCode="0.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6682196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9" l="0.78740157499999996" r="0.78740157499999996" t="0.984251969" header="0.5" footer="0.5"/>
    <c:pageSetup paperSize="9" orientation="landscape" horizontalDpi="300" verticalDpi="30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560473752974707E-2"/>
          <c:y val="5.3846214520223694E-2"/>
          <c:w val="0.89010069867299146"/>
          <c:h val="0.80503865749812953"/>
        </c:manualLayout>
      </c:layout>
      <c:lineChart>
        <c:grouping val="standard"/>
        <c:varyColors val="0"/>
        <c:ser>
          <c:idx val="2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CC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C6B-4260-B4B4-79195263E834}"/>
            </c:ext>
          </c:extLst>
        </c:ser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FF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C6B-4260-B4B4-79195263E834}"/>
            </c:ext>
          </c:extLst>
        </c:ser>
        <c:ser>
          <c:idx val="1"/>
          <c:order val="2"/>
          <c:spPr>
            <a:ln w="12700">
              <a:solidFill>
                <a:srgbClr val="80008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FF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C6B-4260-B4B4-79195263E834}"/>
            </c:ext>
          </c:extLst>
        </c:ser>
        <c:ser>
          <c:idx val="3"/>
          <c:order val="3"/>
          <c:spPr>
            <a:ln w="12700">
              <a:solidFill>
                <a:srgbClr val="FF660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6600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C6B-4260-B4B4-79195263E834}"/>
            </c:ext>
          </c:extLst>
        </c:ser>
        <c:ser>
          <c:idx val="4"/>
          <c:order val="4"/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6C6B-4260-B4B4-79195263E834}"/>
            </c:ext>
          </c:extLst>
        </c:ser>
        <c:ser>
          <c:idx val="5"/>
          <c:order val="5"/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6C6B-4260-B4B4-79195263E834}"/>
            </c:ext>
          </c:extLst>
        </c:ser>
        <c:ser>
          <c:idx val="6"/>
          <c:order val="6"/>
          <c:spPr>
            <a:ln w="25400">
              <a:solidFill>
                <a:srgbClr val="003300"/>
              </a:solidFill>
              <a:prstDash val="lgDash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6C6B-4260-B4B4-79195263E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824320"/>
        <c:axId val="666825888"/>
      </c:lineChart>
      <c:catAx>
        <c:axId val="666824320"/>
        <c:scaling>
          <c:orientation val="minMax"/>
        </c:scaling>
        <c:delete val="0"/>
        <c:axPos val="b"/>
        <c:numFmt formatCode="mmm\-yy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66825888"/>
        <c:crosses val="autoZero"/>
        <c:auto val="0"/>
        <c:lblAlgn val="ctr"/>
        <c:lblOffset val="100"/>
        <c:tickLblSkip val="3"/>
        <c:tickMarkSkip val="1"/>
        <c:noMultiLvlLbl val="0"/>
      </c:catAx>
      <c:valAx>
        <c:axId val="66682588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6682432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5417147856517935"/>
          <c:y val="0.9050073039512595"/>
          <c:w val="0.77641280256634593"/>
          <c:h val="8.145057659647747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158486210559613E-2"/>
          <c:y val="5.6971555949239208E-2"/>
          <c:w val="0.87149475306623492"/>
          <c:h val="0.73412687652454034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897-4534-AF64-2DD817514F00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897-4534-AF64-2DD817514F00}"/>
            </c:ext>
          </c:extLst>
        </c:ser>
        <c:ser>
          <c:idx val="2"/>
          <c:order val="2"/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897-4534-AF64-2DD817514F00}"/>
            </c:ext>
          </c:extLst>
        </c:ser>
        <c:ser>
          <c:idx val="3"/>
          <c:order val="3"/>
          <c:spPr>
            <a:ln w="12700">
              <a:solidFill>
                <a:srgbClr val="FF0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C897-4534-AF64-2DD817514F00}"/>
            </c:ext>
          </c:extLst>
        </c:ser>
        <c:ser>
          <c:idx val="4"/>
          <c:order val="4"/>
          <c:spPr>
            <a:ln w="12700">
              <a:solidFill>
                <a:srgbClr val="8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80008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C897-4534-AF64-2DD817514F00}"/>
            </c:ext>
          </c:extLst>
        </c:ser>
        <c:ser>
          <c:idx val="5"/>
          <c:order val="5"/>
          <c:spPr>
            <a:ln w="12700">
              <a:solidFill>
                <a:srgbClr val="FF99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C897-4534-AF64-2DD817514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825104"/>
        <c:axId val="666822360"/>
      </c:lineChart>
      <c:dateAx>
        <c:axId val="66682510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66822360"/>
        <c:crosses val="autoZero"/>
        <c:auto val="1"/>
        <c:lblOffset val="100"/>
        <c:baseTimeUnit val="months"/>
        <c:majorUnit val="3"/>
        <c:majorTimeUnit val="months"/>
        <c:minorUnit val="1"/>
        <c:minorTimeUnit val="months"/>
      </c:dateAx>
      <c:valAx>
        <c:axId val="666822360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6682510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942177241695204"/>
          <c:y val="0.90731536041438532"/>
          <c:w val="0.76595211609629132"/>
          <c:h val="7.947297978481171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638149812906206E-2"/>
          <c:y val="4.1728854137483125E-2"/>
          <c:w val="0.88597441666858145"/>
          <c:h val="0.82116423677690009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FF00FF"/>
              </a:solidFill>
              <a:prstDash val="lgDash"/>
            </a:ln>
          </c:spPr>
          <c:marker>
            <c:symbol val="square"/>
            <c:size val="4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95E-4008-8433-B89D8DE0E347}"/>
            </c:ext>
          </c:extLst>
        </c:ser>
        <c:ser>
          <c:idx val="1"/>
          <c:order val="1"/>
          <c:spPr>
            <a:ln w="127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95E-4008-8433-B89D8DE0E347}"/>
            </c:ext>
          </c:extLst>
        </c:ser>
        <c:ser>
          <c:idx val="2"/>
          <c:order val="2"/>
          <c:spPr>
            <a:ln w="12700">
              <a:solidFill>
                <a:srgbClr val="0000FF"/>
              </a:solidFill>
              <a:prstDash val="solid"/>
            </a:ln>
          </c:spPr>
          <c:marker>
            <c:symbol val="x"/>
            <c:size val="5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95E-4008-8433-B89D8DE0E347}"/>
            </c:ext>
          </c:extLst>
        </c:ser>
        <c:ser>
          <c:idx val="3"/>
          <c:order val="3"/>
          <c:spPr>
            <a:ln w="12700">
              <a:solidFill>
                <a:srgbClr val="993366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3366"/>
              </a:solidFill>
              <a:ln>
                <a:solidFill>
                  <a:srgbClr val="993366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95E-4008-8433-B89D8DE0E347}"/>
            </c:ext>
          </c:extLst>
        </c:ser>
        <c:ser>
          <c:idx val="4"/>
          <c:order val="4"/>
          <c:spPr>
            <a:ln w="12700">
              <a:solidFill>
                <a:srgbClr val="FF99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95E-4008-8433-B89D8DE0E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823536"/>
        <c:axId val="666828240"/>
      </c:lineChart>
      <c:dateAx>
        <c:axId val="66682353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66828240"/>
        <c:crosses val="autoZero"/>
        <c:auto val="1"/>
        <c:lblOffset val="100"/>
        <c:baseTimeUnit val="months"/>
        <c:majorUnit val="3"/>
        <c:majorTimeUnit val="months"/>
        <c:minorUnit val="1"/>
        <c:minorTimeUnit val="months"/>
      </c:dateAx>
      <c:valAx>
        <c:axId val="666828240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6682353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803658545451901"/>
          <c:y val="0.85529170695768286"/>
          <c:w val="0.80196435971819302"/>
          <c:h val="0.1162319841598747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100</xdr:col>
      <xdr:colOff>285750</xdr:colOff>
      <xdr:row>15</xdr:row>
      <xdr:rowOff>47625</xdr:rowOff>
    </xdr:from>
    <xdr:to>
      <xdr:col>109</xdr:col>
      <xdr:colOff>308841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0.91221</cdr:x>
      <cdr:y>0.05476</cdr:y>
    </cdr:from>
    <cdr:to>
      <cdr:x>0.91221</cdr:x>
      <cdr:y>0.73571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3CC35099-C9FF-414E-B19F-DC8484621FAD}"/>
            </a:ext>
          </a:extLst>
        </cdr:cNvPr>
        <cdr:cNvCxnSpPr/>
      </cdr:nvCxnSpPr>
      <cdr:spPr bwMode="auto">
        <a:xfrm xmlns:a="http://schemas.openxmlformats.org/drawingml/2006/main" flipV="1">
          <a:off x="6276975" y="219075"/>
          <a:ext cx="0" cy="2724150"/>
        </a:xfrm>
        <a:prstGeom xmlns:a="http://schemas.openxmlformats.org/drawingml/2006/main" prst="line">
          <a:avLst/>
        </a:prstGeom>
        <a:solidFill xmlns:a="http://schemas.openxmlformats.org/drawingml/2006/main">
          <a:srgbClr val="FFFFFF"/>
        </a:solidFill>
        <a:ln xmlns:a="http://schemas.openxmlformats.org/drawingml/2006/main" w="25400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</cdr:cxnSp>
  </cdr:relSizeAnchor>
  <cdr:relSizeAnchor xmlns:cdr="http://schemas.openxmlformats.org/drawingml/2006/chartDrawing">
    <cdr:from>
      <cdr:x>0.71288</cdr:x>
      <cdr:y>0.00714</cdr:y>
    </cdr:from>
    <cdr:to>
      <cdr:x>0.87068</cdr:x>
      <cdr:y>0.15952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4905375" y="28576"/>
          <a:ext cx="1085850" cy="6096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Hausse des prix à la pompe le 1er février</a:t>
          </a:r>
        </a:p>
      </cdr:txBody>
    </cdr:sp>
  </cdr:relSizeAnchor>
  <cdr:relSizeAnchor xmlns:cdr="http://schemas.openxmlformats.org/drawingml/2006/chartDrawing">
    <cdr:from>
      <cdr:x>0.8513</cdr:x>
      <cdr:y>0.14286</cdr:y>
    </cdr:from>
    <cdr:to>
      <cdr:x>0.91082</cdr:x>
      <cdr:y>0.24286</cdr:y>
    </cdr:to>
    <cdr:cxnSp macro="">
      <cdr:nvCxnSpPr>
        <cdr:cNvPr id="6" name="Connecteur droit avec flèche 5">
          <a:extLst xmlns:a="http://schemas.openxmlformats.org/drawingml/2006/main">
            <a:ext uri="{FF2B5EF4-FFF2-40B4-BE49-F238E27FC236}">
              <a16:creationId xmlns:a16="http://schemas.microsoft.com/office/drawing/2014/main" id="{40B60E30-8BAF-46AF-AD9A-94A2FEB1AEE3}"/>
            </a:ext>
          </a:extLst>
        </cdr:cNvPr>
        <cdr:cNvCxnSpPr/>
      </cdr:nvCxnSpPr>
      <cdr:spPr bwMode="auto">
        <a:xfrm xmlns:a="http://schemas.openxmlformats.org/drawingml/2006/main">
          <a:off x="5857875" y="571500"/>
          <a:ext cx="409575" cy="400050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 xmlns:a="http://schemas.openxmlformats.org/drawingml/2006/main"/>
      </cdr:spPr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8</xdr:col>
      <xdr:colOff>752475</xdr:colOff>
      <xdr:row>25</xdr:row>
      <xdr:rowOff>152400</xdr:rowOff>
    </xdr:to>
    <xdr:graphicFrame macro="">
      <xdr:nvGraphicFramePr>
        <xdr:cNvPr id="9817224" name="Chart 1">
          <a:extLst>
            <a:ext uri="{FF2B5EF4-FFF2-40B4-BE49-F238E27FC236}">
              <a16:creationId xmlns:a16="http://schemas.microsoft.com/office/drawing/2014/main" id="{00000000-0008-0000-0B00-000088CC9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37</xdr:row>
      <xdr:rowOff>9525</xdr:rowOff>
    </xdr:from>
    <xdr:to>
      <xdr:col>8</xdr:col>
      <xdr:colOff>752475</xdr:colOff>
      <xdr:row>63</xdr:row>
      <xdr:rowOff>9525</xdr:rowOff>
    </xdr:to>
    <xdr:graphicFrame macro="">
      <xdr:nvGraphicFramePr>
        <xdr:cNvPr id="9817225" name="Chart 2">
          <a:extLst>
            <a:ext uri="{FF2B5EF4-FFF2-40B4-BE49-F238E27FC236}">
              <a16:creationId xmlns:a16="http://schemas.microsoft.com/office/drawing/2014/main" id="{00000000-0008-0000-0B00-000089CC9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69</xdr:row>
      <xdr:rowOff>47625</xdr:rowOff>
    </xdr:from>
    <xdr:to>
      <xdr:col>9</xdr:col>
      <xdr:colOff>9525</xdr:colOff>
      <xdr:row>95</xdr:row>
      <xdr:rowOff>152400</xdr:rowOff>
    </xdr:to>
    <xdr:graphicFrame macro="">
      <xdr:nvGraphicFramePr>
        <xdr:cNvPr id="9817226" name="Chart 3">
          <a:extLst>
            <a:ext uri="{FF2B5EF4-FFF2-40B4-BE49-F238E27FC236}">
              <a16:creationId xmlns:a16="http://schemas.microsoft.com/office/drawing/2014/main" id="{00000000-0008-0000-0B00-00008ACC9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104</xdr:row>
      <xdr:rowOff>0</xdr:rowOff>
    </xdr:from>
    <xdr:to>
      <xdr:col>9</xdr:col>
      <xdr:colOff>0</xdr:colOff>
      <xdr:row>130</xdr:row>
      <xdr:rowOff>133350</xdr:rowOff>
    </xdr:to>
    <xdr:graphicFrame macro="">
      <xdr:nvGraphicFramePr>
        <xdr:cNvPr id="9817227" name="Chart 4">
          <a:extLst>
            <a:ext uri="{FF2B5EF4-FFF2-40B4-BE49-F238E27FC236}">
              <a16:creationId xmlns:a16="http://schemas.microsoft.com/office/drawing/2014/main" id="{00000000-0008-0000-0B00-00008BCC9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0.25511</cdr:x>
      <cdr:y>0.93407</cdr:y>
    </cdr:from>
    <cdr:to>
      <cdr:x>0.25511</cdr:x>
      <cdr:y>0.93407</cdr:y>
    </cdr:to>
    <cdr:pic>
      <cdr:nvPicPr>
        <cdr:cNvPr id="20481" name="Picture 1">
          <a:extLst xmlns:a="http://schemas.openxmlformats.org/drawingml/2006/main">
            <a:ext uri="{FF2B5EF4-FFF2-40B4-BE49-F238E27FC236}">
              <a16:creationId xmlns:a16="http://schemas.microsoft.com/office/drawing/2014/main" id="{140B802F-4AF2-457E-B387-3223CC648F87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1809090" y="3533894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</cdr:spPr>
    </cdr:pic>
  </cdr:relSizeAnchor>
  <cdr:relSizeAnchor xmlns:cdr="http://schemas.openxmlformats.org/drawingml/2006/chartDrawing">
    <cdr:from>
      <cdr:x>0.06436</cdr:x>
      <cdr:y>0.13908</cdr:y>
    </cdr:from>
    <cdr:to>
      <cdr:x>0.34078</cdr:x>
      <cdr:y>0.27031</cdr:y>
    </cdr:to>
    <cdr:pic>
      <cdr:nvPicPr>
        <cdr:cNvPr id="20483" name="Picture 3">
          <a:extLst xmlns:a="http://schemas.openxmlformats.org/drawingml/2006/main">
            <a:ext uri="{FF2B5EF4-FFF2-40B4-BE49-F238E27FC236}">
              <a16:creationId xmlns:a16="http://schemas.microsoft.com/office/drawing/2014/main" id="{8B352D31-AF4B-4F21-ABDA-1AC0BA20E5A2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450407" y="543723"/>
          <a:ext cx="1896673" cy="482992"/>
        </a:xfrm>
        <a:prstGeom xmlns:a="http://schemas.openxmlformats.org/drawingml/2006/main" prst="rect">
          <a:avLst/>
        </a:prstGeom>
        <a:noFill xmlns:a="http://schemas.openxmlformats.org/drawingml/2006/main"/>
      </cdr:spPr>
    </cdr:pic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icrodata.nigerianstat.gov.ng/index.php/catalog/154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tradingeconomics.com/kenya/consumer-price-index-cpi" TargetMode="External"/><Relationship Id="rId7" Type="http://schemas.openxmlformats.org/officeDocument/2006/relationships/hyperlink" Target="https://edenpub.bceao.int/rapportPredefini.php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tradingeconomics.com/ghana/consumer-price-index-cpi" TargetMode="External"/><Relationship Id="rId1" Type="http://schemas.openxmlformats.org/officeDocument/2006/relationships/hyperlink" Target="https://tradingeconomics.com/republic-of-the-congo/consumer-price-index-cpi" TargetMode="External"/><Relationship Id="rId6" Type="http://schemas.openxmlformats.org/officeDocument/2006/relationships/hyperlink" Target="https://edenpub.bceao.int/rapportPredefini.php" TargetMode="External"/><Relationship Id="rId11" Type="http://schemas.openxmlformats.org/officeDocument/2006/relationships/hyperlink" Target="https://tradingeconomics.com/euro-area/consumer-price-index-cpi" TargetMode="External"/><Relationship Id="rId5" Type="http://schemas.openxmlformats.org/officeDocument/2006/relationships/hyperlink" Target="https://tradingeconomics.com/angola/consumer-price-index-cpi" TargetMode="External"/><Relationship Id="rId10" Type="http://schemas.openxmlformats.org/officeDocument/2006/relationships/hyperlink" Target="https://tradingeconomics.com/france/consumer-price-index-cpi" TargetMode="External"/><Relationship Id="rId4" Type="http://schemas.openxmlformats.org/officeDocument/2006/relationships/hyperlink" Target="https://tradingeconomics.com/guinea/consumer-price-index-cpi" TargetMode="External"/><Relationship Id="rId9" Type="http://schemas.openxmlformats.org/officeDocument/2006/relationships/hyperlink" Target="https://tradingeconomics.com/united-states/consumer-price-index-cpi" TargetMode="External"/><Relationship Id="rId1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IJ95"/>
  <sheetViews>
    <sheetView tabSelected="1" zoomScaleNormal="100" workbookViewId="0">
      <pane xSplit="3" ySplit="4" topLeftCell="FL5" activePane="bottomRight" state="frozen"/>
      <selection pane="topRight" activeCell="D1" sqref="D1"/>
      <selection pane="bottomLeft" activeCell="A5" sqref="A5"/>
      <selection pane="bottomRight" activeCell="FS26" sqref="FS26"/>
    </sheetView>
  </sheetViews>
  <sheetFormatPr baseColWidth="10" defaultColWidth="9.44140625" defaultRowHeight="13.2" x14ac:dyDescent="0.25"/>
  <cols>
    <col min="1" max="1" width="6.88671875" customWidth="1"/>
    <col min="2" max="2" width="18.44140625" customWidth="1"/>
    <col min="3" max="3" width="13.5546875" customWidth="1"/>
    <col min="16" max="147" width="7.6640625" customWidth="1"/>
    <col min="162" max="162" width="9.44140625" style="42"/>
  </cols>
  <sheetData>
    <row r="1" spans="1:244" s="1" customFormat="1" ht="10.8" thickBot="1" x14ac:dyDescent="0.25"/>
    <row r="2" spans="1:244" s="2" customFormat="1" ht="33" thickTop="1" thickBot="1" x14ac:dyDescent="0.55000000000000004">
      <c r="B2" s="2" t="s">
        <v>92</v>
      </c>
    </row>
    <row r="3" spans="1:244" s="1" customFormat="1" ht="11.4" thickTop="1" thickBot="1" x14ac:dyDescent="0.25"/>
    <row r="4" spans="1:244" s="24" customFormat="1" ht="13.8" thickBot="1" x14ac:dyDescent="0.3">
      <c r="A4" s="24" t="s">
        <v>8</v>
      </c>
      <c r="B4" s="21" t="s">
        <v>0</v>
      </c>
      <c r="C4" s="22" t="s">
        <v>1</v>
      </c>
      <c r="D4" s="23">
        <v>40544</v>
      </c>
      <c r="E4" s="23">
        <v>40575</v>
      </c>
      <c r="F4" s="23">
        <v>40603</v>
      </c>
      <c r="G4" s="23">
        <v>40634</v>
      </c>
      <c r="H4" s="23">
        <v>40664</v>
      </c>
      <c r="I4" s="23">
        <v>40695</v>
      </c>
      <c r="J4" s="23">
        <v>40725</v>
      </c>
      <c r="K4" s="23">
        <v>40756</v>
      </c>
      <c r="L4" s="23">
        <v>40787</v>
      </c>
      <c r="M4" s="23">
        <v>40817</v>
      </c>
      <c r="N4" s="23">
        <v>40848</v>
      </c>
      <c r="O4" s="23">
        <v>40878</v>
      </c>
      <c r="P4" s="23">
        <v>40909</v>
      </c>
      <c r="Q4" s="23">
        <v>40940</v>
      </c>
      <c r="R4" s="23">
        <v>40969</v>
      </c>
      <c r="S4" s="23">
        <v>41000</v>
      </c>
      <c r="T4" s="23">
        <v>41030</v>
      </c>
      <c r="U4" s="23">
        <v>41061</v>
      </c>
      <c r="V4" s="23">
        <v>41091</v>
      </c>
      <c r="W4" s="23">
        <v>41122</v>
      </c>
      <c r="X4" s="23">
        <v>41153</v>
      </c>
      <c r="Y4" s="23">
        <v>41183</v>
      </c>
      <c r="Z4" s="23">
        <v>41214</v>
      </c>
      <c r="AA4" s="23">
        <v>41244</v>
      </c>
      <c r="AB4" s="23">
        <v>41275</v>
      </c>
      <c r="AC4" s="23">
        <v>41306</v>
      </c>
      <c r="AD4" s="23">
        <v>41334</v>
      </c>
      <c r="AE4" s="23">
        <v>41365</v>
      </c>
      <c r="AF4" s="23">
        <v>41395</v>
      </c>
      <c r="AG4" s="23">
        <v>41426</v>
      </c>
      <c r="AH4" s="23">
        <v>41456</v>
      </c>
      <c r="AI4" s="23">
        <v>41487</v>
      </c>
      <c r="AJ4" s="23">
        <v>41518</v>
      </c>
      <c r="AK4" s="23">
        <v>41548</v>
      </c>
      <c r="AL4" s="23">
        <v>41579</v>
      </c>
      <c r="AM4" s="23">
        <v>41609</v>
      </c>
      <c r="AN4" s="23">
        <v>41640</v>
      </c>
      <c r="AO4" s="23">
        <v>41671</v>
      </c>
      <c r="AP4" s="23">
        <v>41699</v>
      </c>
      <c r="AQ4" s="23">
        <v>41730</v>
      </c>
      <c r="AR4" s="23">
        <v>41760</v>
      </c>
      <c r="AS4" s="23">
        <v>41791</v>
      </c>
      <c r="AT4" s="23">
        <v>41821</v>
      </c>
      <c r="AU4" s="23">
        <v>41852</v>
      </c>
      <c r="AV4" s="23">
        <v>41883</v>
      </c>
      <c r="AW4" s="23">
        <v>41913</v>
      </c>
      <c r="AX4" s="23">
        <v>41944</v>
      </c>
      <c r="AY4" s="23">
        <v>41974</v>
      </c>
      <c r="AZ4" s="23">
        <v>42005</v>
      </c>
      <c r="BA4" s="23">
        <v>42036</v>
      </c>
      <c r="BB4" s="23">
        <v>42064</v>
      </c>
      <c r="BC4" s="23">
        <v>42095</v>
      </c>
      <c r="BD4" s="23">
        <v>42125</v>
      </c>
      <c r="BE4" s="23">
        <v>42156</v>
      </c>
      <c r="BF4" s="23">
        <v>42186</v>
      </c>
      <c r="BG4" s="23">
        <v>42217</v>
      </c>
      <c r="BH4" s="23">
        <v>42248</v>
      </c>
      <c r="BI4" s="23">
        <v>42278</v>
      </c>
      <c r="BJ4" s="23">
        <v>42309</v>
      </c>
      <c r="BK4" s="23">
        <v>42339</v>
      </c>
      <c r="BL4" s="23">
        <v>42370</v>
      </c>
      <c r="BM4" s="23">
        <v>42401</v>
      </c>
      <c r="BN4" s="23">
        <v>42430</v>
      </c>
      <c r="BO4" s="23">
        <v>42461</v>
      </c>
      <c r="BP4" s="23">
        <v>42491</v>
      </c>
      <c r="BQ4" s="23">
        <v>42522</v>
      </c>
      <c r="BR4" s="23">
        <v>42552</v>
      </c>
      <c r="BS4" s="23">
        <v>42583</v>
      </c>
      <c r="BT4" s="23">
        <v>42614</v>
      </c>
      <c r="BU4" s="23">
        <v>42644</v>
      </c>
      <c r="BV4" s="23">
        <v>42675</v>
      </c>
      <c r="BW4" s="23">
        <v>42705</v>
      </c>
      <c r="BX4" s="23">
        <v>42736</v>
      </c>
      <c r="BY4" s="23">
        <v>42767</v>
      </c>
      <c r="BZ4" s="23">
        <v>42795</v>
      </c>
      <c r="CA4" s="23">
        <v>42826</v>
      </c>
      <c r="CB4" s="23">
        <v>42856</v>
      </c>
      <c r="CC4" s="23">
        <v>42887</v>
      </c>
      <c r="CD4" s="23">
        <v>42917</v>
      </c>
      <c r="CE4" s="23">
        <v>42948</v>
      </c>
      <c r="CF4" s="23">
        <v>42979</v>
      </c>
      <c r="CG4" s="23">
        <v>43009</v>
      </c>
      <c r="CH4" s="23">
        <v>43040</v>
      </c>
      <c r="CI4" s="23">
        <v>43070</v>
      </c>
      <c r="CJ4" s="23">
        <v>43101</v>
      </c>
      <c r="CK4" s="23">
        <v>43132</v>
      </c>
      <c r="CL4" s="23">
        <v>43160</v>
      </c>
      <c r="CM4" s="23">
        <v>43191</v>
      </c>
      <c r="CN4" s="23">
        <v>43221</v>
      </c>
      <c r="CO4" s="23">
        <v>43252</v>
      </c>
      <c r="CP4" s="23">
        <v>43282</v>
      </c>
      <c r="CQ4" s="23">
        <v>43313</v>
      </c>
      <c r="CR4" s="23">
        <v>43344</v>
      </c>
      <c r="CS4" s="23">
        <v>43374</v>
      </c>
      <c r="CT4" s="23">
        <v>43405</v>
      </c>
      <c r="CU4" s="23">
        <v>43435</v>
      </c>
      <c r="CV4" s="23">
        <v>43466</v>
      </c>
      <c r="CW4" s="23">
        <v>43497</v>
      </c>
      <c r="CX4" s="23">
        <v>43525</v>
      </c>
      <c r="CY4" s="23">
        <v>43556</v>
      </c>
      <c r="CZ4" s="23">
        <v>43586</v>
      </c>
      <c r="DA4" s="23">
        <v>43617</v>
      </c>
      <c r="DB4" s="23">
        <v>43647</v>
      </c>
      <c r="DC4" s="23">
        <v>43678</v>
      </c>
      <c r="DD4" s="23">
        <v>43709</v>
      </c>
      <c r="DE4" s="23">
        <v>43739</v>
      </c>
      <c r="DF4" s="23">
        <v>43770</v>
      </c>
      <c r="DG4" s="23">
        <v>43800</v>
      </c>
      <c r="DH4" s="23">
        <v>43831</v>
      </c>
      <c r="DI4" s="23">
        <v>43862</v>
      </c>
      <c r="DJ4" s="23">
        <v>43891</v>
      </c>
      <c r="DK4" s="23">
        <v>43922</v>
      </c>
      <c r="DL4" s="23">
        <v>43952</v>
      </c>
      <c r="DM4" s="23">
        <v>43983</v>
      </c>
      <c r="DN4" s="23">
        <v>44013</v>
      </c>
      <c r="DO4" s="23">
        <v>44044</v>
      </c>
      <c r="DP4" s="23">
        <v>44075</v>
      </c>
      <c r="DQ4" s="23">
        <v>44105</v>
      </c>
      <c r="DR4" s="23">
        <v>44136</v>
      </c>
      <c r="DS4" s="23">
        <v>44166</v>
      </c>
      <c r="DT4" s="23">
        <v>44197</v>
      </c>
      <c r="DU4" s="23">
        <v>44228</v>
      </c>
      <c r="DV4" s="23">
        <v>44256</v>
      </c>
      <c r="DW4" s="23">
        <v>44287</v>
      </c>
      <c r="DX4" s="23">
        <v>44317</v>
      </c>
      <c r="DY4" s="23">
        <v>44348</v>
      </c>
      <c r="DZ4" s="23">
        <v>44378</v>
      </c>
      <c r="EA4" s="23">
        <v>44409</v>
      </c>
      <c r="EB4" s="23">
        <v>44440</v>
      </c>
      <c r="EC4" s="23">
        <v>44470</v>
      </c>
      <c r="ED4" s="23">
        <v>44501</v>
      </c>
      <c r="EE4" s="23">
        <v>44531</v>
      </c>
      <c r="EF4" s="23">
        <v>44562</v>
      </c>
      <c r="EG4" s="23">
        <v>44593</v>
      </c>
      <c r="EH4" s="23">
        <v>44621</v>
      </c>
      <c r="EI4" s="23">
        <v>44652</v>
      </c>
      <c r="EJ4" s="23">
        <v>44682</v>
      </c>
      <c r="EK4" s="23">
        <v>44713</v>
      </c>
      <c r="EL4" s="23">
        <v>44743</v>
      </c>
      <c r="EM4" s="23">
        <v>44774</v>
      </c>
      <c r="EN4" s="23">
        <v>44805</v>
      </c>
      <c r="EO4" s="23">
        <v>44835</v>
      </c>
      <c r="EP4" s="23">
        <v>44866</v>
      </c>
      <c r="EQ4" s="23">
        <v>44896</v>
      </c>
      <c r="ER4" s="23">
        <v>44927</v>
      </c>
      <c r="ES4" s="23">
        <v>44958</v>
      </c>
      <c r="ET4" s="23">
        <v>44986</v>
      </c>
      <c r="EU4" s="23">
        <v>45017</v>
      </c>
      <c r="EV4" s="23">
        <v>45047</v>
      </c>
      <c r="EW4" s="23">
        <v>45078</v>
      </c>
      <c r="EX4" s="23">
        <v>45108</v>
      </c>
      <c r="EY4" s="23">
        <v>45139</v>
      </c>
      <c r="EZ4" s="23">
        <v>45170</v>
      </c>
      <c r="FA4" s="23">
        <v>45200</v>
      </c>
      <c r="FB4" s="23">
        <v>45231</v>
      </c>
      <c r="FC4" s="23">
        <v>45261</v>
      </c>
      <c r="FD4" s="23">
        <v>45292</v>
      </c>
      <c r="FE4" s="23">
        <v>45323</v>
      </c>
      <c r="FF4" s="23">
        <v>45352</v>
      </c>
      <c r="FG4" s="23">
        <v>45383</v>
      </c>
      <c r="FH4" s="23">
        <v>45413</v>
      </c>
      <c r="FI4" s="23">
        <v>45444</v>
      </c>
      <c r="FJ4" s="23">
        <v>45474</v>
      </c>
      <c r="FK4" s="23">
        <v>45505</v>
      </c>
      <c r="FL4" s="23">
        <v>45536</v>
      </c>
      <c r="FM4" s="23">
        <v>45566</v>
      </c>
      <c r="FN4" s="23">
        <v>45597</v>
      </c>
      <c r="FO4" s="23">
        <v>45627</v>
      </c>
      <c r="FP4" s="23">
        <v>45658</v>
      </c>
      <c r="FQ4" s="23">
        <v>45689</v>
      </c>
      <c r="FR4" s="23">
        <v>45717</v>
      </c>
      <c r="FS4" s="23">
        <v>45748</v>
      </c>
      <c r="FT4" s="23">
        <v>45778</v>
      </c>
      <c r="FU4" s="23">
        <v>45809</v>
      </c>
      <c r="FV4" s="23">
        <v>45839</v>
      </c>
      <c r="FW4" s="23">
        <v>45870</v>
      </c>
      <c r="FX4" s="23">
        <v>45901</v>
      </c>
      <c r="FY4" s="23">
        <v>45931</v>
      </c>
      <c r="FZ4" s="23">
        <v>45962</v>
      </c>
      <c r="GA4" s="23">
        <v>45992</v>
      </c>
      <c r="GB4" s="23">
        <v>46023</v>
      </c>
      <c r="GC4" s="23">
        <v>46054</v>
      </c>
      <c r="GD4" s="23">
        <v>46082</v>
      </c>
      <c r="GE4" s="23">
        <v>46113</v>
      </c>
      <c r="GF4" s="23">
        <v>46143</v>
      </c>
      <c r="GG4" s="23">
        <v>46174</v>
      </c>
      <c r="GH4" s="23">
        <v>46204</v>
      </c>
      <c r="GI4" s="23">
        <v>46235</v>
      </c>
      <c r="GJ4" s="23">
        <v>46266</v>
      </c>
      <c r="GK4" s="23">
        <v>46296</v>
      </c>
      <c r="GL4" s="23">
        <v>46327</v>
      </c>
      <c r="GM4" s="23">
        <v>46357</v>
      </c>
      <c r="GN4" s="23">
        <v>46388</v>
      </c>
      <c r="GO4" s="23">
        <v>46419</v>
      </c>
      <c r="GP4" s="23">
        <v>46447</v>
      </c>
      <c r="GQ4" s="23">
        <v>46478</v>
      </c>
      <c r="GR4" s="23">
        <v>46508</v>
      </c>
      <c r="GS4" s="23">
        <v>46539</v>
      </c>
      <c r="GT4" s="23">
        <v>46569</v>
      </c>
      <c r="GU4" s="23">
        <v>46600</v>
      </c>
      <c r="GV4" s="23">
        <v>46631</v>
      </c>
      <c r="GW4" s="23">
        <v>46661</v>
      </c>
      <c r="GX4" s="23">
        <v>46692</v>
      </c>
      <c r="GY4" s="23">
        <v>46722</v>
      </c>
      <c r="GZ4" s="23">
        <v>46753</v>
      </c>
      <c r="HA4" s="23">
        <v>46784</v>
      </c>
      <c r="HB4" s="23">
        <v>46813</v>
      </c>
      <c r="HC4" s="23">
        <v>46844</v>
      </c>
      <c r="HD4" s="23">
        <v>46874</v>
      </c>
      <c r="HE4" s="23">
        <v>46905</v>
      </c>
      <c r="HF4" s="23">
        <v>46935</v>
      </c>
      <c r="HG4" s="23">
        <v>46966</v>
      </c>
      <c r="HH4" s="23">
        <v>46997</v>
      </c>
      <c r="HI4" s="23">
        <v>47027</v>
      </c>
      <c r="HJ4" s="23">
        <v>47058</v>
      </c>
      <c r="HK4" s="23">
        <v>47088</v>
      </c>
      <c r="HL4" s="23">
        <v>47119</v>
      </c>
      <c r="HM4" s="23">
        <v>47150</v>
      </c>
      <c r="HN4" s="23">
        <v>47178</v>
      </c>
      <c r="HO4" s="23">
        <v>47209</v>
      </c>
      <c r="HP4" s="23">
        <v>47239</v>
      </c>
      <c r="HQ4" s="23">
        <v>47270</v>
      </c>
      <c r="HR4" s="23">
        <v>47300</v>
      </c>
      <c r="HS4" s="23">
        <v>47331</v>
      </c>
      <c r="HT4" s="23">
        <v>47362</v>
      </c>
      <c r="HU4" s="23">
        <v>47392</v>
      </c>
      <c r="HV4" s="23">
        <v>47423</v>
      </c>
      <c r="HW4" s="23">
        <v>47453</v>
      </c>
      <c r="HX4" s="23">
        <v>47484</v>
      </c>
      <c r="HY4" s="23">
        <v>47515</v>
      </c>
      <c r="HZ4" s="23">
        <v>47543</v>
      </c>
      <c r="IA4" s="23">
        <v>47574</v>
      </c>
      <c r="IB4" s="23">
        <v>47604</v>
      </c>
      <c r="IC4" s="23">
        <v>47635</v>
      </c>
      <c r="ID4" s="23">
        <v>47665</v>
      </c>
      <c r="IE4" s="23">
        <v>47696</v>
      </c>
      <c r="IF4" s="23">
        <v>47727</v>
      </c>
      <c r="IG4" s="23">
        <v>47757</v>
      </c>
      <c r="IH4" s="23">
        <v>47788</v>
      </c>
      <c r="II4" s="23">
        <v>47818</v>
      </c>
      <c r="IJ4" s="23"/>
    </row>
    <row r="5" spans="1:244" s="1" customFormat="1" ht="10.199999999999999" x14ac:dyDescent="0.2">
      <c r="A5" s="11" t="s">
        <v>9</v>
      </c>
      <c r="B5" s="1" t="s">
        <v>256</v>
      </c>
      <c r="C5" s="70">
        <v>31.82</v>
      </c>
      <c r="P5" s="7">
        <v>71.841659976260885</v>
      </c>
      <c r="Q5" s="7">
        <v>71.789011981583499</v>
      </c>
      <c r="R5" s="7">
        <v>72.128395801059682</v>
      </c>
      <c r="S5" s="7">
        <v>72.632913782650377</v>
      </c>
      <c r="T5" s="7">
        <v>73.182412740458886</v>
      </c>
      <c r="U5" s="7">
        <v>73.193787516594114</v>
      </c>
      <c r="V5" s="7">
        <v>73.362599509598624</v>
      </c>
      <c r="W5" s="7">
        <v>74.212563022782433</v>
      </c>
      <c r="X5" s="7">
        <v>74.398141204019382</v>
      </c>
      <c r="Y5" s="7">
        <v>74.937835486523852</v>
      </c>
      <c r="Z5" s="7">
        <v>74.479838578040855</v>
      </c>
      <c r="AA5" s="7">
        <v>75.840036003783979</v>
      </c>
      <c r="AB5" s="7">
        <v>75.412861623336298</v>
      </c>
      <c r="AC5" s="7">
        <v>74.775307413082643</v>
      </c>
      <c r="AD5" s="7">
        <v>74.81059449251552</v>
      </c>
      <c r="AE5" s="7">
        <v>74.736036060322533</v>
      </c>
      <c r="AF5" s="7">
        <v>75.183802269802342</v>
      </c>
      <c r="AG5" s="7">
        <v>75.446047206768455</v>
      </c>
      <c r="AH5" s="7">
        <v>75.438341498815831</v>
      </c>
      <c r="AI5" s="7">
        <v>76.178603910227622</v>
      </c>
      <c r="AJ5" s="7">
        <v>76.453543361412656</v>
      </c>
      <c r="AK5" s="7">
        <v>77.249915368132775</v>
      </c>
      <c r="AL5" s="7">
        <v>77.505126113928497</v>
      </c>
      <c r="AM5" s="7">
        <v>77.520041850382114</v>
      </c>
      <c r="AN5" s="7">
        <v>76.212770528315687</v>
      </c>
      <c r="AO5" s="7">
        <v>76.069955446380092</v>
      </c>
      <c r="AP5" s="7">
        <v>75.907807281892559</v>
      </c>
      <c r="AQ5" s="7">
        <v>75.549267378005112</v>
      </c>
      <c r="AR5" s="7">
        <v>76.215064339080698</v>
      </c>
      <c r="AS5" s="7">
        <v>75.678496648549981</v>
      </c>
      <c r="AT5" s="7">
        <v>76.705815861856934</v>
      </c>
      <c r="AU5" s="7">
        <v>76.675133879535267</v>
      </c>
      <c r="AV5" s="7">
        <v>76.712194391905655</v>
      </c>
      <c r="AW5" s="7">
        <v>76.876815094254695</v>
      </c>
      <c r="AX5" s="7">
        <v>77.319966097819375</v>
      </c>
      <c r="AY5" s="7">
        <v>77.681951349869209</v>
      </c>
      <c r="AZ5" s="7">
        <v>76.863895342580548</v>
      </c>
      <c r="BA5" s="7">
        <v>76.940348779873304</v>
      </c>
      <c r="BB5" s="7">
        <v>76.637369125171617</v>
      </c>
      <c r="BC5" s="7">
        <v>77.462565032651256</v>
      </c>
      <c r="BD5" s="7">
        <v>77.707416338488599</v>
      </c>
      <c r="BE5" s="7">
        <v>77.905547190534847</v>
      </c>
      <c r="BF5" s="7">
        <v>78.893840061691776</v>
      </c>
      <c r="BG5" s="7">
        <v>78.345031824523275</v>
      </c>
      <c r="BH5" s="7">
        <v>78.73836522229054</v>
      </c>
      <c r="BI5" s="7">
        <v>79.284688153301971</v>
      </c>
      <c r="BJ5" s="7">
        <v>78.579577253721467</v>
      </c>
      <c r="BK5" s="7">
        <v>78.939786052610629</v>
      </c>
      <c r="BL5" s="7">
        <v>78.266426583300074</v>
      </c>
      <c r="BM5" s="7">
        <v>78.418794920513477</v>
      </c>
      <c r="BN5" s="7">
        <v>78.242375007793427</v>
      </c>
      <c r="BO5" s="7">
        <v>78.694824609580792</v>
      </c>
      <c r="BP5" s="7">
        <v>79.633316550713531</v>
      </c>
      <c r="BQ5" s="7">
        <v>79.078258546959816</v>
      </c>
      <c r="BR5" s="7">
        <v>79.21326512895935</v>
      </c>
      <c r="BS5" s="7">
        <v>79.362568436457892</v>
      </c>
      <c r="BT5" s="7">
        <v>79.463731267266368</v>
      </c>
      <c r="BU5" s="7">
        <v>78.796401599635729</v>
      </c>
      <c r="BV5" s="7">
        <v>78.772674545232547</v>
      </c>
      <c r="BW5" s="7">
        <v>78.459960948025696</v>
      </c>
      <c r="BX5" s="7">
        <v>77.731095641701003</v>
      </c>
      <c r="BY5" s="7">
        <v>77.820327123458952</v>
      </c>
      <c r="BZ5" s="7">
        <v>77.741017121899745</v>
      </c>
      <c r="CA5" s="7">
        <v>78.727270108891659</v>
      </c>
      <c r="CB5" s="7">
        <v>78.950019349030555</v>
      </c>
      <c r="CC5" s="7">
        <v>78.733969251115184</v>
      </c>
      <c r="CD5" s="7">
        <v>78.911413085774399</v>
      </c>
      <c r="CE5" s="7">
        <v>79.593182280460056</v>
      </c>
      <c r="CF5" s="7">
        <v>79.881936579490329</v>
      </c>
      <c r="CG5" s="7">
        <v>79.489099730969642</v>
      </c>
      <c r="CH5" s="7">
        <v>79.456672144655613</v>
      </c>
      <c r="CI5" s="7">
        <v>79.517049618414902</v>
      </c>
      <c r="CJ5" s="7">
        <v>78.813291844023368</v>
      </c>
      <c r="CK5" s="7">
        <v>78.811419330588706</v>
      </c>
      <c r="CL5" s="7">
        <v>79.044573793325512</v>
      </c>
      <c r="CM5" s="7">
        <v>79.666940785824167</v>
      </c>
      <c r="CN5" s="7">
        <v>79.886465439558179</v>
      </c>
      <c r="CO5" s="7">
        <v>79.53921659775817</v>
      </c>
      <c r="CP5" s="7">
        <v>79.383551258174009</v>
      </c>
      <c r="CQ5" s="7">
        <v>79.413235433530772</v>
      </c>
      <c r="CR5" s="7">
        <v>80.156964452739132</v>
      </c>
      <c r="CS5" s="7">
        <v>80.987484529251091</v>
      </c>
      <c r="CT5" s="7">
        <v>81.082744566406433</v>
      </c>
      <c r="CU5" s="7">
        <v>81.262294700960439</v>
      </c>
      <c r="CV5" s="7">
        <v>80.365832636788227</v>
      </c>
      <c r="CW5" s="7">
        <v>81.095570387037625</v>
      </c>
      <c r="CX5" s="7">
        <v>81.455063656609667</v>
      </c>
      <c r="CY5" s="7">
        <v>81.842483998274716</v>
      </c>
      <c r="CZ5" s="7">
        <v>81.751960346642505</v>
      </c>
      <c r="DA5" s="7">
        <v>82.017116508332521</v>
      </c>
      <c r="DB5" s="7">
        <v>82.469870909787616</v>
      </c>
      <c r="DC5" s="7">
        <v>82.451301260859182</v>
      </c>
      <c r="DD5" s="7">
        <v>82.733528912240104</v>
      </c>
      <c r="DE5" s="7">
        <v>82.971556204309792</v>
      </c>
      <c r="DF5" s="7">
        <v>83.174303102976282</v>
      </c>
      <c r="DG5" s="7">
        <v>83.490797751016515</v>
      </c>
      <c r="DH5" s="7">
        <v>83.591847578698932</v>
      </c>
      <c r="DI5" s="7">
        <v>83.716979349077135</v>
      </c>
      <c r="DJ5" s="7">
        <v>84.293080761192613</v>
      </c>
      <c r="DK5" s="7">
        <v>83.942303689276642</v>
      </c>
      <c r="DL5" s="7">
        <v>84.190059569420384</v>
      </c>
      <c r="DM5" s="7">
        <v>84.72546705168547</v>
      </c>
      <c r="DN5" s="7">
        <v>85.824600243024008</v>
      </c>
      <c r="DO5" s="7">
        <v>85.847561417214791</v>
      </c>
      <c r="DP5" s="7">
        <v>85.828590821332313</v>
      </c>
      <c r="DQ5" s="7">
        <v>86.371324595612791</v>
      </c>
      <c r="DR5" s="7">
        <v>86.152645082113878</v>
      </c>
      <c r="DS5" s="7">
        <v>86.402125460244548</v>
      </c>
      <c r="DT5" s="7">
        <v>85.816699284152932</v>
      </c>
      <c r="DU5" s="7">
        <v>86.057771091752073</v>
      </c>
      <c r="DV5" s="7">
        <v>86.775437070206024</v>
      </c>
      <c r="DW5" s="7">
        <v>87.357454694756839</v>
      </c>
      <c r="DX5" s="7">
        <v>87.878105353413304</v>
      </c>
      <c r="DY5" s="7">
        <v>88.578342629733186</v>
      </c>
      <c r="DZ5" s="7">
        <v>89.646956265298087</v>
      </c>
      <c r="EA5" s="7">
        <v>89.507619604817009</v>
      </c>
      <c r="EB5" s="7">
        <v>89.674704950318315</v>
      </c>
      <c r="EC5" s="7">
        <v>89.888768218225295</v>
      </c>
      <c r="ED5" s="7">
        <v>90.18951113438392</v>
      </c>
      <c r="EE5" s="7">
        <v>92.943869145594746</v>
      </c>
      <c r="EF5" s="7">
        <v>93.539654994227647</v>
      </c>
      <c r="EG5" s="7">
        <v>94.464877437088461</v>
      </c>
      <c r="EH5" s="7">
        <v>95.357028733995449</v>
      </c>
      <c r="EI5" s="7">
        <v>97.681808186043483</v>
      </c>
      <c r="EJ5" s="7">
        <v>98.59640053211433</v>
      </c>
      <c r="EK5" s="7">
        <v>99.167402444675801</v>
      </c>
      <c r="EL5" s="7">
        <v>100.78546164250791</v>
      </c>
      <c r="EM5" s="7">
        <v>102.42191923841403</v>
      </c>
      <c r="EN5" s="7">
        <v>103.51916235985335</v>
      </c>
      <c r="EO5" s="7">
        <v>103.77180958068895</v>
      </c>
      <c r="EP5" s="7">
        <v>105.01664568367353</v>
      </c>
      <c r="EQ5" s="7">
        <v>105.67782916671706</v>
      </c>
      <c r="ER5" s="7">
        <v>106.56447845473953</v>
      </c>
      <c r="ES5" s="7">
        <v>107.11903234559041</v>
      </c>
      <c r="ET5" s="7">
        <v>107.4092148860253</v>
      </c>
      <c r="EU5" s="7">
        <v>108.74475685233872</v>
      </c>
      <c r="EV5" s="7">
        <v>109.79451609559655</v>
      </c>
      <c r="EW5" s="7">
        <v>110.92696292682697</v>
      </c>
      <c r="EX5" s="7">
        <v>111.85555237427728</v>
      </c>
      <c r="EY5" s="7">
        <v>113.26513846836551</v>
      </c>
      <c r="EZ5" s="7">
        <v>113.56158968746985</v>
      </c>
      <c r="FA5" s="7">
        <v>113.95338838272826</v>
      </c>
      <c r="FB5" s="7">
        <v>113.51648325296607</v>
      </c>
      <c r="FC5" s="7">
        <v>113.23401288064559</v>
      </c>
      <c r="FD5" s="144">
        <v>112.2</v>
      </c>
      <c r="FE5" s="144">
        <v>113</v>
      </c>
      <c r="FF5" s="144">
        <v>113.8</v>
      </c>
      <c r="FG5" s="1">
        <v>115.1</v>
      </c>
      <c r="FH5" s="1">
        <v>115.6</v>
      </c>
      <c r="FI5" s="1">
        <v>116.6</v>
      </c>
      <c r="FJ5" s="7">
        <v>116.63219676854222</v>
      </c>
      <c r="FK5" s="7">
        <v>117.86556653526731</v>
      </c>
      <c r="FL5" s="7">
        <v>120.11619270018159</v>
      </c>
      <c r="FM5" s="7">
        <v>120.50318358408997</v>
      </c>
      <c r="FN5" s="7">
        <v>120.10243073894644</v>
      </c>
      <c r="FO5" s="7">
        <v>121.69980055083539</v>
      </c>
      <c r="FP5" s="7">
        <v>121.1</v>
      </c>
      <c r="FQ5" s="7">
        <v>121.2</v>
      </c>
      <c r="FR5" s="7">
        <v>122</v>
      </c>
      <c r="FS5" s="222">
        <v>123.508316476841</v>
      </c>
      <c r="FT5" s="223">
        <v>124.203797172677</v>
      </c>
      <c r="FU5" s="223">
        <v>124.899277868513</v>
      </c>
      <c r="FV5" s="223">
        <v>125.59475856434899</v>
      </c>
      <c r="FW5" s="224">
        <v>126.290239260185</v>
      </c>
      <c r="FX5" s="224">
        <v>126.985719956021</v>
      </c>
      <c r="FY5" s="224">
        <v>127.681200651856</v>
      </c>
      <c r="FZ5" s="224">
        <v>128.376681347692</v>
      </c>
      <c r="GA5" s="224">
        <v>129.07216204352801</v>
      </c>
      <c r="GB5" s="224">
        <v>129.76764273936399</v>
      </c>
      <c r="GC5" s="224">
        <v>130.4631234352</v>
      </c>
      <c r="GD5" s="224">
        <v>131.15860413103599</v>
      </c>
      <c r="GE5" s="224">
        <v>131.854084826872</v>
      </c>
      <c r="GF5" s="222">
        <v>132.54956552270801</v>
      </c>
      <c r="GG5" s="223">
        <v>133.24504621854399</v>
      </c>
      <c r="GH5" s="223">
        <v>133.94052691438</v>
      </c>
      <c r="GI5" s="223">
        <v>134.63600761021601</v>
      </c>
      <c r="GJ5" s="224">
        <v>135.33148830605199</v>
      </c>
      <c r="GK5" s="224">
        <v>136.02696900188701</v>
      </c>
      <c r="GL5" s="224">
        <v>136.72244969772299</v>
      </c>
      <c r="GM5" s="224">
        <v>137.417930393559</v>
      </c>
      <c r="GN5" s="224">
        <v>138.11341108939499</v>
      </c>
      <c r="GO5" s="224">
        <v>138.808891785231</v>
      </c>
      <c r="GP5" s="224">
        <v>139.50437248106701</v>
      </c>
      <c r="GQ5" s="224">
        <v>140.19985317690299</v>
      </c>
      <c r="GR5" s="224">
        <v>140.895333872739</v>
      </c>
      <c r="GS5" s="222">
        <v>141.59081456857501</v>
      </c>
      <c r="GT5" s="223">
        <v>142.286295264411</v>
      </c>
      <c r="GU5" s="223">
        <v>142.98177596024701</v>
      </c>
      <c r="GV5" s="223">
        <v>143.67725665608299</v>
      </c>
      <c r="GW5" s="224">
        <v>144.372737351919</v>
      </c>
      <c r="GX5" s="224">
        <v>145.06821804775399</v>
      </c>
      <c r="GY5" s="224">
        <v>145.76369874359</v>
      </c>
      <c r="GZ5" s="224">
        <v>146.45917943942601</v>
      </c>
      <c r="HA5" s="224">
        <v>147.15466013526199</v>
      </c>
      <c r="HB5" s="224">
        <v>147.850140831098</v>
      </c>
      <c r="HC5" s="224">
        <v>148.54562152693401</v>
      </c>
      <c r="HD5" s="224">
        <v>149.24110222277</v>
      </c>
      <c r="HE5" s="224"/>
      <c r="HF5" s="222"/>
      <c r="HG5" s="223"/>
      <c r="HH5" s="223"/>
      <c r="HI5" s="223"/>
      <c r="HJ5" s="224"/>
      <c r="HK5" s="224"/>
      <c r="HL5" s="224"/>
      <c r="HM5" s="7"/>
      <c r="HN5" s="7"/>
      <c r="HO5" s="7"/>
      <c r="HP5" s="7"/>
      <c r="HQ5" s="7"/>
      <c r="HR5" s="7"/>
      <c r="HS5" s="144"/>
      <c r="HW5" s="7"/>
      <c r="HX5" s="7"/>
      <c r="HY5" s="7"/>
      <c r="HZ5" s="7"/>
      <c r="IA5" s="7"/>
      <c r="IB5" s="7"/>
      <c r="IC5" s="7"/>
      <c r="ID5" s="7"/>
      <c r="IE5" s="7"/>
      <c r="IF5" s="144"/>
    </row>
    <row r="6" spans="1:244" s="200" customFormat="1" ht="10.199999999999999" hidden="1" x14ac:dyDescent="0.2">
      <c r="A6" s="199"/>
      <c r="B6" s="200" t="s">
        <v>97</v>
      </c>
      <c r="C6" s="201"/>
      <c r="P6" s="202">
        <v>71.654747626348907</v>
      </c>
      <c r="Q6" s="202">
        <v>71.594503864805745</v>
      </c>
      <c r="R6" s="202">
        <v>71.928621791061474</v>
      </c>
      <c r="S6" s="202">
        <v>72.451133076226796</v>
      </c>
      <c r="T6" s="202">
        <v>73.01402470527691</v>
      </c>
      <c r="U6" s="202">
        <v>73.023653895821042</v>
      </c>
      <c r="V6" s="202">
        <v>73.205504809539505</v>
      </c>
      <c r="W6" s="202">
        <v>74.06567501785824</v>
      </c>
      <c r="X6" s="202">
        <v>74.235022743304228</v>
      </c>
      <c r="Y6" s="202">
        <v>74.787488243798649</v>
      </c>
      <c r="Z6" s="202">
        <v>74.315130660748466</v>
      </c>
      <c r="AA6" s="202">
        <v>75.703498788638143</v>
      </c>
      <c r="AB6" s="202">
        <v>75.250147376351123</v>
      </c>
      <c r="AC6" s="202">
        <v>74.598380682664413</v>
      </c>
      <c r="AD6" s="202">
        <v>74.635914440662859</v>
      </c>
      <c r="AE6" s="202">
        <v>74.560514690987304</v>
      </c>
      <c r="AF6" s="202">
        <v>75.005710301806047</v>
      </c>
      <c r="AG6" s="202">
        <v>75.278208540608617</v>
      </c>
      <c r="AH6" s="202">
        <v>75.27979755320581</v>
      </c>
      <c r="AI6" s="202">
        <v>76.037497826404334</v>
      </c>
      <c r="AJ6" s="202">
        <v>76.319646022663193</v>
      </c>
      <c r="AK6" s="202">
        <v>77.124858685924764</v>
      </c>
      <c r="AL6" s="202">
        <v>77.395327986539399</v>
      </c>
      <c r="AM6" s="202">
        <v>77.409662141611278</v>
      </c>
      <c r="AN6" s="202">
        <v>76.074791568243654</v>
      </c>
      <c r="AO6" s="202">
        <v>75.926611000481046</v>
      </c>
      <c r="AP6" s="202">
        <v>75.759879676146113</v>
      </c>
      <c r="AQ6" s="202">
        <v>75.390703123086851</v>
      </c>
      <c r="AR6" s="202">
        <v>76.074097318085123</v>
      </c>
      <c r="AS6" s="202">
        <v>75.533846822000186</v>
      </c>
      <c r="AT6" s="202">
        <v>76.568015893722844</v>
      </c>
      <c r="AU6" s="202">
        <v>76.526956979837081</v>
      </c>
      <c r="AV6" s="202">
        <v>76.56600055057028</v>
      </c>
      <c r="AW6" s="202">
        <v>76.732752290242303</v>
      </c>
      <c r="AX6" s="202">
        <v>77.179575561606683</v>
      </c>
      <c r="AY6" s="202">
        <v>77.553858423158587</v>
      </c>
      <c r="AZ6" s="202">
        <v>76.717649131069109</v>
      </c>
      <c r="BA6" s="202">
        <v>76.785489220035615</v>
      </c>
      <c r="BB6" s="202">
        <v>76.446189955225677</v>
      </c>
      <c r="BC6" s="202">
        <v>77.280432240178826</v>
      </c>
      <c r="BD6" s="202">
        <v>77.528807234124599</v>
      </c>
      <c r="BE6" s="202">
        <v>77.721537774270203</v>
      </c>
      <c r="BF6" s="202">
        <v>78.72490643542848</v>
      </c>
      <c r="BG6" s="202">
        <v>78.168182595435368</v>
      </c>
      <c r="BH6" s="202">
        <v>78.563006715047464</v>
      </c>
      <c r="BI6" s="202">
        <v>79.122206403185189</v>
      </c>
      <c r="BJ6" s="202">
        <v>78.410658510719543</v>
      </c>
      <c r="BK6" s="202">
        <v>78.774923246549179</v>
      </c>
      <c r="BL6" s="202">
        <v>78.087609905051437</v>
      </c>
      <c r="BM6" s="202">
        <v>78.23756903746353</v>
      </c>
      <c r="BN6" s="202">
        <v>78.062227010707048</v>
      </c>
      <c r="BO6" s="202">
        <v>78.537743900960294</v>
      </c>
      <c r="BP6" s="202">
        <v>79.492581944562446</v>
      </c>
      <c r="BQ6" s="202">
        <v>78.925421224149162</v>
      </c>
      <c r="BR6" s="202">
        <v>79.06330423625478</v>
      </c>
      <c r="BS6" s="202">
        <v>79.210518145243086</v>
      </c>
      <c r="BT6" s="202">
        <v>79.314405223937257</v>
      </c>
      <c r="BU6" s="202">
        <v>78.632766403678218</v>
      </c>
      <c r="BV6" s="202">
        <v>78.612406384217181</v>
      </c>
      <c r="BW6" s="202">
        <v>78.292013573153966</v>
      </c>
      <c r="BX6" s="202">
        <v>77.540550040558074</v>
      </c>
      <c r="BY6" s="202">
        <v>77.632511020763118</v>
      </c>
      <c r="BZ6" s="202">
        <v>77.558586666771745</v>
      </c>
      <c r="CA6" s="202">
        <v>78.558747634389519</v>
      </c>
      <c r="CB6" s="202">
        <v>78.788554306699311</v>
      </c>
      <c r="CC6" s="202">
        <v>78.568116908807482</v>
      </c>
      <c r="CD6" s="202">
        <v>78.740208991036766</v>
      </c>
      <c r="CE6" s="202">
        <v>79.436229927621355</v>
      </c>
      <c r="CF6" s="202">
        <v>79.730304944230198</v>
      </c>
      <c r="CG6" s="202">
        <v>79.332144257202927</v>
      </c>
      <c r="CH6" s="202">
        <v>79.300915714989998</v>
      </c>
      <c r="CI6" s="202">
        <v>79.358989597795514</v>
      </c>
      <c r="CJ6" s="202">
        <v>78.639511998835076</v>
      </c>
      <c r="CK6" s="202">
        <v>78.639308659192309</v>
      </c>
      <c r="CL6" s="202">
        <v>78.875885326327932</v>
      </c>
      <c r="CM6" s="202">
        <v>79.505056181372353</v>
      </c>
      <c r="CN6" s="202">
        <v>79.722990582507109</v>
      </c>
      <c r="CO6" s="202">
        <v>79.367243089947337</v>
      </c>
      <c r="CP6" s="202">
        <v>79.210430248640208</v>
      </c>
      <c r="CQ6" s="202">
        <v>79.240901233204312</v>
      </c>
      <c r="CR6" s="202">
        <v>79.989326674458965</v>
      </c>
      <c r="CS6" s="202">
        <v>80.833913088391824</v>
      </c>
      <c r="CT6" s="202">
        <v>80.928511532857343</v>
      </c>
      <c r="CU6" s="202">
        <v>81.108503343746321</v>
      </c>
      <c r="CV6" s="202">
        <v>80.195419042199532</v>
      </c>
      <c r="CW6" s="202">
        <v>80.937305530368604</v>
      </c>
      <c r="CX6" s="202">
        <v>81.270935127795582</v>
      </c>
      <c r="CY6" s="202">
        <v>81.655627975330972</v>
      </c>
      <c r="CZ6" s="202">
        <v>81.564553687396725</v>
      </c>
      <c r="DA6" s="202">
        <v>81.833539621819213</v>
      </c>
      <c r="DB6" s="202">
        <v>82.294196324441828</v>
      </c>
      <c r="DC6" s="202">
        <v>82.269692687622921</v>
      </c>
      <c r="DD6" s="202">
        <v>82.555576947441367</v>
      </c>
      <c r="DE6" s="202">
        <v>82.781435412866045</v>
      </c>
      <c r="DF6" s="202">
        <v>82.991727557964538</v>
      </c>
      <c r="DG6" s="202">
        <v>83.305715276521425</v>
      </c>
      <c r="DH6" s="202">
        <v>83.409854603659795</v>
      </c>
      <c r="DI6" s="202">
        <v>83.538141342444675</v>
      </c>
      <c r="DJ6" s="202">
        <v>84.122840239973129</v>
      </c>
      <c r="DK6" s="202">
        <v>83.763573372444696</v>
      </c>
      <c r="DL6" s="202">
        <v>84.012429520099971</v>
      </c>
      <c r="DM6" s="202">
        <v>84.556049177177613</v>
      </c>
      <c r="DN6" s="202">
        <v>85.673021705705494</v>
      </c>
      <c r="DO6" s="202">
        <v>85.691929413959244</v>
      </c>
      <c r="DP6" s="202">
        <v>85.662410449984876</v>
      </c>
      <c r="DQ6" s="202">
        <v>86.212833665148807</v>
      </c>
      <c r="DR6" s="202">
        <v>85.991852210856692</v>
      </c>
      <c r="DS6" s="202">
        <v>86.244051900052654</v>
      </c>
      <c r="DT6" s="202">
        <v>85.647729159562132</v>
      </c>
      <c r="DU6" s="202">
        <v>85.891778979612837</v>
      </c>
      <c r="DV6" s="202">
        <v>86.620803271686412</v>
      </c>
      <c r="DW6" s="202">
        <v>87.210262380184062</v>
      </c>
      <c r="DX6" s="202">
        <v>87.73898674151819</v>
      </c>
      <c r="DY6" s="202">
        <v>88.445808517975578</v>
      </c>
      <c r="DZ6" s="202">
        <v>89.527783883723686</v>
      </c>
      <c r="EA6" s="202">
        <v>89.380197762187009</v>
      </c>
      <c r="EB6" s="202">
        <v>89.545777063163939</v>
      </c>
      <c r="EC6" s="202">
        <v>89.763417125368051</v>
      </c>
      <c r="ED6" s="202">
        <v>90.06727762014512</v>
      </c>
      <c r="EE6" s="202">
        <v>92.862378761944839</v>
      </c>
      <c r="EF6" s="202">
        <v>93.46583741342738</v>
      </c>
      <c r="EG6" s="202">
        <v>94.391774681473862</v>
      </c>
      <c r="EH6" s="202">
        <v>95.288935414631354</v>
      </c>
      <c r="EI6" s="202">
        <v>97.653475909208268</v>
      </c>
      <c r="EJ6" s="202">
        <v>98.57709308400338</v>
      </c>
      <c r="EK6" s="202">
        <v>99.15631452505896</v>
      </c>
      <c r="EL6" s="202">
        <v>100.79541567796713</v>
      </c>
      <c r="EM6" s="202">
        <v>102.44957570565916</v>
      </c>
      <c r="EN6" s="202">
        <v>103.56584034482066</v>
      </c>
      <c r="EO6" s="202">
        <v>103.82397767219474</v>
      </c>
      <c r="EP6" s="202">
        <v>105.08336650722613</v>
      </c>
      <c r="EQ6" s="202">
        <v>105.74839306432875</v>
      </c>
      <c r="ER6" s="202">
        <v>106.7</v>
      </c>
      <c r="ES6" s="202">
        <v>107.3</v>
      </c>
      <c r="ET6" s="202">
        <v>107.6</v>
      </c>
      <c r="EU6" s="202">
        <v>108.9</v>
      </c>
      <c r="EV6" s="202">
        <v>110</v>
      </c>
      <c r="EW6" s="200">
        <v>111.2</v>
      </c>
      <c r="EX6" s="200">
        <v>112.2</v>
      </c>
      <c r="EY6" s="200">
        <v>113.6</v>
      </c>
      <c r="EZ6" s="200">
        <v>113.9</v>
      </c>
      <c r="FA6" s="200">
        <v>114.3</v>
      </c>
      <c r="FB6" s="200">
        <v>113.9</v>
      </c>
      <c r="FC6" s="200">
        <v>113.8</v>
      </c>
      <c r="FD6" s="200">
        <v>112.5</v>
      </c>
      <c r="FE6" s="200">
        <v>113.3</v>
      </c>
      <c r="FF6" s="200">
        <v>114.2</v>
      </c>
      <c r="FG6" s="200">
        <v>115.5</v>
      </c>
      <c r="FH6" s="203">
        <v>116</v>
      </c>
      <c r="FI6" s="200">
        <v>117</v>
      </c>
      <c r="FJ6" s="202">
        <v>117.1</v>
      </c>
      <c r="FK6" s="202">
        <v>118.3</v>
      </c>
      <c r="FL6" s="202">
        <v>120.7</v>
      </c>
      <c r="FM6" s="202">
        <v>121</v>
      </c>
      <c r="FN6" s="202">
        <v>120.6</v>
      </c>
      <c r="FO6" s="202">
        <v>122.3</v>
      </c>
      <c r="FP6" s="202">
        <v>121.6</v>
      </c>
      <c r="FQ6" s="202">
        <v>121.8</v>
      </c>
      <c r="FR6" s="202">
        <v>122.5</v>
      </c>
      <c r="FS6" s="223"/>
      <c r="FT6" s="223"/>
      <c r="FU6" s="222"/>
      <c r="FV6" s="223"/>
      <c r="FW6" s="224"/>
      <c r="FX6" s="224"/>
      <c r="FY6" s="224"/>
      <c r="FZ6" s="224"/>
      <c r="GA6" s="224"/>
      <c r="GB6" s="224"/>
      <c r="GC6" s="224"/>
      <c r="GD6" s="224"/>
      <c r="GE6" s="224"/>
      <c r="GF6" s="223"/>
      <c r="GG6" s="223"/>
      <c r="GH6" s="222"/>
      <c r="GI6" s="223"/>
      <c r="GJ6" s="224"/>
      <c r="GK6" s="224"/>
      <c r="GL6" s="224"/>
      <c r="GM6" s="224"/>
      <c r="GN6" s="224"/>
      <c r="GO6" s="224"/>
      <c r="GP6" s="224"/>
      <c r="GQ6" s="224"/>
      <c r="GR6" s="224"/>
      <c r="GS6" s="223"/>
      <c r="GT6" s="223"/>
      <c r="GU6" s="222"/>
      <c r="GV6" s="223"/>
      <c r="GW6" s="224"/>
      <c r="GX6" s="224"/>
      <c r="GY6" s="224"/>
      <c r="GZ6" s="224"/>
      <c r="HA6" s="224"/>
      <c r="HB6" s="224"/>
      <c r="HC6" s="224"/>
      <c r="HD6" s="224"/>
      <c r="HE6" s="224"/>
      <c r="HF6" s="223"/>
      <c r="HG6" s="223"/>
      <c r="HH6" s="222"/>
      <c r="HI6" s="223"/>
      <c r="HJ6" s="224"/>
      <c r="HK6" s="224"/>
      <c r="HL6" s="224"/>
      <c r="HM6" s="202"/>
      <c r="HN6" s="202"/>
      <c r="HO6" s="202"/>
      <c r="HP6" s="202"/>
      <c r="HQ6" s="202"/>
      <c r="HR6" s="202"/>
      <c r="HU6" s="203"/>
      <c r="HW6" s="202"/>
      <c r="HX6" s="202"/>
      <c r="HY6" s="202"/>
      <c r="HZ6" s="202"/>
      <c r="IA6" s="202"/>
      <c r="IB6" s="202"/>
      <c r="IC6" s="202"/>
      <c r="ID6" s="202"/>
      <c r="IE6" s="202"/>
      <c r="IH6" s="203"/>
    </row>
    <row r="7" spans="1:244" s="200" customFormat="1" ht="10.199999999999999" hidden="1" x14ac:dyDescent="0.2">
      <c r="A7" s="199"/>
      <c r="B7" s="200" t="s">
        <v>257</v>
      </c>
      <c r="C7" s="201"/>
      <c r="P7" s="202">
        <v>81.573491816676452</v>
      </c>
      <c r="Q7" s="202">
        <v>81.844686238034811</v>
      </c>
      <c r="R7" s="202">
        <v>82.5214354128248</v>
      </c>
      <c r="S7" s="202">
        <v>82.014032609209295</v>
      </c>
      <c r="T7" s="202">
        <v>81.911215454629385</v>
      </c>
      <c r="U7" s="202">
        <v>82.017064342423325</v>
      </c>
      <c r="V7" s="202">
        <v>81.406434150465415</v>
      </c>
      <c r="W7" s="202">
        <v>81.651617931340027</v>
      </c>
      <c r="X7" s="202">
        <v>82.722631041246814</v>
      </c>
      <c r="Y7" s="202">
        <v>82.603997061586938</v>
      </c>
      <c r="Z7" s="202">
        <v>82.93072914223778</v>
      </c>
      <c r="AA7" s="202">
        <v>82.841908514691923</v>
      </c>
      <c r="AB7" s="202">
        <v>83.835541288482716</v>
      </c>
      <c r="AC7" s="202">
        <v>83.990396202647759</v>
      </c>
      <c r="AD7" s="202">
        <v>83.887495118388273</v>
      </c>
      <c r="AE7" s="202">
        <v>83.886781809112847</v>
      </c>
      <c r="AF7" s="202">
        <v>84.430309331856975</v>
      </c>
      <c r="AG7" s="202">
        <v>84.119247805463104</v>
      </c>
      <c r="AH7" s="202">
        <v>83.664553443139283</v>
      </c>
      <c r="AI7" s="202">
        <v>83.44873067532707</v>
      </c>
      <c r="AJ7" s="202">
        <v>83.258803145436261</v>
      </c>
      <c r="AK7" s="202">
        <v>83.687109582606041</v>
      </c>
      <c r="AL7" s="202">
        <v>83.218080508496854</v>
      </c>
      <c r="AM7" s="202">
        <v>83.302581877671386</v>
      </c>
      <c r="AN7" s="202">
        <v>83.451536807766644</v>
      </c>
      <c r="AO7" s="202">
        <v>83.537462550387502</v>
      </c>
      <c r="AP7" s="202">
        <v>83.614804489966716</v>
      </c>
      <c r="AQ7" s="202">
        <v>83.835411638880032</v>
      </c>
      <c r="AR7" s="202">
        <v>83.562996709561261</v>
      </c>
      <c r="AS7" s="202">
        <v>83.264736796459516</v>
      </c>
      <c r="AT7" s="202">
        <v>83.977164681460096</v>
      </c>
      <c r="AU7" s="202">
        <v>84.435642277689254</v>
      </c>
      <c r="AV7" s="202">
        <v>84.383423420457987</v>
      </c>
      <c r="AW7" s="202">
        <v>84.329212391563317</v>
      </c>
      <c r="AX7" s="202">
        <v>84.572493167073716</v>
      </c>
      <c r="AY7" s="202">
        <v>84.339205031683733</v>
      </c>
      <c r="AZ7" s="202">
        <v>84.539840972091483</v>
      </c>
      <c r="BA7" s="202">
        <v>85.141367762625265</v>
      </c>
      <c r="BB7" s="202">
        <v>86.64032856002963</v>
      </c>
      <c r="BC7" s="202">
        <v>86.93129447072009</v>
      </c>
      <c r="BD7" s="202">
        <v>87.040483126862114</v>
      </c>
      <c r="BE7" s="202">
        <v>87.549332691796536</v>
      </c>
      <c r="BF7" s="202">
        <v>87.63620406559275</v>
      </c>
      <c r="BG7" s="202">
        <v>87.53646482078085</v>
      </c>
      <c r="BH7" s="202">
        <v>87.837796581396546</v>
      </c>
      <c r="BI7" s="202">
        <v>87.640906492614349</v>
      </c>
      <c r="BJ7" s="202">
        <v>87.403143053391091</v>
      </c>
      <c r="BK7" s="202">
        <v>87.497766089831245</v>
      </c>
      <c r="BL7" s="202">
        <v>87.590502238879381</v>
      </c>
      <c r="BM7" s="202">
        <v>87.913125738851718</v>
      </c>
      <c r="BN7" s="202">
        <v>87.66791446617674</v>
      </c>
      <c r="BO7" s="202">
        <v>86.993105338959623</v>
      </c>
      <c r="BP7" s="202">
        <v>87.078903119884757</v>
      </c>
      <c r="BQ7" s="202">
        <v>87.148729789359706</v>
      </c>
      <c r="BR7" s="202">
        <v>87.060376546567539</v>
      </c>
      <c r="BS7" s="202">
        <v>87.29592199159454</v>
      </c>
      <c r="BT7" s="202">
        <v>87.260955915677485</v>
      </c>
      <c r="BU7" s="202">
        <v>87.450849947707681</v>
      </c>
      <c r="BV7" s="202">
        <v>87.275678119349024</v>
      </c>
      <c r="BW7" s="202">
        <v>87.395493300631685</v>
      </c>
      <c r="BX7" s="202">
        <v>87.948340670345502</v>
      </c>
      <c r="BY7" s="202">
        <v>87.840699237245246</v>
      </c>
      <c r="BZ7" s="202">
        <v>87.487240010281823</v>
      </c>
      <c r="CA7" s="202">
        <v>87.814786913456913</v>
      </c>
      <c r="CB7" s="202">
        <v>87.622816458178818</v>
      </c>
      <c r="CC7" s="202">
        <v>87.581933094798416</v>
      </c>
      <c r="CD7" s="202">
        <v>87.956110102876053</v>
      </c>
      <c r="CE7" s="202">
        <v>87.845835403510378</v>
      </c>
      <c r="CF7" s="202">
        <v>87.768659417362244</v>
      </c>
      <c r="CG7" s="202">
        <v>87.665059734273342</v>
      </c>
      <c r="CH7" s="202">
        <v>87.657425614903545</v>
      </c>
      <c r="CI7" s="202">
        <v>87.827683557258808</v>
      </c>
      <c r="CJ7" s="202">
        <v>87.959817445309298</v>
      </c>
      <c r="CK7" s="202">
        <v>87.884245004480064</v>
      </c>
      <c r="CL7" s="202">
        <v>87.916056211110828</v>
      </c>
      <c r="CM7" s="202">
        <v>88.282094969707913</v>
      </c>
      <c r="CN7" s="202">
        <v>88.601030384566599</v>
      </c>
      <c r="CO7" s="202">
        <v>88.632983957152348</v>
      </c>
      <c r="CP7" s="202">
        <v>88.525744012622411</v>
      </c>
      <c r="CQ7" s="202">
        <v>88.515413794631186</v>
      </c>
      <c r="CR7" s="202">
        <v>88.97213233119578</v>
      </c>
      <c r="CS7" s="202">
        <v>89.152980065536724</v>
      </c>
      <c r="CT7" s="202">
        <v>89.315001087333954</v>
      </c>
      <c r="CU7" s="202">
        <v>89.499181857786311</v>
      </c>
      <c r="CV7" s="202">
        <v>89.435816045427799</v>
      </c>
      <c r="CW7" s="202">
        <v>89.638223891083186</v>
      </c>
      <c r="CX7" s="202">
        <v>91.283811491895023</v>
      </c>
      <c r="CY7" s="202">
        <v>91.806138827680201</v>
      </c>
      <c r="CZ7" s="202">
        <v>91.770148790494446</v>
      </c>
      <c r="DA7" s="202">
        <v>91.830232958059483</v>
      </c>
      <c r="DB7" s="202">
        <v>91.809346599877841</v>
      </c>
      <c r="DC7" s="202">
        <v>92.150592464424776</v>
      </c>
      <c r="DD7" s="202">
        <v>92.231629568945877</v>
      </c>
      <c r="DE7" s="202">
        <v>93.165164519526229</v>
      </c>
      <c r="DF7" s="202">
        <v>92.98739399226217</v>
      </c>
      <c r="DG7" s="202">
        <v>93.477523453935618</v>
      </c>
      <c r="DH7" s="202">
        <v>93.369886789074968</v>
      </c>
      <c r="DI7" s="202">
        <v>93.345982265918593</v>
      </c>
      <c r="DJ7" s="202">
        <v>93.487342210752089</v>
      </c>
      <c r="DK7" s="202">
        <v>93.62213871297584</v>
      </c>
      <c r="DL7" s="202">
        <v>93.877323857547637</v>
      </c>
      <c r="DM7" s="202">
        <v>93.955064620658845</v>
      </c>
      <c r="DN7" s="202">
        <v>93.985107741098687</v>
      </c>
      <c r="DO7" s="202">
        <v>94.263740264915072</v>
      </c>
      <c r="DP7" s="202">
        <v>94.880596408221422</v>
      </c>
      <c r="DQ7" s="202">
        <v>95.023899211717662</v>
      </c>
      <c r="DR7" s="202">
        <v>94.914273277365766</v>
      </c>
      <c r="DS7" s="202">
        <v>95.003151219073999</v>
      </c>
      <c r="DT7" s="202">
        <v>95.065060812689936</v>
      </c>
      <c r="DU7" s="202">
        <v>95.152029978865301</v>
      </c>
      <c r="DV7" s="202">
        <v>95.243816393844725</v>
      </c>
      <c r="DW7" s="202">
        <v>95.392968692857934</v>
      </c>
      <c r="DX7" s="202">
        <v>95.441199221173179</v>
      </c>
      <c r="DY7" s="202">
        <v>95.769924858673861</v>
      </c>
      <c r="DZ7" s="202">
        <v>96.071734000704566</v>
      </c>
      <c r="EA7" s="202">
        <v>96.348180647316823</v>
      </c>
      <c r="EB7" s="202">
        <v>96.563491703286402</v>
      </c>
      <c r="EC7" s="202">
        <v>96.579052786093257</v>
      </c>
      <c r="ED7" s="202">
        <v>96.723987378039851</v>
      </c>
      <c r="EE7" s="202">
        <v>97.34089198362075</v>
      </c>
      <c r="EF7" s="202">
        <v>97.45515313354619</v>
      </c>
      <c r="EG7" s="202">
        <v>98.252151218999956</v>
      </c>
      <c r="EH7" s="202">
        <v>98.909987770066522</v>
      </c>
      <c r="EI7" s="202">
        <v>99.185686529417993</v>
      </c>
      <c r="EJ7" s="202">
        <v>99.648177642776389</v>
      </c>
      <c r="EK7" s="202">
        <v>99.837700076441749</v>
      </c>
      <c r="EL7" s="202">
        <v>100.31600787554889</v>
      </c>
      <c r="EM7" s="202">
        <v>100.91954909229148</v>
      </c>
      <c r="EN7" s="202">
        <v>100.99159909678745</v>
      </c>
      <c r="EO7" s="202">
        <v>101.02734318092973</v>
      </c>
      <c r="EP7" s="202">
        <v>101.46796157146701</v>
      </c>
      <c r="EQ7" s="202">
        <v>101.9886828117267</v>
      </c>
      <c r="ER7" s="202">
        <v>101.9</v>
      </c>
      <c r="ES7" s="202">
        <v>102.3</v>
      </c>
      <c r="ET7" s="202">
        <v>102.5</v>
      </c>
      <c r="EU7" s="202">
        <v>102.7</v>
      </c>
      <c r="EV7" s="202">
        <v>102.7</v>
      </c>
      <c r="EW7" s="200">
        <v>102.8</v>
      </c>
      <c r="EX7" s="200">
        <v>102.9</v>
      </c>
      <c r="EY7" s="200">
        <v>103</v>
      </c>
      <c r="EZ7" s="200">
        <v>103.1</v>
      </c>
      <c r="FA7" s="200">
        <v>103.1</v>
      </c>
      <c r="FB7" s="200">
        <v>103.1</v>
      </c>
      <c r="FC7" s="200">
        <v>103.1</v>
      </c>
      <c r="FD7" s="200">
        <v>103.4</v>
      </c>
      <c r="FE7" s="200">
        <v>103.5</v>
      </c>
      <c r="FF7" s="200">
        <v>103.6</v>
      </c>
      <c r="FG7" s="200">
        <v>103.7</v>
      </c>
      <c r="FH7" s="203">
        <v>103.8</v>
      </c>
      <c r="FI7" s="200">
        <v>104</v>
      </c>
      <c r="FJ7" s="202">
        <v>104</v>
      </c>
      <c r="FK7" s="202">
        <v>104</v>
      </c>
      <c r="FL7" s="202">
        <v>104.1</v>
      </c>
      <c r="FM7" s="202">
        <v>104.2</v>
      </c>
      <c r="FN7" s="202">
        <v>104.3</v>
      </c>
      <c r="FO7" s="202">
        <v>104.3</v>
      </c>
      <c r="FP7" s="202">
        <v>104.6</v>
      </c>
      <c r="FQ7" s="202">
        <v>104.7</v>
      </c>
      <c r="FR7" s="202">
        <v>105</v>
      </c>
      <c r="FS7" s="223"/>
      <c r="FT7" s="223"/>
      <c r="FU7" s="222"/>
      <c r="FV7" s="223"/>
      <c r="FW7" s="224"/>
      <c r="FX7" s="224"/>
      <c r="FY7" s="224"/>
      <c r="FZ7" s="224"/>
      <c r="GA7" s="224"/>
      <c r="GB7" s="224"/>
      <c r="GC7" s="224"/>
      <c r="GD7" s="224"/>
      <c r="GE7" s="224"/>
      <c r="GF7" s="223"/>
      <c r="GG7" s="223"/>
      <c r="GH7" s="222"/>
      <c r="GI7" s="223"/>
      <c r="GJ7" s="224"/>
      <c r="GK7" s="224"/>
      <c r="GL7" s="224"/>
      <c r="GM7" s="224"/>
      <c r="GN7" s="224"/>
      <c r="GO7" s="224"/>
      <c r="GP7" s="224"/>
      <c r="GQ7" s="224"/>
      <c r="GR7" s="224"/>
      <c r="GS7" s="223"/>
      <c r="GT7" s="223"/>
      <c r="GU7" s="222"/>
      <c r="GV7" s="223"/>
      <c r="GW7" s="224"/>
      <c r="GX7" s="224"/>
      <c r="GY7" s="224"/>
      <c r="GZ7" s="224"/>
      <c r="HA7" s="224"/>
      <c r="HB7" s="224"/>
      <c r="HC7" s="224"/>
      <c r="HD7" s="224"/>
      <c r="HE7" s="224"/>
      <c r="HF7" s="223"/>
      <c r="HG7" s="223"/>
      <c r="HH7" s="222"/>
      <c r="HI7" s="223"/>
      <c r="HJ7" s="224"/>
      <c r="HK7" s="224"/>
      <c r="HL7" s="224"/>
      <c r="HM7" s="202"/>
      <c r="HN7" s="202"/>
      <c r="HO7" s="202"/>
      <c r="HP7" s="202"/>
      <c r="HQ7" s="202"/>
      <c r="HR7" s="202"/>
      <c r="HU7" s="203"/>
      <c r="HW7" s="202"/>
      <c r="HX7" s="202"/>
      <c r="HY7" s="202"/>
      <c r="HZ7" s="202"/>
      <c r="IA7" s="202"/>
      <c r="IB7" s="202"/>
      <c r="IC7" s="202"/>
      <c r="ID7" s="202"/>
      <c r="IE7" s="202"/>
      <c r="IH7" s="203"/>
    </row>
    <row r="8" spans="1:244" s="1" customFormat="1" ht="10.199999999999999" x14ac:dyDescent="0.2">
      <c r="A8" s="11" t="s">
        <v>11</v>
      </c>
      <c r="B8" s="1" t="s">
        <v>234</v>
      </c>
      <c r="C8" s="70">
        <v>1.36</v>
      </c>
      <c r="P8" s="7">
        <v>71.228778203662671</v>
      </c>
      <c r="Q8" s="7">
        <v>71.876501224261716</v>
      </c>
      <c r="R8" s="7">
        <v>72.438837242375556</v>
      </c>
      <c r="S8" s="7">
        <v>72.371556564646866</v>
      </c>
      <c r="T8" s="7">
        <v>72.58863673307323</v>
      </c>
      <c r="U8" s="7">
        <v>72.224466460502853</v>
      </c>
      <c r="V8" s="7">
        <v>72.073768226977748</v>
      </c>
      <c r="W8" s="7">
        <v>72.152976668589389</v>
      </c>
      <c r="X8" s="7">
        <v>72.692644360790752</v>
      </c>
      <c r="Y8" s="7">
        <v>72.277543476766667</v>
      </c>
      <c r="Z8" s="7">
        <v>72.764640414428868</v>
      </c>
      <c r="AA8" s="7">
        <v>72.772231349306622</v>
      </c>
      <c r="AB8" s="7">
        <v>72.984789469074556</v>
      </c>
      <c r="AC8" s="7">
        <v>73.166761540932669</v>
      </c>
      <c r="AD8" s="7">
        <v>73.21512838158263</v>
      </c>
      <c r="AE8" s="7">
        <v>74.464932786469078</v>
      </c>
      <c r="AF8" s="7">
        <v>74.554433314716391</v>
      </c>
      <c r="AG8" s="7">
        <v>74.617245399278474</v>
      </c>
      <c r="AH8" s="7">
        <v>75.076853984387711</v>
      </c>
      <c r="AI8" s="7">
        <v>74.870380252215867</v>
      </c>
      <c r="AJ8" s="7">
        <v>74.778546580994885</v>
      </c>
      <c r="AK8" s="7">
        <v>75.149681380713602</v>
      </c>
      <c r="AL8" s="7">
        <v>75.291803847474469</v>
      </c>
      <c r="AM8" s="7">
        <v>75.377601682628494</v>
      </c>
      <c r="AN8" s="7">
        <v>75.289929460437065</v>
      </c>
      <c r="AO8" s="7">
        <v>74.998289101238598</v>
      </c>
      <c r="AP8" s="7">
        <v>75.330710454725761</v>
      </c>
      <c r="AQ8" s="7">
        <v>75.418327162626298</v>
      </c>
      <c r="AR8" s="7">
        <v>75.646484656173726</v>
      </c>
      <c r="AS8" s="7">
        <v>75.380299923756624</v>
      </c>
      <c r="AT8" s="7">
        <v>75.186845889138837</v>
      </c>
      <c r="AU8" s="7">
        <v>75.736039929068227</v>
      </c>
      <c r="AV8" s="7">
        <v>75.345208299137397</v>
      </c>
      <c r="AW8" s="7">
        <v>75.836269704256026</v>
      </c>
      <c r="AX8" s="7">
        <v>75.652585060796028</v>
      </c>
      <c r="AY8" s="7">
        <v>76.068652431160572</v>
      </c>
      <c r="AZ8" s="7">
        <v>75.826023571956554</v>
      </c>
      <c r="BA8" s="7">
        <v>79.55020892855805</v>
      </c>
      <c r="BB8" s="7">
        <v>81.555892734393296</v>
      </c>
      <c r="BC8" s="7">
        <v>82.698855851582692</v>
      </c>
      <c r="BD8" s="7">
        <v>82.999503526607754</v>
      </c>
      <c r="BE8" s="7">
        <v>82.955882117550502</v>
      </c>
      <c r="BF8" s="7">
        <v>83.042479744419595</v>
      </c>
      <c r="BG8" s="7">
        <v>83.060421128630935</v>
      </c>
      <c r="BH8" s="7">
        <v>83.04476727858237</v>
      </c>
      <c r="BI8" s="7">
        <v>83.978341935835374</v>
      </c>
      <c r="BJ8" s="7">
        <v>83.998233230024283</v>
      </c>
      <c r="BK8" s="7">
        <v>84.167573256996093</v>
      </c>
      <c r="BL8" s="7">
        <v>84.50860060057542</v>
      </c>
      <c r="BM8" s="7">
        <v>84.268918934776423</v>
      </c>
      <c r="BN8" s="7">
        <v>84.471670574037745</v>
      </c>
      <c r="BO8" s="7">
        <v>84.537471570913354</v>
      </c>
      <c r="BP8" s="7">
        <v>84.937549224310075</v>
      </c>
      <c r="BQ8" s="7">
        <v>84.892510096844504</v>
      </c>
      <c r="BR8" s="7">
        <v>84.774896048926195</v>
      </c>
      <c r="BS8" s="7">
        <v>84.487003074642232</v>
      </c>
      <c r="BT8" s="7">
        <v>84.886432325241799</v>
      </c>
      <c r="BU8" s="7">
        <v>84.448253623642202</v>
      </c>
      <c r="BV8" s="7">
        <v>85.143871278838603</v>
      </c>
      <c r="BW8" s="7">
        <v>85.111616399033323</v>
      </c>
      <c r="BX8" s="7">
        <v>85.64021778992506</v>
      </c>
      <c r="BY8" s="7">
        <v>85.591129686664033</v>
      </c>
      <c r="BZ8" s="7">
        <v>86.253681515861885</v>
      </c>
      <c r="CA8" s="7">
        <v>85.625452759154015</v>
      </c>
      <c r="CB8" s="7">
        <v>85.579484201059529</v>
      </c>
      <c r="CC8" s="7">
        <v>85.683018320175989</v>
      </c>
      <c r="CD8" s="7">
        <v>85.967456835377178</v>
      </c>
      <c r="CE8" s="7">
        <v>86.050915646076746</v>
      </c>
      <c r="CF8" s="7">
        <v>85.897761544449153</v>
      </c>
      <c r="CG8" s="7">
        <v>86.293035650702748</v>
      </c>
      <c r="CH8" s="7">
        <v>86.208875030710445</v>
      </c>
      <c r="CI8" s="7">
        <v>86.237234096729381</v>
      </c>
      <c r="CJ8" s="7">
        <v>86.566556254853694</v>
      </c>
      <c r="CK8" s="7">
        <v>86.222404000990664</v>
      </c>
      <c r="CL8" s="7">
        <v>86.106834469373467</v>
      </c>
      <c r="CM8" s="7">
        <v>86.583848851509444</v>
      </c>
      <c r="CN8" s="7">
        <v>86.733825962270942</v>
      </c>
      <c r="CO8" s="7">
        <v>87.066893745856746</v>
      </c>
      <c r="CP8" s="7">
        <v>87.394271706838452</v>
      </c>
      <c r="CQ8" s="7">
        <v>87.49791742695038</v>
      </c>
      <c r="CR8" s="7">
        <v>87.911299964579371</v>
      </c>
      <c r="CS8" s="7">
        <v>88.02293306054149</v>
      </c>
      <c r="CT8" s="7">
        <v>87.954462382965559</v>
      </c>
      <c r="CU8" s="7">
        <v>88.135349624735355</v>
      </c>
      <c r="CV8" s="7">
        <v>88.554220099701553</v>
      </c>
      <c r="CW8" s="7">
        <v>89.371198278613988</v>
      </c>
      <c r="CX8" s="7">
        <v>90.056492086654231</v>
      </c>
      <c r="CY8" s="7">
        <v>91.18414730608977</v>
      </c>
      <c r="CZ8" s="7">
        <v>91.64779226266721</v>
      </c>
      <c r="DA8" s="7">
        <v>91.808181768200427</v>
      </c>
      <c r="DB8" s="7">
        <v>91.837147951399146</v>
      </c>
      <c r="DC8" s="7">
        <v>92.007245582113029</v>
      </c>
      <c r="DD8" s="7">
        <v>92.075644210614925</v>
      </c>
      <c r="DE8" s="7">
        <v>92.232385102915572</v>
      </c>
      <c r="DF8" s="7">
        <v>92.369568623190261</v>
      </c>
      <c r="DG8" s="7">
        <v>92.664004704216893</v>
      </c>
      <c r="DH8" s="7">
        <v>93.422940448119462</v>
      </c>
      <c r="DI8" s="7">
        <v>93.435118251742665</v>
      </c>
      <c r="DJ8" s="7">
        <v>93.290022383734339</v>
      </c>
      <c r="DK8" s="7">
        <v>93.511523423849127</v>
      </c>
      <c r="DL8" s="7">
        <v>93.683189959754174</v>
      </c>
      <c r="DM8" s="7">
        <v>93.856818677100691</v>
      </c>
      <c r="DN8" s="7">
        <v>93.949078654314334</v>
      </c>
      <c r="DO8" s="7">
        <v>94.136024411401223</v>
      </c>
      <c r="DP8" s="7">
        <v>94.232781824752522</v>
      </c>
      <c r="DQ8" s="7">
        <v>94.806247637664598</v>
      </c>
      <c r="DR8" s="7">
        <v>95.279878159822076</v>
      </c>
      <c r="DS8" s="7">
        <v>95.375957444574979</v>
      </c>
      <c r="DT8" s="7">
        <v>95.10641480265862</v>
      </c>
      <c r="DU8" s="7">
        <v>95.182000315120135</v>
      </c>
      <c r="DV8" s="7">
        <v>95.157453349459018</v>
      </c>
      <c r="DW8" s="7">
        <v>95.535315577480674</v>
      </c>
      <c r="DX8" s="7">
        <v>95.602765861812571</v>
      </c>
      <c r="DY8" s="7">
        <v>95.89190948648428</v>
      </c>
      <c r="DZ8" s="7">
        <v>96.114635754744015</v>
      </c>
      <c r="EA8" s="7">
        <v>96.027548848689392</v>
      </c>
      <c r="EB8" s="7">
        <v>96.32000476673943</v>
      </c>
      <c r="EC8" s="7">
        <v>97.158006881792062</v>
      </c>
      <c r="ED8" s="7">
        <v>96.87615996031704</v>
      </c>
      <c r="EE8" s="7">
        <v>97.444281742365973</v>
      </c>
      <c r="EF8" s="7">
        <v>98.338145616295037</v>
      </c>
      <c r="EG8" s="7">
        <v>98.330231648344693</v>
      </c>
      <c r="EH8" s="7">
        <v>98.423840842730726</v>
      </c>
      <c r="EI8" s="7">
        <v>98.923589280018277</v>
      </c>
      <c r="EJ8" s="7">
        <v>99.334322833037746</v>
      </c>
      <c r="EK8" s="7">
        <v>99.825103487181892</v>
      </c>
      <c r="EL8" s="7">
        <v>100.3499576163552</v>
      </c>
      <c r="EM8" s="7">
        <v>100.73029533502422</v>
      </c>
      <c r="EN8" s="7">
        <v>100.90681098500411</v>
      </c>
      <c r="EO8" s="7">
        <v>101.27701821484611</v>
      </c>
      <c r="EP8" s="7">
        <v>101.89515701356159</v>
      </c>
      <c r="EQ8" s="7">
        <v>101.66552712760055</v>
      </c>
      <c r="ER8" s="7">
        <v>101.65992595522872</v>
      </c>
      <c r="ES8" s="7">
        <v>101.86630085665348</v>
      </c>
      <c r="ET8" s="7">
        <v>102.15936384708664</v>
      </c>
      <c r="EU8" s="7">
        <v>103.56120247890732</v>
      </c>
      <c r="EV8" s="7">
        <v>103.67914043685651</v>
      </c>
      <c r="EW8" s="7">
        <v>103.80892377888387</v>
      </c>
      <c r="EX8" s="7">
        <v>103.90078393180401</v>
      </c>
      <c r="EY8" s="7">
        <v>104.07029745796947</v>
      </c>
      <c r="EZ8" s="7">
        <v>104.04733847620065</v>
      </c>
      <c r="FA8" s="7">
        <v>104.05113415294539</v>
      </c>
      <c r="FB8" s="7">
        <v>103.97060258837055</v>
      </c>
      <c r="FC8" s="7">
        <v>104.07542464032851</v>
      </c>
      <c r="FD8" s="144">
        <v>104.3</v>
      </c>
      <c r="FE8" s="144">
        <v>104.8</v>
      </c>
      <c r="FF8" s="144">
        <v>105</v>
      </c>
      <c r="FG8" s="1">
        <v>105.6</v>
      </c>
      <c r="FH8" s="144">
        <v>106</v>
      </c>
      <c r="FI8" s="1">
        <v>105.9</v>
      </c>
      <c r="FJ8" s="7">
        <v>106.0744786857896</v>
      </c>
      <c r="FK8" s="7">
        <v>106.12110396313712</v>
      </c>
      <c r="FL8" s="7">
        <v>106.24319116313765</v>
      </c>
      <c r="FM8" s="7">
        <v>106.20609205467059</v>
      </c>
      <c r="FN8" s="7">
        <v>107.07398841713406</v>
      </c>
      <c r="FO8" s="7">
        <v>107.58680503061335</v>
      </c>
      <c r="FP8" s="7">
        <v>108</v>
      </c>
      <c r="FQ8" s="7">
        <v>108.9</v>
      </c>
      <c r="FR8" s="7">
        <v>109.4</v>
      </c>
      <c r="FS8" s="222">
        <v>109.00983620288601</v>
      </c>
      <c r="FT8" s="223">
        <v>109.32876160204</v>
      </c>
      <c r="FU8" s="222">
        <v>109.647687001194</v>
      </c>
      <c r="FV8" s="223">
        <v>109.966612400348</v>
      </c>
      <c r="FW8" s="224">
        <v>110.28553779950199</v>
      </c>
      <c r="FX8" s="224">
        <v>110.604463198657</v>
      </c>
      <c r="FY8" s="224">
        <v>110.923388597811</v>
      </c>
      <c r="FZ8" s="224">
        <v>111.242313996965</v>
      </c>
      <c r="GA8" s="224">
        <v>111.56123939611901</v>
      </c>
      <c r="GB8" s="224">
        <v>111.880164795273</v>
      </c>
      <c r="GC8" s="224">
        <v>112.199090194428</v>
      </c>
      <c r="GD8" s="224">
        <v>112.51801559358201</v>
      </c>
      <c r="GE8" s="224">
        <v>112.836940992736</v>
      </c>
      <c r="GF8" s="222">
        <v>113.15586639189</v>
      </c>
      <c r="GG8" s="223">
        <v>113.474791791044</v>
      </c>
      <c r="GH8" s="222">
        <v>113.793717190199</v>
      </c>
      <c r="GI8" s="223">
        <v>114.112642589353</v>
      </c>
      <c r="GJ8" s="224">
        <v>114.431567988507</v>
      </c>
      <c r="GK8" s="224">
        <v>114.750493387661</v>
      </c>
      <c r="GL8" s="224">
        <v>115.06941878681501</v>
      </c>
      <c r="GM8" s="224">
        <v>115.38834418597</v>
      </c>
      <c r="GN8" s="224">
        <v>115.707269585124</v>
      </c>
      <c r="GO8" s="224">
        <v>116.02619498427801</v>
      </c>
      <c r="GP8" s="224">
        <v>116.345120383432</v>
      </c>
      <c r="GQ8" s="224">
        <v>116.664045782586</v>
      </c>
      <c r="GR8" s="224">
        <v>116.98297118174</v>
      </c>
      <c r="GS8" s="222">
        <v>117.301896580895</v>
      </c>
      <c r="GT8" s="223">
        <v>117.620821980049</v>
      </c>
      <c r="GU8" s="222">
        <v>117.939747379203</v>
      </c>
      <c r="GV8" s="223">
        <v>118.258672778357</v>
      </c>
      <c r="GW8" s="224">
        <v>118.57759817751101</v>
      </c>
      <c r="GX8" s="224">
        <v>118.896523576666</v>
      </c>
      <c r="GY8" s="224">
        <v>119.21544897582</v>
      </c>
      <c r="GZ8" s="224">
        <v>119.53437437497401</v>
      </c>
      <c r="HA8" s="224">
        <v>119.853299774128</v>
      </c>
      <c r="HB8" s="224">
        <v>120.172225173282</v>
      </c>
      <c r="HC8" s="224">
        <v>120.49115057243699</v>
      </c>
      <c r="HD8" s="224">
        <v>120.810075971591</v>
      </c>
      <c r="HE8" s="224"/>
      <c r="HF8" s="222"/>
      <c r="HG8" s="223"/>
      <c r="HH8" s="222"/>
      <c r="HI8" s="223"/>
      <c r="HJ8" s="224"/>
      <c r="HK8" s="224"/>
      <c r="HL8" s="224"/>
      <c r="HM8" s="7"/>
      <c r="HN8" s="7"/>
      <c r="HO8" s="7"/>
      <c r="HP8" s="7"/>
      <c r="HQ8" s="7"/>
      <c r="HR8" s="7"/>
      <c r="HS8" s="144"/>
      <c r="HU8" s="144"/>
      <c r="HW8" s="7"/>
      <c r="HX8" s="7"/>
      <c r="HY8" s="7"/>
      <c r="HZ8" s="7"/>
      <c r="IA8" s="7"/>
      <c r="IB8" s="7"/>
      <c r="IC8" s="7"/>
      <c r="ID8" s="7"/>
      <c r="IE8" s="7"/>
      <c r="IF8" s="144"/>
      <c r="IH8" s="144"/>
    </row>
    <row r="9" spans="1:244" s="1" customFormat="1" ht="10.199999999999999" x14ac:dyDescent="0.2">
      <c r="A9" s="11" t="s">
        <v>13</v>
      </c>
      <c r="B9" s="1" t="s">
        <v>14</v>
      </c>
      <c r="C9" s="70">
        <v>9.84</v>
      </c>
      <c r="P9" s="7">
        <v>83.476173940680908</v>
      </c>
      <c r="Q9" s="7">
        <v>83.947549411856642</v>
      </c>
      <c r="R9" s="7">
        <v>83.996334468357432</v>
      </c>
      <c r="S9" s="7">
        <v>83.857415133058666</v>
      </c>
      <c r="T9" s="7">
        <v>84.247666966532776</v>
      </c>
      <c r="U9" s="7">
        <v>84.512490931406845</v>
      </c>
      <c r="V9" s="7">
        <v>84.742455815007901</v>
      </c>
      <c r="W9" s="7">
        <v>84.631754049707467</v>
      </c>
      <c r="X9" s="7">
        <v>84.073737373812705</v>
      </c>
      <c r="Y9" s="7">
        <v>84.523315643622183</v>
      </c>
      <c r="Z9" s="7">
        <v>84.213870444608261</v>
      </c>
      <c r="AA9" s="7">
        <v>85.809254187208111</v>
      </c>
      <c r="AB9" s="7">
        <v>84.83362850739168</v>
      </c>
      <c r="AC9" s="7">
        <v>85.122030668467261</v>
      </c>
      <c r="AD9" s="7">
        <v>84.927872045959774</v>
      </c>
      <c r="AE9" s="7">
        <v>85.229255106248161</v>
      </c>
      <c r="AF9" s="7">
        <v>84.983532473553879</v>
      </c>
      <c r="AG9" s="7">
        <v>85.196980742904358</v>
      </c>
      <c r="AH9" s="7">
        <v>85.190922849055241</v>
      </c>
      <c r="AI9" s="7">
        <v>85.478653709671207</v>
      </c>
      <c r="AJ9" s="7">
        <v>85.571516163341869</v>
      </c>
      <c r="AK9" s="7">
        <v>85.792152077934077</v>
      </c>
      <c r="AL9" s="7">
        <v>85.613966400454004</v>
      </c>
      <c r="AM9" s="7">
        <v>86.918044688993831</v>
      </c>
      <c r="AN9" s="7">
        <v>86.0902576036505</v>
      </c>
      <c r="AO9" s="7">
        <v>86.115387614137333</v>
      </c>
      <c r="AP9" s="7">
        <v>85.756054282612112</v>
      </c>
      <c r="AQ9" s="7">
        <v>86.04801134140412</v>
      </c>
      <c r="AR9" s="7">
        <v>86.62485974156786</v>
      </c>
      <c r="AS9" s="7">
        <v>86.790887227511206</v>
      </c>
      <c r="AT9" s="7">
        <v>87.070467861630192</v>
      </c>
      <c r="AU9" s="7">
        <v>86.953190986331535</v>
      </c>
      <c r="AV9" s="7">
        <v>86.772741676718667</v>
      </c>
      <c r="AW9" s="7">
        <v>87.082705778752214</v>
      </c>
      <c r="AX9" s="7">
        <v>87.300904016625964</v>
      </c>
      <c r="AY9" s="7">
        <v>88.191733199641419</v>
      </c>
      <c r="AZ9" s="7">
        <v>87.10282354369113</v>
      </c>
      <c r="BA9" s="7">
        <v>86.980530666762093</v>
      </c>
      <c r="BB9" s="7">
        <v>86.954251898335301</v>
      </c>
      <c r="BC9" s="7">
        <v>86.328772300898208</v>
      </c>
      <c r="BD9" s="7">
        <v>86.775466080248492</v>
      </c>
      <c r="BE9" s="7">
        <v>87.117308380813881</v>
      </c>
      <c r="BF9" s="7">
        <v>86.978537464541262</v>
      </c>
      <c r="BG9" s="7">
        <v>86.972634289441643</v>
      </c>
      <c r="BH9" s="7">
        <v>86.775554399766065</v>
      </c>
      <c r="BI9" s="7">
        <v>86.437629147479399</v>
      </c>
      <c r="BJ9" s="7">
        <v>86.667536253198406</v>
      </c>
      <c r="BK9" s="7">
        <v>87.403895524207016</v>
      </c>
      <c r="BL9" s="7">
        <v>86.729732261187024</v>
      </c>
      <c r="BM9" s="7">
        <v>86.614618201586097</v>
      </c>
      <c r="BN9" s="7">
        <v>86.731217791222605</v>
      </c>
      <c r="BO9" s="7">
        <v>86.348950082414291</v>
      </c>
      <c r="BP9" s="7">
        <v>86.442556538254721</v>
      </c>
      <c r="BQ9" s="7">
        <v>86.6389330923719</v>
      </c>
      <c r="BR9" s="7">
        <v>87.17762961327395</v>
      </c>
      <c r="BS9" s="7">
        <v>87.285228721813837</v>
      </c>
      <c r="BT9" s="7">
        <v>87.30299146387145</v>
      </c>
      <c r="BU9" s="7">
        <v>87.192223678086947</v>
      </c>
      <c r="BV9" s="7">
        <v>86.714195614586245</v>
      </c>
      <c r="BW9" s="7">
        <v>88.054324351979233</v>
      </c>
      <c r="BX9" s="7">
        <v>87.758405196065397</v>
      </c>
      <c r="BY9" s="7">
        <v>87.552876848533927</v>
      </c>
      <c r="BZ9" s="7">
        <v>87.60963699772519</v>
      </c>
      <c r="CA9" s="7">
        <v>87.667743143651705</v>
      </c>
      <c r="CB9" s="7">
        <v>87.55347212602959</v>
      </c>
      <c r="CC9" s="7">
        <v>87.609325837349289</v>
      </c>
      <c r="CD9" s="7">
        <v>87.714664585430825</v>
      </c>
      <c r="CE9" s="7">
        <v>87.844777366161154</v>
      </c>
      <c r="CF9" s="7">
        <v>87.972465309813572</v>
      </c>
      <c r="CG9" s="7">
        <v>87.789978697355124</v>
      </c>
      <c r="CH9" s="7">
        <v>87.871524742808958</v>
      </c>
      <c r="CI9" s="7">
        <v>88.279084020968213</v>
      </c>
      <c r="CJ9" s="7">
        <v>88.290269720451093</v>
      </c>
      <c r="CK9" s="7">
        <v>88.612299893834901</v>
      </c>
      <c r="CL9" s="7">
        <v>88.64780158000147</v>
      </c>
      <c r="CM9" s="7">
        <v>88.951036492870131</v>
      </c>
      <c r="CN9" s="7">
        <v>89.167713810145145</v>
      </c>
      <c r="CO9" s="7">
        <v>89.242393026392563</v>
      </c>
      <c r="CP9" s="7">
        <v>89.406535188105195</v>
      </c>
      <c r="CQ9" s="7">
        <v>89.596819377025724</v>
      </c>
      <c r="CR9" s="7">
        <v>89.761455575604856</v>
      </c>
      <c r="CS9" s="7">
        <v>90.140520315546297</v>
      </c>
      <c r="CT9" s="7">
        <v>90.444038284280253</v>
      </c>
      <c r="CU9" s="7">
        <v>90.876477257275198</v>
      </c>
      <c r="CV9" s="7">
        <v>90.795279838483978</v>
      </c>
      <c r="CW9" s="7">
        <v>90.931962015490797</v>
      </c>
      <c r="CX9" s="7">
        <v>91.100082329339941</v>
      </c>
      <c r="CY9" s="7">
        <v>91.409580793161709</v>
      </c>
      <c r="CZ9" s="7">
        <v>91.596731463059825</v>
      </c>
      <c r="DA9" s="7">
        <v>91.910502879784701</v>
      </c>
      <c r="DB9" s="7">
        <v>92.029265507611143</v>
      </c>
      <c r="DC9" s="7">
        <v>92.169214682704705</v>
      </c>
      <c r="DD9" s="7">
        <v>92.285254697101621</v>
      </c>
      <c r="DE9" s="7">
        <v>92.776551491823611</v>
      </c>
      <c r="DF9" s="7">
        <v>93.09717367055579</v>
      </c>
      <c r="DG9" s="7">
        <v>93.494535174222293</v>
      </c>
      <c r="DH9" s="7">
        <v>93.220762698385599</v>
      </c>
      <c r="DI9" s="7">
        <v>93.355323904492849</v>
      </c>
      <c r="DJ9" s="7">
        <v>93.263146874817735</v>
      </c>
      <c r="DK9" s="7">
        <v>93.740229002179106</v>
      </c>
      <c r="DL9" s="7">
        <v>93.925802031099522</v>
      </c>
      <c r="DM9" s="7">
        <v>94.168846235817043</v>
      </c>
      <c r="DN9" s="7">
        <v>94.160122916476936</v>
      </c>
      <c r="DO9" s="7">
        <v>94.255885405925113</v>
      </c>
      <c r="DP9" s="7">
        <v>94.60133998948271</v>
      </c>
      <c r="DQ9" s="7">
        <v>94.741428015927127</v>
      </c>
      <c r="DR9" s="7">
        <v>94.84295312363642</v>
      </c>
      <c r="DS9" s="7">
        <v>95.179006039644904</v>
      </c>
      <c r="DT9" s="7">
        <v>95.223400258685757</v>
      </c>
      <c r="DU9" s="7">
        <v>95.288444636262312</v>
      </c>
      <c r="DV9" s="7">
        <v>95.77350973298384</v>
      </c>
      <c r="DW9" s="7">
        <v>95.625558654783717</v>
      </c>
      <c r="DX9" s="7">
        <v>95.811464305727654</v>
      </c>
      <c r="DY9" s="7">
        <v>96.033599752418439</v>
      </c>
      <c r="DZ9" s="7">
        <v>96.386903711868655</v>
      </c>
      <c r="EA9" s="7">
        <v>96.551641701943211</v>
      </c>
      <c r="EB9" s="7">
        <v>96.414601169690329</v>
      </c>
      <c r="EC9" s="7">
        <v>96.86731249079179</v>
      </c>
      <c r="ED9" s="7">
        <v>97.042492293112886</v>
      </c>
      <c r="EE9" s="7">
        <v>97.301392840744626</v>
      </c>
      <c r="EF9" s="7">
        <v>97.669539974334029</v>
      </c>
      <c r="EG9" s="7">
        <v>98.206662946101659</v>
      </c>
      <c r="EH9" s="7">
        <v>98.502684172082766</v>
      </c>
      <c r="EI9" s="7">
        <v>99.39858110643894</v>
      </c>
      <c r="EJ9" s="7">
        <v>99.893436290032128</v>
      </c>
      <c r="EK9" s="7">
        <v>100.48972704927236</v>
      </c>
      <c r="EL9" s="7">
        <v>100.08378363711246</v>
      </c>
      <c r="EM9" s="7">
        <v>100.45317970004429</v>
      </c>
      <c r="EN9" s="7">
        <v>101.03581600643679</v>
      </c>
      <c r="EO9" s="7">
        <v>101.23340709422787</v>
      </c>
      <c r="EP9" s="7">
        <v>101.26261208911993</v>
      </c>
      <c r="EQ9" s="7">
        <v>101.7705699347969</v>
      </c>
      <c r="ER9" s="7">
        <v>102.07134674785664</v>
      </c>
      <c r="ES9" s="7">
        <v>102.58649014357967</v>
      </c>
      <c r="ET9" s="7">
        <v>102.98420848245581</v>
      </c>
      <c r="EU9" s="7">
        <v>104.12361835453964</v>
      </c>
      <c r="EV9" s="7">
        <v>104.14808777681453</v>
      </c>
      <c r="EW9" s="7">
        <v>104.37751630719531</v>
      </c>
      <c r="EX9" s="7">
        <v>104.60186209723388</v>
      </c>
      <c r="EY9" s="7">
        <v>105.0035497895548</v>
      </c>
      <c r="EZ9" s="7">
        <v>105.20532862723093</v>
      </c>
      <c r="FA9" s="7">
        <v>105.26384480239133</v>
      </c>
      <c r="FB9" s="7">
        <v>105.43501158575134</v>
      </c>
      <c r="FC9" s="7">
        <v>106.32147189938622</v>
      </c>
      <c r="FD9" s="144">
        <v>106.1</v>
      </c>
      <c r="FE9" s="144">
        <v>106.3</v>
      </c>
      <c r="FF9" s="144">
        <v>106.6</v>
      </c>
      <c r="FG9" s="1">
        <v>106.6</v>
      </c>
      <c r="FH9" s="144">
        <v>106.7</v>
      </c>
      <c r="FI9" s="1">
        <v>106.7</v>
      </c>
      <c r="FJ9" s="7">
        <v>106.85034392786312</v>
      </c>
      <c r="FK9" s="7">
        <v>106.91970486782137</v>
      </c>
      <c r="FL9" s="7">
        <v>107.11903575494</v>
      </c>
      <c r="FM9" s="7">
        <v>107.26185140930944</v>
      </c>
      <c r="FN9" s="7">
        <v>107.64424272750476</v>
      </c>
      <c r="FO9" s="7">
        <v>108.73713166371857</v>
      </c>
      <c r="FP9" s="7">
        <v>108.5</v>
      </c>
      <c r="FQ9" s="7">
        <v>108.7</v>
      </c>
      <c r="FR9" s="7">
        <v>108.8</v>
      </c>
      <c r="FS9" s="222">
        <v>108.96945999362499</v>
      </c>
      <c r="FT9" s="223">
        <v>109.183423395448</v>
      </c>
      <c r="FU9" s="222">
        <v>109.39738679727201</v>
      </c>
      <c r="FV9" s="223">
        <v>109.61135019909599</v>
      </c>
      <c r="FW9" s="224">
        <v>109.82531360092</v>
      </c>
      <c r="FX9" s="224">
        <v>110.039277002744</v>
      </c>
      <c r="FY9" s="224">
        <v>110.25324040456699</v>
      </c>
      <c r="FZ9" s="224">
        <v>110.467203806391</v>
      </c>
      <c r="GA9" s="224">
        <v>110.681167208215</v>
      </c>
      <c r="GB9" s="224">
        <v>110.895130610039</v>
      </c>
      <c r="GC9" s="224">
        <v>111.109094011862</v>
      </c>
      <c r="GD9" s="224">
        <v>111.323057413686</v>
      </c>
      <c r="GE9" s="224">
        <v>111.53702081551</v>
      </c>
      <c r="GF9" s="222">
        <v>111.75098421733399</v>
      </c>
      <c r="GG9" s="223">
        <v>111.964947619158</v>
      </c>
      <c r="GH9" s="222">
        <v>112.178911020981</v>
      </c>
      <c r="GI9" s="223">
        <v>112.39287442280499</v>
      </c>
      <c r="GJ9" s="224">
        <v>112.606837824629</v>
      </c>
      <c r="GK9" s="224">
        <v>112.820801226453</v>
      </c>
      <c r="GL9" s="224">
        <v>113.03476462827599</v>
      </c>
      <c r="GM9" s="224">
        <v>113.2487280301</v>
      </c>
      <c r="GN9" s="224">
        <v>113.462691431924</v>
      </c>
      <c r="GO9" s="224">
        <v>113.676654833748</v>
      </c>
      <c r="GP9" s="224">
        <v>113.89061823557201</v>
      </c>
      <c r="GQ9" s="224">
        <v>114.104581637395</v>
      </c>
      <c r="GR9" s="224">
        <v>114.318545039219</v>
      </c>
      <c r="GS9" s="222">
        <v>114.53250844104301</v>
      </c>
      <c r="GT9" s="223">
        <v>114.746471842867</v>
      </c>
      <c r="GU9" s="222">
        <v>114.96043524469</v>
      </c>
      <c r="GV9" s="223">
        <v>115.17439864651401</v>
      </c>
      <c r="GW9" s="224">
        <v>115.388362048338</v>
      </c>
      <c r="GX9" s="224">
        <v>115.602325450162</v>
      </c>
      <c r="GY9" s="224">
        <v>115.81628885198499</v>
      </c>
      <c r="GZ9" s="224">
        <v>116.030252253809</v>
      </c>
      <c r="HA9" s="224">
        <v>116.244215655633</v>
      </c>
      <c r="HB9" s="224">
        <v>116.458179057457</v>
      </c>
      <c r="HC9" s="224">
        <v>116.67214245928101</v>
      </c>
      <c r="HD9" s="224">
        <v>116.886105861104</v>
      </c>
      <c r="HE9" s="224"/>
      <c r="HF9" s="222"/>
      <c r="HG9" s="223"/>
      <c r="HH9" s="222"/>
      <c r="HI9" s="223"/>
      <c r="HJ9" s="224"/>
      <c r="HK9" s="224"/>
      <c r="HL9" s="224"/>
      <c r="HM9" s="7"/>
      <c r="HN9" s="7"/>
      <c r="HO9" s="7"/>
      <c r="HP9" s="7"/>
      <c r="HQ9" s="7"/>
      <c r="HR9" s="7"/>
      <c r="HS9" s="144"/>
      <c r="HU9" s="144"/>
      <c r="HW9" s="7"/>
      <c r="HX9" s="7"/>
      <c r="HY9" s="7"/>
      <c r="HZ9" s="7"/>
      <c r="IA9" s="7"/>
      <c r="IB9" s="7"/>
      <c r="IC9" s="7"/>
      <c r="ID9" s="7"/>
      <c r="IE9" s="7"/>
      <c r="IF9" s="144"/>
      <c r="IH9" s="144"/>
    </row>
    <row r="10" spans="1:244" s="1" customFormat="1" ht="10.199999999999999" x14ac:dyDescent="0.2">
      <c r="A10" s="11" t="s">
        <v>15</v>
      </c>
      <c r="B10" s="146" t="s">
        <v>79</v>
      </c>
      <c r="C10" s="70">
        <v>12.89</v>
      </c>
      <c r="P10" s="7">
        <v>81.608481310610841</v>
      </c>
      <c r="Q10" s="7">
        <v>81.145335500468462</v>
      </c>
      <c r="R10" s="7">
        <v>82.207819790670172</v>
      </c>
      <c r="S10" s="7">
        <v>82.451968397177879</v>
      </c>
      <c r="T10" s="7">
        <v>82.418771963068679</v>
      </c>
      <c r="U10" s="7">
        <v>83.346176609581732</v>
      </c>
      <c r="V10" s="7">
        <v>83.457487788325608</v>
      </c>
      <c r="W10" s="7">
        <v>83.360419497050728</v>
      </c>
      <c r="X10" s="7">
        <v>82.800045859515564</v>
      </c>
      <c r="Y10" s="7">
        <v>83.364314816117883</v>
      </c>
      <c r="Z10" s="7">
        <v>83.504596344003687</v>
      </c>
      <c r="AA10" s="7">
        <v>83.826556380328</v>
      </c>
      <c r="AB10" s="7">
        <v>84.129725054776287</v>
      </c>
      <c r="AC10" s="7">
        <v>84.121631402857901</v>
      </c>
      <c r="AD10" s="7">
        <v>84.959719173914891</v>
      </c>
      <c r="AE10" s="7">
        <v>84.313232805911625</v>
      </c>
      <c r="AF10" s="7">
        <v>84.223367941602234</v>
      </c>
      <c r="AG10" s="7">
        <v>84.624938806629714</v>
      </c>
      <c r="AH10" s="7">
        <v>85.187088264607638</v>
      </c>
      <c r="AI10" s="7">
        <v>84.768744637724453</v>
      </c>
      <c r="AJ10" s="7">
        <v>85.780528560941917</v>
      </c>
      <c r="AK10" s="7">
        <v>86.169334550918322</v>
      </c>
      <c r="AL10" s="7">
        <v>86.340610185443623</v>
      </c>
      <c r="AM10" s="7">
        <v>86.218288438133754</v>
      </c>
      <c r="AN10" s="7">
        <v>86.587924941763603</v>
      </c>
      <c r="AO10" s="7">
        <v>86.651410950169051</v>
      </c>
      <c r="AP10" s="7">
        <v>86.61145046612495</v>
      </c>
      <c r="AQ10" s="7">
        <v>85.829228455967581</v>
      </c>
      <c r="AR10" s="7">
        <v>85.465822089288082</v>
      </c>
      <c r="AS10" s="7">
        <v>85.249266398851944</v>
      </c>
      <c r="AT10" s="7">
        <v>86.304396002001013</v>
      </c>
      <c r="AU10" s="7">
        <v>86.627532991179791</v>
      </c>
      <c r="AV10" s="7">
        <v>87.415432960627328</v>
      </c>
      <c r="AW10" s="7">
        <v>86.925009328890681</v>
      </c>
      <c r="AX10" s="7">
        <v>88.708720427136228</v>
      </c>
      <c r="AY10" s="7">
        <v>88.927277980215578</v>
      </c>
      <c r="AZ10" s="7">
        <v>87.846741725025936</v>
      </c>
      <c r="BA10" s="7">
        <v>88.647993579375864</v>
      </c>
      <c r="BB10" s="7">
        <v>88.285374731872281</v>
      </c>
      <c r="BC10" s="7">
        <v>88.990435180579198</v>
      </c>
      <c r="BD10" s="7">
        <v>88.800845279929362</v>
      </c>
      <c r="BE10" s="7">
        <v>89.968130781332874</v>
      </c>
      <c r="BF10" s="7">
        <v>89.819530816981143</v>
      </c>
      <c r="BG10" s="7">
        <v>89.820727657110695</v>
      </c>
      <c r="BH10" s="7">
        <v>90.189772329788596</v>
      </c>
      <c r="BI10" s="7">
        <v>89.241310766264093</v>
      </c>
      <c r="BJ10" s="7">
        <v>89.835429161245415</v>
      </c>
      <c r="BK10" s="7">
        <v>90.39946062112503</v>
      </c>
      <c r="BL10" s="7">
        <v>90.113779967336413</v>
      </c>
      <c r="BM10" s="7">
        <v>89.492509022598227</v>
      </c>
      <c r="BN10" s="7">
        <v>90.540951211496733</v>
      </c>
      <c r="BO10" s="7">
        <v>90.425751784661855</v>
      </c>
      <c r="BP10" s="7">
        <v>91.06288662822034</v>
      </c>
      <c r="BQ10" s="7">
        <v>90.240519701148983</v>
      </c>
      <c r="BR10" s="7">
        <v>90.279819808802728</v>
      </c>
      <c r="BS10" s="7">
        <v>91.2344960488753</v>
      </c>
      <c r="BT10" s="7">
        <v>90.668774427032659</v>
      </c>
      <c r="BU10" s="7">
        <v>90.904027305502694</v>
      </c>
      <c r="BV10" s="7">
        <v>90.78304845175137</v>
      </c>
      <c r="BW10" s="7">
        <v>91.515639072970387</v>
      </c>
      <c r="BX10" s="7">
        <v>90.878326898559351</v>
      </c>
      <c r="BY10" s="7">
        <v>90.950207710260429</v>
      </c>
      <c r="BZ10" s="7">
        <v>91.600415783217045</v>
      </c>
      <c r="CA10" s="7">
        <v>91.561676088852408</v>
      </c>
      <c r="CB10" s="7">
        <v>91.577064096215111</v>
      </c>
      <c r="CC10" s="7">
        <v>91.755206232353899</v>
      </c>
      <c r="CD10" s="7">
        <v>91.659982092872752</v>
      </c>
      <c r="CE10" s="7">
        <v>91.83427161305498</v>
      </c>
      <c r="CF10" s="7">
        <v>92.04687887839286</v>
      </c>
      <c r="CG10" s="7">
        <v>92.473355394429689</v>
      </c>
      <c r="CH10" s="7">
        <v>92.211332217488462</v>
      </c>
      <c r="CI10" s="7">
        <v>91.650865948462041</v>
      </c>
      <c r="CJ10" s="7">
        <v>92.283947515333494</v>
      </c>
      <c r="CK10" s="7">
        <v>91.600019727225799</v>
      </c>
      <c r="CL10" s="7">
        <v>91.173710896091777</v>
      </c>
      <c r="CM10" s="7">
        <v>91.551006316433615</v>
      </c>
      <c r="CN10" s="7">
        <v>91.838205095002493</v>
      </c>
      <c r="CO10" s="7">
        <v>92.129282570973345</v>
      </c>
      <c r="CP10" s="7">
        <v>91.863562427509592</v>
      </c>
      <c r="CQ10" s="7">
        <v>92.006945064280245</v>
      </c>
      <c r="CR10" s="7">
        <v>92.120429179922766</v>
      </c>
      <c r="CS10" s="7">
        <v>92.685008561880224</v>
      </c>
      <c r="CT10" s="7">
        <v>92.715955224894103</v>
      </c>
      <c r="CU10" s="7">
        <v>92.679197116839433</v>
      </c>
      <c r="CV10" s="7">
        <v>92.803115052285378</v>
      </c>
      <c r="CW10" s="7">
        <v>92.43052301654771</v>
      </c>
      <c r="CX10" s="7">
        <v>92.87550442649129</v>
      </c>
      <c r="CY10" s="7">
        <v>92.730420068149058</v>
      </c>
      <c r="CZ10" s="7">
        <v>92.618579148621166</v>
      </c>
      <c r="DA10" s="7">
        <v>92.583227640059491</v>
      </c>
      <c r="DB10" s="7">
        <v>92.886596045622042</v>
      </c>
      <c r="DC10" s="7">
        <v>93.664808879217915</v>
      </c>
      <c r="DD10" s="7">
        <v>93.730177217827702</v>
      </c>
      <c r="DE10" s="7">
        <v>95.05812900898205</v>
      </c>
      <c r="DF10" s="7">
        <v>96.132511252585132</v>
      </c>
      <c r="DG10" s="7">
        <v>95.59013607494613</v>
      </c>
      <c r="DH10" s="7">
        <v>95.998230595879605</v>
      </c>
      <c r="DI10" s="7">
        <v>95.988122338101874</v>
      </c>
      <c r="DJ10" s="7">
        <v>96.150839835653926</v>
      </c>
      <c r="DK10" s="7">
        <v>96.26616947297471</v>
      </c>
      <c r="DL10" s="7">
        <v>96.816422296841878</v>
      </c>
      <c r="DM10" s="7">
        <v>95.960712953324361</v>
      </c>
      <c r="DN10" s="7">
        <v>95.967130832060079</v>
      </c>
      <c r="DO10" s="7">
        <v>96.8476185492909</v>
      </c>
      <c r="DP10" s="7">
        <v>95.933188352617293</v>
      </c>
      <c r="DQ10" s="7">
        <v>97.101631645656042</v>
      </c>
      <c r="DR10" s="7">
        <v>96.85852612065483</v>
      </c>
      <c r="DS10" s="7">
        <v>97.161561818473075</v>
      </c>
      <c r="DT10" s="7">
        <v>97.686113125361615</v>
      </c>
      <c r="DU10" s="7">
        <v>97.591938111607433</v>
      </c>
      <c r="DV10" s="7">
        <v>97.532430502668632</v>
      </c>
      <c r="DW10" s="7">
        <v>98.008676031046861</v>
      </c>
      <c r="DX10" s="7">
        <v>98.34471600440159</v>
      </c>
      <c r="DY10" s="7">
        <v>98.312183212540958</v>
      </c>
      <c r="DZ10" s="7">
        <v>98.651658948452763</v>
      </c>
      <c r="EA10" s="7">
        <v>98.242806400686021</v>
      </c>
      <c r="EB10" s="7">
        <v>98.483058105406187</v>
      </c>
      <c r="EC10" s="7">
        <v>98.502103575817969</v>
      </c>
      <c r="ED10" s="7">
        <v>98.2276498671106</v>
      </c>
      <c r="EE10" s="7">
        <v>98.552558146083499</v>
      </c>
      <c r="EF10" s="7">
        <v>99.167533210238304</v>
      </c>
      <c r="EG10" s="7">
        <v>99.005432409568911</v>
      </c>
      <c r="EH10" s="7">
        <v>99.756798614535754</v>
      </c>
      <c r="EI10" s="7">
        <v>99.849232519555983</v>
      </c>
      <c r="EJ10" s="7">
        <v>100.15213913898864</v>
      </c>
      <c r="EK10" s="7">
        <v>99.416700141123172</v>
      </c>
      <c r="EL10" s="7">
        <v>99.347191129827976</v>
      </c>
      <c r="EM10" s="7">
        <v>99.695295057700392</v>
      </c>
      <c r="EN10" s="7">
        <v>99.822265905938266</v>
      </c>
      <c r="EO10" s="7">
        <v>101.00185172956225</v>
      </c>
      <c r="EP10" s="7">
        <v>101.16489217358341</v>
      </c>
      <c r="EQ10" s="7">
        <v>101.62066796937691</v>
      </c>
      <c r="ER10" s="7">
        <v>101.6928602559622</v>
      </c>
      <c r="ES10" s="7">
        <v>102.38159155076494</v>
      </c>
      <c r="ET10" s="7">
        <v>102.59518151377011</v>
      </c>
      <c r="EU10" s="7">
        <v>102.74684454951762</v>
      </c>
      <c r="EV10" s="7">
        <v>103.0645594560152</v>
      </c>
      <c r="EW10" s="7">
        <v>103.36918505328356</v>
      </c>
      <c r="EX10" s="7">
        <v>103.94053630292564</v>
      </c>
      <c r="EY10" s="7">
        <v>103.83783281946808</v>
      </c>
      <c r="EZ10" s="7">
        <v>103.99272439238851</v>
      </c>
      <c r="FA10" s="7">
        <v>104.22800790971255</v>
      </c>
      <c r="FB10" s="7">
        <v>104.71918762178674</v>
      </c>
      <c r="FC10" s="7">
        <v>104.47788846180867</v>
      </c>
      <c r="FD10" s="144">
        <v>104.7</v>
      </c>
      <c r="FE10" s="144">
        <v>105.6</v>
      </c>
      <c r="FF10" s="144">
        <v>105.7</v>
      </c>
      <c r="FG10" s="1">
        <v>105.9</v>
      </c>
      <c r="FH10" s="144">
        <v>106.7</v>
      </c>
      <c r="FI10" s="1">
        <v>107.1</v>
      </c>
      <c r="FJ10" s="7">
        <v>107.05954753255527</v>
      </c>
      <c r="FK10" s="7">
        <v>107.29181607954098</v>
      </c>
      <c r="FL10" s="7">
        <v>107.51894215276901</v>
      </c>
      <c r="FM10" s="7">
        <v>107.66365840589235</v>
      </c>
      <c r="FN10" s="7">
        <v>108.0143292282122</v>
      </c>
      <c r="FO10" s="7">
        <v>108.47809633739752</v>
      </c>
      <c r="FP10" s="7">
        <v>108.7</v>
      </c>
      <c r="FQ10" s="7">
        <v>108.7</v>
      </c>
      <c r="FR10" s="7">
        <v>109.1</v>
      </c>
      <c r="FS10" s="222">
        <v>109.41032593086901</v>
      </c>
      <c r="FT10" s="223">
        <v>109.67854403378</v>
      </c>
      <c r="FU10" s="222">
        <v>109.946762136692</v>
      </c>
      <c r="FV10" s="223">
        <v>110.21498023960299</v>
      </c>
      <c r="FW10" s="224">
        <v>110.483198342514</v>
      </c>
      <c r="FX10" s="224">
        <v>110.75141644542499</v>
      </c>
      <c r="FY10" s="224">
        <v>111.019634548337</v>
      </c>
      <c r="FZ10" s="224">
        <v>111.287852651248</v>
      </c>
      <c r="GA10" s="224">
        <v>111.55607075415899</v>
      </c>
      <c r="GB10" s="224">
        <v>111.824288857071</v>
      </c>
      <c r="GC10" s="224">
        <v>112.092506959982</v>
      </c>
      <c r="GD10" s="224">
        <v>112.360725062893</v>
      </c>
      <c r="GE10" s="224">
        <v>112.628943165805</v>
      </c>
      <c r="GF10" s="222">
        <v>112.897161268716</v>
      </c>
      <c r="GG10" s="223">
        <v>113.165379371627</v>
      </c>
      <c r="GH10" s="222">
        <v>113.433597474539</v>
      </c>
      <c r="GI10" s="223">
        <v>113.70181557745001</v>
      </c>
      <c r="GJ10" s="224">
        <v>113.970033680361</v>
      </c>
      <c r="GK10" s="224">
        <v>114.23825178327201</v>
      </c>
      <c r="GL10" s="224">
        <v>114.50646988618399</v>
      </c>
      <c r="GM10" s="224">
        <v>114.774687989095</v>
      </c>
      <c r="GN10" s="224">
        <v>115.04290609200601</v>
      </c>
      <c r="GO10" s="224">
        <v>115.31112419491799</v>
      </c>
      <c r="GP10" s="224">
        <v>115.579342297829</v>
      </c>
      <c r="GQ10" s="224">
        <v>115.84756040073999</v>
      </c>
      <c r="GR10" s="224">
        <v>116.115778503652</v>
      </c>
      <c r="GS10" s="222">
        <v>116.383996606563</v>
      </c>
      <c r="GT10" s="223">
        <v>116.65221470947399</v>
      </c>
      <c r="GU10" s="222">
        <v>116.920432812386</v>
      </c>
      <c r="GV10" s="223">
        <v>117.188650915297</v>
      </c>
      <c r="GW10" s="224">
        <v>117.456869018208</v>
      </c>
      <c r="GX10" s="224">
        <v>117.725087121119</v>
      </c>
      <c r="GY10" s="224">
        <v>117.993305224031</v>
      </c>
      <c r="GZ10" s="224">
        <v>118.261523326942</v>
      </c>
      <c r="HA10" s="224">
        <v>118.529741429853</v>
      </c>
      <c r="HB10" s="224">
        <v>118.79795953276501</v>
      </c>
      <c r="HC10" s="224">
        <v>119.066177635676</v>
      </c>
      <c r="HD10" s="224">
        <v>119.33439573858701</v>
      </c>
      <c r="HE10" s="224"/>
      <c r="HF10" s="222"/>
      <c r="HG10" s="223"/>
      <c r="HH10" s="222"/>
      <c r="HI10" s="223"/>
      <c r="HJ10" s="224"/>
      <c r="HK10" s="224"/>
      <c r="HL10" s="224"/>
      <c r="HM10" s="7"/>
      <c r="HN10" s="7"/>
      <c r="HO10" s="7"/>
      <c r="HP10" s="7"/>
      <c r="HQ10" s="7"/>
      <c r="HR10" s="7"/>
      <c r="HS10" s="144"/>
      <c r="HU10" s="144"/>
      <c r="HW10" s="7"/>
      <c r="HX10" s="7"/>
      <c r="HY10" s="7"/>
      <c r="HZ10" s="7"/>
      <c r="IA10" s="7"/>
      <c r="IB10" s="7"/>
      <c r="IC10" s="7"/>
      <c r="ID10" s="7"/>
      <c r="IE10" s="7"/>
      <c r="IF10" s="144"/>
      <c r="IH10" s="144"/>
    </row>
    <row r="11" spans="1:244" s="1" customFormat="1" ht="10.199999999999999" x14ac:dyDescent="0.2">
      <c r="A11" s="11" t="s">
        <v>17</v>
      </c>
      <c r="B11" s="147" t="s">
        <v>78</v>
      </c>
      <c r="C11" s="70">
        <v>5.0999999999999996</v>
      </c>
      <c r="P11" s="7">
        <v>85.477665800844477</v>
      </c>
      <c r="Q11" s="7">
        <v>85.14019424384027</v>
      </c>
      <c r="R11" s="7">
        <v>85.218788878484631</v>
      </c>
      <c r="S11" s="7">
        <v>85.370018222926291</v>
      </c>
      <c r="T11" s="7">
        <v>85.380130248181871</v>
      </c>
      <c r="U11" s="7">
        <v>84.609568177960767</v>
      </c>
      <c r="V11" s="7">
        <v>85.177219592883148</v>
      </c>
      <c r="W11" s="7">
        <v>84.962661772349492</v>
      </c>
      <c r="X11" s="7">
        <v>84.975139549620735</v>
      </c>
      <c r="Y11" s="7">
        <v>85.299743061765398</v>
      </c>
      <c r="Z11" s="7">
        <v>85.441104379382352</v>
      </c>
      <c r="AA11" s="7">
        <v>85.695650239931439</v>
      </c>
      <c r="AB11" s="7">
        <v>86.239608064596595</v>
      </c>
      <c r="AC11" s="7">
        <v>86.972958355754272</v>
      </c>
      <c r="AD11" s="7">
        <v>86.728535743353177</v>
      </c>
      <c r="AE11" s="7">
        <v>86.468399224621791</v>
      </c>
      <c r="AF11" s="7">
        <v>86.907173102015847</v>
      </c>
      <c r="AG11" s="7">
        <v>86.656740795974315</v>
      </c>
      <c r="AH11" s="7">
        <v>87.213544047872915</v>
      </c>
      <c r="AI11" s="7">
        <v>87.269270819950677</v>
      </c>
      <c r="AJ11" s="7">
        <v>87.426757907500388</v>
      </c>
      <c r="AK11" s="7">
        <v>87.251357946677302</v>
      </c>
      <c r="AL11" s="7">
        <v>87.253563322800773</v>
      </c>
      <c r="AM11" s="7">
        <v>87.572937462064061</v>
      </c>
      <c r="AN11" s="7">
        <v>87.111489834519887</v>
      </c>
      <c r="AO11" s="7">
        <v>87.409817493922944</v>
      </c>
      <c r="AP11" s="7">
        <v>87.086626527093387</v>
      </c>
      <c r="AQ11" s="7">
        <v>87.073402447159808</v>
      </c>
      <c r="AR11" s="7">
        <v>87.100025258707106</v>
      </c>
      <c r="AS11" s="7">
        <v>87.074313206471317</v>
      </c>
      <c r="AT11" s="7">
        <v>87.376935727929535</v>
      </c>
      <c r="AU11" s="7">
        <v>87.653297348092579</v>
      </c>
      <c r="AV11" s="7">
        <v>87.809452709412113</v>
      </c>
      <c r="AW11" s="7">
        <v>87.293969010362147</v>
      </c>
      <c r="AX11" s="7">
        <v>87.528741123187501</v>
      </c>
      <c r="AY11" s="7">
        <v>87.53306293763977</v>
      </c>
      <c r="AZ11" s="7">
        <v>87.733019430382456</v>
      </c>
      <c r="BA11" s="7">
        <v>88.089200620993381</v>
      </c>
      <c r="BB11" s="7">
        <v>87.986008697575954</v>
      </c>
      <c r="BC11" s="7">
        <v>88.492966245956652</v>
      </c>
      <c r="BD11" s="7">
        <v>88.464931666190338</v>
      </c>
      <c r="BE11" s="7">
        <v>88.676096446860527</v>
      </c>
      <c r="BF11" s="7">
        <v>89.080592355795361</v>
      </c>
      <c r="BG11" s="7">
        <v>88.868802971273553</v>
      </c>
      <c r="BH11" s="7">
        <v>89.209254650698668</v>
      </c>
      <c r="BI11" s="7">
        <v>88.930053107171318</v>
      </c>
      <c r="BJ11" s="7">
        <v>88.891154388043276</v>
      </c>
      <c r="BK11" s="7">
        <v>88.907343230839771</v>
      </c>
      <c r="BL11" s="7">
        <v>88.83195469755961</v>
      </c>
      <c r="BM11" s="7">
        <v>88.874844457343727</v>
      </c>
      <c r="BN11" s="7">
        <v>89.598053139494738</v>
      </c>
      <c r="BO11" s="7">
        <v>89.291669596549539</v>
      </c>
      <c r="BP11" s="7">
        <v>89.113587342359494</v>
      </c>
      <c r="BQ11" s="7">
        <v>88.984990048244214</v>
      </c>
      <c r="BR11" s="7">
        <v>88.748872799905399</v>
      </c>
      <c r="BS11" s="7">
        <v>88.975859957525699</v>
      </c>
      <c r="BT11" s="7">
        <v>89.071836484397693</v>
      </c>
      <c r="BU11" s="7">
        <v>89.434689895036442</v>
      </c>
      <c r="BV11" s="7">
        <v>89.470830846335176</v>
      </c>
      <c r="BW11" s="7">
        <v>89.628991150828085</v>
      </c>
      <c r="BX11" s="7">
        <v>89.639241809370077</v>
      </c>
      <c r="BY11" s="7">
        <v>89.295618785443267</v>
      </c>
      <c r="BZ11" s="7">
        <v>89.477440975111875</v>
      </c>
      <c r="CA11" s="7">
        <v>89.315763894131806</v>
      </c>
      <c r="CB11" s="7">
        <v>89.140499613730825</v>
      </c>
      <c r="CC11" s="7">
        <v>89.240817569975135</v>
      </c>
      <c r="CD11" s="7">
        <v>89.405942427648554</v>
      </c>
      <c r="CE11" s="7">
        <v>89.462197856340211</v>
      </c>
      <c r="CF11" s="7">
        <v>89.443898145124535</v>
      </c>
      <c r="CG11" s="7">
        <v>89.51575798628302</v>
      </c>
      <c r="CH11" s="7">
        <v>89.497027814229384</v>
      </c>
      <c r="CI11" s="7">
        <v>89.79955468076551</v>
      </c>
      <c r="CJ11" s="7">
        <v>89.517859102636635</v>
      </c>
      <c r="CK11" s="7">
        <v>89.65841981831106</v>
      </c>
      <c r="CL11" s="7">
        <v>89.640686594691857</v>
      </c>
      <c r="CM11" s="7">
        <v>89.922716036758416</v>
      </c>
      <c r="CN11" s="7">
        <v>90.111722911334766</v>
      </c>
      <c r="CO11" s="7">
        <v>90.226868413725938</v>
      </c>
      <c r="CP11" s="7">
        <v>90.227912947193019</v>
      </c>
      <c r="CQ11" s="7">
        <v>90.339526121702121</v>
      </c>
      <c r="CR11" s="7">
        <v>90.641411292693817</v>
      </c>
      <c r="CS11" s="7">
        <v>90.788739291914439</v>
      </c>
      <c r="CT11" s="7">
        <v>90.739928242327608</v>
      </c>
      <c r="CU11" s="7">
        <v>90.991108739305957</v>
      </c>
      <c r="CV11" s="7">
        <v>91.151319691312708</v>
      </c>
      <c r="CW11" s="7">
        <v>91.380856193739746</v>
      </c>
      <c r="CX11" s="7">
        <v>91.513209677323417</v>
      </c>
      <c r="CY11" s="7">
        <v>91.825365767311169</v>
      </c>
      <c r="CZ11" s="7">
        <v>91.950760340471348</v>
      </c>
      <c r="DA11" s="7">
        <v>91.940317390593947</v>
      </c>
      <c r="DB11" s="7">
        <v>91.949487799513477</v>
      </c>
      <c r="DC11" s="7">
        <v>92.054692375790964</v>
      </c>
      <c r="DD11" s="7">
        <v>92.163032837435892</v>
      </c>
      <c r="DE11" s="7">
        <v>92.300152400597582</v>
      </c>
      <c r="DF11" s="7">
        <v>92.37779294025006</v>
      </c>
      <c r="DG11" s="7">
        <v>92.538579704938456</v>
      </c>
      <c r="DH11" s="7">
        <v>92.643570215824582</v>
      </c>
      <c r="DI11" s="7">
        <v>92.58243531074919</v>
      </c>
      <c r="DJ11" s="7">
        <v>92.632931111904441</v>
      </c>
      <c r="DK11" s="7">
        <v>92.783998679507363</v>
      </c>
      <c r="DL11" s="7">
        <v>93.163050894556392</v>
      </c>
      <c r="DM11" s="7">
        <v>93.45215492885724</v>
      </c>
      <c r="DN11" s="7">
        <v>93.357434188633974</v>
      </c>
      <c r="DO11" s="7">
        <v>93.46225341173897</v>
      </c>
      <c r="DP11" s="7">
        <v>93.778369719715457</v>
      </c>
      <c r="DQ11" s="7">
        <v>94.028958080280319</v>
      </c>
      <c r="DR11" s="7">
        <v>94.082459521948266</v>
      </c>
      <c r="DS11" s="7">
        <v>94.070556935182495</v>
      </c>
      <c r="DT11" s="7">
        <v>94.177625614167624</v>
      </c>
      <c r="DU11" s="7">
        <v>94.319608344400521</v>
      </c>
      <c r="DV11" s="7">
        <v>94.452889135591263</v>
      </c>
      <c r="DW11" s="7">
        <v>94.457674439240705</v>
      </c>
      <c r="DX11" s="7">
        <v>94.502591564690931</v>
      </c>
      <c r="DY11" s="7">
        <v>94.568668208753763</v>
      </c>
      <c r="DZ11" s="7">
        <v>94.722045647249104</v>
      </c>
      <c r="EA11" s="7">
        <v>94.772988822821873</v>
      </c>
      <c r="EB11" s="7">
        <v>94.818018674151887</v>
      </c>
      <c r="EC11" s="7">
        <v>94.940378421660668</v>
      </c>
      <c r="ED11" s="7">
        <v>95.060604308518364</v>
      </c>
      <c r="EE11" s="7">
        <v>95.136269228295888</v>
      </c>
      <c r="EF11" s="7">
        <v>95.421828873418036</v>
      </c>
      <c r="EG11" s="7">
        <v>96.167583586207783</v>
      </c>
      <c r="EH11" s="7">
        <v>96.903030707503902</v>
      </c>
      <c r="EI11" s="7">
        <v>97.92294779724152</v>
      </c>
      <c r="EJ11" s="7">
        <v>98.865329584958062</v>
      </c>
      <c r="EK11" s="7">
        <v>99.789150072350211</v>
      </c>
      <c r="EL11" s="7">
        <v>100.8053549017288</v>
      </c>
      <c r="EM11" s="7">
        <v>101.2625446992359</v>
      </c>
      <c r="EN11" s="7">
        <v>101.98701994807874</v>
      </c>
      <c r="EO11" s="7">
        <v>102.70313065969104</v>
      </c>
      <c r="EP11" s="7">
        <v>103.74247726257457</v>
      </c>
      <c r="EQ11" s="7">
        <v>104.42960190701135</v>
      </c>
      <c r="ER11" s="7">
        <v>105.23527837213514</v>
      </c>
      <c r="ES11" s="7">
        <v>105.74340775700246</v>
      </c>
      <c r="ET11" s="7">
        <v>106.3414759113073</v>
      </c>
      <c r="EU11" s="7">
        <v>107.0432821689718</v>
      </c>
      <c r="EV11" s="7">
        <v>107.27778883359957</v>
      </c>
      <c r="EW11" s="7">
        <v>107.46935554867316</v>
      </c>
      <c r="EX11" s="7">
        <v>107.53872748833319</v>
      </c>
      <c r="EY11" s="7">
        <v>107.62349359989892</v>
      </c>
      <c r="EZ11" s="7">
        <v>107.72931384769808</v>
      </c>
      <c r="FA11" s="7">
        <v>107.91900099449907</v>
      </c>
      <c r="FB11" s="7">
        <v>108.06677604733204</v>
      </c>
      <c r="FC11" s="7">
        <v>108.15353556114815</v>
      </c>
      <c r="FD11" s="144">
        <v>108.2</v>
      </c>
      <c r="FE11" s="144">
        <v>108.6</v>
      </c>
      <c r="FF11" s="144">
        <v>108.7</v>
      </c>
      <c r="FG11" s="1">
        <v>108.9</v>
      </c>
      <c r="FH11" s="144">
        <v>109.2</v>
      </c>
      <c r="FI11" s="1">
        <v>109.4</v>
      </c>
      <c r="FJ11" s="7">
        <v>109.58834079027024</v>
      </c>
      <c r="FK11" s="7">
        <v>109.74043118933324</v>
      </c>
      <c r="FL11" s="7">
        <v>109.8153846010686</v>
      </c>
      <c r="FM11" s="7">
        <v>109.83999629472139</v>
      </c>
      <c r="FN11" s="7">
        <v>109.88182625171787</v>
      </c>
      <c r="FO11" s="7">
        <v>109.67039391211627</v>
      </c>
      <c r="FP11" s="7">
        <v>110</v>
      </c>
      <c r="FQ11" s="7">
        <v>110.1</v>
      </c>
      <c r="FR11" s="7">
        <v>110.2</v>
      </c>
      <c r="FS11" s="222">
        <v>110.37578707088799</v>
      </c>
      <c r="FT11" s="223">
        <v>110.48401628937501</v>
      </c>
      <c r="FU11" s="222">
        <v>110.592245507862</v>
      </c>
      <c r="FV11" s="223">
        <v>110.700474726349</v>
      </c>
      <c r="FW11" s="224">
        <v>110.808703944836</v>
      </c>
      <c r="FX11" s="224">
        <v>110.91693316332299</v>
      </c>
      <c r="FY11" s="224">
        <v>111.02516238181001</v>
      </c>
      <c r="FZ11" s="224">
        <v>111.133391600297</v>
      </c>
      <c r="GA11" s="224">
        <v>111.241620818784</v>
      </c>
      <c r="GB11" s="224">
        <v>111.349850037271</v>
      </c>
      <c r="GC11" s="224">
        <v>111.45807925575799</v>
      </c>
      <c r="GD11" s="224">
        <v>111.56630847424501</v>
      </c>
      <c r="GE11" s="224">
        <v>111.674537692732</v>
      </c>
      <c r="GF11" s="222">
        <v>111.782766911219</v>
      </c>
      <c r="GG11" s="223">
        <v>111.890996129706</v>
      </c>
      <c r="GH11" s="222">
        <v>111.99922534819299</v>
      </c>
      <c r="GI11" s="223">
        <v>112.10745456668</v>
      </c>
      <c r="GJ11" s="224">
        <v>112.215683785167</v>
      </c>
      <c r="GK11" s="224">
        <v>112.323913003654</v>
      </c>
      <c r="GL11" s="224">
        <v>112.432142222141</v>
      </c>
      <c r="GM11" s="224">
        <v>112.54037144062799</v>
      </c>
      <c r="GN11" s="224">
        <v>112.648600659115</v>
      </c>
      <c r="GO11" s="224">
        <v>112.756829877602</v>
      </c>
      <c r="GP11" s="224">
        <v>112.865059096089</v>
      </c>
      <c r="GQ11" s="224">
        <v>112.973288314576</v>
      </c>
      <c r="GR11" s="224">
        <v>113.08151753306301</v>
      </c>
      <c r="GS11" s="222">
        <v>113.18974675155</v>
      </c>
      <c r="GT11" s="223">
        <v>113.297975970037</v>
      </c>
      <c r="GU11" s="222">
        <v>113.406205188524</v>
      </c>
      <c r="GV11" s="223">
        <v>113.514434407011</v>
      </c>
      <c r="GW11" s="224">
        <v>113.62266362549801</v>
      </c>
      <c r="GX11" s="224">
        <v>113.730892843985</v>
      </c>
      <c r="GY11" s="224">
        <v>113.839122062472</v>
      </c>
      <c r="GZ11" s="224">
        <v>113.947351280959</v>
      </c>
      <c r="HA11" s="224">
        <v>114.05558049944599</v>
      </c>
      <c r="HB11" s="224">
        <v>114.16380971793301</v>
      </c>
      <c r="HC11" s="224">
        <v>114.27203893642</v>
      </c>
      <c r="HD11" s="224">
        <v>114.380268154907</v>
      </c>
      <c r="HE11" s="224"/>
      <c r="HF11" s="222"/>
      <c r="HG11" s="223"/>
      <c r="HH11" s="222"/>
      <c r="HI11" s="223"/>
      <c r="HJ11" s="224"/>
      <c r="HK11" s="224"/>
      <c r="HL11" s="224"/>
      <c r="HM11" s="7"/>
      <c r="HN11" s="7"/>
      <c r="HO11" s="7"/>
      <c r="HP11" s="7"/>
      <c r="HQ11" s="7"/>
      <c r="HR11" s="7"/>
      <c r="HS11" s="144"/>
      <c r="HU11" s="144"/>
      <c r="HW11" s="7"/>
      <c r="HX11" s="7"/>
      <c r="HY11" s="7"/>
      <c r="HZ11" s="7"/>
      <c r="IA11" s="7"/>
      <c r="IB11" s="7"/>
      <c r="IC11" s="7"/>
      <c r="ID11" s="7"/>
      <c r="IE11" s="7"/>
      <c r="IF11" s="144"/>
      <c r="IH11" s="144"/>
    </row>
    <row r="12" spans="1:244" s="1" customFormat="1" ht="10.199999999999999" x14ac:dyDescent="0.2">
      <c r="A12" s="11" t="s">
        <v>19</v>
      </c>
      <c r="B12" s="1" t="s">
        <v>33</v>
      </c>
      <c r="C12" s="70">
        <v>4.78</v>
      </c>
      <c r="P12" s="7">
        <v>96.2827484394805</v>
      </c>
      <c r="Q12" s="7">
        <v>96.580758148589297</v>
      </c>
      <c r="R12" s="7">
        <v>96.75723249633046</v>
      </c>
      <c r="S12" s="7">
        <v>96.561529977944446</v>
      </c>
      <c r="T12" s="7">
        <v>96.3777636365093</v>
      </c>
      <c r="U12" s="7">
        <v>96.203801044664672</v>
      </c>
      <c r="V12" s="7">
        <v>96.50313187853682</v>
      </c>
      <c r="W12" s="7">
        <v>96.641387500930804</v>
      </c>
      <c r="X12" s="7">
        <v>96.646281205942557</v>
      </c>
      <c r="Y12" s="7">
        <v>96.474662814871564</v>
      </c>
      <c r="Z12" s="7">
        <v>96.470428835422027</v>
      </c>
      <c r="AA12" s="7">
        <v>96.57213405748027</v>
      </c>
      <c r="AB12" s="7">
        <v>96.534000950081705</v>
      </c>
      <c r="AC12" s="7">
        <v>96.836535957812387</v>
      </c>
      <c r="AD12" s="7">
        <v>96.863765356912225</v>
      </c>
      <c r="AE12" s="7">
        <v>96.866600016502545</v>
      </c>
      <c r="AF12" s="7">
        <v>96.902407575025407</v>
      </c>
      <c r="AG12" s="7">
        <v>97.091207141230569</v>
      </c>
      <c r="AH12" s="7">
        <v>96.902504819210691</v>
      </c>
      <c r="AI12" s="7">
        <v>96.708610380671956</v>
      </c>
      <c r="AJ12" s="7">
        <v>96.8612205876872</v>
      </c>
      <c r="AK12" s="7">
        <v>97.678173403325587</v>
      </c>
      <c r="AL12" s="7">
        <v>97.725535623600337</v>
      </c>
      <c r="AM12" s="7">
        <v>97.503507742516334</v>
      </c>
      <c r="AN12" s="7">
        <v>97.744685750888038</v>
      </c>
      <c r="AO12" s="7">
        <v>97.638657195588223</v>
      </c>
      <c r="AP12" s="7">
        <v>97.73597243726573</v>
      </c>
      <c r="AQ12" s="7">
        <v>97.617366018864374</v>
      </c>
      <c r="AR12" s="7">
        <v>97.856002038549335</v>
      </c>
      <c r="AS12" s="7">
        <v>97.681430853793543</v>
      </c>
      <c r="AT12" s="7">
        <v>97.853825346552597</v>
      </c>
      <c r="AU12" s="7">
        <v>97.885985041730208</v>
      </c>
      <c r="AV12" s="7">
        <v>97.767296310675263</v>
      </c>
      <c r="AW12" s="7">
        <v>97.836935155916123</v>
      </c>
      <c r="AX12" s="7">
        <v>97.763686925651768</v>
      </c>
      <c r="AY12" s="7">
        <v>97.686248084383848</v>
      </c>
      <c r="AZ12" s="7">
        <v>98.170031918637974</v>
      </c>
      <c r="BA12" s="7">
        <v>98.136498477686047</v>
      </c>
      <c r="BB12" s="7">
        <v>98.373504393790483</v>
      </c>
      <c r="BC12" s="7">
        <v>98.509167157263605</v>
      </c>
      <c r="BD12" s="7">
        <v>98.070676635862512</v>
      </c>
      <c r="BE12" s="7">
        <v>98.158355417727051</v>
      </c>
      <c r="BF12" s="7">
        <v>97.953376161400286</v>
      </c>
      <c r="BG12" s="7">
        <v>98.014157866646684</v>
      </c>
      <c r="BH12" s="7">
        <v>98.049281460806384</v>
      </c>
      <c r="BI12" s="7">
        <v>98.570129085984249</v>
      </c>
      <c r="BJ12" s="7">
        <v>98.425948424132457</v>
      </c>
      <c r="BK12" s="7">
        <v>98.21157311667605</v>
      </c>
      <c r="BL12" s="7">
        <v>98.056453372851564</v>
      </c>
      <c r="BM12" s="7">
        <v>97.941023109492406</v>
      </c>
      <c r="BN12" s="7">
        <v>97.917432256440236</v>
      </c>
      <c r="BO12" s="7">
        <v>98.140996721993616</v>
      </c>
      <c r="BP12" s="7">
        <v>97.778612780817426</v>
      </c>
      <c r="BQ12" s="7">
        <v>97.687706158365174</v>
      </c>
      <c r="BR12" s="7">
        <v>97.756741079494049</v>
      </c>
      <c r="BS12" s="7">
        <v>97.702589067041146</v>
      </c>
      <c r="BT12" s="7">
        <v>97.798971037130883</v>
      </c>
      <c r="BU12" s="7">
        <v>97.936905741860912</v>
      </c>
      <c r="BV12" s="7">
        <v>98.068263385050685</v>
      </c>
      <c r="BW12" s="7">
        <v>98.153902805799945</v>
      </c>
      <c r="BX12" s="7">
        <v>98.206814655208007</v>
      </c>
      <c r="BY12" s="7">
        <v>98.20463762374473</v>
      </c>
      <c r="BZ12" s="7">
        <v>97.946728844599747</v>
      </c>
      <c r="CA12" s="7">
        <v>98.141302296651673</v>
      </c>
      <c r="CB12" s="7">
        <v>98.192599506846619</v>
      </c>
      <c r="CC12" s="7">
        <v>98.206248398028663</v>
      </c>
      <c r="CD12" s="7">
        <v>98.240516087354933</v>
      </c>
      <c r="CE12" s="7">
        <v>98.210266144091108</v>
      </c>
      <c r="CF12" s="7">
        <v>98.21458958907975</v>
      </c>
      <c r="CG12" s="7">
        <v>98.286993997359829</v>
      </c>
      <c r="CH12" s="7">
        <v>98.299420849193254</v>
      </c>
      <c r="CI12" s="7">
        <v>98.316978426007097</v>
      </c>
      <c r="CJ12" s="7">
        <v>98.19429222916321</v>
      </c>
      <c r="CK12" s="7">
        <v>98.229915799873396</v>
      </c>
      <c r="CL12" s="7">
        <v>98.236949545293797</v>
      </c>
      <c r="CM12" s="7">
        <v>98.366581253908066</v>
      </c>
      <c r="CN12" s="7">
        <v>98.544797689864183</v>
      </c>
      <c r="CO12" s="7">
        <v>98.637130129792936</v>
      </c>
      <c r="CP12" s="7">
        <v>98.910455745445788</v>
      </c>
      <c r="CQ12" s="7">
        <v>98.919509581784041</v>
      </c>
      <c r="CR12" s="7">
        <v>98.920383894952181</v>
      </c>
      <c r="CS12" s="7">
        <v>98.927395151463855</v>
      </c>
      <c r="CT12" s="7">
        <v>98.921205401511429</v>
      </c>
      <c r="CU12" s="7">
        <v>98.930274165373731</v>
      </c>
      <c r="CV12" s="7">
        <v>98.918227260208553</v>
      </c>
      <c r="CW12" s="7">
        <v>98.978593144519834</v>
      </c>
      <c r="CX12" s="7">
        <v>99.131724167407299</v>
      </c>
      <c r="CY12" s="7">
        <v>99.196065648240747</v>
      </c>
      <c r="CZ12" s="7">
        <v>99.227933686034632</v>
      </c>
      <c r="DA12" s="7">
        <v>99.253974175256928</v>
      </c>
      <c r="DB12" s="7">
        <v>99.315513985075597</v>
      </c>
      <c r="DC12" s="7">
        <v>99.242231337781931</v>
      </c>
      <c r="DD12" s="7">
        <v>99.258825871520301</v>
      </c>
      <c r="DE12" s="7">
        <v>99.268225848692154</v>
      </c>
      <c r="DF12" s="7">
        <v>99.277015310176836</v>
      </c>
      <c r="DG12" s="7">
        <v>99.29212382557111</v>
      </c>
      <c r="DH12" s="7">
        <v>99.254991377731187</v>
      </c>
      <c r="DI12" s="7">
        <v>99.282654318505379</v>
      </c>
      <c r="DJ12" s="7">
        <v>99.334038326775783</v>
      </c>
      <c r="DK12" s="7">
        <v>99.372312641743676</v>
      </c>
      <c r="DL12" s="7">
        <v>99.430866281928274</v>
      </c>
      <c r="DM12" s="7">
        <v>99.453132347990348</v>
      </c>
      <c r="DN12" s="7">
        <v>99.396361068409803</v>
      </c>
      <c r="DO12" s="7">
        <v>99.409634187137527</v>
      </c>
      <c r="DP12" s="7">
        <v>99.498519890258166</v>
      </c>
      <c r="DQ12" s="7">
        <v>99.541921861923598</v>
      </c>
      <c r="DR12" s="7">
        <v>99.533434321767217</v>
      </c>
      <c r="DS12" s="7">
        <v>99.528246010321169</v>
      </c>
      <c r="DT12" s="7">
        <v>99.514029274282123</v>
      </c>
      <c r="DU12" s="7">
        <v>99.516776509997797</v>
      </c>
      <c r="DV12" s="7">
        <v>99.521965231051936</v>
      </c>
      <c r="DW12" s="7">
        <v>99.495825651014911</v>
      </c>
      <c r="DX12" s="7">
        <v>99.544654723010296</v>
      </c>
      <c r="DY12" s="7">
        <v>99.548250642033835</v>
      </c>
      <c r="DZ12" s="7">
        <v>99.591687782043209</v>
      </c>
      <c r="EA12" s="7">
        <v>99.588962872802426</v>
      </c>
      <c r="EB12" s="7">
        <v>99.624607772146859</v>
      </c>
      <c r="EC12" s="7">
        <v>99.640489046398955</v>
      </c>
      <c r="ED12" s="7">
        <v>99.661598666502485</v>
      </c>
      <c r="EE12" s="7">
        <v>99.66708299160868</v>
      </c>
      <c r="EF12" s="7">
        <v>99.707060757298763</v>
      </c>
      <c r="EG12" s="7">
        <v>99.682899736687631</v>
      </c>
      <c r="EH12" s="7">
        <v>99.815951856188605</v>
      </c>
      <c r="EI12" s="7">
        <v>99.932092685971568</v>
      </c>
      <c r="EJ12" s="7">
        <v>99.892449066247863</v>
      </c>
      <c r="EK12" s="7">
        <v>100.02306845450032</v>
      </c>
      <c r="EL12" s="7">
        <v>100.05505372451859</v>
      </c>
      <c r="EM12" s="7">
        <v>100.06269106387784</v>
      </c>
      <c r="EN12" s="7">
        <v>100.10484378881297</v>
      </c>
      <c r="EO12" s="7">
        <v>100.162605173437</v>
      </c>
      <c r="EP12" s="7">
        <v>100.26990649774028</v>
      </c>
      <c r="EQ12" s="7">
        <v>100.29137719471865</v>
      </c>
      <c r="ER12" s="7">
        <v>100.46392370329323</v>
      </c>
      <c r="ES12" s="7">
        <v>100.62069102231249</v>
      </c>
      <c r="ET12" s="7">
        <v>100.69337046475177</v>
      </c>
      <c r="EU12" s="7">
        <v>100.79602925749798</v>
      </c>
      <c r="EV12" s="7">
        <v>100.82795416907281</v>
      </c>
      <c r="EW12" s="7">
        <v>100.84412919035361</v>
      </c>
      <c r="EX12" s="7">
        <v>100.89653596195723</v>
      </c>
      <c r="EY12" s="7">
        <v>100.96539939340069</v>
      </c>
      <c r="EZ12" s="7">
        <v>100.99009519031976</v>
      </c>
      <c r="FA12" s="7">
        <v>101.01047852152431</v>
      </c>
      <c r="FB12" s="7">
        <v>101.03591563008661</v>
      </c>
      <c r="FC12" s="7">
        <v>101.04787294449586</v>
      </c>
      <c r="FD12" s="144">
        <v>101.1</v>
      </c>
      <c r="FE12" s="144">
        <v>101.2</v>
      </c>
      <c r="FF12" s="144">
        <v>101.4</v>
      </c>
      <c r="FG12" s="1">
        <v>101.4</v>
      </c>
      <c r="FH12" s="144">
        <v>101.4</v>
      </c>
      <c r="FI12" s="1">
        <v>101.5</v>
      </c>
      <c r="FJ12" s="7">
        <v>101.53949514018957</v>
      </c>
      <c r="FK12" s="7">
        <v>101.53067789566383</v>
      </c>
      <c r="FL12" s="7">
        <v>101.62688267264343</v>
      </c>
      <c r="FM12" s="7">
        <v>101.67130807390518</v>
      </c>
      <c r="FN12" s="7">
        <v>101.72856334640329</v>
      </c>
      <c r="FO12" s="7">
        <v>101.80681112338766</v>
      </c>
      <c r="FP12" s="7">
        <v>101.8</v>
      </c>
      <c r="FQ12" s="7">
        <v>101.9</v>
      </c>
      <c r="FR12" s="7">
        <v>101.9</v>
      </c>
      <c r="FS12" s="222">
        <v>101.959487556355</v>
      </c>
      <c r="FT12" s="223">
        <v>102.00640623745799</v>
      </c>
      <c r="FU12" s="222">
        <v>102.053324918561</v>
      </c>
      <c r="FV12" s="223">
        <v>102.10024359966501</v>
      </c>
      <c r="FW12" s="224">
        <v>102.147162280768</v>
      </c>
      <c r="FX12" s="224">
        <v>102.194080961872</v>
      </c>
      <c r="FY12" s="224">
        <v>102.240999642975</v>
      </c>
      <c r="FZ12" s="224">
        <v>102.287918324079</v>
      </c>
      <c r="GA12" s="224">
        <v>102.334837005182</v>
      </c>
      <c r="GB12" s="224">
        <v>102.381755686286</v>
      </c>
      <c r="GC12" s="224">
        <v>102.42867436738899</v>
      </c>
      <c r="GD12" s="224">
        <v>102.475593048493</v>
      </c>
      <c r="GE12" s="224">
        <v>102.522511729596</v>
      </c>
      <c r="GF12" s="222">
        <v>102.56943041069999</v>
      </c>
      <c r="GG12" s="223">
        <v>102.616349091803</v>
      </c>
      <c r="GH12" s="222">
        <v>102.66326777290701</v>
      </c>
      <c r="GI12" s="223">
        <v>102.71018645401</v>
      </c>
      <c r="GJ12" s="224">
        <v>102.757105135114</v>
      </c>
      <c r="GK12" s="224">
        <v>102.804023816217</v>
      </c>
      <c r="GL12" s="224">
        <v>102.85094249732001</v>
      </c>
      <c r="GM12" s="224">
        <v>102.89786117842399</v>
      </c>
      <c r="GN12" s="224">
        <v>102.944779859527</v>
      </c>
      <c r="GO12" s="224">
        <v>102.99169854063101</v>
      </c>
      <c r="GP12" s="224">
        <v>103.038617221734</v>
      </c>
      <c r="GQ12" s="224">
        <v>103.085535902838</v>
      </c>
      <c r="GR12" s="224">
        <v>103.132454583941</v>
      </c>
      <c r="GS12" s="222">
        <v>103.179373265045</v>
      </c>
      <c r="GT12" s="223">
        <v>103.226291946148</v>
      </c>
      <c r="GU12" s="222">
        <v>103.273210627252</v>
      </c>
      <c r="GV12" s="223">
        <v>103.32012930835501</v>
      </c>
      <c r="GW12" s="224">
        <v>103.367047989459</v>
      </c>
      <c r="GX12" s="224">
        <v>103.413966670562</v>
      </c>
      <c r="GY12" s="224">
        <v>103.46088535166599</v>
      </c>
      <c r="GZ12" s="224">
        <v>103.507804032769</v>
      </c>
      <c r="HA12" s="224">
        <v>103.55472271387301</v>
      </c>
      <c r="HB12" s="224">
        <v>103.601641394976</v>
      </c>
      <c r="HC12" s="224">
        <v>103.64856007607899</v>
      </c>
      <c r="HD12" s="224">
        <v>103.695478757183</v>
      </c>
      <c r="HE12" s="224"/>
      <c r="HF12" s="222"/>
      <c r="HG12" s="223"/>
      <c r="HH12" s="222"/>
      <c r="HI12" s="223"/>
      <c r="HJ12" s="224"/>
      <c r="HK12" s="224"/>
      <c r="HL12" s="224"/>
      <c r="HM12" s="7"/>
      <c r="HN12" s="7"/>
      <c r="HO12" s="7"/>
      <c r="HP12" s="7"/>
      <c r="HQ12" s="7"/>
      <c r="HR12" s="7"/>
      <c r="HS12" s="144"/>
      <c r="HU12" s="144"/>
      <c r="HW12" s="7"/>
      <c r="HX12" s="7"/>
      <c r="HY12" s="7"/>
      <c r="HZ12" s="7"/>
      <c r="IA12" s="7"/>
      <c r="IB12" s="7"/>
      <c r="IC12" s="7"/>
      <c r="ID12" s="7"/>
      <c r="IE12" s="7"/>
      <c r="IF12" s="144"/>
      <c r="IH12" s="144"/>
    </row>
    <row r="13" spans="1:244" s="1" customFormat="1" ht="10.199999999999999" x14ac:dyDescent="0.2">
      <c r="A13" s="11" t="s">
        <v>21</v>
      </c>
      <c r="B13" s="1" t="s">
        <v>22</v>
      </c>
      <c r="C13" s="70">
        <v>11.27</v>
      </c>
      <c r="P13" s="7">
        <v>77.104881443910756</v>
      </c>
      <c r="Q13" s="7">
        <v>76.889757665881135</v>
      </c>
      <c r="R13" s="7">
        <v>76.841600741479027</v>
      </c>
      <c r="S13" s="7">
        <v>77.257095671419364</v>
      </c>
      <c r="T13" s="7">
        <v>77.52343368324351</v>
      </c>
      <c r="U13" s="7">
        <v>77.557357344175529</v>
      </c>
      <c r="V13" s="7">
        <v>78.793886870682002</v>
      </c>
      <c r="W13" s="7">
        <v>79.039137311735686</v>
      </c>
      <c r="X13" s="7">
        <v>79.033502509174738</v>
      </c>
      <c r="Y13" s="7">
        <v>78.977382338239238</v>
      </c>
      <c r="Z13" s="7">
        <v>79.123393489920986</v>
      </c>
      <c r="AA13" s="7">
        <v>79.404572131617726</v>
      </c>
      <c r="AB13" s="7">
        <v>79.132305348110293</v>
      </c>
      <c r="AC13" s="7">
        <v>79.379034461492864</v>
      </c>
      <c r="AD13" s="7">
        <v>79.180723379529624</v>
      </c>
      <c r="AE13" s="7">
        <v>79.524185499899801</v>
      </c>
      <c r="AF13" s="7">
        <v>79.403262045789205</v>
      </c>
      <c r="AG13" s="7">
        <v>79.54925693594835</v>
      </c>
      <c r="AH13" s="7">
        <v>79.400787989447068</v>
      </c>
      <c r="AI13" s="7">
        <v>79.897550983142466</v>
      </c>
      <c r="AJ13" s="7">
        <v>79.749655302040281</v>
      </c>
      <c r="AK13" s="7">
        <v>80.068840018767574</v>
      </c>
      <c r="AL13" s="7">
        <v>79.702207209622784</v>
      </c>
      <c r="AM13" s="7">
        <v>80.195501537510168</v>
      </c>
      <c r="AN13" s="7">
        <v>80.401441251468398</v>
      </c>
      <c r="AO13" s="7">
        <v>80.270642773747042</v>
      </c>
      <c r="AP13" s="7">
        <v>80.029199975595859</v>
      </c>
      <c r="AQ13" s="7">
        <v>79.944569449149313</v>
      </c>
      <c r="AR13" s="7">
        <v>80.299668702163189</v>
      </c>
      <c r="AS13" s="7">
        <v>80.511458582808771</v>
      </c>
      <c r="AT13" s="7">
        <v>90.627177954300677</v>
      </c>
      <c r="AU13" s="7">
        <v>90.963810050430396</v>
      </c>
      <c r="AV13" s="7">
        <v>91.504830670561645</v>
      </c>
      <c r="AW13" s="7">
        <v>91.056196609522217</v>
      </c>
      <c r="AX13" s="7">
        <v>91.67059939907972</v>
      </c>
      <c r="AY13" s="7">
        <v>91.605352631673568</v>
      </c>
      <c r="AZ13" s="7">
        <v>91.780703614311875</v>
      </c>
      <c r="BA13" s="7">
        <v>91.930348663987047</v>
      </c>
      <c r="BB13" s="7">
        <v>92.132538455168117</v>
      </c>
      <c r="BC13" s="7">
        <v>92.009186408547379</v>
      </c>
      <c r="BD13" s="7">
        <v>92.354254642091192</v>
      </c>
      <c r="BE13" s="7">
        <v>92.436864406096106</v>
      </c>
      <c r="BF13" s="7">
        <v>91.955703723142477</v>
      </c>
      <c r="BG13" s="7">
        <v>92.4442549519908</v>
      </c>
      <c r="BH13" s="7">
        <v>92.591751411143818</v>
      </c>
      <c r="BI13" s="7">
        <v>92.159589374612068</v>
      </c>
      <c r="BJ13" s="7">
        <v>92.256901286801863</v>
      </c>
      <c r="BK13" s="7">
        <v>92.205914317181723</v>
      </c>
      <c r="BL13" s="7">
        <v>91.327392026324247</v>
      </c>
      <c r="BM13" s="7">
        <v>91.139875816113715</v>
      </c>
      <c r="BN13" s="7">
        <v>91.646021964628403</v>
      </c>
      <c r="BO13" s="7">
        <v>91.389194908971561</v>
      </c>
      <c r="BP13" s="7">
        <v>91.574053995847891</v>
      </c>
      <c r="BQ13" s="7">
        <v>91.672231887013254</v>
      </c>
      <c r="BR13" s="7">
        <v>91.414357663991936</v>
      </c>
      <c r="BS13" s="7">
        <v>91.897138232260573</v>
      </c>
      <c r="BT13" s="7">
        <v>91.476334249098215</v>
      </c>
      <c r="BU13" s="7">
        <v>91.573204971756809</v>
      </c>
      <c r="BV13" s="7">
        <v>91.634124105022522</v>
      </c>
      <c r="BW13" s="7">
        <v>91.711488915481581</v>
      </c>
      <c r="BX13" s="7">
        <v>92.145201336531144</v>
      </c>
      <c r="BY13" s="7">
        <v>92.13737981244347</v>
      </c>
      <c r="BZ13" s="7">
        <v>92.339512710175228</v>
      </c>
      <c r="CA13" s="7">
        <v>92.429541006919052</v>
      </c>
      <c r="CB13" s="7">
        <v>92.35820013528128</v>
      </c>
      <c r="CC13" s="7">
        <v>92.380234354219056</v>
      </c>
      <c r="CD13" s="7">
        <v>92.174018335325087</v>
      </c>
      <c r="CE13" s="7">
        <v>92.409065176687989</v>
      </c>
      <c r="CF13" s="7">
        <v>92.305393984918467</v>
      </c>
      <c r="CG13" s="7">
        <v>92.058969103948982</v>
      </c>
      <c r="CH13" s="7">
        <v>92.084826593724046</v>
      </c>
      <c r="CI13" s="7">
        <v>92.258462451969251</v>
      </c>
      <c r="CJ13" s="7">
        <v>92.153418026400985</v>
      </c>
      <c r="CK13" s="7">
        <v>92.227890423150711</v>
      </c>
      <c r="CL13" s="7">
        <v>92.140669380088966</v>
      </c>
      <c r="CM13" s="7">
        <v>92.236743419246892</v>
      </c>
      <c r="CN13" s="7">
        <v>92.30570253515539</v>
      </c>
      <c r="CO13" s="7">
        <v>92.440538480979683</v>
      </c>
      <c r="CP13" s="7">
        <v>93.135746747346971</v>
      </c>
      <c r="CQ13" s="7">
        <v>93.400512645310485</v>
      </c>
      <c r="CR13" s="7">
        <v>93.398842657136072</v>
      </c>
      <c r="CS13" s="7">
        <v>93.596985795529406</v>
      </c>
      <c r="CT13" s="7">
        <v>93.663780356456215</v>
      </c>
      <c r="CU13" s="7">
        <v>93.976653117365373</v>
      </c>
      <c r="CV13" s="7">
        <v>94.12532083091051</v>
      </c>
      <c r="CW13" s="7">
        <v>94.147606866051007</v>
      </c>
      <c r="CX13" s="7">
        <v>94.192631108328953</v>
      </c>
      <c r="CY13" s="7">
        <v>94.550636097032211</v>
      </c>
      <c r="CZ13" s="7">
        <v>94.663220916351392</v>
      </c>
      <c r="DA13" s="7">
        <v>94.659551788630168</v>
      </c>
      <c r="DB13" s="7">
        <v>94.723590703304922</v>
      </c>
      <c r="DC13" s="7">
        <v>94.894589594102243</v>
      </c>
      <c r="DD13" s="7">
        <v>94.894544922975513</v>
      </c>
      <c r="DE13" s="7">
        <v>94.987906992044259</v>
      </c>
      <c r="DF13" s="7">
        <v>95.029868694484051</v>
      </c>
      <c r="DG13" s="7">
        <v>95.340783949735837</v>
      </c>
      <c r="DH13" s="7">
        <v>95.133616693614286</v>
      </c>
      <c r="DI13" s="7">
        <v>95.462763954335472</v>
      </c>
      <c r="DJ13" s="7">
        <v>96.208336885772383</v>
      </c>
      <c r="DK13" s="7">
        <v>99.988452703531308</v>
      </c>
      <c r="DL13" s="7">
        <v>96.358908902212278</v>
      </c>
      <c r="DM13" s="7">
        <v>96.29589298665023</v>
      </c>
      <c r="DN13" s="7">
        <v>96.270915094971116</v>
      </c>
      <c r="DO13" s="7">
        <v>96.387555220301067</v>
      </c>
      <c r="DP13" s="7">
        <v>96.510404911163604</v>
      </c>
      <c r="DQ13" s="7">
        <v>96.783671736891307</v>
      </c>
      <c r="DR13" s="7">
        <v>96.886307648168184</v>
      </c>
      <c r="DS13" s="7">
        <v>96.930765773701069</v>
      </c>
      <c r="DT13" s="7">
        <v>96.85100498079531</v>
      </c>
      <c r="DU13" s="7">
        <v>96.836477309249958</v>
      </c>
      <c r="DV13" s="7">
        <v>96.932996530628941</v>
      </c>
      <c r="DW13" s="7">
        <v>97.005928115475271</v>
      </c>
      <c r="DX13" s="7">
        <v>97.096781675378821</v>
      </c>
      <c r="DY13" s="7">
        <v>97.137169295717726</v>
      </c>
      <c r="DZ13" s="7">
        <v>97.497266873264408</v>
      </c>
      <c r="EA13" s="7">
        <v>97.584625696674692</v>
      </c>
      <c r="EB13" s="7">
        <v>97.560297428200769</v>
      </c>
      <c r="EC13" s="7">
        <v>97.807655211809006</v>
      </c>
      <c r="ED13" s="7">
        <v>97.949423096981846</v>
      </c>
      <c r="EE13" s="7">
        <v>98.39628889892208</v>
      </c>
      <c r="EF13" s="7">
        <v>98.616543465015496</v>
      </c>
      <c r="EG13" s="7">
        <v>98.77908860615976</v>
      </c>
      <c r="EH13" s="7">
        <v>99.040255382388949</v>
      </c>
      <c r="EI13" s="7">
        <v>99.309691452277079</v>
      </c>
      <c r="EJ13" s="7">
        <v>99.513094076955113</v>
      </c>
      <c r="EK13" s="7">
        <v>100.34313919126046</v>
      </c>
      <c r="EL13" s="7">
        <v>100.31144757282097</v>
      </c>
      <c r="EM13" s="7">
        <v>100.71071667569137</v>
      </c>
      <c r="EN13" s="7">
        <v>100.70003668706677</v>
      </c>
      <c r="EO13" s="7">
        <v>100.85271574549044</v>
      </c>
      <c r="EP13" s="7">
        <v>100.89328061129248</v>
      </c>
      <c r="EQ13" s="7">
        <v>100.92999053358109</v>
      </c>
      <c r="ER13" s="7">
        <v>101.05272932845044</v>
      </c>
      <c r="ES13" s="7">
        <v>109.69452157712819</v>
      </c>
      <c r="ET13" s="7">
        <v>114.85975155847649</v>
      </c>
      <c r="EU13" s="7">
        <v>115.2816994166872</v>
      </c>
      <c r="EV13" s="7">
        <v>115.63748205011656</v>
      </c>
      <c r="EW13" s="7">
        <v>117.0995323020408</v>
      </c>
      <c r="EX13" s="7">
        <v>117.3880605874961</v>
      </c>
      <c r="EY13" s="7">
        <v>117.58240140267877</v>
      </c>
      <c r="EZ13" s="7">
        <v>117.54189249663231</v>
      </c>
      <c r="FA13" s="7">
        <v>117.5239018027514</v>
      </c>
      <c r="FB13" s="7">
        <v>117.93590858135418</v>
      </c>
      <c r="FC13" s="7">
        <v>118.4870675864325</v>
      </c>
      <c r="FD13" s="144">
        <v>118.2</v>
      </c>
      <c r="FE13" s="144">
        <v>125.8</v>
      </c>
      <c r="FF13" s="144">
        <v>128.30000000000001</v>
      </c>
      <c r="FG13" s="1">
        <v>129.6</v>
      </c>
      <c r="FH13" s="144">
        <v>130.19999999999999</v>
      </c>
      <c r="FI13" s="1">
        <v>130.19999999999999</v>
      </c>
      <c r="FJ13" s="7">
        <v>130.23352422836581</v>
      </c>
      <c r="FK13" s="7">
        <v>130.16359757401838</v>
      </c>
      <c r="FL13" s="7">
        <v>130.68176576647613</v>
      </c>
      <c r="FM13" s="7">
        <v>131.54410072860964</v>
      </c>
      <c r="FN13" s="7">
        <v>131.97174052282151</v>
      </c>
      <c r="FO13" s="7">
        <v>132.169376760565</v>
      </c>
      <c r="FP13" s="7">
        <v>131.80000000000001</v>
      </c>
      <c r="FQ13" s="7">
        <v>131.80000000000001</v>
      </c>
      <c r="FR13" s="7">
        <v>131.9</v>
      </c>
      <c r="FS13" s="222">
        <v>132.72666450718901</v>
      </c>
      <c r="FT13" s="223">
        <v>133.00009893589899</v>
      </c>
      <c r="FU13" s="222">
        <v>133.27353336460899</v>
      </c>
      <c r="FV13" s="223">
        <v>133.546967793319</v>
      </c>
      <c r="FW13" s="224">
        <v>133.82040222202801</v>
      </c>
      <c r="FX13" s="224">
        <v>134.09383665073801</v>
      </c>
      <c r="FY13" s="224">
        <v>134.36727107944799</v>
      </c>
      <c r="FZ13" s="224">
        <v>134.64070550815799</v>
      </c>
      <c r="GA13" s="224">
        <v>134.914139936868</v>
      </c>
      <c r="GB13" s="224">
        <v>135.187574365578</v>
      </c>
      <c r="GC13" s="224">
        <v>135.46100879428801</v>
      </c>
      <c r="GD13" s="224">
        <v>135.73444322299801</v>
      </c>
      <c r="GE13" s="224">
        <v>136.00787765170699</v>
      </c>
      <c r="GF13" s="222">
        <v>136.281312080417</v>
      </c>
      <c r="GG13" s="223">
        <v>136.554746509127</v>
      </c>
      <c r="GH13" s="222">
        <v>136.828180937837</v>
      </c>
      <c r="GI13" s="223">
        <v>137.10161536654701</v>
      </c>
      <c r="GJ13" s="224">
        <v>137.37504979525701</v>
      </c>
      <c r="GK13" s="224">
        <v>137.64848422396699</v>
      </c>
      <c r="GL13" s="224">
        <v>137.92191865267699</v>
      </c>
      <c r="GM13" s="224">
        <v>138.195353081386</v>
      </c>
      <c r="GN13" s="224">
        <v>138.46878751009601</v>
      </c>
      <c r="GO13" s="224">
        <v>138.74222193880601</v>
      </c>
      <c r="GP13" s="224">
        <v>139.01565636751599</v>
      </c>
      <c r="GQ13" s="224">
        <v>139.28909079622599</v>
      </c>
      <c r="GR13" s="224">
        <v>139.562525224936</v>
      </c>
      <c r="GS13" s="222">
        <v>139.835959653646</v>
      </c>
      <c r="GT13" s="223">
        <v>140.109394082356</v>
      </c>
      <c r="GU13" s="222">
        <v>140.38282851106499</v>
      </c>
      <c r="GV13" s="223">
        <v>140.65626293977499</v>
      </c>
      <c r="GW13" s="224">
        <v>140.92969736848499</v>
      </c>
      <c r="GX13" s="224">
        <v>141.203131797195</v>
      </c>
      <c r="GY13" s="224">
        <v>141.476566225905</v>
      </c>
      <c r="GZ13" s="224">
        <v>141.75000065461501</v>
      </c>
      <c r="HA13" s="224">
        <v>142.02343508332501</v>
      </c>
      <c r="HB13" s="224">
        <v>142.29686951203499</v>
      </c>
      <c r="HC13" s="224">
        <v>142.570303940744</v>
      </c>
      <c r="HD13" s="224">
        <v>142.843738369454</v>
      </c>
      <c r="HE13" s="224"/>
      <c r="HF13" s="222"/>
      <c r="HG13" s="223"/>
      <c r="HH13" s="222"/>
      <c r="HI13" s="223"/>
      <c r="HJ13" s="224"/>
      <c r="HK13" s="224"/>
      <c r="HL13" s="224"/>
      <c r="HM13" s="7"/>
      <c r="HN13" s="7"/>
      <c r="HO13" s="7"/>
      <c r="HP13" s="7"/>
      <c r="HQ13" s="7"/>
      <c r="HR13" s="7"/>
      <c r="HS13" s="144"/>
      <c r="HU13" s="144"/>
      <c r="HW13" s="7"/>
      <c r="HX13" s="7"/>
      <c r="HY13" s="7"/>
      <c r="HZ13" s="7"/>
      <c r="IA13" s="7"/>
      <c r="IB13" s="7"/>
      <c r="IC13" s="7"/>
      <c r="ID13" s="7"/>
      <c r="IE13" s="7"/>
      <c r="IF13" s="144"/>
      <c r="IH13" s="144"/>
    </row>
    <row r="14" spans="1:244" s="1" customFormat="1" ht="10.199999999999999" x14ac:dyDescent="0.2">
      <c r="A14" s="11" t="s">
        <v>23</v>
      </c>
      <c r="B14" s="1" t="s">
        <v>24</v>
      </c>
      <c r="C14" s="70">
        <v>4.59</v>
      </c>
      <c r="P14" s="7">
        <v>109.05163974251903</v>
      </c>
      <c r="Q14" s="7">
        <v>108.1391084340361</v>
      </c>
      <c r="R14" s="7">
        <v>108.62167507170032</v>
      </c>
      <c r="S14" s="7">
        <v>108.49477479331964</v>
      </c>
      <c r="T14" s="7">
        <v>108.75607205544563</v>
      </c>
      <c r="U14" s="7">
        <v>108.10318957774442</v>
      </c>
      <c r="V14" s="7">
        <v>107.30394334107126</v>
      </c>
      <c r="W14" s="7">
        <v>106.72664390343343</v>
      </c>
      <c r="X14" s="7">
        <v>107.10508732701979</v>
      </c>
      <c r="Y14" s="7">
        <v>106.76614262894525</v>
      </c>
      <c r="Z14" s="7">
        <v>106.89185121659044</v>
      </c>
      <c r="AA14" s="7">
        <v>106.54722213559586</v>
      </c>
      <c r="AB14" s="7">
        <v>106.1267801237934</v>
      </c>
      <c r="AC14" s="7">
        <v>105.53067727945064</v>
      </c>
      <c r="AD14" s="7">
        <v>105.56934464920023</v>
      </c>
      <c r="AE14" s="7">
        <v>106.65270867916885</v>
      </c>
      <c r="AF14" s="7">
        <v>105.36850908527197</v>
      </c>
      <c r="AG14" s="7">
        <v>104.54903294783067</v>
      </c>
      <c r="AH14" s="7">
        <v>104.01243366966112</v>
      </c>
      <c r="AI14" s="7">
        <v>103.40016641561746</v>
      </c>
      <c r="AJ14" s="7">
        <v>103.41954268050964</v>
      </c>
      <c r="AK14" s="7">
        <v>103.52533630793761</v>
      </c>
      <c r="AL14" s="7">
        <v>103.42388010075283</v>
      </c>
      <c r="AM14" s="7">
        <v>103.49917825762073</v>
      </c>
      <c r="AN14" s="7">
        <v>103.34755213135416</v>
      </c>
      <c r="AO14" s="7">
        <v>102.52898389992272</v>
      </c>
      <c r="AP14" s="7">
        <v>103.08007486157501</v>
      </c>
      <c r="AQ14" s="7">
        <v>102.19498264687522</v>
      </c>
      <c r="AR14" s="7">
        <v>102.04587274674786</v>
      </c>
      <c r="AS14" s="7">
        <v>102.8887496079054</v>
      </c>
      <c r="AT14" s="7">
        <v>102.45727888027068</v>
      </c>
      <c r="AU14" s="7">
        <v>100.72769727226135</v>
      </c>
      <c r="AV14" s="7">
        <v>101.7264112897454</v>
      </c>
      <c r="AW14" s="7">
        <v>101.01330820558401</v>
      </c>
      <c r="AX14" s="7">
        <v>101.24286472613203</v>
      </c>
      <c r="AY14" s="7">
        <v>100.56202112372304</v>
      </c>
      <c r="AZ14" s="7">
        <v>99.978959199344672</v>
      </c>
      <c r="BA14" s="7">
        <v>99.641745273718954</v>
      </c>
      <c r="BB14" s="7">
        <v>99.763790523499125</v>
      </c>
      <c r="BC14" s="7">
        <v>99.665555216726375</v>
      </c>
      <c r="BD14" s="7">
        <v>99.652307606077756</v>
      </c>
      <c r="BE14" s="7">
        <v>100.90771141787553</v>
      </c>
      <c r="BF14" s="7">
        <v>99.435945890039349</v>
      </c>
      <c r="BG14" s="7">
        <v>99.829678468983261</v>
      </c>
      <c r="BH14" s="7">
        <v>98.398445401237794</v>
      </c>
      <c r="BI14" s="7">
        <v>98.10253265889564</v>
      </c>
      <c r="BJ14" s="7">
        <v>97.412554166633598</v>
      </c>
      <c r="BK14" s="7">
        <v>97.6317554327442</v>
      </c>
      <c r="BL14" s="7">
        <v>98.320521168759967</v>
      </c>
      <c r="BM14" s="7">
        <v>98.235143108388399</v>
      </c>
      <c r="BN14" s="7">
        <v>97.150835530013936</v>
      </c>
      <c r="BO14" s="7">
        <v>96.789757282159385</v>
      </c>
      <c r="BP14" s="7">
        <v>96.525152948271639</v>
      </c>
      <c r="BQ14" s="7">
        <v>96.776296627663825</v>
      </c>
      <c r="BR14" s="7">
        <v>96.507908593810001</v>
      </c>
      <c r="BS14" s="7">
        <v>96.614629476349364</v>
      </c>
      <c r="BT14" s="7">
        <v>96.527435714903802</v>
      </c>
      <c r="BU14" s="7">
        <v>96.322823904467697</v>
      </c>
      <c r="BV14" s="7">
        <v>97.135173492849873</v>
      </c>
      <c r="BW14" s="7">
        <v>97.131657183693051</v>
      </c>
      <c r="BX14" s="7">
        <v>97.851735724358761</v>
      </c>
      <c r="BY14" s="7">
        <v>97.328027634890205</v>
      </c>
      <c r="BZ14" s="7">
        <v>97.69547987651292</v>
      </c>
      <c r="CA14" s="7">
        <v>97.945047152035073</v>
      </c>
      <c r="CB14" s="7">
        <v>97.642731572441122</v>
      </c>
      <c r="CC14" s="7">
        <v>97.649225973396398</v>
      </c>
      <c r="CD14" s="7">
        <v>97.686155671342163</v>
      </c>
      <c r="CE14" s="7">
        <v>97.749781038382366</v>
      </c>
      <c r="CF14" s="7">
        <v>97.662998279587541</v>
      </c>
      <c r="CG14" s="7">
        <v>97.715877939876222</v>
      </c>
      <c r="CH14" s="7">
        <v>97.557533733859529</v>
      </c>
      <c r="CI14" s="7">
        <v>97.614469629574145</v>
      </c>
      <c r="CJ14" s="7">
        <v>97.717456289325611</v>
      </c>
      <c r="CK14" s="7">
        <v>97.606064391108134</v>
      </c>
      <c r="CL14" s="7">
        <v>98.018144935742612</v>
      </c>
      <c r="CM14" s="7">
        <v>97.952431354304409</v>
      </c>
      <c r="CN14" s="7">
        <v>97.946785711127433</v>
      </c>
      <c r="CO14" s="7">
        <v>97.845790311627709</v>
      </c>
      <c r="CP14" s="7">
        <v>97.882520918340262</v>
      </c>
      <c r="CQ14" s="7">
        <v>97.91265428748406</v>
      </c>
      <c r="CR14" s="7">
        <v>97.927955041566648</v>
      </c>
      <c r="CS14" s="7">
        <v>97.92634572868505</v>
      </c>
      <c r="CT14" s="7">
        <v>97.995374898262043</v>
      </c>
      <c r="CU14" s="7">
        <v>98.018551590495761</v>
      </c>
      <c r="CV14" s="7">
        <v>97.909896972471316</v>
      </c>
      <c r="CW14" s="7">
        <v>97.969752673758791</v>
      </c>
      <c r="CX14" s="7">
        <v>98.009301887168988</v>
      </c>
      <c r="CY14" s="7">
        <v>98.043292338049199</v>
      </c>
      <c r="CZ14" s="7">
        <v>98.152580365296629</v>
      </c>
      <c r="DA14" s="7">
        <v>98.16989493215884</v>
      </c>
      <c r="DB14" s="7">
        <v>98.115260759982064</v>
      </c>
      <c r="DC14" s="7">
        <v>98.124008464547373</v>
      </c>
      <c r="DD14" s="7">
        <v>98.198437315162309</v>
      </c>
      <c r="DE14" s="7">
        <v>98.427127786291265</v>
      </c>
      <c r="DF14" s="7">
        <v>98.459155946360411</v>
      </c>
      <c r="DG14" s="7">
        <v>98.575871949295134</v>
      </c>
      <c r="DH14" s="7">
        <v>98.614098919401201</v>
      </c>
      <c r="DI14" s="7">
        <v>98.620351727588286</v>
      </c>
      <c r="DJ14" s="7">
        <v>98.702606396256115</v>
      </c>
      <c r="DK14" s="7">
        <v>98.882007970944215</v>
      </c>
      <c r="DL14" s="7">
        <v>98.705601453214641</v>
      </c>
      <c r="DM14" s="7">
        <v>98.7773866075228</v>
      </c>
      <c r="DN14" s="7">
        <v>98.730099472153313</v>
      </c>
      <c r="DO14" s="7">
        <v>98.709737522402989</v>
      </c>
      <c r="DP14" s="7">
        <v>98.963831346107384</v>
      </c>
      <c r="DQ14" s="7">
        <v>98.879357965365969</v>
      </c>
      <c r="DR14" s="7">
        <v>99.099301290866137</v>
      </c>
      <c r="DS14" s="7">
        <v>99.10727449093794</v>
      </c>
      <c r="DT14" s="7">
        <v>99.02656495991782</v>
      </c>
      <c r="DU14" s="7">
        <v>99.16061239917434</v>
      </c>
      <c r="DV14" s="7">
        <v>99.175269840268768</v>
      </c>
      <c r="DW14" s="7">
        <v>99.169920881560159</v>
      </c>
      <c r="DX14" s="7">
        <v>99.215426222722499</v>
      </c>
      <c r="DY14" s="7">
        <v>99.281879420839076</v>
      </c>
      <c r="DZ14" s="7">
        <v>99.299264424733082</v>
      </c>
      <c r="EA14" s="7">
        <v>99.291739056460031</v>
      </c>
      <c r="EB14" s="7">
        <v>99.291838214745155</v>
      </c>
      <c r="EC14" s="7">
        <v>99.390466756381883</v>
      </c>
      <c r="ED14" s="7">
        <v>99.335550852108511</v>
      </c>
      <c r="EE14" s="7">
        <v>99.371509330195025</v>
      </c>
      <c r="EF14" s="7">
        <v>99.391199474443738</v>
      </c>
      <c r="EG14" s="7">
        <v>99.417620526727745</v>
      </c>
      <c r="EH14" s="7">
        <v>99.504038294328808</v>
      </c>
      <c r="EI14" s="7">
        <v>99.643244576832785</v>
      </c>
      <c r="EJ14" s="7">
        <v>99.718915496125689</v>
      </c>
      <c r="EK14" s="7">
        <v>100.10611976917161</v>
      </c>
      <c r="EL14" s="7">
        <v>100.10418354283303</v>
      </c>
      <c r="EM14" s="7">
        <v>100.49331032151169</v>
      </c>
      <c r="EN14" s="7">
        <v>100.3623575871035</v>
      </c>
      <c r="EO14" s="7">
        <v>100.39797291613769</v>
      </c>
      <c r="EP14" s="7">
        <v>100.40127356016187</v>
      </c>
      <c r="EQ14" s="7">
        <v>100.4597639346218</v>
      </c>
      <c r="ER14" s="7">
        <v>100.3148415608689</v>
      </c>
      <c r="ES14" s="7">
        <v>100.38916723723683</v>
      </c>
      <c r="ET14" s="7">
        <v>100.39963121527417</v>
      </c>
      <c r="EU14" s="7">
        <v>100.38217970515814</v>
      </c>
      <c r="EV14" s="7">
        <v>100.40958322414987</v>
      </c>
      <c r="EW14" s="7">
        <v>100.42958907325955</v>
      </c>
      <c r="EX14" s="7">
        <v>100.34376161106931</v>
      </c>
      <c r="EY14" s="7">
        <v>100.36056052243468</v>
      </c>
      <c r="EZ14" s="7">
        <v>100.37517628032663</v>
      </c>
      <c r="FA14" s="7">
        <v>100.38705859373812</v>
      </c>
      <c r="FB14" s="7">
        <v>100.35198982769619</v>
      </c>
      <c r="FC14" s="7">
        <v>100.33585676372842</v>
      </c>
      <c r="FD14" s="144">
        <v>100.3</v>
      </c>
      <c r="FE14" s="144">
        <v>100.4</v>
      </c>
      <c r="FF14" s="144">
        <v>100.5</v>
      </c>
      <c r="FG14" s="1">
        <v>100.5</v>
      </c>
      <c r="FH14" s="144">
        <v>100.5</v>
      </c>
      <c r="FI14" s="1">
        <v>100.5</v>
      </c>
      <c r="FJ14" s="7">
        <v>100.46721499618488</v>
      </c>
      <c r="FK14" s="7">
        <v>100.48205544012612</v>
      </c>
      <c r="FL14" s="7">
        <v>100.46773185327882</v>
      </c>
      <c r="FM14" s="7">
        <v>100.36742545301776</v>
      </c>
      <c r="FN14" s="7">
        <v>100.18654901495846</v>
      </c>
      <c r="FO14" s="7">
        <v>100.19360567526546</v>
      </c>
      <c r="FP14" s="7">
        <v>100.2</v>
      </c>
      <c r="FQ14" s="7">
        <v>100.2</v>
      </c>
      <c r="FR14" s="7">
        <v>100.1</v>
      </c>
      <c r="FS14" s="222">
        <v>100.10130845930399</v>
      </c>
      <c r="FT14" s="223">
        <v>100.064521948734</v>
      </c>
      <c r="FU14" s="222">
        <v>100.02773543816301</v>
      </c>
      <c r="FV14" s="223">
        <v>99.990948927593394</v>
      </c>
      <c r="FW14" s="224">
        <v>99.954162417023198</v>
      </c>
      <c r="FX14" s="224">
        <v>99.917375906453103</v>
      </c>
      <c r="FY14" s="224">
        <v>99.880589395883007</v>
      </c>
      <c r="FZ14" s="224">
        <v>99.843802885312797</v>
      </c>
      <c r="GA14" s="224">
        <v>99.807016374742702</v>
      </c>
      <c r="GB14" s="224">
        <v>99.770229864172506</v>
      </c>
      <c r="GC14" s="224">
        <v>99.733443353602397</v>
      </c>
      <c r="GD14" s="224">
        <v>99.696656843032301</v>
      </c>
      <c r="GE14" s="224">
        <v>99.659870332462106</v>
      </c>
      <c r="GF14" s="222">
        <v>99.623083821891996</v>
      </c>
      <c r="GG14" s="223">
        <v>99.5862973113219</v>
      </c>
      <c r="GH14" s="222">
        <v>99.549510800751705</v>
      </c>
      <c r="GI14" s="223">
        <v>99.512724290181595</v>
      </c>
      <c r="GJ14" s="224">
        <v>99.475937779611399</v>
      </c>
      <c r="GK14" s="224">
        <v>99.439151269041304</v>
      </c>
      <c r="GL14" s="224">
        <v>99.402364758471194</v>
      </c>
      <c r="GM14" s="224">
        <v>99.365578247900999</v>
      </c>
      <c r="GN14" s="224">
        <v>99.328791737330903</v>
      </c>
      <c r="GO14" s="224">
        <v>99.292005226760807</v>
      </c>
      <c r="GP14" s="224">
        <v>99.255218716190598</v>
      </c>
      <c r="GQ14" s="224">
        <v>99.218432205620502</v>
      </c>
      <c r="GR14" s="224">
        <v>99.181645695050307</v>
      </c>
      <c r="GS14" s="222">
        <v>99.144859184480197</v>
      </c>
      <c r="GT14" s="223">
        <v>99.108072673910101</v>
      </c>
      <c r="GU14" s="222">
        <v>99.071286163339906</v>
      </c>
      <c r="GV14" s="223">
        <v>99.034499652769796</v>
      </c>
      <c r="GW14" s="224">
        <v>98.9977131421997</v>
      </c>
      <c r="GX14" s="224">
        <v>98.960926631629505</v>
      </c>
      <c r="GY14" s="224">
        <v>98.924140121059395</v>
      </c>
      <c r="GZ14" s="224">
        <v>98.887353610489299</v>
      </c>
      <c r="HA14" s="224">
        <v>98.850567099919104</v>
      </c>
      <c r="HB14" s="224">
        <v>98.813780589348994</v>
      </c>
      <c r="HC14" s="224">
        <v>98.776994078778799</v>
      </c>
      <c r="HD14" s="224">
        <v>98.740207568208703</v>
      </c>
      <c r="HE14" s="224"/>
      <c r="HF14" s="222"/>
      <c r="HG14" s="223"/>
      <c r="HH14" s="222"/>
      <c r="HI14" s="223"/>
      <c r="HJ14" s="224"/>
      <c r="HK14" s="224"/>
      <c r="HL14" s="224"/>
      <c r="HM14" s="7"/>
      <c r="HN14" s="7"/>
      <c r="HO14" s="7"/>
      <c r="HP14" s="7"/>
      <c r="HQ14" s="7"/>
      <c r="HR14" s="7"/>
      <c r="HS14" s="144"/>
      <c r="HU14" s="144"/>
      <c r="HW14" s="7"/>
      <c r="HX14" s="7"/>
      <c r="HY14" s="7"/>
      <c r="HZ14" s="7"/>
      <c r="IA14" s="7"/>
      <c r="IB14" s="7"/>
      <c r="IC14" s="7"/>
      <c r="ID14" s="7"/>
      <c r="IE14" s="7"/>
      <c r="IF14" s="144"/>
      <c r="IH14" s="144"/>
    </row>
    <row r="15" spans="1:244" s="1" customFormat="1" ht="10.199999999999999" x14ac:dyDescent="0.2">
      <c r="A15" s="11" t="s">
        <v>25</v>
      </c>
      <c r="B15" s="1" t="s">
        <v>26</v>
      </c>
      <c r="C15" s="70">
        <v>3.35</v>
      </c>
      <c r="P15" s="7">
        <v>90.80720053164336</v>
      </c>
      <c r="Q15" s="7">
        <v>90.516049033083505</v>
      </c>
      <c r="R15" s="7">
        <v>90.238763419238339</v>
      </c>
      <c r="S15" s="7">
        <v>90.122191506856836</v>
      </c>
      <c r="T15" s="7">
        <v>90.553800367837894</v>
      </c>
      <c r="U15" s="7">
        <v>90.344971792906961</v>
      </c>
      <c r="V15" s="7">
        <v>90.752961685245324</v>
      </c>
      <c r="W15" s="7">
        <v>90.530135815525384</v>
      </c>
      <c r="X15" s="7">
        <v>90.869973798112824</v>
      </c>
      <c r="Y15" s="7">
        <v>91.398812469359896</v>
      </c>
      <c r="Z15" s="7">
        <v>91.339866072566565</v>
      </c>
      <c r="AA15" s="7">
        <v>91.056057288349749</v>
      </c>
      <c r="AB15" s="7">
        <v>91.145052635408859</v>
      </c>
      <c r="AC15" s="7">
        <v>90.633790906060469</v>
      </c>
      <c r="AD15" s="7">
        <v>90.661604573762602</v>
      </c>
      <c r="AE15" s="7">
        <v>91.118032368760836</v>
      </c>
      <c r="AF15" s="7">
        <v>90.891415753764306</v>
      </c>
      <c r="AG15" s="7">
        <v>90.799659175440453</v>
      </c>
      <c r="AH15" s="7">
        <v>90.629240179035136</v>
      </c>
      <c r="AI15" s="7">
        <v>90.933267182784718</v>
      </c>
      <c r="AJ15" s="7">
        <v>90.525110363741263</v>
      </c>
      <c r="AK15" s="7">
        <v>90.909749619936349</v>
      </c>
      <c r="AL15" s="7">
        <v>91.522687284690065</v>
      </c>
      <c r="AM15" s="7">
        <v>91.346831174649978</v>
      </c>
      <c r="AN15" s="7">
        <v>90.91856166072526</v>
      </c>
      <c r="AO15" s="7">
        <v>91.024737000517547</v>
      </c>
      <c r="AP15" s="7">
        <v>91.190564229816886</v>
      </c>
      <c r="AQ15" s="7">
        <v>91.557165102218164</v>
      </c>
      <c r="AR15" s="7">
        <v>91.734128459172609</v>
      </c>
      <c r="AS15" s="7">
        <v>91.802150415490459</v>
      </c>
      <c r="AT15" s="7">
        <v>91.72647709366548</v>
      </c>
      <c r="AU15" s="7">
        <v>91.657254214109656</v>
      </c>
      <c r="AV15" s="7">
        <v>91.874328044604141</v>
      </c>
      <c r="AW15" s="7">
        <v>91.717403463116</v>
      </c>
      <c r="AX15" s="7">
        <v>91.771100161077257</v>
      </c>
      <c r="AY15" s="7">
        <v>91.908703993489283</v>
      </c>
      <c r="AZ15" s="7">
        <v>91.058927289136264</v>
      </c>
      <c r="BA15" s="7">
        <v>91.161411716592525</v>
      </c>
      <c r="BB15" s="7">
        <v>91.041130688525669</v>
      </c>
      <c r="BC15" s="7">
        <v>91.017420096468086</v>
      </c>
      <c r="BD15" s="7">
        <v>91.249092650197497</v>
      </c>
      <c r="BE15" s="7">
        <v>91.41394452198854</v>
      </c>
      <c r="BF15" s="7">
        <v>91.395953445560451</v>
      </c>
      <c r="BG15" s="7">
        <v>91.8065716514852</v>
      </c>
      <c r="BH15" s="7">
        <v>93.831970352064673</v>
      </c>
      <c r="BI15" s="7">
        <v>93.149030858149274</v>
      </c>
      <c r="BJ15" s="7">
        <v>93.209064342505613</v>
      </c>
      <c r="BK15" s="7">
        <v>93.187644150406754</v>
      </c>
      <c r="BL15" s="7">
        <v>93.02537847052055</v>
      </c>
      <c r="BM15" s="7">
        <v>92.890152664409811</v>
      </c>
      <c r="BN15" s="7">
        <v>92.970847755420763</v>
      </c>
      <c r="BO15" s="7">
        <v>93.268496854487239</v>
      </c>
      <c r="BP15" s="7">
        <v>93.296146048696286</v>
      </c>
      <c r="BQ15" s="7">
        <v>93.076906505779817</v>
      </c>
      <c r="BR15" s="7">
        <v>93.075113524670911</v>
      </c>
      <c r="BS15" s="7">
        <v>93.141784460041492</v>
      </c>
      <c r="BT15" s="7">
        <v>93.717944472988876</v>
      </c>
      <c r="BU15" s="7">
        <v>93.781979468822712</v>
      </c>
      <c r="BV15" s="7">
        <v>93.554263887319593</v>
      </c>
      <c r="BW15" s="7">
        <v>93.806339425092759</v>
      </c>
      <c r="BX15" s="7">
        <v>93.646841252949216</v>
      </c>
      <c r="BY15" s="7">
        <v>93.860990968917207</v>
      </c>
      <c r="BZ15" s="7">
        <v>93.320223627128385</v>
      </c>
      <c r="CA15" s="7">
        <v>93.736621092963915</v>
      </c>
      <c r="CB15" s="7">
        <v>93.8876759668007</v>
      </c>
      <c r="CC15" s="7">
        <v>93.709154914437434</v>
      </c>
      <c r="CD15" s="7">
        <v>93.773392375003027</v>
      </c>
      <c r="CE15" s="7">
        <v>94.087804412336993</v>
      </c>
      <c r="CF15" s="7">
        <v>94.125970274726484</v>
      </c>
      <c r="CG15" s="7">
        <v>94.147722489737674</v>
      </c>
      <c r="CH15" s="7">
        <v>94.204185922816166</v>
      </c>
      <c r="CI15" s="7">
        <v>94.251004863871685</v>
      </c>
      <c r="CJ15" s="7">
        <v>94.171620161354113</v>
      </c>
      <c r="CK15" s="7">
        <v>94.220281578053999</v>
      </c>
      <c r="CL15" s="7">
        <v>94.150783997076815</v>
      </c>
      <c r="CM15" s="7">
        <v>94.333574377659787</v>
      </c>
      <c r="CN15" s="7">
        <v>94.486334637015318</v>
      </c>
      <c r="CO15" s="7">
        <v>94.819903965593824</v>
      </c>
      <c r="CP15" s="7">
        <v>94.958204952989703</v>
      </c>
      <c r="CQ15" s="7">
        <v>95.005144442704847</v>
      </c>
      <c r="CR15" s="7">
        <v>95.047964228565803</v>
      </c>
      <c r="CS15" s="7">
        <v>95.045653289007461</v>
      </c>
      <c r="CT15" s="7">
        <v>94.960090495960017</v>
      </c>
      <c r="CU15" s="7">
        <v>94.980286893785191</v>
      </c>
      <c r="CV15" s="7">
        <v>94.944955831468832</v>
      </c>
      <c r="CW15" s="7">
        <v>94.975013344960757</v>
      </c>
      <c r="CX15" s="7">
        <v>95.327614904459764</v>
      </c>
      <c r="CY15" s="7">
        <v>95.717120061457678</v>
      </c>
      <c r="CZ15" s="7">
        <v>95.843754360195149</v>
      </c>
      <c r="DA15" s="7">
        <v>96.010968503117979</v>
      </c>
      <c r="DB15" s="7">
        <v>96.051892882834508</v>
      </c>
      <c r="DC15" s="7">
        <v>96.203937704019935</v>
      </c>
      <c r="DD15" s="7">
        <v>96.362523264845308</v>
      </c>
      <c r="DE15" s="7">
        <v>96.493855069072296</v>
      </c>
      <c r="DF15" s="7">
        <v>96.444110955520884</v>
      </c>
      <c r="DG15" s="7">
        <v>96.491139915566364</v>
      </c>
      <c r="DH15" s="7">
        <v>96.519410474592775</v>
      </c>
      <c r="DI15" s="7">
        <v>96.510137020601547</v>
      </c>
      <c r="DJ15" s="7">
        <v>96.51049679953752</v>
      </c>
      <c r="DK15" s="7">
        <v>97.51046151258123</v>
      </c>
      <c r="DL15" s="7">
        <v>97.545577532190464</v>
      </c>
      <c r="DM15" s="7">
        <v>97.631999984649994</v>
      </c>
      <c r="DN15" s="7">
        <v>97.558533411855336</v>
      </c>
      <c r="DO15" s="7">
        <v>97.54734335811645</v>
      </c>
      <c r="DP15" s="7">
        <v>97.655587532851968</v>
      </c>
      <c r="DQ15" s="7">
        <v>97.796841028203517</v>
      </c>
      <c r="DR15" s="7">
        <v>97.993412031919121</v>
      </c>
      <c r="DS15" s="7">
        <v>97.982773314307579</v>
      </c>
      <c r="DT15" s="7">
        <v>98.005157562842143</v>
      </c>
      <c r="DU15" s="7">
        <v>97.998869772496874</v>
      </c>
      <c r="DV15" s="7">
        <v>98.008896232909962</v>
      </c>
      <c r="DW15" s="7">
        <v>98.11262467496843</v>
      </c>
      <c r="DX15" s="7">
        <v>97.989912858916043</v>
      </c>
      <c r="DY15" s="7">
        <v>97.980814550170223</v>
      </c>
      <c r="DZ15" s="7">
        <v>98.269853432025442</v>
      </c>
      <c r="EA15" s="7">
        <v>98.466189140143996</v>
      </c>
      <c r="EB15" s="7">
        <v>98.528847776586389</v>
      </c>
      <c r="EC15" s="7">
        <v>98.591776036306612</v>
      </c>
      <c r="ED15" s="7">
        <v>98.834408828407149</v>
      </c>
      <c r="EE15" s="7">
        <v>99.192074769923067</v>
      </c>
      <c r="EF15" s="7">
        <v>99.299926957446331</v>
      </c>
      <c r="EG15" s="7">
        <v>99.340531836857622</v>
      </c>
      <c r="EH15" s="7">
        <v>99.445039481796456</v>
      </c>
      <c r="EI15" s="7">
        <v>99.751740860138923</v>
      </c>
      <c r="EJ15" s="7">
        <v>99.918110133021315</v>
      </c>
      <c r="EK15" s="7">
        <v>99.943636074349399</v>
      </c>
      <c r="EL15" s="7">
        <v>100.27249605454475</v>
      </c>
      <c r="EM15" s="7">
        <v>99.996889755056657</v>
      </c>
      <c r="EN15" s="7">
        <v>100.22425661021056</v>
      </c>
      <c r="EO15" s="7">
        <v>100.21171787217365</v>
      </c>
      <c r="EP15" s="7">
        <v>100.60616718527976</v>
      </c>
      <c r="EQ15" s="7">
        <v>100.98948717912468</v>
      </c>
      <c r="ER15" s="7">
        <v>101.09552715673956</v>
      </c>
      <c r="ES15" s="7">
        <v>101.20505815265479</v>
      </c>
      <c r="ET15" s="7">
        <v>101.377857437239</v>
      </c>
      <c r="EU15" s="7">
        <v>101.44223170316108</v>
      </c>
      <c r="EV15" s="7">
        <v>101.49392145346897</v>
      </c>
      <c r="EW15" s="7">
        <v>101.50868685606581</v>
      </c>
      <c r="EX15" s="7">
        <v>101.65855688555502</v>
      </c>
      <c r="EY15" s="7">
        <v>102.30944388753208</v>
      </c>
      <c r="EZ15" s="7">
        <v>102.63007742632163</v>
      </c>
      <c r="FA15" s="7">
        <v>102.5503746330221</v>
      </c>
      <c r="FB15" s="7">
        <v>102.55832458043673</v>
      </c>
      <c r="FC15" s="7">
        <v>102.64247740384231</v>
      </c>
      <c r="FD15" s="144">
        <v>102.6</v>
      </c>
      <c r="FE15" s="144">
        <v>102.6</v>
      </c>
      <c r="FF15" s="144">
        <v>102.6</v>
      </c>
      <c r="FG15" s="1">
        <v>102.6</v>
      </c>
      <c r="FH15" s="144">
        <v>102.6</v>
      </c>
      <c r="FI15" s="1">
        <v>102.4</v>
      </c>
      <c r="FJ15" s="7">
        <v>102.31131330941902</v>
      </c>
      <c r="FK15" s="7">
        <v>102.97287296658664</v>
      </c>
      <c r="FL15" s="7">
        <v>102.98386925421158</v>
      </c>
      <c r="FM15" s="7">
        <v>102.96464778305847</v>
      </c>
      <c r="FN15" s="7">
        <v>103.02843177720509</v>
      </c>
      <c r="FO15" s="7">
        <v>103.07350152682581</v>
      </c>
      <c r="FP15" s="7">
        <v>103</v>
      </c>
      <c r="FQ15" s="7">
        <v>103</v>
      </c>
      <c r="FR15" s="7">
        <v>103</v>
      </c>
      <c r="FS15" s="222">
        <v>103.173684214121</v>
      </c>
      <c r="FT15" s="223">
        <v>103.225588150014</v>
      </c>
      <c r="FU15" s="222">
        <v>103.277492085907</v>
      </c>
      <c r="FV15" s="223">
        <v>103.329396021799</v>
      </c>
      <c r="FW15" s="224">
        <v>103.38129995769199</v>
      </c>
      <c r="FX15" s="224">
        <v>103.433203893585</v>
      </c>
      <c r="FY15" s="224">
        <v>103.485107829478</v>
      </c>
      <c r="FZ15" s="224">
        <v>103.53701176537101</v>
      </c>
      <c r="GA15" s="224">
        <v>103.588915701264</v>
      </c>
      <c r="GB15" s="224">
        <v>103.64081963715699</v>
      </c>
      <c r="GC15" s="224">
        <v>103.69272357305</v>
      </c>
      <c r="GD15" s="224">
        <v>103.744627508943</v>
      </c>
      <c r="GE15" s="224">
        <v>103.79653144483601</v>
      </c>
      <c r="GF15" s="222">
        <v>103.848435380729</v>
      </c>
      <c r="GG15" s="223">
        <v>103.900339316622</v>
      </c>
      <c r="GH15" s="222">
        <v>103.952243252515</v>
      </c>
      <c r="GI15" s="223">
        <v>104.004147188408</v>
      </c>
      <c r="GJ15" s="224">
        <v>104.05605112430101</v>
      </c>
      <c r="GK15" s="224">
        <v>104.107955060194</v>
      </c>
      <c r="GL15" s="224">
        <v>104.159858996087</v>
      </c>
      <c r="GM15" s="224">
        <v>104.21176293198</v>
      </c>
      <c r="GN15" s="224">
        <v>104.263666867873</v>
      </c>
      <c r="GO15" s="224">
        <v>104.31557080376599</v>
      </c>
      <c r="GP15" s="224">
        <v>104.367474739659</v>
      </c>
      <c r="GQ15" s="224">
        <v>104.419378675552</v>
      </c>
      <c r="GR15" s="224">
        <v>104.47128261144501</v>
      </c>
      <c r="GS15" s="222">
        <v>104.523186547338</v>
      </c>
      <c r="GT15" s="223">
        <v>104.57509048323099</v>
      </c>
      <c r="GU15" s="222">
        <v>104.626994419124</v>
      </c>
      <c r="GV15" s="223">
        <v>104.678898355017</v>
      </c>
      <c r="GW15" s="224">
        <v>104.73080229091001</v>
      </c>
      <c r="GX15" s="224">
        <v>104.782706226803</v>
      </c>
      <c r="GY15" s="224">
        <v>104.83461016269599</v>
      </c>
      <c r="GZ15" s="224">
        <v>104.886514098589</v>
      </c>
      <c r="HA15" s="224">
        <v>104.938418034482</v>
      </c>
      <c r="HB15" s="224">
        <v>104.99032197037501</v>
      </c>
      <c r="HC15" s="224">
        <v>105.042225906268</v>
      </c>
      <c r="HD15" s="224">
        <v>105.094129842161</v>
      </c>
      <c r="HE15" s="224"/>
      <c r="HF15" s="222"/>
      <c r="HG15" s="223"/>
      <c r="HH15" s="222"/>
      <c r="HI15" s="223"/>
      <c r="HJ15" s="224"/>
      <c r="HK15" s="224"/>
      <c r="HL15" s="224"/>
      <c r="HM15" s="7"/>
      <c r="HN15" s="7"/>
      <c r="HO15" s="7"/>
      <c r="HP15" s="7"/>
      <c r="HQ15" s="7"/>
      <c r="HR15" s="7"/>
      <c r="HS15" s="144"/>
      <c r="HU15" s="144"/>
      <c r="HW15" s="7"/>
      <c r="HX15" s="7"/>
      <c r="HY15" s="7"/>
      <c r="HZ15" s="7"/>
      <c r="IA15" s="7"/>
      <c r="IB15" s="7"/>
      <c r="IC15" s="7"/>
      <c r="ID15" s="7"/>
      <c r="IE15" s="7"/>
      <c r="IF15" s="144"/>
      <c r="IH15" s="144"/>
    </row>
    <row r="16" spans="1:244" s="1" customFormat="1" ht="10.199999999999999" x14ac:dyDescent="0.2">
      <c r="A16" s="11">
        <v>10</v>
      </c>
      <c r="B16" s="1" t="s">
        <v>27</v>
      </c>
      <c r="C16" s="70">
        <v>3.07</v>
      </c>
      <c r="P16" s="7">
        <v>83.114720422975651</v>
      </c>
      <c r="Q16" s="7">
        <v>83.096547464723656</v>
      </c>
      <c r="R16" s="7">
        <v>83.140907392324721</v>
      </c>
      <c r="S16" s="7">
        <v>83.161192144995866</v>
      </c>
      <c r="T16" s="7">
        <v>83.376250372772759</v>
      </c>
      <c r="U16" s="7">
        <v>83.340788639225963</v>
      </c>
      <c r="V16" s="7">
        <v>83.659641819590831</v>
      </c>
      <c r="W16" s="7">
        <v>85.967068607093665</v>
      </c>
      <c r="X16" s="7">
        <v>86.68993577146415</v>
      </c>
      <c r="Y16" s="7">
        <v>87.075012086887924</v>
      </c>
      <c r="Z16" s="7">
        <v>87.132441090918746</v>
      </c>
      <c r="AA16" s="7">
        <v>87.222076023190183</v>
      </c>
      <c r="AB16" s="7">
        <v>87.063182773545392</v>
      </c>
      <c r="AC16" s="7">
        <v>87.078945341820813</v>
      </c>
      <c r="AD16" s="7">
        <v>87.09361605472337</v>
      </c>
      <c r="AE16" s="7">
        <v>87.108096982670844</v>
      </c>
      <c r="AF16" s="7">
        <v>87.059572888130603</v>
      </c>
      <c r="AG16" s="7">
        <v>87.059666395455451</v>
      </c>
      <c r="AH16" s="7">
        <v>86.900268606318406</v>
      </c>
      <c r="AI16" s="7">
        <v>87.293366075803903</v>
      </c>
      <c r="AJ16" s="7">
        <v>87.63677126948869</v>
      </c>
      <c r="AK16" s="7">
        <v>87.758310327253028</v>
      </c>
      <c r="AL16" s="7">
        <v>87.793006848479791</v>
      </c>
      <c r="AM16" s="7">
        <v>87.749605263424073</v>
      </c>
      <c r="AN16" s="7">
        <v>87.681546488846422</v>
      </c>
      <c r="AO16" s="7">
        <v>87.611771387882726</v>
      </c>
      <c r="AP16" s="7">
        <v>87.633121189734439</v>
      </c>
      <c r="AQ16" s="7">
        <v>87.702642883723257</v>
      </c>
      <c r="AR16" s="7">
        <v>87.716934973109559</v>
      </c>
      <c r="AS16" s="7">
        <v>87.67110697221041</v>
      </c>
      <c r="AT16" s="7">
        <v>87.88267079277864</v>
      </c>
      <c r="AU16" s="7">
        <v>88.536119629270289</v>
      </c>
      <c r="AV16" s="7">
        <v>88.955976108937392</v>
      </c>
      <c r="AW16" s="7">
        <v>88.957126440236777</v>
      </c>
      <c r="AX16" s="7">
        <v>89.266467794602875</v>
      </c>
      <c r="AY16" s="7">
        <v>89.097919839611635</v>
      </c>
      <c r="AZ16" s="7">
        <v>89.136161367516294</v>
      </c>
      <c r="BA16" s="7">
        <v>89.192124789480843</v>
      </c>
      <c r="BB16" s="7">
        <v>89.139122861367213</v>
      </c>
      <c r="BC16" s="7">
        <v>89.077692529312316</v>
      </c>
      <c r="BD16" s="7">
        <v>89.053480718719726</v>
      </c>
      <c r="BE16" s="7">
        <v>89.297105422581353</v>
      </c>
      <c r="BF16" s="7">
        <v>89.184412245848222</v>
      </c>
      <c r="BG16" s="7">
        <v>90.324766084829562</v>
      </c>
      <c r="BH16" s="7">
        <v>91.718298663781169</v>
      </c>
      <c r="BI16" s="7">
        <v>92.072872530435319</v>
      </c>
      <c r="BJ16" s="7">
        <v>91.998737737997033</v>
      </c>
      <c r="BK16" s="7">
        <v>91.976041799034761</v>
      </c>
      <c r="BL16" s="7">
        <v>91.952654977276637</v>
      </c>
      <c r="BM16" s="7">
        <v>91.9836407101308</v>
      </c>
      <c r="BN16" s="7">
        <v>92.256163933460584</v>
      </c>
      <c r="BO16" s="7">
        <v>92.262495630226525</v>
      </c>
      <c r="BP16" s="7">
        <v>92.219009199120407</v>
      </c>
      <c r="BQ16" s="7">
        <v>92.397428940373459</v>
      </c>
      <c r="BR16" s="7">
        <v>92.685051180371431</v>
      </c>
      <c r="BS16" s="7">
        <v>92.794722575081735</v>
      </c>
      <c r="BT16" s="7">
        <v>93.394918747170109</v>
      </c>
      <c r="BU16" s="7">
        <v>92.689988083936257</v>
      </c>
      <c r="BV16" s="7">
        <v>92.829019378023034</v>
      </c>
      <c r="BW16" s="7">
        <v>92.901634960135596</v>
      </c>
      <c r="BX16" s="7">
        <v>93.086830444683756</v>
      </c>
      <c r="BY16" s="7">
        <v>92.983187226451449</v>
      </c>
      <c r="BZ16" s="7">
        <v>93.003133291577427</v>
      </c>
      <c r="CA16" s="7">
        <v>93.244140319966718</v>
      </c>
      <c r="CB16" s="7">
        <v>93.214189603804527</v>
      </c>
      <c r="CC16" s="7">
        <v>93.224122234446043</v>
      </c>
      <c r="CD16" s="7">
        <v>93.23780316828244</v>
      </c>
      <c r="CE16" s="7">
        <v>93.432765881597049</v>
      </c>
      <c r="CF16" s="7">
        <v>93.996622679465844</v>
      </c>
      <c r="CG16" s="7">
        <v>94.000738137265088</v>
      </c>
      <c r="CH16" s="7">
        <v>93.99278010673649</v>
      </c>
      <c r="CI16" s="7">
        <v>94.012176819532556</v>
      </c>
      <c r="CJ16" s="7">
        <v>94.034266474352293</v>
      </c>
      <c r="CK16" s="7">
        <v>94.146576100512974</v>
      </c>
      <c r="CL16" s="7">
        <v>94.130671585037859</v>
      </c>
      <c r="CM16" s="7">
        <v>94.154999395096738</v>
      </c>
      <c r="CN16" s="7">
        <v>94.195043474753632</v>
      </c>
      <c r="CO16" s="7">
        <v>94.193912427736194</v>
      </c>
      <c r="CP16" s="7">
        <v>94.274420742971671</v>
      </c>
      <c r="CQ16" s="7">
        <v>94.628950584618025</v>
      </c>
      <c r="CR16" s="7">
        <v>95.156429677970067</v>
      </c>
      <c r="CS16" s="7">
        <v>95.283746745325175</v>
      </c>
      <c r="CT16" s="7">
        <v>95.484758450791645</v>
      </c>
      <c r="CU16" s="7">
        <v>95.475343772833668</v>
      </c>
      <c r="CV16" s="7">
        <v>95.514162719080261</v>
      </c>
      <c r="CW16" s="7">
        <v>95.565986390792261</v>
      </c>
      <c r="CX16" s="7">
        <v>95.531510799019046</v>
      </c>
      <c r="CY16" s="7">
        <v>95.589256651514987</v>
      </c>
      <c r="CZ16" s="7">
        <v>95.615076974054517</v>
      </c>
      <c r="DA16" s="7">
        <v>95.613840593370455</v>
      </c>
      <c r="DB16" s="7">
        <v>95.631575599724954</v>
      </c>
      <c r="DC16" s="7">
        <v>95.86204028243246</v>
      </c>
      <c r="DD16" s="7">
        <v>95.929073826182005</v>
      </c>
      <c r="DE16" s="7">
        <v>96.025539826209922</v>
      </c>
      <c r="DF16" s="7">
        <v>96.010669738498123</v>
      </c>
      <c r="DG16" s="7">
        <v>96.273614177863664</v>
      </c>
      <c r="DH16" s="7">
        <v>96.045849759007567</v>
      </c>
      <c r="DI16" s="7">
        <v>96.103071713726806</v>
      </c>
      <c r="DJ16" s="7">
        <v>96.103466341962758</v>
      </c>
      <c r="DK16" s="7">
        <v>96.17412259150332</v>
      </c>
      <c r="DL16" s="7">
        <v>96.17412259150332</v>
      </c>
      <c r="DM16" s="7">
        <v>96.174488943669274</v>
      </c>
      <c r="DN16" s="7">
        <v>96.304475062515053</v>
      </c>
      <c r="DO16" s="7">
        <v>96.304293896699647</v>
      </c>
      <c r="DP16" s="7">
        <v>96.552365820202056</v>
      </c>
      <c r="DQ16" s="7">
        <v>96.755219884126447</v>
      </c>
      <c r="DR16" s="7">
        <v>96.97770465183126</v>
      </c>
      <c r="DS16" s="7">
        <v>96.979979590599754</v>
      </c>
      <c r="DT16" s="7">
        <v>97.023120590681515</v>
      </c>
      <c r="DU16" s="7">
        <v>97.023746223018932</v>
      </c>
      <c r="DV16" s="7">
        <v>97.030586386291603</v>
      </c>
      <c r="DW16" s="7">
        <v>97.031427851247273</v>
      </c>
      <c r="DX16" s="7">
        <v>97.016813320529906</v>
      </c>
      <c r="DY16" s="7">
        <v>97.030586386291603</v>
      </c>
      <c r="DZ16" s="7">
        <v>97.422587084816854</v>
      </c>
      <c r="EA16" s="7">
        <v>97.790411063784731</v>
      </c>
      <c r="EB16" s="7">
        <v>97.900116338261114</v>
      </c>
      <c r="EC16" s="7">
        <v>98.161318351685054</v>
      </c>
      <c r="ED16" s="7">
        <v>98.478173854671695</v>
      </c>
      <c r="EE16" s="7">
        <v>98.553192229147839</v>
      </c>
      <c r="EF16" s="7">
        <v>98.556565801875564</v>
      </c>
      <c r="EG16" s="7">
        <v>98.619934353380756</v>
      </c>
      <c r="EH16" s="7">
        <v>98.640575196648783</v>
      </c>
      <c r="EI16" s="7">
        <v>98.644528465406509</v>
      </c>
      <c r="EJ16" s="7">
        <v>98.677844532420139</v>
      </c>
      <c r="EK16" s="7">
        <v>98.676113953231521</v>
      </c>
      <c r="EL16" s="7">
        <v>99.221228381551882</v>
      </c>
      <c r="EM16" s="7">
        <v>101.00157378860237</v>
      </c>
      <c r="EN16" s="7">
        <v>101.89516152429412</v>
      </c>
      <c r="EO16" s="7">
        <v>102.00279496624353</v>
      </c>
      <c r="EP16" s="7">
        <v>102.03101193983554</v>
      </c>
      <c r="EQ16" s="7">
        <v>102.0326670965093</v>
      </c>
      <c r="ER16" s="7">
        <v>102.2226860561658</v>
      </c>
      <c r="ES16" s="7">
        <v>102.30110547504407</v>
      </c>
      <c r="ET16" s="7">
        <v>102.30369111167533</v>
      </c>
      <c r="EU16" s="7">
        <v>102.30364084434059</v>
      </c>
      <c r="EV16" s="7">
        <v>102.28338021400009</v>
      </c>
      <c r="EW16" s="7">
        <v>102.32529099103469</v>
      </c>
      <c r="EX16" s="7">
        <v>102.55366529712094</v>
      </c>
      <c r="EY16" s="7">
        <v>103.72552456172863</v>
      </c>
      <c r="EZ16" s="7">
        <v>104.4294402549183</v>
      </c>
      <c r="FA16" s="7">
        <v>104.46203895822069</v>
      </c>
      <c r="FB16" s="7">
        <v>104.50060528089453</v>
      </c>
      <c r="FC16" s="7">
        <v>104.5005810262184</v>
      </c>
      <c r="FD16" s="144">
        <v>104.5</v>
      </c>
      <c r="FE16" s="144">
        <v>104.5</v>
      </c>
      <c r="FF16" s="144">
        <v>104.5</v>
      </c>
      <c r="FG16" s="1">
        <v>104.5</v>
      </c>
      <c r="FH16" s="144">
        <v>104.5</v>
      </c>
      <c r="FI16" s="1">
        <v>104.6</v>
      </c>
      <c r="FJ16" s="7">
        <v>105.10591301804361</v>
      </c>
      <c r="FK16" s="7">
        <v>105.51086134538373</v>
      </c>
      <c r="FL16" s="7">
        <v>105.94608522636591</v>
      </c>
      <c r="FM16" s="7">
        <v>106.06875562552149</v>
      </c>
      <c r="FN16" s="7">
        <v>106.08864581456919</v>
      </c>
      <c r="FO16" s="7">
        <v>106.08528286623624</v>
      </c>
      <c r="FP16" s="7">
        <v>106.1</v>
      </c>
      <c r="FQ16" s="7">
        <v>106.2</v>
      </c>
      <c r="FR16" s="7">
        <v>106.3</v>
      </c>
      <c r="FS16" s="222">
        <v>106.757319087082</v>
      </c>
      <c r="FT16" s="223">
        <v>106.936875177587</v>
      </c>
      <c r="FU16" s="222">
        <v>107.116431268092</v>
      </c>
      <c r="FV16" s="223">
        <v>107.295987358597</v>
      </c>
      <c r="FW16" s="224">
        <v>107.47554344910201</v>
      </c>
      <c r="FX16" s="224">
        <v>107.65509953960699</v>
      </c>
      <c r="FY16" s="224">
        <v>107.834655630112</v>
      </c>
      <c r="FZ16" s="224">
        <v>108.014211720617</v>
      </c>
      <c r="GA16" s="224">
        <v>108.193767811122</v>
      </c>
      <c r="GB16" s="224">
        <v>108.373323901627</v>
      </c>
      <c r="GC16" s="224">
        <v>108.55287999213201</v>
      </c>
      <c r="GD16" s="224">
        <v>108.732436082636</v>
      </c>
      <c r="GE16" s="224">
        <v>108.911992173141</v>
      </c>
      <c r="GF16" s="222">
        <v>109.091548263646</v>
      </c>
      <c r="GG16" s="223">
        <v>109.27110435415101</v>
      </c>
      <c r="GH16" s="222">
        <v>109.45066044465599</v>
      </c>
      <c r="GI16" s="223">
        <v>109.630216535161</v>
      </c>
      <c r="GJ16" s="224">
        <v>109.809772625666</v>
      </c>
      <c r="GK16" s="224">
        <v>109.989328716171</v>
      </c>
      <c r="GL16" s="224">
        <v>110.168884806676</v>
      </c>
      <c r="GM16" s="224">
        <v>110.34844089718101</v>
      </c>
      <c r="GN16" s="224">
        <v>110.527996987686</v>
      </c>
      <c r="GO16" s="224">
        <v>110.707553078191</v>
      </c>
      <c r="GP16" s="224">
        <v>110.887109168696</v>
      </c>
      <c r="GQ16" s="224">
        <v>111.066665259201</v>
      </c>
      <c r="GR16" s="224">
        <v>111.246221349706</v>
      </c>
      <c r="GS16" s="222">
        <v>111.42577744021</v>
      </c>
      <c r="GT16" s="223">
        <v>111.605333530715</v>
      </c>
      <c r="GU16" s="222">
        <v>111.78488962122</v>
      </c>
      <c r="GV16" s="223">
        <v>111.96444571172501</v>
      </c>
      <c r="GW16" s="224">
        <v>112.14400180222999</v>
      </c>
      <c r="GX16" s="224">
        <v>112.323557892735</v>
      </c>
      <c r="GY16" s="224">
        <v>112.50311398324</v>
      </c>
      <c r="GZ16" s="224">
        <v>112.682670073745</v>
      </c>
      <c r="HA16" s="224">
        <v>112.86222616425</v>
      </c>
      <c r="HB16" s="224">
        <v>113.04178225475501</v>
      </c>
      <c r="HC16" s="224">
        <v>113.22133834525999</v>
      </c>
      <c r="HD16" s="224">
        <v>113.400894435765</v>
      </c>
      <c r="HE16" s="224"/>
      <c r="HF16" s="222"/>
      <c r="HG16" s="223"/>
      <c r="HH16" s="222"/>
      <c r="HI16" s="223"/>
      <c r="HJ16" s="224"/>
      <c r="HK16" s="224"/>
      <c r="HL16" s="224"/>
      <c r="HM16" s="7"/>
      <c r="HN16" s="7"/>
      <c r="HO16" s="7"/>
      <c r="HP16" s="7"/>
      <c r="HQ16" s="7"/>
      <c r="HR16" s="7"/>
      <c r="HS16" s="144"/>
      <c r="HU16" s="144"/>
      <c r="HW16" s="7"/>
      <c r="HX16" s="7"/>
      <c r="HY16" s="7"/>
      <c r="HZ16" s="7"/>
      <c r="IA16" s="7"/>
      <c r="IB16" s="7"/>
      <c r="IC16" s="7"/>
      <c r="ID16" s="7"/>
      <c r="IE16" s="7"/>
      <c r="IF16" s="144"/>
      <c r="IH16" s="144"/>
    </row>
    <row r="17" spans="1:243" s="1" customFormat="1" ht="10.199999999999999" x14ac:dyDescent="0.2">
      <c r="A17" s="11">
        <v>11</v>
      </c>
      <c r="B17" s="1" t="s">
        <v>28</v>
      </c>
      <c r="C17" s="70">
        <v>6.69</v>
      </c>
      <c r="P17" s="7">
        <v>71.228498431063457</v>
      </c>
      <c r="Q17" s="7">
        <v>71.45446744534766</v>
      </c>
      <c r="R17" s="7">
        <v>71.918171495226403</v>
      </c>
      <c r="S17" s="7">
        <v>71.993087741110415</v>
      </c>
      <c r="T17" s="7">
        <v>72.435784405673459</v>
      </c>
      <c r="U17" s="7">
        <v>72.254743144770686</v>
      </c>
      <c r="V17" s="7">
        <v>72.150315337938764</v>
      </c>
      <c r="W17" s="7">
        <v>72.515852318150579</v>
      </c>
      <c r="X17" s="7">
        <v>72.079277274322905</v>
      </c>
      <c r="Y17" s="7">
        <v>72.304681803931174</v>
      </c>
      <c r="Z17" s="7">
        <v>72.763236749702841</v>
      </c>
      <c r="AA17" s="7">
        <v>72.882939242754901</v>
      </c>
      <c r="AB17" s="7">
        <v>72.48180010329969</v>
      </c>
      <c r="AC17" s="7">
        <v>72.70115617150212</v>
      </c>
      <c r="AD17" s="7">
        <v>73.027431338003538</v>
      </c>
      <c r="AE17" s="7">
        <v>72.676854143530463</v>
      </c>
      <c r="AF17" s="7">
        <v>72.992595091926617</v>
      </c>
      <c r="AG17" s="7">
        <v>73.424021033639121</v>
      </c>
      <c r="AH17" s="7">
        <v>73.509907164435063</v>
      </c>
      <c r="AI17" s="7">
        <v>74.092526908903537</v>
      </c>
      <c r="AJ17" s="7">
        <v>74.368593775322168</v>
      </c>
      <c r="AK17" s="7">
        <v>74.197874216794204</v>
      </c>
      <c r="AL17" s="7">
        <v>74.237579189238829</v>
      </c>
      <c r="AM17" s="7">
        <v>74.651605810935777</v>
      </c>
      <c r="AN17" s="7">
        <v>74.788313012520803</v>
      </c>
      <c r="AO17" s="7">
        <v>74.756516196049191</v>
      </c>
      <c r="AP17" s="7">
        <v>74.379347569766679</v>
      </c>
      <c r="AQ17" s="7">
        <v>74.874692939033139</v>
      </c>
      <c r="AR17" s="7">
        <v>75.692309178605782</v>
      </c>
      <c r="AS17" s="7">
        <v>75.627952987155609</v>
      </c>
      <c r="AT17" s="7">
        <v>76.566407200040061</v>
      </c>
      <c r="AU17" s="7">
        <v>77.209863881444818</v>
      </c>
      <c r="AV17" s="7">
        <v>77.322993615062245</v>
      </c>
      <c r="AW17" s="7">
        <v>77.264918304142412</v>
      </c>
      <c r="AX17" s="7">
        <v>77.296747266862965</v>
      </c>
      <c r="AY17" s="7">
        <v>77.936391372288512</v>
      </c>
      <c r="AZ17" s="7">
        <v>77.31087122015839</v>
      </c>
      <c r="BA17" s="7">
        <v>78.633481014214723</v>
      </c>
      <c r="BB17" s="7">
        <v>79.962447772304643</v>
      </c>
      <c r="BC17" s="7">
        <v>80.570569016478501</v>
      </c>
      <c r="BD17" s="7">
        <v>80.7315120887083</v>
      </c>
      <c r="BE17" s="7">
        <v>80.909382421433776</v>
      </c>
      <c r="BF17" s="7">
        <v>81.486844462025473</v>
      </c>
      <c r="BG17" s="7">
        <v>81.396696404978613</v>
      </c>
      <c r="BH17" s="7">
        <v>81.436263576043515</v>
      </c>
      <c r="BI17" s="7">
        <v>81.369568288213287</v>
      </c>
      <c r="BJ17" s="7">
        <v>81.60651845112011</v>
      </c>
      <c r="BK17" s="7">
        <v>81.776945543066333</v>
      </c>
      <c r="BL17" s="7">
        <v>82.860210563217493</v>
      </c>
      <c r="BM17" s="7">
        <v>83.224383386956958</v>
      </c>
      <c r="BN17" s="7">
        <v>82.881018339040878</v>
      </c>
      <c r="BO17" s="7">
        <v>83.273307250179997</v>
      </c>
      <c r="BP17" s="7">
        <v>83.234306855857781</v>
      </c>
      <c r="BQ17" s="7">
        <v>83.450510656960404</v>
      </c>
      <c r="BR17" s="7">
        <v>83.200629035474805</v>
      </c>
      <c r="BS17" s="7">
        <v>83.588686293789138</v>
      </c>
      <c r="BT17" s="7">
        <v>83.813403820546881</v>
      </c>
      <c r="BU17" s="7">
        <v>83.609053290260718</v>
      </c>
      <c r="BV17" s="7">
        <v>83.650684574216328</v>
      </c>
      <c r="BW17" s="7">
        <v>83.787540471823235</v>
      </c>
      <c r="BX17" s="7">
        <v>84.19210189605208</v>
      </c>
      <c r="BY17" s="7">
        <v>84.215206153372435</v>
      </c>
      <c r="BZ17" s="7">
        <v>84.12614001662179</v>
      </c>
      <c r="CA17" s="7">
        <v>84.458441012499009</v>
      </c>
      <c r="CB17" s="7">
        <v>84.002960646234044</v>
      </c>
      <c r="CC17" s="7">
        <v>84.229853069686627</v>
      </c>
      <c r="CD17" s="7">
        <v>84.222970262271346</v>
      </c>
      <c r="CE17" s="7">
        <v>84.280293771625495</v>
      </c>
      <c r="CF17" s="7">
        <v>83.977219705616733</v>
      </c>
      <c r="CG17" s="7">
        <v>83.999815533419124</v>
      </c>
      <c r="CH17" s="7">
        <v>84.052727795137201</v>
      </c>
      <c r="CI17" s="7">
        <v>84.147781599944409</v>
      </c>
      <c r="CJ17" s="7">
        <v>84.633023711741799</v>
      </c>
      <c r="CK17" s="7">
        <v>84.607331198799727</v>
      </c>
      <c r="CL17" s="7">
        <v>84.617697055861413</v>
      </c>
      <c r="CM17" s="7">
        <v>84.484258980717527</v>
      </c>
      <c r="CN17" s="7">
        <v>84.756251520680777</v>
      </c>
      <c r="CO17" s="7">
        <v>85.207539295350756</v>
      </c>
      <c r="CP17" s="7">
        <v>85.998021279153633</v>
      </c>
      <c r="CQ17" s="7">
        <v>86.206636772824979</v>
      </c>
      <c r="CR17" s="7">
        <v>86.273784606133546</v>
      </c>
      <c r="CS17" s="7">
        <v>86.362595722131999</v>
      </c>
      <c r="CT17" s="7">
        <v>86.617648417606617</v>
      </c>
      <c r="CU17" s="7">
        <v>87.795648599503963</v>
      </c>
      <c r="CV17" s="7">
        <v>88.269560258808013</v>
      </c>
      <c r="CW17" s="7">
        <v>88.241193966967813</v>
      </c>
      <c r="CX17" s="7">
        <v>89.941082280410825</v>
      </c>
      <c r="CY17" s="7">
        <v>90.610146596591832</v>
      </c>
      <c r="CZ17" s="7">
        <v>90.925279713107955</v>
      </c>
      <c r="DA17" s="7">
        <v>90.949332921938861</v>
      </c>
      <c r="DB17" s="7">
        <v>91.054837348664464</v>
      </c>
      <c r="DC17" s="7">
        <v>91.094824178617671</v>
      </c>
      <c r="DD17" s="7">
        <v>91.103758022050357</v>
      </c>
      <c r="DE17" s="7">
        <v>91.301545797906925</v>
      </c>
      <c r="DF17" s="7">
        <v>91.382196433959237</v>
      </c>
      <c r="DG17" s="7">
        <v>91.612759063594297</v>
      </c>
      <c r="DH17" s="7">
        <v>91.946765750675382</v>
      </c>
      <c r="DI17" s="7">
        <v>92.004805937476988</v>
      </c>
      <c r="DJ17" s="7">
        <v>92.173190996801708</v>
      </c>
      <c r="DK17" s="7">
        <v>92.316225250586299</v>
      </c>
      <c r="DL17" s="7">
        <v>92.330638530975065</v>
      </c>
      <c r="DM17" s="7">
        <v>92.352728167132469</v>
      </c>
      <c r="DN17" s="7">
        <v>92.846060445924039</v>
      </c>
      <c r="DO17" s="7">
        <v>92.944148753396078</v>
      </c>
      <c r="DP17" s="7">
        <v>92.912545421562072</v>
      </c>
      <c r="DQ17" s="7">
        <v>93.142425465145237</v>
      </c>
      <c r="DR17" s="7">
        <v>93.200719999627026</v>
      </c>
      <c r="DS17" s="7">
        <v>93.268726312714833</v>
      </c>
      <c r="DT17" s="7">
        <v>93.281945400251018</v>
      </c>
      <c r="DU17" s="7">
        <v>93.333451085477648</v>
      </c>
      <c r="DV17" s="7">
        <v>93.599743898084867</v>
      </c>
      <c r="DW17" s="7">
        <v>93.756104691992604</v>
      </c>
      <c r="DX17" s="7">
        <v>93.780884238692494</v>
      </c>
      <c r="DY17" s="7">
        <v>93.828355896465169</v>
      </c>
      <c r="DZ17" s="7">
        <v>93.900872415058643</v>
      </c>
      <c r="EA17" s="7">
        <v>94.104986942830735</v>
      </c>
      <c r="EB17" s="7">
        <v>94.105286822420737</v>
      </c>
      <c r="EC17" s="7">
        <v>94.479000752005831</v>
      </c>
      <c r="ED17" s="7">
        <v>94.594166932066187</v>
      </c>
      <c r="EE17" s="7">
        <v>95.888904670552506</v>
      </c>
      <c r="EF17" s="7">
        <v>96.495838344426858</v>
      </c>
      <c r="EG17" s="7">
        <v>96.49898622271057</v>
      </c>
      <c r="EH17" s="7">
        <v>96.858588191918358</v>
      </c>
      <c r="EI17" s="7">
        <v>98.077119738782258</v>
      </c>
      <c r="EJ17" s="7">
        <v>99.577539490047741</v>
      </c>
      <c r="EK17" s="7">
        <v>99.992435373757061</v>
      </c>
      <c r="EL17" s="7">
        <v>100.77612411594714</v>
      </c>
      <c r="EM17" s="7">
        <v>101.10412948917659</v>
      </c>
      <c r="EN17" s="7">
        <v>102.50188971790716</v>
      </c>
      <c r="EO17" s="7">
        <v>102.40131269384814</v>
      </c>
      <c r="EP17" s="7">
        <v>102.66359052648131</v>
      </c>
      <c r="EQ17" s="7">
        <v>103.0524460949967</v>
      </c>
      <c r="ER17" s="7">
        <v>103.40547771907767</v>
      </c>
      <c r="ES17" s="7">
        <v>103.88592209537596</v>
      </c>
      <c r="ET17" s="7">
        <v>104.34843817868544</v>
      </c>
      <c r="EU17" s="7">
        <v>104.7406464407146</v>
      </c>
      <c r="EV17" s="7">
        <v>104.83177976066678</v>
      </c>
      <c r="EW17" s="7">
        <v>105.02077550110846</v>
      </c>
      <c r="EX17" s="7">
        <v>105.04085218062073</v>
      </c>
      <c r="EY17" s="7">
        <v>105.30506552483789</v>
      </c>
      <c r="EZ17" s="7">
        <v>105.49083195377285</v>
      </c>
      <c r="FA17" s="7">
        <v>105.66254689048846</v>
      </c>
      <c r="FB17" s="7">
        <v>105.76814667013916</v>
      </c>
      <c r="FC17" s="7">
        <v>105.90998869149298</v>
      </c>
      <c r="FD17" s="144">
        <v>106</v>
      </c>
      <c r="FE17" s="144">
        <v>106.3</v>
      </c>
      <c r="FF17" s="144">
        <v>106.4</v>
      </c>
      <c r="FG17" s="1">
        <v>106.5</v>
      </c>
      <c r="FH17" s="144">
        <v>106.6</v>
      </c>
      <c r="FI17" s="1">
        <v>106.9</v>
      </c>
      <c r="FJ17" s="7">
        <v>107.04362745256076</v>
      </c>
      <c r="FK17" s="7">
        <v>107.12739161624182</v>
      </c>
      <c r="FL17" s="7">
        <v>107.22542443593102</v>
      </c>
      <c r="FM17" s="7">
        <v>107.40224876256976</v>
      </c>
      <c r="FN17" s="7">
        <v>107.80446159919943</v>
      </c>
      <c r="FO17" s="7">
        <v>108.15033490739596</v>
      </c>
      <c r="FP17" s="7">
        <v>108.4</v>
      </c>
      <c r="FQ17" s="7">
        <v>108.7</v>
      </c>
      <c r="FR17" s="7">
        <v>108.8</v>
      </c>
      <c r="FS17" s="222">
        <v>108.932865681138</v>
      </c>
      <c r="FT17" s="223">
        <v>109.14246749521401</v>
      </c>
      <c r="FU17" s="222">
        <v>109.35206930929</v>
      </c>
      <c r="FV17" s="223">
        <v>109.561671123365</v>
      </c>
      <c r="FW17" s="224">
        <v>109.771272937441</v>
      </c>
      <c r="FX17" s="224">
        <v>109.98087475151701</v>
      </c>
      <c r="FY17" s="224">
        <v>110.190476565593</v>
      </c>
      <c r="FZ17" s="224">
        <v>110.400078379669</v>
      </c>
      <c r="GA17" s="224">
        <v>110.609680193744</v>
      </c>
      <c r="GB17" s="224">
        <v>110.81928200781999</v>
      </c>
      <c r="GC17" s="224">
        <v>111.028883821896</v>
      </c>
      <c r="GD17" s="224">
        <v>111.238485635972</v>
      </c>
      <c r="GE17" s="224">
        <v>111.44808745004801</v>
      </c>
      <c r="GF17" s="222">
        <v>111.65768926412299</v>
      </c>
      <c r="GG17" s="223">
        <v>111.867291078199</v>
      </c>
      <c r="GH17" s="222">
        <v>112.076892892275</v>
      </c>
      <c r="GI17" s="223">
        <v>112.28649470635099</v>
      </c>
      <c r="GJ17" s="224">
        <v>112.49609652042599</v>
      </c>
      <c r="GK17" s="224">
        <v>112.705698334502</v>
      </c>
      <c r="GL17" s="224">
        <v>112.915300148578</v>
      </c>
      <c r="GM17" s="224">
        <v>113.12490196265399</v>
      </c>
      <c r="GN17" s="224">
        <v>113.33450377673</v>
      </c>
      <c r="GO17" s="224">
        <v>113.544105590805</v>
      </c>
      <c r="GP17" s="224">
        <v>113.753707404881</v>
      </c>
      <c r="GQ17" s="224">
        <v>113.96330921895699</v>
      </c>
      <c r="GR17" s="224">
        <v>114.172911033033</v>
      </c>
      <c r="GS17" s="222">
        <v>114.382512847109</v>
      </c>
      <c r="GT17" s="223">
        <v>114.592114661184</v>
      </c>
      <c r="GU17" s="222">
        <v>114.80171647525999</v>
      </c>
      <c r="GV17" s="223">
        <v>115.011318289336</v>
      </c>
      <c r="GW17" s="224">
        <v>115.220920103412</v>
      </c>
      <c r="GX17" s="224">
        <v>115.430521917487</v>
      </c>
      <c r="GY17" s="224">
        <v>115.64012373156299</v>
      </c>
      <c r="GZ17" s="224">
        <v>115.849725545639</v>
      </c>
      <c r="HA17" s="224">
        <v>116.059327359715</v>
      </c>
      <c r="HB17" s="224">
        <v>116.26892917379099</v>
      </c>
      <c r="HC17" s="224">
        <v>116.47853098786599</v>
      </c>
      <c r="HD17" s="224">
        <v>116.688132801942</v>
      </c>
      <c r="HE17" s="224"/>
      <c r="HF17" s="222"/>
      <c r="HG17" s="223"/>
      <c r="HH17" s="222"/>
      <c r="HI17" s="223"/>
      <c r="HJ17" s="224"/>
      <c r="HK17" s="224"/>
      <c r="HL17" s="224"/>
      <c r="HM17" s="7"/>
      <c r="HN17" s="7"/>
      <c r="HO17" s="7"/>
      <c r="HP17" s="7"/>
      <c r="HQ17" s="7"/>
      <c r="HR17" s="7"/>
      <c r="HS17" s="144"/>
      <c r="HU17" s="144"/>
      <c r="HW17" s="7"/>
      <c r="HX17" s="7"/>
      <c r="HY17" s="7"/>
      <c r="HZ17" s="7"/>
      <c r="IA17" s="7"/>
      <c r="IB17" s="7"/>
      <c r="IC17" s="7"/>
      <c r="ID17" s="7"/>
      <c r="IE17" s="7"/>
      <c r="IF17" s="144"/>
      <c r="IH17" s="144"/>
    </row>
    <row r="18" spans="1:243" s="1" customFormat="1" ht="10.199999999999999" x14ac:dyDescent="0.2">
      <c r="A18" s="11">
        <v>12</v>
      </c>
      <c r="B18" s="1" t="s">
        <v>29</v>
      </c>
      <c r="C18" s="70">
        <v>5.24</v>
      </c>
      <c r="P18" s="7">
        <v>81.880000812929595</v>
      </c>
      <c r="Q18" s="7">
        <v>82.168669216281103</v>
      </c>
      <c r="R18" s="7">
        <v>82.198025873174771</v>
      </c>
      <c r="S18" s="7">
        <v>82.386109597845547</v>
      </c>
      <c r="T18" s="7">
        <v>82.749387211541702</v>
      </c>
      <c r="U18" s="7">
        <v>82.714510136245778</v>
      </c>
      <c r="V18" s="7">
        <v>82.945126509674722</v>
      </c>
      <c r="W18" s="7">
        <v>82.908824490998583</v>
      </c>
      <c r="X18" s="7">
        <v>82.939116306495151</v>
      </c>
      <c r="Y18" s="7">
        <v>83.287190232629271</v>
      </c>
      <c r="Z18" s="7">
        <v>83.550226146521183</v>
      </c>
      <c r="AA18" s="7">
        <v>83.427382602983812</v>
      </c>
      <c r="AB18" s="7">
        <v>83.415813871557347</v>
      </c>
      <c r="AC18" s="7">
        <v>83.716133932876772</v>
      </c>
      <c r="AD18" s="7">
        <v>83.577969750109673</v>
      </c>
      <c r="AE18" s="7">
        <v>83.620861724722602</v>
      </c>
      <c r="AF18" s="7">
        <v>83.853336149030497</v>
      </c>
      <c r="AG18" s="7">
        <v>84.087602786800389</v>
      </c>
      <c r="AH18" s="7">
        <v>83.87771835610512</v>
      </c>
      <c r="AI18" s="7">
        <v>84.280063157188465</v>
      </c>
      <c r="AJ18" s="7">
        <v>84.133979069966315</v>
      </c>
      <c r="AK18" s="7">
        <v>83.843133810673606</v>
      </c>
      <c r="AL18" s="7">
        <v>84.032068128212416</v>
      </c>
      <c r="AM18" s="7">
        <v>84.712626979678987</v>
      </c>
      <c r="AN18" s="7">
        <v>83.943161780301594</v>
      </c>
      <c r="AO18" s="7">
        <v>84.179738674005179</v>
      </c>
      <c r="AP18" s="7">
        <v>84.306514362341275</v>
      </c>
      <c r="AQ18" s="7">
        <v>84.499402422095173</v>
      </c>
      <c r="AR18" s="7">
        <v>84.607619909564107</v>
      </c>
      <c r="AS18" s="7">
        <v>84.397327687203642</v>
      </c>
      <c r="AT18" s="7">
        <v>84.555895425847169</v>
      </c>
      <c r="AU18" s="7">
        <v>84.747112638966016</v>
      </c>
      <c r="AV18" s="7">
        <v>85.016938556280138</v>
      </c>
      <c r="AW18" s="7">
        <v>84.862191675440641</v>
      </c>
      <c r="AX18" s="7">
        <v>85.090430544237222</v>
      </c>
      <c r="AY18" s="7">
        <v>86.186465938808482</v>
      </c>
      <c r="AZ18" s="7">
        <v>86.266113309227279</v>
      </c>
      <c r="BA18" s="7">
        <v>86.048707091832171</v>
      </c>
      <c r="BB18" s="7">
        <v>86.160263957062554</v>
      </c>
      <c r="BC18" s="7">
        <v>86.230977112493989</v>
      </c>
      <c r="BD18" s="7">
        <v>86.735174668514517</v>
      </c>
      <c r="BE18" s="7">
        <v>87.139200214498914</v>
      </c>
      <c r="BF18" s="7">
        <v>86.876572935216444</v>
      </c>
      <c r="BG18" s="7">
        <v>86.98649135880747</v>
      </c>
      <c r="BH18" s="7">
        <v>87.255875115301677</v>
      </c>
      <c r="BI18" s="7">
        <v>87.797965478833817</v>
      </c>
      <c r="BJ18" s="7">
        <v>87.727645850039167</v>
      </c>
      <c r="BK18" s="7">
        <v>88.248147776590386</v>
      </c>
      <c r="BL18" s="7">
        <v>87.983664823213772</v>
      </c>
      <c r="BM18" s="7">
        <v>87.732881160203362</v>
      </c>
      <c r="BN18" s="7">
        <v>87.826821138692594</v>
      </c>
      <c r="BO18" s="7">
        <v>88.156128105559418</v>
      </c>
      <c r="BP18" s="7">
        <v>88.063567086992109</v>
      </c>
      <c r="BQ18" s="7">
        <v>88.319983412078784</v>
      </c>
      <c r="BR18" s="7">
        <v>88.633820811566565</v>
      </c>
      <c r="BS18" s="7">
        <v>88.772165088222479</v>
      </c>
      <c r="BT18" s="7">
        <v>88.87945094047258</v>
      </c>
      <c r="BU18" s="7">
        <v>89.109876969533943</v>
      </c>
      <c r="BV18" s="7">
        <v>89.078533278192467</v>
      </c>
      <c r="BW18" s="7">
        <v>89.354371037477293</v>
      </c>
      <c r="BX18" s="7">
        <v>89.397966165682902</v>
      </c>
      <c r="BY18" s="7">
        <v>89.195130886624796</v>
      </c>
      <c r="BZ18" s="7">
        <v>89.657750318110814</v>
      </c>
      <c r="CA18" s="7">
        <v>89.868567235765241</v>
      </c>
      <c r="CB18" s="7">
        <v>89.979356893295972</v>
      </c>
      <c r="CC18" s="7">
        <v>89.980893548649746</v>
      </c>
      <c r="CD18" s="7">
        <v>90.486218798488679</v>
      </c>
      <c r="CE18" s="7">
        <v>90.467766309177946</v>
      </c>
      <c r="CF18" s="7">
        <v>90.772063590588914</v>
      </c>
      <c r="CG18" s="7">
        <v>90.730371648409772</v>
      </c>
      <c r="CH18" s="7">
        <v>90.606087479734853</v>
      </c>
      <c r="CI18" s="7">
        <v>90.714732448834013</v>
      </c>
      <c r="CJ18" s="7">
        <v>90.735813427485724</v>
      </c>
      <c r="CK18" s="7">
        <v>90.653657461405814</v>
      </c>
      <c r="CL18" s="7">
        <v>90.739666233396576</v>
      </c>
      <c r="CM18" s="7">
        <v>90.874770344733051</v>
      </c>
      <c r="CN18" s="7">
        <v>91.312444648740922</v>
      </c>
      <c r="CO18" s="7">
        <v>91.218954611030355</v>
      </c>
      <c r="CP18" s="7">
        <v>91.505902789178563</v>
      </c>
      <c r="CQ18" s="7">
        <v>91.871303499479765</v>
      </c>
      <c r="CR18" s="7">
        <v>92.143848415963276</v>
      </c>
      <c r="CS18" s="7">
        <v>92.230518684815422</v>
      </c>
      <c r="CT18" s="7">
        <v>92.276646919597312</v>
      </c>
      <c r="CU18" s="7">
        <v>92.581946493968445</v>
      </c>
      <c r="CV18" s="7">
        <v>92.829977306282942</v>
      </c>
      <c r="CW18" s="7">
        <v>92.940303216641524</v>
      </c>
      <c r="CX18" s="7">
        <v>93.33073777976405</v>
      </c>
      <c r="CY18" s="7">
        <v>93.520622678802468</v>
      </c>
      <c r="CZ18" s="7">
        <v>93.753418843790314</v>
      </c>
      <c r="DA18" s="7">
        <v>93.88609086903223</v>
      </c>
      <c r="DB18" s="7">
        <v>94.113735509121994</v>
      </c>
      <c r="DC18" s="7">
        <v>94.27128827515584</v>
      </c>
      <c r="DD18" s="7">
        <v>94.252644078453002</v>
      </c>
      <c r="DE18" s="7">
        <v>94.307415847671663</v>
      </c>
      <c r="DF18" s="7">
        <v>94.364583729997079</v>
      </c>
      <c r="DG18" s="7">
        <v>94.596391533249701</v>
      </c>
      <c r="DH18" s="7">
        <v>94.474319839595225</v>
      </c>
      <c r="DI18" s="7">
        <v>94.594891110178935</v>
      </c>
      <c r="DJ18" s="7">
        <v>94.54579160413418</v>
      </c>
      <c r="DK18" s="7">
        <v>94.811900327062489</v>
      </c>
      <c r="DL18" s="7">
        <v>94.823286570097366</v>
      </c>
      <c r="DM18" s="7">
        <v>94.924760671853235</v>
      </c>
      <c r="DN18" s="7">
        <v>95.185227491005719</v>
      </c>
      <c r="DO18" s="7">
        <v>95.286264181422254</v>
      </c>
      <c r="DP18" s="7">
        <v>95.604566615471228</v>
      </c>
      <c r="DQ18" s="7">
        <v>95.650758934194897</v>
      </c>
      <c r="DR18" s="7">
        <v>95.664047162987316</v>
      </c>
      <c r="DS18" s="7">
        <v>95.728216378621696</v>
      </c>
      <c r="DT18" s="7">
        <v>95.750830143003384</v>
      </c>
      <c r="DU18" s="7">
        <v>95.790208782924367</v>
      </c>
      <c r="DV18" s="7">
        <v>95.898118452373595</v>
      </c>
      <c r="DW18" s="7">
        <v>95.904906383990479</v>
      </c>
      <c r="DX18" s="7">
        <v>95.949866490847938</v>
      </c>
      <c r="DY18" s="7">
        <v>95.920815153878394</v>
      </c>
      <c r="DZ18" s="7">
        <v>96.203465471463559</v>
      </c>
      <c r="EA18" s="7">
        <v>96.266414257200537</v>
      </c>
      <c r="EB18" s="7">
        <v>96.30737232465053</v>
      </c>
      <c r="EC18" s="7">
        <v>96.423408167060899</v>
      </c>
      <c r="ED18" s="7">
        <v>96.477706251536333</v>
      </c>
      <c r="EE18" s="7">
        <v>96.69841150566252</v>
      </c>
      <c r="EF18" s="7">
        <v>97.066258102793341</v>
      </c>
      <c r="EG18" s="7">
        <v>97.40205070616517</v>
      </c>
      <c r="EH18" s="7">
        <v>98.01572673258697</v>
      </c>
      <c r="EI18" s="7">
        <v>98.617304533123971</v>
      </c>
      <c r="EJ18" s="7">
        <v>99.225277808136596</v>
      </c>
      <c r="EK18" s="7">
        <v>99.436523258468</v>
      </c>
      <c r="EL18" s="7">
        <v>100.36256723345318</v>
      </c>
      <c r="EM18" s="7">
        <v>101.08484488581577</v>
      </c>
      <c r="EN18" s="7">
        <v>101.49048185750995</v>
      </c>
      <c r="EO18" s="7">
        <v>102.1500697952314</v>
      </c>
      <c r="EP18" s="7">
        <v>102.30849896230589</v>
      </c>
      <c r="EQ18" s="7">
        <v>102.84039612440976</v>
      </c>
      <c r="ER18" s="7">
        <v>103.58784873445776</v>
      </c>
      <c r="ES18" s="7">
        <v>104.18584655626795</v>
      </c>
      <c r="ET18" s="7">
        <v>104.32906544935167</v>
      </c>
      <c r="EU18" s="7">
        <v>104.81158813193395</v>
      </c>
      <c r="EV18" s="7">
        <v>105.12352109631449</v>
      </c>
      <c r="EW18" s="7">
        <v>105.38622981247941</v>
      </c>
      <c r="EX18" s="7">
        <v>105.51815828419339</v>
      </c>
      <c r="EY18" s="7">
        <v>105.60171294210294</v>
      </c>
      <c r="EZ18" s="7">
        <v>105.9790429360088</v>
      </c>
      <c r="FA18" s="7">
        <v>106.19745357438534</v>
      </c>
      <c r="FB18" s="7">
        <v>106.26949565011141</v>
      </c>
      <c r="FC18" s="7">
        <v>106.4966412055624</v>
      </c>
      <c r="FD18" s="144">
        <v>106.6</v>
      </c>
      <c r="FE18" s="144">
        <v>107</v>
      </c>
      <c r="FF18" s="144">
        <v>107.2</v>
      </c>
      <c r="FG18" s="1">
        <v>107.4</v>
      </c>
      <c r="FH18" s="144">
        <v>107.4</v>
      </c>
      <c r="FI18" s="1">
        <v>107.7</v>
      </c>
      <c r="FJ18" s="7">
        <v>107.86559074526826</v>
      </c>
      <c r="FK18" s="7">
        <v>107.98172601633262</v>
      </c>
      <c r="FL18" s="7">
        <v>108.13308198938066</v>
      </c>
      <c r="FM18" s="7">
        <v>108.31230611627701</v>
      </c>
      <c r="FN18" s="7">
        <v>108.55529234300668</v>
      </c>
      <c r="FO18" s="7">
        <v>108.65380853313631</v>
      </c>
      <c r="FP18" s="7">
        <v>108.7</v>
      </c>
      <c r="FQ18" s="7">
        <v>108.9</v>
      </c>
      <c r="FR18" s="7">
        <v>108.9</v>
      </c>
      <c r="FS18" s="222">
        <v>109.187500783909</v>
      </c>
      <c r="FT18" s="223">
        <v>109.338442591023</v>
      </c>
      <c r="FU18" s="222">
        <v>109.489384398138</v>
      </c>
      <c r="FV18" s="223">
        <v>109.64032620525199</v>
      </c>
      <c r="FW18" s="224">
        <v>109.791268012367</v>
      </c>
      <c r="FX18" s="224">
        <v>109.94220981948099</v>
      </c>
      <c r="FY18" s="224">
        <v>110.093151626596</v>
      </c>
      <c r="FZ18" s="224">
        <v>110.24409343371001</v>
      </c>
      <c r="GA18" s="224">
        <v>110.395035240825</v>
      </c>
      <c r="GB18" s="224">
        <v>110.545977047939</v>
      </c>
      <c r="GC18" s="224">
        <v>110.696918855053</v>
      </c>
      <c r="GD18" s="224">
        <v>110.847860662168</v>
      </c>
      <c r="GE18" s="224">
        <v>110.998802469282</v>
      </c>
      <c r="GF18" s="222">
        <v>111.149744276397</v>
      </c>
      <c r="GG18" s="223">
        <v>111.300686083511</v>
      </c>
      <c r="GH18" s="222">
        <v>111.451627890626</v>
      </c>
      <c r="GI18" s="223">
        <v>111.60256969773999</v>
      </c>
      <c r="GJ18" s="224">
        <v>111.753511504855</v>
      </c>
      <c r="GK18" s="224">
        <v>111.90445331196899</v>
      </c>
      <c r="GL18" s="224">
        <v>112.055395119084</v>
      </c>
      <c r="GM18" s="224">
        <v>112.20633692619801</v>
      </c>
      <c r="GN18" s="224">
        <v>112.357278733312</v>
      </c>
      <c r="GO18" s="224">
        <v>112.508220540427</v>
      </c>
      <c r="GP18" s="224">
        <v>112.659162347541</v>
      </c>
      <c r="GQ18" s="224">
        <v>112.810104154656</v>
      </c>
      <c r="GR18" s="224">
        <v>112.96104596177</v>
      </c>
      <c r="GS18" s="222">
        <v>113.111987768885</v>
      </c>
      <c r="GT18" s="223">
        <v>113.262929575999</v>
      </c>
      <c r="GU18" s="222">
        <v>113.413871383114</v>
      </c>
      <c r="GV18" s="223">
        <v>113.56481319022799</v>
      </c>
      <c r="GW18" s="224">
        <v>113.715754997343</v>
      </c>
      <c r="GX18" s="224">
        <v>113.86669680445701</v>
      </c>
      <c r="GY18" s="224">
        <v>114.017638611571</v>
      </c>
      <c r="GZ18" s="224">
        <v>114.16858041868601</v>
      </c>
      <c r="HA18" s="224">
        <v>114.3195222258</v>
      </c>
      <c r="HB18" s="224">
        <v>114.470464032915</v>
      </c>
      <c r="HC18" s="224">
        <v>114.621405840029</v>
      </c>
      <c r="HD18" s="224">
        <v>114.772347647144</v>
      </c>
      <c r="HE18" s="224"/>
      <c r="HF18" s="222"/>
      <c r="HG18" s="223"/>
      <c r="HH18" s="222"/>
      <c r="HI18" s="223"/>
      <c r="HJ18" s="224"/>
      <c r="HK18" s="224"/>
      <c r="HL18" s="224"/>
      <c r="HM18" s="7"/>
      <c r="HN18" s="7"/>
      <c r="HO18" s="7"/>
      <c r="HP18" s="7"/>
      <c r="HQ18" s="7"/>
      <c r="HR18" s="7"/>
      <c r="HS18" s="144"/>
      <c r="HU18" s="144"/>
      <c r="HW18" s="7"/>
      <c r="HX18" s="7"/>
      <c r="HY18" s="7"/>
      <c r="HZ18" s="7"/>
      <c r="IA18" s="7"/>
      <c r="IB18" s="7"/>
      <c r="IC18" s="7"/>
      <c r="ID18" s="7"/>
      <c r="IE18" s="7"/>
      <c r="IF18" s="144"/>
      <c r="IH18" s="144"/>
    </row>
    <row r="19" spans="1:243" s="79" customFormat="1" x14ac:dyDescent="0.25">
      <c r="A19" s="66"/>
      <c r="B19" s="66" t="s">
        <v>2</v>
      </c>
      <c r="C19" s="77" t="s">
        <v>258</v>
      </c>
      <c r="D19" s="78">
        <f t="shared" ref="D19:O19" si="0">100*D42/$C$42</f>
        <v>99.204443110177138</v>
      </c>
      <c r="E19" s="78">
        <f t="shared" si="0"/>
        <v>99.204443110177138</v>
      </c>
      <c r="F19" s="78">
        <f t="shared" si="0"/>
        <v>98.844190933653579</v>
      </c>
      <c r="G19" s="78">
        <f t="shared" si="0"/>
        <v>98.709096367457235</v>
      </c>
      <c r="H19" s="78">
        <f t="shared" si="0"/>
        <v>99.114380066046252</v>
      </c>
      <c r="I19" s="78">
        <f t="shared" si="0"/>
        <v>99.609726808766155</v>
      </c>
      <c r="J19" s="78">
        <f t="shared" si="0"/>
        <v>100.06004202942061</v>
      </c>
      <c r="K19" s="78">
        <f t="shared" si="0"/>
        <v>100.42029420594417</v>
      </c>
      <c r="L19" s="78">
        <f t="shared" si="0"/>
        <v>100.96067247072952</v>
      </c>
      <c r="M19" s="78">
        <f t="shared" si="0"/>
        <v>101.09576703692586</v>
      </c>
      <c r="N19" s="78">
        <f t="shared" si="0"/>
        <v>101.18583008105675</v>
      </c>
      <c r="O19" s="78">
        <f t="shared" si="0"/>
        <v>101.59111377964577</v>
      </c>
      <c r="P19" s="78">
        <v>79.023880131924244</v>
      </c>
      <c r="Q19" s="78">
        <v>78.967070702477002</v>
      </c>
      <c r="R19" s="78">
        <v>79.278133608015892</v>
      </c>
      <c r="S19" s="78">
        <v>79.525024949038908</v>
      </c>
      <c r="T19" s="78">
        <v>79.851858184678974</v>
      </c>
      <c r="U19" s="78">
        <v>79.904066700946274</v>
      </c>
      <c r="V19" s="78">
        <v>80.180041413135228</v>
      </c>
      <c r="W19" s="78">
        <v>80.547842609460162</v>
      </c>
      <c r="X19" s="78">
        <v>80.510138123322193</v>
      </c>
      <c r="Y19" s="78">
        <v>80.852139503166541</v>
      </c>
      <c r="Z19" s="78">
        <v>80.768846423441644</v>
      </c>
      <c r="AA19" s="78">
        <v>81.45258786614599</v>
      </c>
      <c r="AB19" s="78">
        <v>81.195119809411111</v>
      </c>
      <c r="AC19" s="78">
        <v>81.077027295141946</v>
      </c>
      <c r="AD19" s="78">
        <v>81.162108364555166</v>
      </c>
      <c r="AE19" s="78">
        <v>81.153181440645355</v>
      </c>
      <c r="AF19" s="78">
        <v>81.266961557213548</v>
      </c>
      <c r="AG19" s="78">
        <v>81.458268846655997</v>
      </c>
      <c r="AH19" s="78">
        <v>81.498898988280928</v>
      </c>
      <c r="AI19" s="78">
        <v>81.841483055257115</v>
      </c>
      <c r="AJ19" s="78">
        <v>82.082839330233199</v>
      </c>
      <c r="AK19" s="78">
        <v>82.477122673441784</v>
      </c>
      <c r="AL19" s="78">
        <v>82.556405367281542</v>
      </c>
      <c r="AM19" s="78">
        <v>82.793212826634004</v>
      </c>
      <c r="AN19" s="78">
        <v>82.275096278580151</v>
      </c>
      <c r="AO19" s="78">
        <v>82.213218258775555</v>
      </c>
      <c r="AP19" s="78">
        <v>82.086580060076273</v>
      </c>
      <c r="AQ19" s="78">
        <v>81.909924420146922</v>
      </c>
      <c r="AR19" s="78">
        <v>82.272008804717302</v>
      </c>
      <c r="AS19" s="78">
        <v>82.100422749325389</v>
      </c>
      <c r="AT19" s="78">
        <v>83.899547128236364</v>
      </c>
      <c r="AU19" s="78">
        <v>83.998070550199699</v>
      </c>
      <c r="AV19" s="78">
        <v>84.229621670006537</v>
      </c>
      <c r="AW19" s="78">
        <v>84.147885844595379</v>
      </c>
      <c r="AX19" s="78">
        <v>84.655882104550685</v>
      </c>
      <c r="AY19" s="78">
        <v>84.962813228678314</v>
      </c>
      <c r="AZ19" s="78">
        <v>84.397647704485095</v>
      </c>
      <c r="BA19" s="78">
        <v>84.677754654203497</v>
      </c>
      <c r="BB19" s="78">
        <v>84.687104066601719</v>
      </c>
      <c r="BC19" s="78">
        <v>85.081483278671627</v>
      </c>
      <c r="BD19" s="78">
        <v>85.252411407238242</v>
      </c>
      <c r="BE19" s="78">
        <v>85.608482072372539</v>
      </c>
      <c r="BF19" s="78">
        <v>85.855470959769022</v>
      </c>
      <c r="BG19" s="78">
        <v>85.774063838610957</v>
      </c>
      <c r="BH19" s="78">
        <v>86.037535013791398</v>
      </c>
      <c r="BI19" s="78">
        <v>86.045873706228164</v>
      </c>
      <c r="BJ19" s="78">
        <v>85.892603682880647</v>
      </c>
      <c r="BK19" s="78">
        <v>86.191580350539311</v>
      </c>
      <c r="BL19" s="78">
        <v>85.835242141614827</v>
      </c>
      <c r="BM19" s="78">
        <v>85.780413692326448</v>
      </c>
      <c r="BN19" s="78">
        <v>85.907061331067624</v>
      </c>
      <c r="BO19" s="78">
        <v>86.018740957373595</v>
      </c>
      <c r="BP19" s="78">
        <v>86.417575897614199</v>
      </c>
      <c r="BQ19" s="78">
        <v>86.181658312047674</v>
      </c>
      <c r="BR19" s="78">
        <v>86.242880469363527</v>
      </c>
      <c r="BS19" s="78">
        <v>86.531520249396806</v>
      </c>
      <c r="BT19" s="78">
        <v>86.515148198726919</v>
      </c>
      <c r="BU19" s="78">
        <v>86.299977719121344</v>
      </c>
      <c r="BV19" s="78">
        <v>86.279467178970478</v>
      </c>
      <c r="BW19" s="78">
        <v>86.442870102235759</v>
      </c>
      <c r="BX19" s="78">
        <v>86.201598840433462</v>
      </c>
      <c r="BY19" s="78">
        <v>86.183208446669099</v>
      </c>
      <c r="BZ19" s="78">
        <v>86.28667017839031</v>
      </c>
      <c r="CA19" s="78">
        <v>86.687939818386369</v>
      </c>
      <c r="CB19" s="78">
        <v>86.705851360180603</v>
      </c>
      <c r="CC19" s="78">
        <v>86.683983001185325</v>
      </c>
      <c r="CD19" s="78">
        <v>86.762930906241053</v>
      </c>
      <c r="CE19" s="78">
        <v>87.084192081079962</v>
      </c>
      <c r="CF19" s="78">
        <v>87.219039519616246</v>
      </c>
      <c r="CG19" s="78">
        <v>87.104710176727139</v>
      </c>
      <c r="CH19" s="78">
        <v>87.058788752526254</v>
      </c>
      <c r="CI19" s="78">
        <v>87.101633510506474</v>
      </c>
      <c r="CJ19" s="78">
        <v>86.95418710169541</v>
      </c>
      <c r="CK19" s="78">
        <v>86.902571573704776</v>
      </c>
      <c r="CL19" s="78">
        <v>86.937497802136747</v>
      </c>
      <c r="CM19" s="78">
        <v>87.261292642836437</v>
      </c>
      <c r="CN19" s="78">
        <v>87.464468551909306</v>
      </c>
      <c r="CO19" s="78">
        <v>87.458689998997372</v>
      </c>
      <c r="CP19" s="78">
        <v>87.567720003823879</v>
      </c>
      <c r="CQ19" s="78">
        <v>87.700188519059296</v>
      </c>
      <c r="CR19" s="78">
        <v>88.044006156133776</v>
      </c>
      <c r="CS19" s="78">
        <v>88.474542852169449</v>
      </c>
      <c r="CT19" s="78">
        <v>88.569601653455422</v>
      </c>
      <c r="CU19" s="78">
        <v>88.820711199379957</v>
      </c>
      <c r="CV19" s="78">
        <v>88.597978520151571</v>
      </c>
      <c r="CW19" s="78">
        <v>88.843473229619875</v>
      </c>
      <c r="CX19" s="78">
        <v>89.224982182632715</v>
      </c>
      <c r="CY19" s="78">
        <v>89.518912701795713</v>
      </c>
      <c r="CZ19" s="78">
        <v>89.560384443689415</v>
      </c>
      <c r="DA19" s="78">
        <v>89.69262823950433</v>
      </c>
      <c r="DB19" s="78">
        <v>89.929132636661691</v>
      </c>
      <c r="DC19" s="78">
        <v>90.079647101408568</v>
      </c>
      <c r="DD19" s="78">
        <v>90.211223854213884</v>
      </c>
      <c r="DE19" s="78">
        <v>90.556303836034559</v>
      </c>
      <c r="DF19" s="78">
        <v>90.808405334694882</v>
      </c>
      <c r="DG19" s="78">
        <v>90.976811316261305</v>
      </c>
      <c r="DH19" s="78">
        <v>91.042806002183923</v>
      </c>
      <c r="DI19" s="78">
        <v>91.145461583976299</v>
      </c>
      <c r="DJ19" s="78">
        <v>91.457468320871968</v>
      </c>
      <c r="DK19" s="78">
        <v>91.916345923024124</v>
      </c>
      <c r="DL19" s="78">
        <v>91.674917677699639</v>
      </c>
      <c r="DM19" s="78">
        <v>91.796141811085548</v>
      </c>
      <c r="DN19" s="78">
        <v>92.22261448408247</v>
      </c>
      <c r="DO19" s="78">
        <v>92.380637412339368</v>
      </c>
      <c r="DP19" s="78">
        <v>92.357382492945135</v>
      </c>
      <c r="DQ19" s="78">
        <v>92.783228268049811</v>
      </c>
      <c r="DR19" s="78">
        <v>92.734655830350491</v>
      </c>
      <c r="DS19" s="78">
        <v>92.904901381741652</v>
      </c>
      <c r="DT19" s="78">
        <v>92.763558272328439</v>
      </c>
      <c r="DU19" s="78">
        <v>92.854903175672092</v>
      </c>
      <c r="DV19" s="78">
        <v>93.183827150002244</v>
      </c>
      <c r="DW19" s="78">
        <v>93.46013638272872</v>
      </c>
      <c r="DX19" s="78">
        <v>93.718143643148323</v>
      </c>
      <c r="DY19" s="78">
        <v>93.990039566096129</v>
      </c>
      <c r="DZ19" s="78">
        <v>94.528440729993932</v>
      </c>
      <c r="EA19" s="78">
        <v>94.490945843578075</v>
      </c>
      <c r="EB19" s="78">
        <v>94.5781395572929</v>
      </c>
      <c r="EC19" s="78">
        <v>94.791183461383852</v>
      </c>
      <c r="ED19" s="78">
        <v>94.921905605028741</v>
      </c>
      <c r="EE19" s="78">
        <v>96.11675611374811</v>
      </c>
      <c r="EF19" s="78">
        <v>96.557472396193802</v>
      </c>
      <c r="EG19" s="78">
        <v>96.979088395080183</v>
      </c>
      <c r="EH19" s="78">
        <v>97.539374073515177</v>
      </c>
      <c r="EI19" s="78">
        <v>98.655089163588059</v>
      </c>
      <c r="EJ19" s="78">
        <v>99.276878577998858</v>
      </c>
      <c r="EK19" s="78">
        <v>99.640201452545384</v>
      </c>
      <c r="EL19" s="78">
        <v>100.3373570595398</v>
      </c>
      <c r="EM19" s="78">
        <v>101.17587696473018</v>
      </c>
      <c r="EN19" s="78">
        <v>101.81727924021035</v>
      </c>
      <c r="EO19" s="78">
        <v>102.15678798764037</v>
      </c>
      <c r="EP19" s="78">
        <v>102.71654348237286</v>
      </c>
      <c r="EQ19" s="78">
        <v>103.14805120658498</v>
      </c>
      <c r="ER19" s="78">
        <v>103.45321717415283</v>
      </c>
      <c r="ES19" s="78">
        <v>104.95561507309003</v>
      </c>
      <c r="ET19" s="78">
        <v>105.84496509436261</v>
      </c>
      <c r="EU19" s="78">
        <v>106.55824063189931</v>
      </c>
      <c r="EV19" s="78">
        <v>107.01192334124879</v>
      </c>
      <c r="EW19" s="78">
        <v>107.65036279560169</v>
      </c>
      <c r="EX19" s="78">
        <v>108.08785325258853</v>
      </c>
      <c r="EY19" s="78">
        <v>108.6743220532372</v>
      </c>
      <c r="EZ19" s="78">
        <v>108.87247131469492</v>
      </c>
      <c r="FA19" s="78">
        <v>109.05942070890698</v>
      </c>
      <c r="FB19" s="78">
        <v>109.06416816498268</v>
      </c>
      <c r="FC19" s="78">
        <v>109.12723331186321</v>
      </c>
      <c r="FD19" s="145">
        <v>108.8</v>
      </c>
      <c r="FE19" s="145">
        <v>110.2</v>
      </c>
      <c r="FF19" s="145">
        <v>110.9</v>
      </c>
      <c r="FG19" s="79">
        <v>111.5</v>
      </c>
      <c r="FH19" s="79">
        <v>111.8</v>
      </c>
      <c r="FI19" s="79">
        <v>112.2</v>
      </c>
      <c r="FJ19" s="78">
        <v>112.32466297271728</v>
      </c>
      <c r="FK19" s="78">
        <v>112.79122325202141</v>
      </c>
      <c r="FL19" s="78">
        <v>113.64635001047014</v>
      </c>
      <c r="FM19" s="78">
        <v>113.93109594693875</v>
      </c>
      <c r="FN19" s="78">
        <v>113.99542401980715</v>
      </c>
      <c r="FO19" s="78">
        <v>114.70827829688361</v>
      </c>
      <c r="FP19" s="78">
        <v>114.5</v>
      </c>
      <c r="FQ19" s="78">
        <v>114.6</v>
      </c>
      <c r="FR19" s="78">
        <v>115</v>
      </c>
      <c r="FS19" s="78">
        <f>SUMPRODUCT($C5:$C18,FS5:FS18)/100</f>
        <v>115.40704161749453</v>
      </c>
      <c r="FT19" s="78">
        <f t="shared" ref="FT19:IE19" si="1">SUMPRODUCT($C5:$C18,FT5:FT18)/100</f>
        <v>115.75438110080805</v>
      </c>
      <c r="FU19" s="78">
        <f t="shared" si="1"/>
        <v>116.10172058412179</v>
      </c>
      <c r="FV19" s="78">
        <f t="shared" si="1"/>
        <v>116.44906006743533</v>
      </c>
      <c r="FW19" s="78">
        <f t="shared" si="1"/>
        <v>116.79639955074889</v>
      </c>
      <c r="FX19" s="78">
        <f t="shared" si="1"/>
        <v>117.14373903406255</v>
      </c>
      <c r="FY19" s="78">
        <f t="shared" si="1"/>
        <v>117.49107851737594</v>
      </c>
      <c r="FZ19" s="78">
        <f t="shared" si="1"/>
        <v>117.83841800068956</v>
      </c>
      <c r="GA19" s="78">
        <f t="shared" si="1"/>
        <v>118.18575748400318</v>
      </c>
      <c r="GB19" s="78">
        <f t="shared" si="1"/>
        <v>118.53309696731696</v>
      </c>
      <c r="GC19" s="78">
        <f t="shared" si="1"/>
        <v>118.88043645063048</v>
      </c>
      <c r="GD19" s="78">
        <f t="shared" si="1"/>
        <v>119.22777593394412</v>
      </c>
      <c r="GE19" s="78">
        <f t="shared" si="1"/>
        <v>119.57511541725776</v>
      </c>
      <c r="GF19" s="78">
        <f t="shared" si="1"/>
        <v>119.9224549005714</v>
      </c>
      <c r="GG19" s="78">
        <f t="shared" si="1"/>
        <v>120.26979438388504</v>
      </c>
      <c r="GH19" s="78">
        <f t="shared" si="1"/>
        <v>120.61713386719876</v>
      </c>
      <c r="GI19" s="78">
        <f t="shared" si="1"/>
        <v>120.96447335051236</v>
      </c>
      <c r="GJ19" s="78">
        <f t="shared" si="1"/>
        <v>121.31181283382601</v>
      </c>
      <c r="GK19" s="78">
        <f t="shared" si="1"/>
        <v>121.65915231713927</v>
      </c>
      <c r="GL19" s="78">
        <f t="shared" si="1"/>
        <v>122.00649180045295</v>
      </c>
      <c r="GM19" s="78">
        <f t="shared" si="1"/>
        <v>122.35383128376652</v>
      </c>
      <c r="GN19" s="78">
        <f t="shared" si="1"/>
        <v>122.70117076708011</v>
      </c>
      <c r="GO19" s="78">
        <f t="shared" si="1"/>
        <v>123.04851025039389</v>
      </c>
      <c r="GP19" s="78">
        <f t="shared" si="1"/>
        <v>123.39584973370752</v>
      </c>
      <c r="GQ19" s="78">
        <f t="shared" si="1"/>
        <v>123.7431892170211</v>
      </c>
      <c r="GR19" s="78">
        <f t="shared" si="1"/>
        <v>124.09052870033483</v>
      </c>
      <c r="GS19" s="78">
        <f t="shared" si="1"/>
        <v>124.43786818364858</v>
      </c>
      <c r="GT19" s="78">
        <f t="shared" si="1"/>
        <v>124.78520766696209</v>
      </c>
      <c r="GU19" s="78">
        <f t="shared" si="1"/>
        <v>125.1325471502757</v>
      </c>
      <c r="GV19" s="78">
        <f t="shared" si="1"/>
        <v>125.47988663358927</v>
      </c>
      <c r="GW19" s="78">
        <f t="shared" si="1"/>
        <v>125.82722611690298</v>
      </c>
      <c r="GX19" s="78">
        <f t="shared" si="1"/>
        <v>126.17456560021623</v>
      </c>
      <c r="GY19" s="78">
        <f t="shared" si="1"/>
        <v>126.52190508352992</v>
      </c>
      <c r="GZ19" s="78">
        <f t="shared" si="1"/>
        <v>126.86924456684355</v>
      </c>
      <c r="HA19" s="78">
        <f t="shared" si="1"/>
        <v>127.21658405015722</v>
      </c>
      <c r="HB19" s="78">
        <f t="shared" si="1"/>
        <v>127.56392353347101</v>
      </c>
      <c r="HC19" s="78">
        <f t="shared" si="1"/>
        <v>127.91126301678445</v>
      </c>
      <c r="HD19" s="78">
        <f t="shared" si="1"/>
        <v>128.25860250009805</v>
      </c>
      <c r="HE19" s="78">
        <f t="shared" si="1"/>
        <v>0</v>
      </c>
      <c r="HF19" s="78">
        <f t="shared" si="1"/>
        <v>0</v>
      </c>
      <c r="HG19" s="78">
        <f t="shared" si="1"/>
        <v>0</v>
      </c>
      <c r="HH19" s="78">
        <f t="shared" si="1"/>
        <v>0</v>
      </c>
      <c r="HI19" s="78">
        <f t="shared" si="1"/>
        <v>0</v>
      </c>
      <c r="HJ19" s="78">
        <f t="shared" si="1"/>
        <v>0</v>
      </c>
      <c r="HK19" s="78">
        <f t="shared" si="1"/>
        <v>0</v>
      </c>
      <c r="HL19" s="78">
        <f t="shared" si="1"/>
        <v>0</v>
      </c>
      <c r="HM19" s="78">
        <f t="shared" si="1"/>
        <v>0</v>
      </c>
      <c r="HN19" s="78">
        <f t="shared" si="1"/>
        <v>0</v>
      </c>
      <c r="HO19" s="78">
        <f t="shared" si="1"/>
        <v>0</v>
      </c>
      <c r="HP19" s="78">
        <f t="shared" si="1"/>
        <v>0</v>
      </c>
      <c r="HQ19" s="78">
        <f t="shared" si="1"/>
        <v>0</v>
      </c>
      <c r="HR19" s="78">
        <f t="shared" si="1"/>
        <v>0</v>
      </c>
      <c r="HS19" s="78">
        <f t="shared" si="1"/>
        <v>0</v>
      </c>
      <c r="HT19" s="78">
        <f t="shared" si="1"/>
        <v>0</v>
      </c>
      <c r="HU19" s="78">
        <f t="shared" si="1"/>
        <v>0</v>
      </c>
      <c r="HV19" s="78">
        <f t="shared" si="1"/>
        <v>0</v>
      </c>
      <c r="HW19" s="78">
        <f t="shared" si="1"/>
        <v>0</v>
      </c>
      <c r="HX19" s="78">
        <f t="shared" si="1"/>
        <v>0</v>
      </c>
      <c r="HY19" s="78">
        <f t="shared" si="1"/>
        <v>0</v>
      </c>
      <c r="HZ19" s="78">
        <f t="shared" si="1"/>
        <v>0</v>
      </c>
      <c r="IA19" s="78">
        <f t="shared" si="1"/>
        <v>0</v>
      </c>
      <c r="IB19" s="78">
        <f t="shared" si="1"/>
        <v>0</v>
      </c>
      <c r="IC19" s="78">
        <f t="shared" si="1"/>
        <v>0</v>
      </c>
      <c r="ID19" s="78">
        <f t="shared" si="1"/>
        <v>0</v>
      </c>
      <c r="IE19" s="78">
        <f t="shared" si="1"/>
        <v>0</v>
      </c>
      <c r="IF19" s="78">
        <f t="shared" ref="IF19:II19" si="2">SUMPRODUCT($C5:$C18,IF5:IF18)/100</f>
        <v>0</v>
      </c>
      <c r="IG19" s="78">
        <f t="shared" si="2"/>
        <v>0</v>
      </c>
      <c r="IH19" s="78">
        <f t="shared" si="2"/>
        <v>0</v>
      </c>
      <c r="II19" s="78">
        <f t="shared" si="2"/>
        <v>0</v>
      </c>
    </row>
    <row r="20" spans="1:243" s="198" customFormat="1" ht="10.8" x14ac:dyDescent="0.25">
      <c r="C20" s="15"/>
      <c r="D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</row>
    <row r="21" spans="1:243" s="204" customFormat="1" ht="10.199999999999999" x14ac:dyDescent="0.2">
      <c r="B21" s="204" t="s">
        <v>3</v>
      </c>
      <c r="D21" s="205"/>
      <c r="P21" s="202">
        <v>77.889298364271752</v>
      </c>
      <c r="Q21" s="202">
        <v>77.752584574594124</v>
      </c>
      <c r="R21" s="202">
        <v>78.036684114886825</v>
      </c>
      <c r="S21" s="202">
        <v>78.416978039234408</v>
      </c>
      <c r="T21" s="202">
        <v>78.800384533269423</v>
      </c>
      <c r="U21" s="202">
        <v>78.739127715074673</v>
      </c>
      <c r="V21" s="202">
        <v>79.294175078438002</v>
      </c>
      <c r="W21" s="202">
        <v>79.858081166596648</v>
      </c>
      <c r="X21" s="202">
        <v>79.901335006162313</v>
      </c>
      <c r="Y21" s="202">
        <v>80.151294037438234</v>
      </c>
      <c r="Z21" s="202">
        <v>80.103808848327773</v>
      </c>
      <c r="AA21" s="202">
        <v>80.647366346389475</v>
      </c>
      <c r="AB21" s="202">
        <v>80.464236544573026</v>
      </c>
      <c r="AC21" s="202">
        <v>80.205820193995606</v>
      </c>
      <c r="AD21" s="202">
        <v>80.187795266650994</v>
      </c>
      <c r="AE21" s="202">
        <v>80.048009154296849</v>
      </c>
      <c r="AF21" s="202">
        <v>80.230083863263332</v>
      </c>
      <c r="AG21" s="202">
        <v>80.456226497967194</v>
      </c>
      <c r="AH21" s="202">
        <v>80.566370614898446</v>
      </c>
      <c r="AI21" s="202">
        <v>81.01532804855816</v>
      </c>
      <c r="AJ21" s="202">
        <v>81.304754362512114</v>
      </c>
      <c r="AK21" s="202">
        <v>81.762891410568727</v>
      </c>
      <c r="AL21" s="202">
        <v>81.785735175919825</v>
      </c>
      <c r="AM21" s="202">
        <v>81.837327841197336</v>
      </c>
      <c r="AN21" s="202">
        <v>81.391288319606147</v>
      </c>
      <c r="AO21" s="202">
        <v>81.339451163218399</v>
      </c>
      <c r="AP21" s="202">
        <v>81.187214927317115</v>
      </c>
      <c r="AQ21" s="202">
        <v>80.912030258570127</v>
      </c>
      <c r="AR21" s="202">
        <v>81.373597169037382</v>
      </c>
      <c r="AS21" s="202">
        <v>81.139098217604143</v>
      </c>
      <c r="AT21" s="202">
        <v>83.075764093164054</v>
      </c>
      <c r="AU21" s="202">
        <v>83.316269409968186</v>
      </c>
      <c r="AV21" s="202">
        <v>83.620453868220096</v>
      </c>
      <c r="AW21" s="202">
        <v>83.657625175350731</v>
      </c>
      <c r="AX21" s="202">
        <v>84.18820224638776</v>
      </c>
      <c r="AY21" s="202">
        <v>84.57998289765527</v>
      </c>
      <c r="AZ21" s="202">
        <v>83.793597701391718</v>
      </c>
      <c r="BA21" s="202">
        <v>84.100559661199497</v>
      </c>
      <c r="BB21" s="202">
        <v>84.073774755988453</v>
      </c>
      <c r="BC21" s="202">
        <v>84.498436631869069</v>
      </c>
      <c r="BD21" s="202">
        <v>84.776790334448194</v>
      </c>
      <c r="BE21" s="202">
        <v>85.164735578361757</v>
      </c>
      <c r="BF21" s="202">
        <v>85.675226462811068</v>
      </c>
      <c r="BG21" s="202">
        <v>85.554257213641023</v>
      </c>
      <c r="BH21" s="202">
        <v>86.08291444849155</v>
      </c>
      <c r="BI21" s="202">
        <v>86.11013598096558</v>
      </c>
      <c r="BJ21" s="202">
        <v>85.939246142838982</v>
      </c>
      <c r="BK21" s="202">
        <v>86.260315022891774</v>
      </c>
      <c r="BL21" s="202">
        <v>85.808016776532668</v>
      </c>
      <c r="BM21" s="202">
        <v>85.744234364852815</v>
      </c>
      <c r="BN21" s="202">
        <v>85.763689272570062</v>
      </c>
      <c r="BO21" s="202">
        <v>85.942993374666102</v>
      </c>
      <c r="BP21" s="202">
        <v>86.656846519292884</v>
      </c>
      <c r="BQ21" s="202">
        <v>86.28598725504456</v>
      </c>
      <c r="BR21" s="202">
        <v>86.278908702838848</v>
      </c>
      <c r="BS21" s="202">
        <v>86.820938939916601</v>
      </c>
      <c r="BT21" s="202">
        <v>86.701115252590682</v>
      </c>
      <c r="BU21" s="202">
        <v>86.528099579365573</v>
      </c>
      <c r="BV21" s="202">
        <v>86.28760150499005</v>
      </c>
      <c r="BW21" s="202">
        <v>86.414183895049575</v>
      </c>
      <c r="BX21" s="202">
        <v>86.184432350046976</v>
      </c>
      <c r="BY21" s="202">
        <v>86.235615070485807</v>
      </c>
      <c r="BZ21" s="202">
        <v>86.377288720214409</v>
      </c>
      <c r="CA21" s="202">
        <v>86.726659009325786</v>
      </c>
      <c r="CB21" s="202">
        <v>86.669599610218768</v>
      </c>
      <c r="CC21" s="202">
        <v>86.63522503606552</v>
      </c>
      <c r="CD21" s="202">
        <v>86.722504704471689</v>
      </c>
      <c r="CE21" s="202">
        <v>87.219884153289925</v>
      </c>
      <c r="CF21" s="202">
        <v>87.490692723378316</v>
      </c>
      <c r="CG21" s="202">
        <v>87.149242588677083</v>
      </c>
      <c r="CH21" s="202">
        <v>87.003865416513392</v>
      </c>
      <c r="CI21" s="202">
        <v>86.949875291775754</v>
      </c>
      <c r="CJ21" s="202">
        <v>86.704818705185602</v>
      </c>
      <c r="CK21" s="202">
        <v>86.643131056810276</v>
      </c>
      <c r="CL21" s="202">
        <v>86.64848485204385</v>
      </c>
      <c r="CM21" s="202">
        <v>86.848833699211099</v>
      </c>
      <c r="CN21" s="202">
        <v>86.940754578815742</v>
      </c>
      <c r="CO21" s="202">
        <v>86.883453477660879</v>
      </c>
      <c r="CP21" s="202">
        <v>87.124629023561369</v>
      </c>
      <c r="CQ21" s="202">
        <v>87.331718836613391</v>
      </c>
      <c r="CR21" s="202">
        <v>87.811931490810849</v>
      </c>
      <c r="CS21" s="202">
        <v>88.435016504625764</v>
      </c>
      <c r="CT21" s="202">
        <v>88.393255549778544</v>
      </c>
      <c r="CU21" s="202">
        <v>88.654631551446855</v>
      </c>
      <c r="CV21" s="202">
        <v>88.385886554180885</v>
      </c>
      <c r="CW21" s="202">
        <v>88.604908238770719</v>
      </c>
      <c r="CX21" s="202">
        <v>88.965247346826587</v>
      </c>
      <c r="CY21" s="202">
        <v>89.300758919770402</v>
      </c>
      <c r="CZ21" s="202">
        <v>89.23306334231475</v>
      </c>
      <c r="DA21" s="202">
        <v>89.274716012807644</v>
      </c>
      <c r="DB21" s="202">
        <v>89.658984412028104</v>
      </c>
      <c r="DC21" s="202">
        <v>89.842123776556576</v>
      </c>
      <c r="DD21" s="202">
        <v>89.999872024733619</v>
      </c>
      <c r="DE21" s="202">
        <v>90.3879360335646</v>
      </c>
      <c r="DF21" s="202">
        <v>90.716532327186385</v>
      </c>
      <c r="DG21" s="202">
        <v>90.864271374650897</v>
      </c>
      <c r="DH21" s="202">
        <v>90.902286776559251</v>
      </c>
      <c r="DI21" s="202">
        <v>91.061449288391557</v>
      </c>
      <c r="DJ21" s="202">
        <v>91.464799155074545</v>
      </c>
      <c r="DK21" s="202">
        <v>91.950744614594015</v>
      </c>
      <c r="DL21" s="202">
        <v>91.528586486455353</v>
      </c>
      <c r="DM21" s="202">
        <v>91.539530167308357</v>
      </c>
      <c r="DN21" s="202">
        <v>92.127822567964515</v>
      </c>
      <c r="DO21" s="202">
        <v>92.343028546819184</v>
      </c>
      <c r="DP21" s="202">
        <v>92.313444150148399</v>
      </c>
      <c r="DQ21" s="202">
        <v>92.810400211478282</v>
      </c>
      <c r="DR21" s="202">
        <v>92.696015318788113</v>
      </c>
      <c r="DS21" s="202">
        <v>92.865462642484999</v>
      </c>
      <c r="DT21" s="202">
        <v>92.688447195208255</v>
      </c>
      <c r="DU21" s="202">
        <v>92.764265697785305</v>
      </c>
      <c r="DV21" s="202">
        <v>93.050718176853422</v>
      </c>
      <c r="DW21" s="202">
        <v>93.400044397870175</v>
      </c>
      <c r="DX21" s="202">
        <v>93.697891995659973</v>
      </c>
      <c r="DY21" s="202">
        <v>93.970380689329204</v>
      </c>
      <c r="DZ21" s="202">
        <v>94.651869154450296</v>
      </c>
      <c r="EA21" s="202">
        <v>94.515212017134061</v>
      </c>
      <c r="EB21" s="202">
        <v>94.572424798170687</v>
      </c>
      <c r="EC21" s="202">
        <v>94.529127695016129</v>
      </c>
      <c r="ED21" s="202">
        <v>94.519832543526988</v>
      </c>
      <c r="EE21" s="202">
        <v>95.897530366219172</v>
      </c>
      <c r="EF21" s="202">
        <v>96.416192411900482</v>
      </c>
      <c r="EG21" s="202">
        <v>96.766365465999172</v>
      </c>
      <c r="EH21" s="202">
        <v>97.342174993095711</v>
      </c>
      <c r="EI21" s="202">
        <v>98.538549065946697</v>
      </c>
      <c r="EJ21" s="202">
        <v>99.13143127405462</v>
      </c>
      <c r="EK21" s="202">
        <v>99.451638124933254</v>
      </c>
      <c r="EL21" s="202">
        <v>100.45611386869847</v>
      </c>
      <c r="EM21" s="202">
        <v>101.28475526606709</v>
      </c>
      <c r="EN21" s="202">
        <v>101.99009481172686</v>
      </c>
      <c r="EO21" s="202">
        <v>102.30357116469887</v>
      </c>
      <c r="EP21" s="202">
        <v>102.99170358134737</v>
      </c>
      <c r="EQ21" s="202">
        <v>103.32740997153142</v>
      </c>
      <c r="ER21" s="204">
        <v>103.9</v>
      </c>
      <c r="ES21" s="204">
        <v>105.4</v>
      </c>
      <c r="ET21" s="204">
        <v>106.5</v>
      </c>
      <c r="EU21" s="204">
        <v>107.3</v>
      </c>
      <c r="EV21" s="204">
        <v>107.8</v>
      </c>
      <c r="EW21" s="204">
        <v>108.5</v>
      </c>
      <c r="EX21" s="204">
        <v>108.9</v>
      </c>
      <c r="EY21" s="204">
        <v>109.6</v>
      </c>
      <c r="EZ21" s="204">
        <v>109.8</v>
      </c>
      <c r="FA21" s="204">
        <v>110</v>
      </c>
      <c r="FB21" s="204">
        <v>110</v>
      </c>
      <c r="FC21" s="204">
        <v>110.1</v>
      </c>
      <c r="FD21" s="204">
        <v>109.5</v>
      </c>
      <c r="FE21" s="204">
        <v>110.9</v>
      </c>
      <c r="FF21" s="204">
        <v>111.6</v>
      </c>
      <c r="FG21" s="204">
        <v>112.3</v>
      </c>
      <c r="FH21" s="204">
        <v>112.7</v>
      </c>
      <c r="FI21" s="204">
        <v>113.3</v>
      </c>
      <c r="FJ21" s="204">
        <v>113.3</v>
      </c>
      <c r="FK21" s="204">
        <v>113.9</v>
      </c>
      <c r="FL21" s="204">
        <v>114.7</v>
      </c>
      <c r="FM21" s="204">
        <v>115</v>
      </c>
      <c r="FN21" s="204">
        <v>115</v>
      </c>
      <c r="FO21" s="204">
        <v>115.9</v>
      </c>
      <c r="FP21" s="204">
        <v>115.6</v>
      </c>
      <c r="FQ21" s="204">
        <v>115.8</v>
      </c>
      <c r="FR21" s="204">
        <v>116.2</v>
      </c>
    </row>
    <row r="22" spans="1:243" s="206" customFormat="1" ht="10.199999999999999" x14ac:dyDescent="0.2">
      <c r="B22" s="206" t="s">
        <v>4</v>
      </c>
      <c r="P22" s="207">
        <v>82.675593464098156</v>
      </c>
      <c r="Q22" s="207">
        <v>82.938720713932966</v>
      </c>
      <c r="R22" s="207">
        <v>83.34707622426744</v>
      </c>
      <c r="S22" s="207">
        <v>83.366530284365325</v>
      </c>
      <c r="T22" s="207">
        <v>83.502698136602717</v>
      </c>
      <c r="U22" s="207">
        <v>83.653522708710724</v>
      </c>
      <c r="V22" s="207">
        <v>83.492753572231734</v>
      </c>
      <c r="W22" s="207">
        <v>83.599757168405134</v>
      </c>
      <c r="X22" s="207">
        <v>83.470677986663247</v>
      </c>
      <c r="Y22" s="207">
        <v>83.53122448790694</v>
      </c>
      <c r="Z22" s="207">
        <v>83.326143539346191</v>
      </c>
      <c r="AA22" s="207">
        <v>84.738134421672839</v>
      </c>
      <c r="AB22" s="207">
        <v>84.568791009066601</v>
      </c>
      <c r="AC22" s="207">
        <v>84.709369476963914</v>
      </c>
      <c r="AD22" s="207">
        <v>84.796509741556648</v>
      </c>
      <c r="AE22" s="207">
        <v>85.022390657057585</v>
      </c>
      <c r="AF22" s="207">
        <v>84.942453003807344</v>
      </c>
      <c r="AG22" s="207">
        <v>84.799868546338857</v>
      </c>
      <c r="AH22" s="207">
        <v>84.844855504142942</v>
      </c>
      <c r="AI22" s="207">
        <v>84.880457239270612</v>
      </c>
      <c r="AJ22" s="207">
        <v>84.98122379094977</v>
      </c>
      <c r="AK22" s="207">
        <v>85.204252420380996</v>
      </c>
      <c r="AL22" s="207">
        <v>85.134711138647049</v>
      </c>
      <c r="AM22" s="207">
        <v>85.600362889954141</v>
      </c>
      <c r="AN22" s="207">
        <v>85.450013859816892</v>
      </c>
      <c r="AO22" s="207">
        <v>85.525703260459281</v>
      </c>
      <c r="AP22" s="207">
        <v>85.374259105071488</v>
      </c>
      <c r="AQ22" s="207">
        <v>85.402125003309052</v>
      </c>
      <c r="AR22" s="207">
        <v>85.573688722627423</v>
      </c>
      <c r="AS22" s="207">
        <v>85.599865016299617</v>
      </c>
      <c r="AT22" s="207">
        <v>86.758554731147797</v>
      </c>
      <c r="AU22" s="207">
        <v>86.707889758786862</v>
      </c>
      <c r="AV22" s="207">
        <v>86.610645160887913</v>
      </c>
      <c r="AW22" s="207">
        <v>86.312861113874376</v>
      </c>
      <c r="AX22" s="207">
        <v>86.530820844631364</v>
      </c>
      <c r="AY22" s="207">
        <v>86.733324328421944</v>
      </c>
      <c r="AZ22" s="207">
        <v>86.445746310033527</v>
      </c>
      <c r="BA22" s="207">
        <v>86.591507208954937</v>
      </c>
      <c r="BB22" s="207">
        <v>86.549928736849481</v>
      </c>
      <c r="BC22" s="207">
        <v>86.734469443808635</v>
      </c>
      <c r="BD22" s="207">
        <v>86.960839752679021</v>
      </c>
      <c r="BE22" s="207">
        <v>87.036578643380736</v>
      </c>
      <c r="BF22" s="207">
        <v>86.72431052691546</v>
      </c>
      <c r="BG22" s="207">
        <v>86.823627729157877</v>
      </c>
      <c r="BH22" s="207">
        <v>86.755857707473226</v>
      </c>
      <c r="BI22" s="207">
        <v>86.803873169917139</v>
      </c>
      <c r="BJ22" s="207">
        <v>86.989725577540455</v>
      </c>
      <c r="BK22" s="207">
        <v>86.86701686933273</v>
      </c>
      <c r="BL22" s="207">
        <v>86.438505329872314</v>
      </c>
      <c r="BM22" s="207">
        <v>86.354186492067583</v>
      </c>
      <c r="BN22" s="207">
        <v>86.552481771160771</v>
      </c>
      <c r="BO22" s="207">
        <v>86.207065795809072</v>
      </c>
      <c r="BP22" s="207">
        <v>86.270880810924311</v>
      </c>
      <c r="BQ22" s="207">
        <v>86.28860696557615</v>
      </c>
      <c r="BR22" s="207">
        <v>86.391428280965215</v>
      </c>
      <c r="BS22" s="207">
        <v>86.007372278318016</v>
      </c>
      <c r="BT22" s="207">
        <v>85.933095239811891</v>
      </c>
      <c r="BU22" s="207">
        <v>85.987467886393205</v>
      </c>
      <c r="BV22" s="207">
        <v>86.022799552206152</v>
      </c>
      <c r="BW22" s="207">
        <v>86.594965466883323</v>
      </c>
      <c r="BX22" s="207">
        <v>86.158186550100012</v>
      </c>
      <c r="BY22" s="207">
        <v>86.204362767948354</v>
      </c>
      <c r="BZ22" s="207">
        <v>86.053541387324088</v>
      </c>
      <c r="CA22" s="207">
        <v>86.364631704213593</v>
      </c>
      <c r="CB22" s="207">
        <v>86.353394972390547</v>
      </c>
      <c r="CC22" s="207">
        <v>86.531533300044842</v>
      </c>
      <c r="CD22" s="207">
        <v>86.621804360081839</v>
      </c>
      <c r="CE22" s="207">
        <v>86.943958701075303</v>
      </c>
      <c r="CF22" s="207">
        <v>86.839486273963161</v>
      </c>
      <c r="CG22" s="207">
        <v>87.114468749021455</v>
      </c>
      <c r="CH22" s="207">
        <v>86.958170130407495</v>
      </c>
      <c r="CI22" s="207">
        <v>87.232568667510577</v>
      </c>
      <c r="CJ22" s="207">
        <v>87.406282898333671</v>
      </c>
      <c r="CK22" s="207">
        <v>87.370889479916116</v>
      </c>
      <c r="CL22" s="207">
        <v>87.495297082175426</v>
      </c>
      <c r="CM22" s="207">
        <v>87.878426074800757</v>
      </c>
      <c r="CN22" s="207">
        <v>88.238547143144615</v>
      </c>
      <c r="CO22" s="207">
        <v>88.328256383066076</v>
      </c>
      <c r="CP22" s="207">
        <v>88.50625932440623</v>
      </c>
      <c r="CQ22" s="207">
        <v>88.645273451976976</v>
      </c>
      <c r="CR22" s="207">
        <v>88.924011715639296</v>
      </c>
      <c r="CS22" s="207">
        <v>88.982304394259586</v>
      </c>
      <c r="CT22" s="207">
        <v>89.126541727370594</v>
      </c>
      <c r="CU22" s="207">
        <v>89.315936214650634</v>
      </c>
      <c r="CV22" s="207">
        <v>89.462906985002306</v>
      </c>
      <c r="CW22" s="207">
        <v>89.614671674243922</v>
      </c>
      <c r="CX22" s="207">
        <v>90.098877000922599</v>
      </c>
      <c r="CY22" s="207">
        <v>90.210430963016023</v>
      </c>
      <c r="CZ22" s="207">
        <v>90.258233820471034</v>
      </c>
      <c r="DA22" s="207">
        <v>90.310240285454157</v>
      </c>
      <c r="DB22" s="207">
        <v>90.146283976274105</v>
      </c>
      <c r="DC22" s="207">
        <v>90.29589081889263</v>
      </c>
      <c r="DD22" s="207">
        <v>90.375140408562174</v>
      </c>
      <c r="DE22" s="207">
        <v>90.664671226934274</v>
      </c>
      <c r="DF22" s="207">
        <v>90.815142515922616</v>
      </c>
      <c r="DG22" s="207">
        <v>91.083200629652367</v>
      </c>
      <c r="DH22" s="207">
        <v>91.070585348436211</v>
      </c>
      <c r="DI22" s="207">
        <v>91.212598318526773</v>
      </c>
      <c r="DJ22" s="207">
        <v>91.405903210052969</v>
      </c>
      <c r="DK22" s="207">
        <v>92.115687058557768</v>
      </c>
      <c r="DL22" s="207">
        <v>92.160773323495121</v>
      </c>
      <c r="DM22" s="207">
        <v>92.597958146613053</v>
      </c>
      <c r="DN22" s="207">
        <v>92.465323553800673</v>
      </c>
      <c r="DO22" s="207">
        <v>92.640699335500855</v>
      </c>
      <c r="DP22" s="207">
        <v>92.904297603566846</v>
      </c>
      <c r="DQ22" s="207">
        <v>93.236762542170126</v>
      </c>
      <c r="DR22" s="207">
        <v>93.370283375358696</v>
      </c>
      <c r="DS22" s="207">
        <v>93.727756016489636</v>
      </c>
      <c r="DT22" s="207">
        <v>93.995024417571187</v>
      </c>
      <c r="DU22" s="207">
        <v>94.170615052352332</v>
      </c>
      <c r="DV22" s="207">
        <v>94.785764834690625</v>
      </c>
      <c r="DW22" s="207">
        <v>94.960860274539215</v>
      </c>
      <c r="DX22" s="207">
        <v>94.964912639632132</v>
      </c>
      <c r="DY22" s="207">
        <v>95.112222856266285</v>
      </c>
      <c r="DZ22" s="207">
        <v>95.312265299762487</v>
      </c>
      <c r="EA22" s="207">
        <v>95.336259838974513</v>
      </c>
      <c r="EB22" s="207">
        <v>95.477516055431053</v>
      </c>
      <c r="EC22" s="207">
        <v>95.59566283592973</v>
      </c>
      <c r="ED22" s="207">
        <v>96.160654539901969</v>
      </c>
      <c r="EE22" s="207">
        <v>96.788693772583088</v>
      </c>
      <c r="EF22" s="207">
        <v>96.994877485601009</v>
      </c>
      <c r="EG22" s="207">
        <v>97.629639960203249</v>
      </c>
      <c r="EH22" s="207">
        <v>98.156259725724368</v>
      </c>
      <c r="EI22" s="207">
        <v>99.021636007192484</v>
      </c>
      <c r="EJ22" s="207">
        <v>99.733317120862822</v>
      </c>
      <c r="EK22" s="207">
        <v>100.22401546950088</v>
      </c>
      <c r="EL22" s="207">
        <v>99.964722322910802</v>
      </c>
      <c r="EM22" s="207">
        <v>100.82567466952064</v>
      </c>
      <c r="EN22" s="207">
        <v>101.28035830016157</v>
      </c>
      <c r="EO22" s="207">
        <v>101.70026530209094</v>
      </c>
      <c r="EP22" s="207">
        <v>101.87209462897738</v>
      </c>
      <c r="EQ22" s="207">
        <v>102.59713900725376</v>
      </c>
      <c r="ER22" s="206">
        <v>102.6</v>
      </c>
      <c r="ES22" s="206">
        <v>104.2</v>
      </c>
      <c r="ET22" s="206">
        <v>104.5</v>
      </c>
      <c r="EU22" s="206">
        <v>105.1</v>
      </c>
      <c r="EV22" s="206">
        <v>105.5</v>
      </c>
      <c r="EW22" s="207">
        <v>106</v>
      </c>
      <c r="EX22" s="206">
        <v>106.1</v>
      </c>
      <c r="EY22" s="206">
        <v>106.3</v>
      </c>
      <c r="EZ22" s="206">
        <v>106.5</v>
      </c>
      <c r="FA22" s="206">
        <v>106.6</v>
      </c>
      <c r="FB22" s="206">
        <v>106.7</v>
      </c>
      <c r="FC22" s="206">
        <v>106.9</v>
      </c>
      <c r="FD22" s="206">
        <v>106.9</v>
      </c>
      <c r="FE22" s="206">
        <v>108.4</v>
      </c>
      <c r="FF22" s="206">
        <v>108.8</v>
      </c>
      <c r="FG22" s="206">
        <v>109.4</v>
      </c>
      <c r="FH22" s="206">
        <v>109.6</v>
      </c>
      <c r="FI22" s="206">
        <v>109.6</v>
      </c>
      <c r="FJ22" s="206">
        <v>109.9</v>
      </c>
      <c r="FK22" s="206">
        <v>110</v>
      </c>
      <c r="FL22" s="206">
        <v>110.9</v>
      </c>
      <c r="FM22" s="206">
        <v>111.1</v>
      </c>
      <c r="FN22" s="206">
        <v>111.4</v>
      </c>
      <c r="FO22" s="206">
        <v>111.7</v>
      </c>
      <c r="FP22" s="206">
        <v>111.6</v>
      </c>
      <c r="FQ22" s="206">
        <v>111.7</v>
      </c>
      <c r="FR22" s="206">
        <v>111.8</v>
      </c>
    </row>
    <row r="23" spans="1:243" s="74" customFormat="1" ht="10.199999999999999" x14ac:dyDescent="0.2"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  <c r="EB23" s="76"/>
      <c r="EC23" s="76"/>
      <c r="ED23" s="76"/>
      <c r="EE23" s="76"/>
      <c r="EF23" s="76"/>
      <c r="EG23" s="76"/>
      <c r="EH23" s="76"/>
      <c r="EI23" s="76"/>
      <c r="EJ23" s="76"/>
      <c r="EK23" s="76"/>
      <c r="EL23" s="76"/>
      <c r="EM23" s="76"/>
      <c r="EN23" s="76"/>
      <c r="EO23" s="76"/>
      <c r="EP23" s="76"/>
      <c r="EQ23" s="76"/>
    </row>
    <row r="24" spans="1:243" s="3" customFormat="1" ht="10.199999999999999" x14ac:dyDescent="0.2">
      <c r="B24" s="3" t="s">
        <v>104</v>
      </c>
      <c r="P24" s="80">
        <v>94.520934109073892</v>
      </c>
      <c r="Q24" s="80">
        <v>94.392554208569976</v>
      </c>
      <c r="R24" s="80">
        <v>94.313265154028912</v>
      </c>
      <c r="S24" s="80">
        <v>94.306282440696393</v>
      </c>
      <c r="T24" s="80">
        <v>94.307678029587436</v>
      </c>
      <c r="U24" s="80">
        <v>96.91827305161614</v>
      </c>
      <c r="V24" s="80">
        <v>96.586734534846229</v>
      </c>
      <c r="W24" s="80">
        <v>96.25343551137513</v>
      </c>
      <c r="X24" s="80">
        <v>96.514551199866347</v>
      </c>
      <c r="Y24" s="80">
        <v>97.649802998250024</v>
      </c>
      <c r="Z24" s="80">
        <v>97.331258420536699</v>
      </c>
      <c r="AA24" s="80">
        <v>97.590289901659389</v>
      </c>
      <c r="AB24" s="80">
        <v>97.436998568048949</v>
      </c>
      <c r="AC24" s="80">
        <v>97.140562569974435</v>
      </c>
      <c r="AD24" s="80">
        <v>97.541917400680191</v>
      </c>
      <c r="AE24" s="80">
        <v>97.735862548481819</v>
      </c>
      <c r="AF24" s="80">
        <v>97.666132392609327</v>
      </c>
      <c r="AG24" s="80">
        <v>97.892897160226738</v>
      </c>
      <c r="AH24" s="80">
        <v>97.412025233327</v>
      </c>
      <c r="AI24" s="80">
        <v>97.4264647453885</v>
      </c>
      <c r="AJ24" s="80">
        <v>97.759078667536613</v>
      </c>
      <c r="AK24" s="80">
        <v>97.13768479098033</v>
      </c>
      <c r="AL24" s="80">
        <v>97.122194730604448</v>
      </c>
      <c r="AM24" s="80">
        <v>97.098255071819551</v>
      </c>
      <c r="AN24" s="80">
        <v>97.298876692150969</v>
      </c>
      <c r="AO24" s="80">
        <v>97.094349531095915</v>
      </c>
      <c r="AP24" s="80">
        <v>97.135941667952338</v>
      </c>
      <c r="AQ24" s="80">
        <v>97.008563819382488</v>
      </c>
      <c r="AR24" s="80">
        <v>97.074901412635455</v>
      </c>
      <c r="AS24" s="80">
        <v>97.290789698421165</v>
      </c>
      <c r="AT24" s="80">
        <v>102.33266711826759</v>
      </c>
      <c r="AU24" s="80">
        <v>102.21023752647456</v>
      </c>
      <c r="AV24" s="80">
        <v>102.23495200924289</v>
      </c>
      <c r="AW24" s="80">
        <v>102.33409299514084</v>
      </c>
      <c r="AX24" s="80">
        <v>102.45615814970319</v>
      </c>
      <c r="AY24" s="80">
        <v>102.2692643198787</v>
      </c>
      <c r="AZ24" s="80">
        <v>102.3237653784055</v>
      </c>
      <c r="BA24" s="80">
        <v>102.26470327911527</v>
      </c>
      <c r="BB24" s="80">
        <v>102.28856791564623</v>
      </c>
      <c r="BC24" s="80">
        <v>102.3895720507025</v>
      </c>
      <c r="BD24" s="80">
        <v>102.14683566768733</v>
      </c>
      <c r="BE24" s="80">
        <v>102.3764254597387</v>
      </c>
      <c r="BF24" s="80">
        <v>102.22045575418836</v>
      </c>
      <c r="BG24" s="80">
        <v>102.3054617297786</v>
      </c>
      <c r="BH24" s="80">
        <v>102.29435129223083</v>
      </c>
      <c r="BI24" s="80">
        <v>102.40161682862689</v>
      </c>
      <c r="BJ24" s="80">
        <v>102.62229094076001</v>
      </c>
      <c r="BK24" s="80">
        <v>102.39011083790659</v>
      </c>
      <c r="BL24" s="80">
        <v>101.41522117695573</v>
      </c>
      <c r="BM24" s="80">
        <v>101.5198974127367</v>
      </c>
      <c r="BN24" s="80">
        <v>101.36389327967288</v>
      </c>
      <c r="BO24" s="80">
        <v>101.3777909393267</v>
      </c>
      <c r="BP24" s="80">
        <v>101.31093752875428</v>
      </c>
      <c r="BQ24" s="80">
        <v>101.29679614371939</v>
      </c>
      <c r="BR24" s="80">
        <v>101.3866199781456</v>
      </c>
      <c r="BS24" s="80">
        <v>101.27635175227431</v>
      </c>
      <c r="BT24" s="80">
        <v>101.44125240565955</v>
      </c>
      <c r="BU24" s="80">
        <v>101.43696218118221</v>
      </c>
      <c r="BV24" s="80">
        <v>101.41082634801646</v>
      </c>
      <c r="BW24" s="80">
        <v>101.64628816103482</v>
      </c>
      <c r="BX24" s="80">
        <v>101.60593553922905</v>
      </c>
      <c r="BY24" s="80">
        <v>101.57361783207325</v>
      </c>
      <c r="BZ24" s="80">
        <v>101.43262914376223</v>
      </c>
      <c r="CA24" s="80">
        <v>101.4711309009917</v>
      </c>
      <c r="CB24" s="80">
        <v>101.439870822171</v>
      </c>
      <c r="CC24" s="80">
        <v>101.56261696979821</v>
      </c>
      <c r="CD24" s="80">
        <v>101.58576618737703</v>
      </c>
      <c r="CE24" s="80">
        <v>101.57639176330844</v>
      </c>
      <c r="CF24" s="80">
        <v>101.5825444514383</v>
      </c>
      <c r="CG24" s="80">
        <v>101.55207854873228</v>
      </c>
      <c r="CH24" s="80">
        <v>101.57511398215571</v>
      </c>
      <c r="CI24" s="80">
        <v>101.57495941240504</v>
      </c>
      <c r="CJ24" s="80">
        <v>101.59884552592179</v>
      </c>
      <c r="CK24" s="80">
        <v>101.55170600102601</v>
      </c>
      <c r="CL24" s="80">
        <v>101.54620668980634</v>
      </c>
      <c r="CM24" s="80">
        <v>101.72994486682128</v>
      </c>
      <c r="CN24" s="80">
        <v>101.79786771855996</v>
      </c>
      <c r="CO24" s="80">
        <v>101.79836515077841</v>
      </c>
      <c r="CP24" s="80">
        <v>101.82113760971005</v>
      </c>
      <c r="CQ24" s="80">
        <v>101.82691565461373</v>
      </c>
      <c r="CR24" s="80">
        <v>101.82852058254207</v>
      </c>
      <c r="CS24" s="80">
        <v>101.91431158265037</v>
      </c>
      <c r="CT24" s="80">
        <v>101.91646866448781</v>
      </c>
      <c r="CU24" s="80">
        <v>101.91776208839812</v>
      </c>
      <c r="CV24" s="80">
        <v>101.93858588521711</v>
      </c>
      <c r="CW24" s="80">
        <v>100.28097726184593</v>
      </c>
      <c r="CX24" s="80">
        <v>100.2610816218708</v>
      </c>
      <c r="CY24" s="80">
        <v>98.804314226835714</v>
      </c>
      <c r="CZ24" s="80">
        <v>98.757633367967514</v>
      </c>
      <c r="DA24" s="80">
        <v>98.743030208064326</v>
      </c>
      <c r="DB24" s="80">
        <v>98.754394792367236</v>
      </c>
      <c r="DC24" s="80">
        <v>98.751762146975267</v>
      </c>
      <c r="DD24" s="80">
        <v>98.766203594022869</v>
      </c>
      <c r="DE24" s="80">
        <v>98.766155376590447</v>
      </c>
      <c r="DF24" s="80">
        <v>98.750251101056136</v>
      </c>
      <c r="DG24" s="80">
        <v>98.792964325621242</v>
      </c>
      <c r="DH24" s="80">
        <v>98.792997068788793</v>
      </c>
      <c r="DI24" s="80">
        <v>98.828541410589992</v>
      </c>
      <c r="DJ24" s="80">
        <v>98.822496246573294</v>
      </c>
      <c r="DK24" s="80">
        <v>99.041834382566023</v>
      </c>
      <c r="DL24" s="80">
        <v>99.273072784420506</v>
      </c>
      <c r="DM24" s="80">
        <v>99.312833005863283</v>
      </c>
      <c r="DN24" s="80">
        <v>99.400224271354844</v>
      </c>
      <c r="DO24" s="80">
        <v>99.410267846974833</v>
      </c>
      <c r="DP24" s="80">
        <v>99.409897627074542</v>
      </c>
      <c r="DQ24" s="80">
        <v>99.457264166751528</v>
      </c>
      <c r="DR24" s="80">
        <v>99.404617998021749</v>
      </c>
      <c r="DS24" s="80">
        <v>99.399093901903797</v>
      </c>
      <c r="DT24" s="80">
        <v>99.408346323445855</v>
      </c>
      <c r="DU24" s="80">
        <v>99.409979711746516</v>
      </c>
      <c r="DV24" s="80">
        <v>99.406011263794454</v>
      </c>
      <c r="DW24" s="80">
        <v>99.40708789674521</v>
      </c>
      <c r="DX24" s="80">
        <v>99.392586080666973</v>
      </c>
      <c r="DY24" s="80">
        <v>99.393077014283719</v>
      </c>
      <c r="DZ24" s="80">
        <v>99.423530743058691</v>
      </c>
      <c r="EA24" s="80">
        <v>99.440415128330827</v>
      </c>
      <c r="EB24" s="80">
        <v>99.440415128330827</v>
      </c>
      <c r="EC24" s="80">
        <v>99.442708238589304</v>
      </c>
      <c r="ED24" s="80">
        <v>99.443246624749676</v>
      </c>
      <c r="EE24" s="80">
        <v>99.484664359929042</v>
      </c>
      <c r="EF24" s="80">
        <v>99.554506643965198</v>
      </c>
      <c r="EG24" s="80">
        <v>99.554821183042094</v>
      </c>
      <c r="EH24" s="80">
        <v>99.63348824850236</v>
      </c>
      <c r="EI24" s="80">
        <v>99.677414337609562</v>
      </c>
      <c r="EJ24" s="80">
        <v>99.741895783604107</v>
      </c>
      <c r="EK24" s="80">
        <v>99.762639101220287</v>
      </c>
      <c r="EL24" s="80">
        <v>99.752356418667972</v>
      </c>
      <c r="EM24" s="80">
        <v>99.781428315537397</v>
      </c>
      <c r="EN24" s="80">
        <v>99.778130574783702</v>
      </c>
      <c r="EO24" s="80">
        <v>100.85051539167479</v>
      </c>
      <c r="EP24" s="80">
        <v>100.91738226538128</v>
      </c>
      <c r="EQ24" s="80">
        <v>100.99542173601144</v>
      </c>
      <c r="ER24" s="3">
        <v>102</v>
      </c>
      <c r="ES24" s="3">
        <v>106.8</v>
      </c>
      <c r="ET24" s="3">
        <v>107.2</v>
      </c>
      <c r="EU24" s="3">
        <v>107.5</v>
      </c>
      <c r="EV24" s="3">
        <v>107.9</v>
      </c>
      <c r="EW24" s="3">
        <v>109.6</v>
      </c>
      <c r="EX24" s="3">
        <v>110.3</v>
      </c>
      <c r="EY24" s="3">
        <v>109.7</v>
      </c>
      <c r="EZ24" s="3">
        <v>109.6</v>
      </c>
      <c r="FA24" s="3">
        <v>109.7</v>
      </c>
      <c r="FB24" s="3">
        <v>110.5</v>
      </c>
      <c r="FC24" s="3">
        <v>110.3</v>
      </c>
      <c r="FD24" s="3">
        <v>109.8</v>
      </c>
      <c r="FE24" s="3">
        <v>114.8</v>
      </c>
      <c r="FF24" s="3">
        <v>114.7</v>
      </c>
      <c r="FG24" s="3">
        <v>116</v>
      </c>
      <c r="FH24" s="3">
        <v>117.5</v>
      </c>
      <c r="FI24" s="3">
        <v>117.7</v>
      </c>
      <c r="FJ24" s="3">
        <v>117.6</v>
      </c>
      <c r="FK24" s="3">
        <v>117.1</v>
      </c>
      <c r="FL24" s="3">
        <v>118.2</v>
      </c>
      <c r="FM24" s="3">
        <v>118.9</v>
      </c>
      <c r="FN24" s="3">
        <v>119.2</v>
      </c>
      <c r="FO24" s="3">
        <v>119.9</v>
      </c>
      <c r="FP24" s="3">
        <v>119.8</v>
      </c>
      <c r="FQ24" s="3">
        <v>119.6</v>
      </c>
      <c r="FR24" s="3">
        <v>120</v>
      </c>
    </row>
    <row r="25" spans="1:243" s="3" customFormat="1" ht="10.199999999999999" x14ac:dyDescent="0.2">
      <c r="B25" s="83" t="s">
        <v>105</v>
      </c>
      <c r="P25" s="80">
        <v>91.043947110042282</v>
      </c>
      <c r="Q25" s="80">
        <v>90.860736823476387</v>
      </c>
      <c r="R25" s="80">
        <v>90.746867148361602</v>
      </c>
      <c r="S25" s="80">
        <v>90.752564468843744</v>
      </c>
      <c r="T25" s="80">
        <v>90.759065090825942</v>
      </c>
      <c r="U25" s="80">
        <v>90.750446092038629</v>
      </c>
      <c r="V25" s="80">
        <v>90.480809266433113</v>
      </c>
      <c r="W25" s="80">
        <v>90.51196992150777</v>
      </c>
      <c r="X25" s="80">
        <v>90.89602352964917</v>
      </c>
      <c r="Y25" s="80">
        <v>91.180876090147549</v>
      </c>
      <c r="Z25" s="80">
        <v>90.714036722213692</v>
      </c>
      <c r="AA25" s="80">
        <v>91.087155439542215</v>
      </c>
      <c r="AB25" s="80">
        <v>91.126576112737339</v>
      </c>
      <c r="AC25" s="80">
        <v>90.71032145981556</v>
      </c>
      <c r="AD25" s="80">
        <v>91.293508319855903</v>
      </c>
      <c r="AE25" s="80">
        <v>91.413149633227974</v>
      </c>
      <c r="AF25" s="80">
        <v>91.312663244248043</v>
      </c>
      <c r="AG25" s="80">
        <v>91.233691524208425</v>
      </c>
      <c r="AH25" s="80">
        <v>91.106323956207518</v>
      </c>
      <c r="AI25" s="80">
        <v>91.090633327515988</v>
      </c>
      <c r="AJ25" s="80">
        <v>91.604672267915774</v>
      </c>
      <c r="AK25" s="80">
        <v>91.156627449807672</v>
      </c>
      <c r="AL25" s="80">
        <v>91.122958906396249</v>
      </c>
      <c r="AM25" s="80">
        <v>91.077113857399411</v>
      </c>
      <c r="AN25" s="80">
        <v>91.400263283066607</v>
      </c>
      <c r="AO25" s="80">
        <v>91.105524290939314</v>
      </c>
      <c r="AP25" s="80">
        <v>91.247788013054105</v>
      </c>
      <c r="AQ25" s="80">
        <v>90.983400447897708</v>
      </c>
      <c r="AR25" s="80">
        <v>91.07899789947659</v>
      </c>
      <c r="AS25" s="80">
        <v>91.39010912517557</v>
      </c>
      <c r="AT25" s="80">
        <v>98.850185022756833</v>
      </c>
      <c r="AU25" s="80">
        <v>98.676641415665799</v>
      </c>
      <c r="AV25" s="80">
        <v>98.722110928810906</v>
      </c>
      <c r="AW25" s="80">
        <v>98.921769457341625</v>
      </c>
      <c r="AX25" s="80">
        <v>99.100865754309368</v>
      </c>
      <c r="AY25" s="80">
        <v>98.840387568006349</v>
      </c>
      <c r="AZ25" s="80">
        <v>98.909603545680341</v>
      </c>
      <c r="BA25" s="80">
        <v>98.827315825531485</v>
      </c>
      <c r="BB25" s="80">
        <v>98.858287019481622</v>
      </c>
      <c r="BC25" s="80">
        <v>99.018562062734205</v>
      </c>
      <c r="BD25" s="80">
        <v>98.700872647979494</v>
      </c>
      <c r="BE25" s="80">
        <v>98.988592660972657</v>
      </c>
      <c r="BF25" s="80">
        <v>98.847900453504664</v>
      </c>
      <c r="BG25" s="80">
        <v>98.908488425285185</v>
      </c>
      <c r="BH25" s="80">
        <v>98.87193790537799</v>
      </c>
      <c r="BI25" s="80">
        <v>99.020999743343609</v>
      </c>
      <c r="BJ25" s="80">
        <v>99.346484676102008</v>
      </c>
      <c r="BK25" s="80">
        <v>99.015575272549313</v>
      </c>
      <c r="BL25" s="80">
        <v>97.512581532891616</v>
      </c>
      <c r="BM25" s="80">
        <v>97.661840570090163</v>
      </c>
      <c r="BN25" s="80">
        <v>97.439129206842082</v>
      </c>
      <c r="BO25" s="80">
        <v>97.438296716724153</v>
      </c>
      <c r="BP25" s="80">
        <v>97.349655967289792</v>
      </c>
      <c r="BQ25" s="80">
        <v>97.327806877264862</v>
      </c>
      <c r="BR25" s="80">
        <v>97.459670454334884</v>
      </c>
      <c r="BS25" s="80">
        <v>97.310091715826559</v>
      </c>
      <c r="BT25" s="80">
        <v>97.547638853315405</v>
      </c>
      <c r="BU25" s="80">
        <v>97.541752011716227</v>
      </c>
      <c r="BV25" s="80">
        <v>97.504067769727882</v>
      </c>
      <c r="BW25" s="80">
        <v>97.8408666229044</v>
      </c>
      <c r="BX25" s="80">
        <v>97.783105962810339</v>
      </c>
      <c r="BY25" s="80">
        <v>97.738633852081534</v>
      </c>
      <c r="BZ25" s="80">
        <v>97.543536006192994</v>
      </c>
      <c r="CA25" s="80">
        <v>97.599019928535654</v>
      </c>
      <c r="CB25" s="80">
        <v>97.55417072719807</v>
      </c>
      <c r="CC25" s="80">
        <v>97.730858221184079</v>
      </c>
      <c r="CD25" s="80">
        <v>97.764217981435564</v>
      </c>
      <c r="CE25" s="80">
        <v>97.757627203972561</v>
      </c>
      <c r="CF25" s="80">
        <v>97.765965207646573</v>
      </c>
      <c r="CG25" s="80">
        <v>97.848902799854329</v>
      </c>
      <c r="CH25" s="80">
        <v>97.88014169078258</v>
      </c>
      <c r="CI25" s="80">
        <v>97.879918944168921</v>
      </c>
      <c r="CJ25" s="80">
        <v>97.9173011152333</v>
      </c>
      <c r="CK25" s="80">
        <v>97.848433517675289</v>
      </c>
      <c r="CL25" s="80">
        <v>97.838414379208956</v>
      </c>
      <c r="CM25" s="80">
        <v>98.079773008790099</v>
      </c>
      <c r="CN25" s="80">
        <v>98.17970885406865</v>
      </c>
      <c r="CO25" s="80">
        <v>98.182250328944363</v>
      </c>
      <c r="CP25" s="80">
        <v>98.213539674189221</v>
      </c>
      <c r="CQ25" s="80">
        <v>98.222071209682085</v>
      </c>
      <c r="CR25" s="80">
        <v>98.224315117150965</v>
      </c>
      <c r="CS25" s="80">
        <v>98.350111796344564</v>
      </c>
      <c r="CT25" s="80">
        <v>98.351173759348853</v>
      </c>
      <c r="CU25" s="80">
        <v>98.353037680295856</v>
      </c>
      <c r="CV25" s="80">
        <v>98.333546007749902</v>
      </c>
      <c r="CW25" s="80">
        <v>98.338671560479895</v>
      </c>
      <c r="CX25" s="80">
        <v>98.332672417981925</v>
      </c>
      <c r="CY25" s="80">
        <v>98.3404868116762</v>
      </c>
      <c r="CZ25" s="80">
        <v>98.323266607621363</v>
      </c>
      <c r="DA25" s="80">
        <v>98.309653273005878</v>
      </c>
      <c r="DB25" s="80">
        <v>98.326127115177769</v>
      </c>
      <c r="DC25" s="80">
        <v>98.322333275545603</v>
      </c>
      <c r="DD25" s="80">
        <v>98.343161324766811</v>
      </c>
      <c r="DE25" s="80">
        <v>98.337573078316083</v>
      </c>
      <c r="DF25" s="80">
        <v>98.312513536155379</v>
      </c>
      <c r="DG25" s="80">
        <v>98.365275186768642</v>
      </c>
      <c r="DH25" s="80">
        <v>98.361615540126195</v>
      </c>
      <c r="DI25" s="80">
        <v>98.412763310320685</v>
      </c>
      <c r="DJ25" s="80">
        <v>98.404051775185977</v>
      </c>
      <c r="DK25" s="80">
        <v>98.693456123947229</v>
      </c>
      <c r="DL25" s="80">
        <v>99.067998317417548</v>
      </c>
      <c r="DM25" s="80">
        <v>99.123398509512555</v>
      </c>
      <c r="DN25" s="80">
        <v>99.190685340808102</v>
      </c>
      <c r="DO25" s="80">
        <v>99.185182724589879</v>
      </c>
      <c r="DP25" s="80">
        <v>99.184872117677529</v>
      </c>
      <c r="DQ25" s="80">
        <v>99.253139623520966</v>
      </c>
      <c r="DR25" s="80">
        <v>99.177191635368132</v>
      </c>
      <c r="DS25" s="80">
        <v>99.169010183697551</v>
      </c>
      <c r="DT25" s="80">
        <v>99.182300852625517</v>
      </c>
      <c r="DU25" s="80">
        <v>99.184654687778774</v>
      </c>
      <c r="DV25" s="80">
        <v>99.179074031329506</v>
      </c>
      <c r="DW25" s="80">
        <v>99.180557412545809</v>
      </c>
      <c r="DX25" s="80">
        <v>99.159659206982923</v>
      </c>
      <c r="DY25" s="80">
        <v>99.161809075383985</v>
      </c>
      <c r="DZ25" s="80">
        <v>99.204746719904236</v>
      </c>
      <c r="EA25" s="80">
        <v>99.229529135340215</v>
      </c>
      <c r="EB25" s="80">
        <v>99.229529135340215</v>
      </c>
      <c r="EC25" s="80">
        <v>99.232743529594501</v>
      </c>
      <c r="ED25" s="80">
        <v>99.233158785414375</v>
      </c>
      <c r="EE25" s="80">
        <v>99.293530249337394</v>
      </c>
      <c r="EF25" s="80">
        <v>99.394830804977218</v>
      </c>
      <c r="EG25" s="80">
        <v>99.395370318823808</v>
      </c>
      <c r="EH25" s="80">
        <v>99.508606094302138</v>
      </c>
      <c r="EI25" s="80">
        <v>99.581749737425</v>
      </c>
      <c r="EJ25" s="80">
        <v>99.681100245073324</v>
      </c>
      <c r="EK25" s="80">
        <v>99.695650570493356</v>
      </c>
      <c r="EL25" s="80">
        <v>99.690014542856275</v>
      </c>
      <c r="EM25" s="80">
        <v>99.713145638854215</v>
      </c>
      <c r="EN25" s="80">
        <v>99.71477330557812</v>
      </c>
      <c r="EO25" s="80">
        <v>101.16151648026528</v>
      </c>
      <c r="EP25" s="80">
        <v>101.16759559971585</v>
      </c>
      <c r="EQ25" s="80">
        <v>101.29564666163529</v>
      </c>
    </row>
    <row r="26" spans="1:243" s="3" customFormat="1" ht="10.199999999999999" x14ac:dyDescent="0.2">
      <c r="B26" s="3" t="s">
        <v>106</v>
      </c>
      <c r="P26" s="80">
        <v>67.080345288911076</v>
      </c>
      <c r="Q26" s="80">
        <v>66.896050148413408</v>
      </c>
      <c r="R26" s="80">
        <v>67.178090186972824</v>
      </c>
      <c r="S26" s="80">
        <v>68.049542056794408</v>
      </c>
      <c r="T26" s="80">
        <v>68.91954473877199</v>
      </c>
      <c r="U26" s="80">
        <v>68.80731268526516</v>
      </c>
      <c r="V26" s="80">
        <v>69.214995788844647</v>
      </c>
      <c r="W26" s="80">
        <v>69.551369653225152</v>
      </c>
      <c r="X26" s="80">
        <v>69.603286579373901</v>
      </c>
      <c r="Y26" s="80">
        <v>69.839148328865562</v>
      </c>
      <c r="Z26" s="80">
        <v>69.262514583979254</v>
      </c>
      <c r="AA26" s="80">
        <v>70.789667007311792</v>
      </c>
      <c r="AB26" s="80">
        <v>70.173675002242092</v>
      </c>
      <c r="AC26" s="80">
        <v>69.865125700253117</v>
      </c>
      <c r="AD26" s="80">
        <v>70.10435848805983</v>
      </c>
      <c r="AE26" s="80">
        <v>70.083587974117989</v>
      </c>
      <c r="AF26" s="80">
        <v>70.676122631401057</v>
      </c>
      <c r="AG26" s="80">
        <v>71.024100012141048</v>
      </c>
      <c r="AH26" s="80">
        <v>71.173282360104452</v>
      </c>
      <c r="AI26" s="80">
        <v>72.227125309827301</v>
      </c>
      <c r="AJ26" s="80">
        <v>72.67940640340214</v>
      </c>
      <c r="AK26" s="80">
        <v>73.924139628314222</v>
      </c>
      <c r="AL26" s="80">
        <v>73.72518817621372</v>
      </c>
      <c r="AM26" s="80">
        <v>73.53712203976491</v>
      </c>
      <c r="AN26" s="80">
        <v>72.033131332571145</v>
      </c>
      <c r="AO26" s="80">
        <v>72.202072224706868</v>
      </c>
      <c r="AP26" s="80">
        <v>71.853958963176709</v>
      </c>
      <c r="AQ26" s="80">
        <v>71.860488853250132</v>
      </c>
      <c r="AR26" s="80">
        <v>72.867202702887994</v>
      </c>
      <c r="AS26" s="80">
        <v>72.213072073033075</v>
      </c>
      <c r="AT26" s="80">
        <v>73.36475615962739</v>
      </c>
      <c r="AU26" s="80">
        <v>73.50823429321872</v>
      </c>
      <c r="AV26" s="80">
        <v>73.623551123693687</v>
      </c>
      <c r="AW26" s="80">
        <v>74.323201028155736</v>
      </c>
      <c r="AX26" s="80">
        <v>75.152080598271098</v>
      </c>
      <c r="AY26" s="80">
        <v>75.200397232511747</v>
      </c>
      <c r="AZ26" s="80">
        <v>73.535260838506247</v>
      </c>
      <c r="BA26" s="80">
        <v>73.802820265258987</v>
      </c>
      <c r="BB26" s="80">
        <v>73.535048565858119</v>
      </c>
      <c r="BC26" s="80">
        <v>74.677712123467828</v>
      </c>
      <c r="BD26" s="80">
        <v>75.35688971448873</v>
      </c>
      <c r="BE26" s="80">
        <v>75.684570290220705</v>
      </c>
      <c r="BF26" s="80">
        <v>77.173497260951009</v>
      </c>
      <c r="BG26" s="80">
        <v>76.43837608850356</v>
      </c>
      <c r="BH26" s="80">
        <v>77.130185286012633</v>
      </c>
      <c r="BI26" s="80">
        <v>77.699959322843554</v>
      </c>
      <c r="BJ26" s="80">
        <v>76.985847060995795</v>
      </c>
      <c r="BK26" s="80">
        <v>77.084746496057505</v>
      </c>
      <c r="BL26" s="80">
        <v>76.197614523924415</v>
      </c>
      <c r="BM26" s="80">
        <v>76.746865001987487</v>
      </c>
      <c r="BN26" s="80">
        <v>76.893417912849785</v>
      </c>
      <c r="BO26" s="80">
        <v>77.813657458859694</v>
      </c>
      <c r="BP26" s="80">
        <v>79.307704483049179</v>
      </c>
      <c r="BQ26" s="80">
        <v>78.459529318345275</v>
      </c>
      <c r="BR26" s="80">
        <v>78.644474630802748</v>
      </c>
      <c r="BS26" s="80">
        <v>78.502153592762326</v>
      </c>
      <c r="BT26" s="80">
        <v>78.241756039217648</v>
      </c>
      <c r="BU26" s="80">
        <v>76.993555745953344</v>
      </c>
      <c r="BV26" s="80">
        <v>76.920848713305446</v>
      </c>
      <c r="BW26" s="80">
        <v>76.002982758763466</v>
      </c>
      <c r="BX26" s="80">
        <v>75.301826138485708</v>
      </c>
      <c r="BY26" s="80">
        <v>75.818497664189536</v>
      </c>
      <c r="BZ26" s="80">
        <v>76.229764914755592</v>
      </c>
      <c r="CA26" s="80">
        <v>78.418142967421801</v>
      </c>
      <c r="CB26" s="80">
        <v>78.085370429959099</v>
      </c>
      <c r="CC26" s="80">
        <v>77.672783803874538</v>
      </c>
      <c r="CD26" s="80">
        <v>78.196610230582664</v>
      </c>
      <c r="CE26" s="80">
        <v>78.760638599059476</v>
      </c>
      <c r="CF26" s="80">
        <v>79.256442922093782</v>
      </c>
      <c r="CG26" s="80">
        <v>78.434769670486318</v>
      </c>
      <c r="CH26" s="80">
        <v>78.229311180425782</v>
      </c>
      <c r="CI26" s="80">
        <v>78.310656417096141</v>
      </c>
      <c r="CJ26" s="80">
        <v>77.835469697422226</v>
      </c>
      <c r="CK26" s="80">
        <v>77.771211854112323</v>
      </c>
      <c r="CL26" s="80">
        <v>77.902285350866308</v>
      </c>
      <c r="CM26" s="80">
        <v>78.503181014775095</v>
      </c>
      <c r="CN26" s="80">
        <v>78.775581669439021</v>
      </c>
      <c r="CO26" s="80">
        <v>78.239490377038777</v>
      </c>
      <c r="CP26" s="80">
        <v>77.981001541089256</v>
      </c>
      <c r="CQ26" s="80">
        <v>78.048453053690068</v>
      </c>
      <c r="CR26" s="80">
        <v>79.069192379950579</v>
      </c>
      <c r="CS26" s="80">
        <v>80.640128003002019</v>
      </c>
      <c r="CT26" s="80">
        <v>81.053766599922312</v>
      </c>
      <c r="CU26" s="80">
        <v>81.377783889776993</v>
      </c>
      <c r="CV26" s="80">
        <v>80.084733238738238</v>
      </c>
      <c r="CW26" s="80">
        <v>80.945886438572728</v>
      </c>
      <c r="CX26" s="80">
        <v>81.633087340605371</v>
      </c>
      <c r="CY26" s="80">
        <v>82.461161157883964</v>
      </c>
      <c r="CZ26" s="80">
        <v>82.251293192209431</v>
      </c>
      <c r="DA26" s="80">
        <v>82.846261198655213</v>
      </c>
      <c r="DB26" s="80">
        <v>83.230245598885546</v>
      </c>
      <c r="DC26" s="80">
        <v>83.09367312223678</v>
      </c>
      <c r="DD26" s="80">
        <v>83.543967677895537</v>
      </c>
      <c r="DE26" s="80">
        <v>83.373035095517977</v>
      </c>
      <c r="DF26" s="80">
        <v>83.711947499293217</v>
      </c>
      <c r="DG26" s="80">
        <v>83.869450776885813</v>
      </c>
      <c r="DH26" s="80">
        <v>84.310737859051642</v>
      </c>
      <c r="DI26" s="80">
        <v>84.299255827352383</v>
      </c>
      <c r="DJ26" s="80">
        <v>85.007456654701798</v>
      </c>
      <c r="DK26" s="80">
        <v>85.062803444906635</v>
      </c>
      <c r="DL26" s="80">
        <v>85.447518879338887</v>
      </c>
      <c r="DM26" s="80">
        <v>86.481284498836345</v>
      </c>
      <c r="DN26" s="80">
        <v>88.422850839047925</v>
      </c>
      <c r="DO26" s="80">
        <v>88.144170870485056</v>
      </c>
      <c r="DP26" s="80">
        <v>88.212123564688966</v>
      </c>
      <c r="DQ26" s="80">
        <v>88.816646683961707</v>
      </c>
      <c r="DR26" s="80">
        <v>88.186454888674689</v>
      </c>
      <c r="DS26" s="80">
        <v>88.118096559021637</v>
      </c>
      <c r="DT26" s="80">
        <v>86.960905765640476</v>
      </c>
      <c r="DU26" s="80">
        <v>87.260900534898525</v>
      </c>
      <c r="DV26" s="80">
        <v>88.095090559742673</v>
      </c>
      <c r="DW26" s="80">
        <v>89.099219849366278</v>
      </c>
      <c r="DX26" s="80">
        <v>90.07877561545908</v>
      </c>
      <c r="DY26" s="80">
        <v>91.012908396542102</v>
      </c>
      <c r="DZ26" s="80">
        <v>92.872693950982551</v>
      </c>
      <c r="EA26" s="80">
        <v>92.579451815544303</v>
      </c>
      <c r="EB26" s="80">
        <v>92.600060315302272</v>
      </c>
      <c r="EC26" s="80">
        <v>91.918730963467539</v>
      </c>
      <c r="ED26" s="80">
        <v>92.205899130566351</v>
      </c>
      <c r="EE26" s="80">
        <v>94.714361135490847</v>
      </c>
      <c r="EF26" s="80">
        <v>95.30325310355974</v>
      </c>
      <c r="EG26" s="80">
        <v>96.433664812699874</v>
      </c>
      <c r="EH26" s="80">
        <v>96.62189743497099</v>
      </c>
      <c r="EI26" s="80">
        <v>98.188394527616666</v>
      </c>
      <c r="EJ26" s="80">
        <v>98.124910780237485</v>
      </c>
      <c r="EK26" s="80">
        <v>98.647843122029713</v>
      </c>
      <c r="EL26" s="80">
        <v>99.641871165315038</v>
      </c>
      <c r="EM26" s="80">
        <v>101.94215077899722</v>
      </c>
      <c r="EN26" s="80">
        <v>102.76485464720736</v>
      </c>
      <c r="EO26" s="80">
        <v>102.6521846273134</v>
      </c>
      <c r="EP26" s="80">
        <v>104.43522807467151</v>
      </c>
      <c r="EQ26" s="80">
        <v>105.24374692538112</v>
      </c>
      <c r="ER26" s="3">
        <v>107.8</v>
      </c>
      <c r="ES26" s="3">
        <v>108.2</v>
      </c>
      <c r="ET26" s="3">
        <v>108.7</v>
      </c>
      <c r="EU26" s="3">
        <v>111.3</v>
      </c>
      <c r="EV26" s="3">
        <v>114</v>
      </c>
      <c r="EW26" s="3">
        <v>115.7</v>
      </c>
      <c r="EX26" s="3">
        <v>116.5</v>
      </c>
      <c r="EY26" s="3">
        <v>119.3</v>
      </c>
      <c r="EZ26" s="3">
        <v>119</v>
      </c>
      <c r="FA26" s="3">
        <v>120.5</v>
      </c>
      <c r="FB26" s="3">
        <v>120.3</v>
      </c>
      <c r="FC26" s="3">
        <v>120.3</v>
      </c>
      <c r="FD26" s="3">
        <v>117.8</v>
      </c>
      <c r="FE26" s="3">
        <v>119.3</v>
      </c>
      <c r="FF26" s="3">
        <v>118.2</v>
      </c>
      <c r="FG26" s="3">
        <v>120.8</v>
      </c>
      <c r="FH26" s="3">
        <v>121.8</v>
      </c>
      <c r="FI26" s="3">
        <v>123.9</v>
      </c>
      <c r="FJ26" s="3">
        <v>126.2</v>
      </c>
      <c r="FK26" s="3">
        <v>128.69999999999999</v>
      </c>
      <c r="FL26" s="3">
        <v>132.5</v>
      </c>
      <c r="FM26" s="3">
        <v>133</v>
      </c>
      <c r="FN26" s="3">
        <v>132.30000000000001</v>
      </c>
      <c r="FO26" s="3">
        <v>134.5</v>
      </c>
      <c r="FP26" s="3">
        <v>132.80000000000001</v>
      </c>
      <c r="FQ26" s="3">
        <v>133</v>
      </c>
      <c r="FR26" s="3">
        <v>134.30000000000001</v>
      </c>
    </row>
    <row r="27" spans="1:243" s="81" customFormat="1" ht="10.199999999999999" x14ac:dyDescent="0.2">
      <c r="B27" s="81" t="s">
        <v>107</v>
      </c>
      <c r="P27" s="82">
        <v>81.26922987598337</v>
      </c>
      <c r="Q27" s="82">
        <v>81.247145093643411</v>
      </c>
      <c r="R27" s="82">
        <v>81.594806192094453</v>
      </c>
      <c r="S27" s="82">
        <v>81.686517927127184</v>
      </c>
      <c r="T27" s="82">
        <v>81.885528453527286</v>
      </c>
      <c r="U27" s="82">
        <v>81.825648355777062</v>
      </c>
      <c r="V27" s="82">
        <v>82.108696751219114</v>
      </c>
      <c r="W27" s="82">
        <v>82.519570876589313</v>
      </c>
      <c r="X27" s="82">
        <v>82.44527174617447</v>
      </c>
      <c r="Y27" s="82">
        <v>82.767671805611045</v>
      </c>
      <c r="Z27" s="82">
        <v>82.827940022068461</v>
      </c>
      <c r="AA27" s="82">
        <v>83.310618208703715</v>
      </c>
      <c r="AB27" s="82">
        <v>83.142583098610402</v>
      </c>
      <c r="AC27" s="82">
        <v>83.086823155317404</v>
      </c>
      <c r="AD27" s="82">
        <v>83.113007521916217</v>
      </c>
      <c r="AE27" s="82">
        <v>83.094745447592402</v>
      </c>
      <c r="AF27" s="82">
        <v>83.089903283070129</v>
      </c>
      <c r="AG27" s="82">
        <v>83.237100987379648</v>
      </c>
      <c r="AH27" s="82">
        <v>83.277543759092296</v>
      </c>
      <c r="AI27" s="82">
        <v>83.447941160989998</v>
      </c>
      <c r="AJ27" s="82">
        <v>83.629198058616538</v>
      </c>
      <c r="AK27" s="82">
        <v>83.854036222946945</v>
      </c>
      <c r="AL27" s="82">
        <v>84.014922425553138</v>
      </c>
      <c r="AM27" s="82">
        <v>84.381237861952272</v>
      </c>
      <c r="AN27" s="82">
        <v>84.087040204488687</v>
      </c>
      <c r="AO27" s="82">
        <v>83.973877931273691</v>
      </c>
      <c r="AP27" s="82">
        <v>83.895565231298022</v>
      </c>
      <c r="AQ27" s="82">
        <v>83.666510266271558</v>
      </c>
      <c r="AR27" s="82">
        <v>83.873096101674051</v>
      </c>
      <c r="AS27" s="82">
        <v>83.809107568224121</v>
      </c>
      <c r="AT27" s="82">
        <v>85.578981818338377</v>
      </c>
      <c r="AU27" s="82">
        <v>85.682709613879283</v>
      </c>
      <c r="AV27" s="82">
        <v>85.957671166792238</v>
      </c>
      <c r="AW27" s="82">
        <v>85.65836903639223</v>
      </c>
      <c r="AX27" s="82">
        <v>86.105956947220207</v>
      </c>
      <c r="AY27" s="82">
        <v>86.512969544803795</v>
      </c>
      <c r="AZ27" s="82">
        <v>86.206631559462735</v>
      </c>
      <c r="BA27" s="82">
        <v>86.512982709255809</v>
      </c>
      <c r="BB27" s="82">
        <v>86.592855567880235</v>
      </c>
      <c r="BC27" s="82">
        <v>86.804891769596779</v>
      </c>
      <c r="BD27" s="82">
        <v>86.868631974679332</v>
      </c>
      <c r="BE27" s="82">
        <v>87.242603880016901</v>
      </c>
      <c r="BF27" s="82">
        <v>87.180742345837842</v>
      </c>
      <c r="BG27" s="82">
        <v>87.262726692741296</v>
      </c>
      <c r="BH27" s="82">
        <v>87.429521361933567</v>
      </c>
      <c r="BI27" s="82">
        <v>87.282867430772825</v>
      </c>
      <c r="BJ27" s="82">
        <v>87.254963022679988</v>
      </c>
      <c r="BK27" s="82">
        <v>87.641841441669683</v>
      </c>
      <c r="BL27" s="82">
        <v>87.464934479787019</v>
      </c>
      <c r="BM27" s="82">
        <v>87.241352494058134</v>
      </c>
      <c r="BN27" s="82">
        <v>87.374534991802904</v>
      </c>
      <c r="BO27" s="82">
        <v>87.272426366478825</v>
      </c>
      <c r="BP27" s="82">
        <v>87.408333720358399</v>
      </c>
      <c r="BQ27" s="82">
        <v>87.322762031184141</v>
      </c>
      <c r="BR27" s="82">
        <v>87.352480809814452</v>
      </c>
      <c r="BS27" s="82">
        <v>87.780501059755366</v>
      </c>
      <c r="BT27" s="82">
        <v>87.819993618046936</v>
      </c>
      <c r="BU27" s="82">
        <v>87.867681094574763</v>
      </c>
      <c r="BV27" s="82">
        <v>87.860711244974752</v>
      </c>
      <c r="BW27" s="82">
        <v>88.311790406269566</v>
      </c>
      <c r="BX27" s="82">
        <v>88.177142825434785</v>
      </c>
      <c r="BY27" s="82">
        <v>88.015287036821022</v>
      </c>
      <c r="BZ27" s="82">
        <v>88.048613045583494</v>
      </c>
      <c r="CA27" s="82">
        <v>87.991585714271224</v>
      </c>
      <c r="CB27" s="82">
        <v>88.106308104615806</v>
      </c>
      <c r="CC27" s="82">
        <v>88.181203743938255</v>
      </c>
      <c r="CD27" s="82">
        <v>88.146374259827638</v>
      </c>
      <c r="CE27" s="82">
        <v>88.423265497916333</v>
      </c>
      <c r="CF27" s="82">
        <v>88.475408118949133</v>
      </c>
      <c r="CG27" s="82">
        <v>88.544503887633795</v>
      </c>
      <c r="CH27" s="82">
        <v>88.535378163087884</v>
      </c>
      <c r="CI27" s="82">
        <v>88.569671689819046</v>
      </c>
      <c r="CJ27" s="82">
        <v>88.501628219099672</v>
      </c>
      <c r="CK27" s="82">
        <v>88.452244732026898</v>
      </c>
      <c r="CL27" s="82">
        <v>88.46892710069487</v>
      </c>
      <c r="CM27" s="82">
        <v>88.720285229937403</v>
      </c>
      <c r="CN27" s="82">
        <v>88.911820873928946</v>
      </c>
      <c r="CO27" s="82">
        <v>89.047189712788054</v>
      </c>
      <c r="CP27" s="82">
        <v>89.262910398345284</v>
      </c>
      <c r="CQ27" s="82">
        <v>89.426877500316053</v>
      </c>
      <c r="CR27" s="82">
        <v>89.610246098492539</v>
      </c>
      <c r="CS27" s="82">
        <v>89.752273873541924</v>
      </c>
      <c r="CT27" s="82">
        <v>89.762077323939764</v>
      </c>
      <c r="CU27" s="82">
        <v>90.00393572859025</v>
      </c>
      <c r="CV27" s="82">
        <v>90.055513662062381</v>
      </c>
      <c r="CW27" s="82">
        <v>90.25012901329076</v>
      </c>
      <c r="CX27" s="82">
        <v>90.577964855941943</v>
      </c>
      <c r="CY27" s="82">
        <v>90.834523973605187</v>
      </c>
      <c r="CZ27" s="82">
        <v>90.944057382417796</v>
      </c>
      <c r="DA27" s="82">
        <v>90.961675980849847</v>
      </c>
      <c r="DB27" s="82">
        <v>91.175460035406928</v>
      </c>
      <c r="DC27" s="82">
        <v>91.408117958142455</v>
      </c>
      <c r="DD27" s="82">
        <v>91.460821702256837</v>
      </c>
      <c r="DE27" s="82">
        <v>91.96404267704041</v>
      </c>
      <c r="DF27" s="82">
        <v>92.210588517732603</v>
      </c>
      <c r="DG27" s="82">
        <v>92.387550225736504</v>
      </c>
      <c r="DH27" s="82">
        <v>92.356053895328401</v>
      </c>
      <c r="DI27" s="82">
        <v>92.496876082428116</v>
      </c>
      <c r="DJ27" s="82">
        <v>92.728916232958397</v>
      </c>
      <c r="DK27" s="82">
        <v>93.304104762258646</v>
      </c>
      <c r="DL27" s="82">
        <v>92.864672899839292</v>
      </c>
      <c r="DM27" s="82">
        <v>92.753429594754536</v>
      </c>
      <c r="DN27" s="82">
        <v>92.795749735345339</v>
      </c>
      <c r="DO27" s="82">
        <v>93.078904291727071</v>
      </c>
      <c r="DP27" s="82">
        <v>93.027949329138451</v>
      </c>
      <c r="DQ27" s="82">
        <v>93.429578054560565</v>
      </c>
      <c r="DR27" s="82">
        <v>93.533755483561038</v>
      </c>
      <c r="DS27" s="82">
        <v>93.781393997877601</v>
      </c>
      <c r="DT27" s="82">
        <v>93.903184795847181</v>
      </c>
      <c r="DU27" s="82">
        <v>93.9438899808531</v>
      </c>
      <c r="DV27" s="82">
        <v>94.159681341801374</v>
      </c>
      <c r="DW27" s="82">
        <v>94.253588321631796</v>
      </c>
      <c r="DX27" s="82">
        <v>94.334086181542787</v>
      </c>
      <c r="DY27" s="82">
        <v>94.442754154285851</v>
      </c>
      <c r="DZ27" s="82">
        <v>94.670522008205467</v>
      </c>
      <c r="EA27" s="82">
        <v>94.694252606972228</v>
      </c>
      <c r="EB27" s="82">
        <v>94.806441761707973</v>
      </c>
      <c r="EC27" s="82">
        <v>95.272842963083079</v>
      </c>
      <c r="ED27" s="82">
        <v>95.368878826551622</v>
      </c>
      <c r="EE27" s="82">
        <v>96.278197807610383</v>
      </c>
      <c r="EF27" s="82">
        <v>96.702870411846803</v>
      </c>
      <c r="EG27" s="82">
        <v>96.963984404065172</v>
      </c>
      <c r="EH27" s="82">
        <v>97.656126818998317</v>
      </c>
      <c r="EI27" s="82">
        <v>98.720841271061659</v>
      </c>
      <c r="EJ27" s="82">
        <v>99.560921381962672</v>
      </c>
      <c r="EK27" s="82">
        <v>99.89981495762575</v>
      </c>
      <c r="EL27" s="82">
        <v>100.56296598205364</v>
      </c>
      <c r="EM27" s="82">
        <v>101.06415545974428</v>
      </c>
      <c r="EN27" s="82">
        <v>101.69348551016861</v>
      </c>
      <c r="EO27" s="82">
        <v>102.1024225814665</v>
      </c>
      <c r="EP27" s="82">
        <v>102.35955092054662</v>
      </c>
      <c r="EQ27" s="82">
        <v>102.71286030046008</v>
      </c>
      <c r="ER27" s="81">
        <v>103</v>
      </c>
      <c r="ES27" s="81">
        <v>104.3</v>
      </c>
      <c r="ET27" s="81">
        <v>105.3</v>
      </c>
      <c r="EU27" s="81">
        <v>105.8</v>
      </c>
      <c r="EV27" s="81">
        <v>105.8</v>
      </c>
      <c r="EW27" s="81">
        <v>106.3</v>
      </c>
      <c r="EX27" s="81">
        <v>106.4</v>
      </c>
      <c r="EY27" s="81">
        <v>106.7</v>
      </c>
      <c r="EZ27" s="81">
        <v>107</v>
      </c>
      <c r="FA27" s="81">
        <v>107</v>
      </c>
      <c r="FB27" s="81">
        <v>107</v>
      </c>
      <c r="FC27" s="81">
        <v>107.1</v>
      </c>
      <c r="FD27" s="81">
        <v>107.1</v>
      </c>
      <c r="FE27" s="81">
        <v>108.2</v>
      </c>
      <c r="FF27" s="81">
        <v>108.7</v>
      </c>
      <c r="FG27" s="81">
        <v>108.9</v>
      </c>
      <c r="FH27" s="81">
        <v>109.1</v>
      </c>
      <c r="FI27" s="81">
        <v>109.2</v>
      </c>
      <c r="FJ27" s="81">
        <v>109.3</v>
      </c>
      <c r="FK27" s="81">
        <v>109.5</v>
      </c>
      <c r="FL27" s="81">
        <v>109.9</v>
      </c>
      <c r="FM27" s="81">
        <v>110.1</v>
      </c>
      <c r="FN27" s="81">
        <v>110.3</v>
      </c>
      <c r="FO27" s="81">
        <v>110.7</v>
      </c>
      <c r="FP27" s="81">
        <v>110.8</v>
      </c>
      <c r="FQ27" s="81">
        <v>110.9</v>
      </c>
      <c r="FR27" s="81">
        <v>111</v>
      </c>
    </row>
    <row r="28" spans="1:243" s="74" customFormat="1" ht="10.199999999999999" x14ac:dyDescent="0.2"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</row>
    <row r="29" spans="1:243" s="3" customFormat="1" ht="10.199999999999999" x14ac:dyDescent="0.2">
      <c r="B29" s="3" t="s">
        <v>108</v>
      </c>
      <c r="P29" s="80">
        <v>69.04984022800457</v>
      </c>
      <c r="Q29" s="80">
        <v>68.995894255654306</v>
      </c>
      <c r="R29" s="80">
        <v>69.659024958183437</v>
      </c>
      <c r="S29" s="80">
        <v>70.374017445280614</v>
      </c>
      <c r="T29" s="80">
        <v>70.836519396647731</v>
      </c>
      <c r="U29" s="80">
        <v>70.814158707804737</v>
      </c>
      <c r="V29" s="80">
        <v>71.125548467198982</v>
      </c>
      <c r="W29" s="80">
        <v>71.930760781885155</v>
      </c>
      <c r="X29" s="80">
        <v>71.876644101373941</v>
      </c>
      <c r="Y29" s="80">
        <v>72.269132406465246</v>
      </c>
      <c r="Z29" s="80">
        <v>71.856003152509331</v>
      </c>
      <c r="AA29" s="80">
        <v>73.378009737387615</v>
      </c>
      <c r="AB29" s="80">
        <v>72.764812387449311</v>
      </c>
      <c r="AC29" s="80">
        <v>72.102773528890609</v>
      </c>
      <c r="AD29" s="80">
        <v>72.528885954268432</v>
      </c>
      <c r="AE29" s="80">
        <v>71.945905027477139</v>
      </c>
      <c r="AF29" s="80">
        <v>72.32282725675347</v>
      </c>
      <c r="AG29" s="80">
        <v>72.790374584801114</v>
      </c>
      <c r="AH29" s="80">
        <v>73.00575859155191</v>
      </c>
      <c r="AI29" s="80">
        <v>73.551698666602604</v>
      </c>
      <c r="AJ29" s="80">
        <v>74.236135123285266</v>
      </c>
      <c r="AK29" s="80">
        <v>75.106271003749896</v>
      </c>
      <c r="AL29" s="80">
        <v>75.116529181477574</v>
      </c>
      <c r="AM29" s="80">
        <v>75.091305528284153</v>
      </c>
      <c r="AN29" s="80">
        <v>74.076616172800058</v>
      </c>
      <c r="AO29" s="80">
        <v>74.095432499348547</v>
      </c>
      <c r="AP29" s="80">
        <v>73.841313325684894</v>
      </c>
      <c r="AQ29" s="80">
        <v>73.422330849910395</v>
      </c>
      <c r="AR29" s="80">
        <v>73.942171492258183</v>
      </c>
      <c r="AS29" s="80">
        <v>73.262953184106379</v>
      </c>
      <c r="AT29" s="80">
        <v>74.561358008878258</v>
      </c>
      <c r="AU29" s="80">
        <v>74.638765552792108</v>
      </c>
      <c r="AV29" s="80">
        <v>75.09741793098857</v>
      </c>
      <c r="AW29" s="80">
        <v>75.002626706291011</v>
      </c>
      <c r="AX29" s="80">
        <v>76.276603599615669</v>
      </c>
      <c r="AY29" s="80">
        <v>76.813839143708677</v>
      </c>
      <c r="AZ29" s="80">
        <v>75.357263863927642</v>
      </c>
      <c r="BA29" s="80">
        <v>75.827576421506919</v>
      </c>
      <c r="BB29" s="80">
        <v>75.234134343453775</v>
      </c>
      <c r="BC29" s="80">
        <v>76.410271171736483</v>
      </c>
      <c r="BD29" s="80">
        <v>76.682487279601375</v>
      </c>
      <c r="BE29" s="80">
        <v>77.236471781283214</v>
      </c>
      <c r="BF29" s="80">
        <v>78.042886465246383</v>
      </c>
      <c r="BG29" s="80">
        <v>77.45977286098055</v>
      </c>
      <c r="BH29" s="80">
        <v>77.994572604758417</v>
      </c>
      <c r="BI29" s="80">
        <v>78.161102798111244</v>
      </c>
      <c r="BJ29" s="80">
        <v>77.675575978119866</v>
      </c>
      <c r="BK29" s="80">
        <v>78.444452059457831</v>
      </c>
      <c r="BL29" s="80">
        <v>77.343493695542648</v>
      </c>
      <c r="BM29" s="80">
        <v>77.340517759604353</v>
      </c>
      <c r="BN29" s="80">
        <v>77.61185001394071</v>
      </c>
      <c r="BO29" s="80">
        <v>78.028143978377273</v>
      </c>
      <c r="BP29" s="80">
        <v>79.380687770849505</v>
      </c>
      <c r="BQ29" s="80">
        <v>78.473169951251464</v>
      </c>
      <c r="BR29" s="80">
        <v>78.722336870978424</v>
      </c>
      <c r="BS29" s="80">
        <v>79.233296992315516</v>
      </c>
      <c r="BT29" s="80">
        <v>78.984087511247353</v>
      </c>
      <c r="BU29" s="80">
        <v>78.254362952763159</v>
      </c>
      <c r="BV29" s="80">
        <v>78.232740614897608</v>
      </c>
      <c r="BW29" s="80">
        <v>78.024215059291336</v>
      </c>
      <c r="BX29" s="80">
        <v>77.022655962777819</v>
      </c>
      <c r="BY29" s="80">
        <v>77.203377111011932</v>
      </c>
      <c r="BZ29" s="80">
        <v>77.358351816680241</v>
      </c>
      <c r="CA29" s="80">
        <v>78.608033103618112</v>
      </c>
      <c r="CB29" s="80">
        <v>78.746882581020969</v>
      </c>
      <c r="CC29" s="80">
        <v>78.511091767286473</v>
      </c>
      <c r="CD29" s="80">
        <v>78.753408940297689</v>
      </c>
      <c r="CE29" s="80">
        <v>79.49414927895937</v>
      </c>
      <c r="CF29" s="80">
        <v>79.948452688130629</v>
      </c>
      <c r="CG29" s="80">
        <v>79.606461034246564</v>
      </c>
      <c r="CH29" s="80">
        <v>79.412470335661027</v>
      </c>
      <c r="CI29" s="80">
        <v>79.237463538422617</v>
      </c>
      <c r="CJ29" s="80">
        <v>78.832294728073464</v>
      </c>
      <c r="CK29" s="80">
        <v>78.380756452342126</v>
      </c>
      <c r="CL29" s="80">
        <v>78.266831087678071</v>
      </c>
      <c r="CM29" s="80">
        <v>78.551423146043348</v>
      </c>
      <c r="CN29" s="80">
        <v>78.830113792792162</v>
      </c>
      <c r="CO29" s="80">
        <v>78.446755141701871</v>
      </c>
      <c r="CP29" s="80">
        <v>78.149007800825544</v>
      </c>
      <c r="CQ29" s="80">
        <v>78.277435825546746</v>
      </c>
      <c r="CR29" s="80">
        <v>79.292233862419806</v>
      </c>
      <c r="CS29" s="80">
        <v>80.152486996485578</v>
      </c>
      <c r="CT29" s="80">
        <v>80.225506066324513</v>
      </c>
      <c r="CU29" s="80">
        <v>80.360513449231973</v>
      </c>
      <c r="CV29" s="80">
        <v>79.573997831211969</v>
      </c>
      <c r="CW29" s="80">
        <v>80.313760622664589</v>
      </c>
      <c r="CX29" s="80">
        <v>80.834875274898309</v>
      </c>
      <c r="CY29" s="80">
        <v>81.416724360297152</v>
      </c>
      <c r="CZ29" s="80">
        <v>81.292786624035045</v>
      </c>
      <c r="DA29" s="80">
        <v>81.554074296568018</v>
      </c>
      <c r="DB29" s="80">
        <v>82.242173945220387</v>
      </c>
      <c r="DC29" s="80">
        <v>82.443945022508387</v>
      </c>
      <c r="DD29" s="80">
        <v>82.732638124643771</v>
      </c>
      <c r="DE29" s="80">
        <v>83.38853557803732</v>
      </c>
      <c r="DF29" s="80">
        <v>84.078152808686951</v>
      </c>
      <c r="DG29" s="80">
        <v>84.078544094699708</v>
      </c>
      <c r="DH29" s="80">
        <v>84.362233036663056</v>
      </c>
      <c r="DI29" s="80">
        <v>84.497844084376069</v>
      </c>
      <c r="DJ29" s="80">
        <v>85.23683389025409</v>
      </c>
      <c r="DK29" s="80">
        <v>84.803915911748277</v>
      </c>
      <c r="DL29" s="80">
        <v>85.169553613284322</v>
      </c>
      <c r="DM29" s="80">
        <v>85.387918314603127</v>
      </c>
      <c r="DN29" s="80">
        <v>86.661250891488436</v>
      </c>
      <c r="DO29" s="80">
        <v>86.97094217773224</v>
      </c>
      <c r="DP29" s="80">
        <v>86.568064622162808</v>
      </c>
      <c r="DQ29" s="80">
        <v>87.658811035969535</v>
      </c>
      <c r="DR29" s="80">
        <v>87.229068027096346</v>
      </c>
      <c r="DS29" s="80">
        <v>87.574982405322217</v>
      </c>
      <c r="DT29" s="80">
        <v>86.990715933669989</v>
      </c>
      <c r="DU29" s="80">
        <v>87.118870108427203</v>
      </c>
      <c r="DV29" s="80">
        <v>87.788329043914601</v>
      </c>
      <c r="DW29" s="80">
        <v>88.633988669655167</v>
      </c>
      <c r="DX29" s="80">
        <v>89.346999061595682</v>
      </c>
      <c r="DY29" s="80">
        <v>90.097960287785128</v>
      </c>
      <c r="DZ29" s="80">
        <v>91.486209429434382</v>
      </c>
      <c r="EA29" s="80">
        <v>91.012197581320379</v>
      </c>
      <c r="EB29" s="80">
        <v>91.249814568893569</v>
      </c>
      <c r="EC29" s="80">
        <v>91.46717400032891</v>
      </c>
      <c r="ED29" s="80">
        <v>91.583612829921762</v>
      </c>
      <c r="EE29" s="80">
        <v>94.239813519706232</v>
      </c>
      <c r="EF29" s="80">
        <v>94.904795892363367</v>
      </c>
      <c r="EG29" s="80">
        <v>95.576485916455795</v>
      </c>
      <c r="EH29" s="80">
        <v>96.042788173051918</v>
      </c>
      <c r="EI29" s="80">
        <v>97.965613888598213</v>
      </c>
      <c r="EJ29" s="80">
        <v>98.643995573006549</v>
      </c>
      <c r="EK29" s="80">
        <v>98.752251090812962</v>
      </c>
      <c r="EL29" s="80">
        <v>100.32254241116705</v>
      </c>
      <c r="EM29" s="80">
        <v>101.81726516051609</v>
      </c>
      <c r="EN29" s="80">
        <v>102.84556335346259</v>
      </c>
      <c r="EO29" s="80">
        <v>103.27025335943556</v>
      </c>
      <c r="EP29" s="80">
        <v>104.57096315163194</v>
      </c>
      <c r="EQ29" s="80">
        <v>105.28748202949794</v>
      </c>
    </row>
    <row r="30" spans="1:243" s="3" customFormat="1" ht="10.199999999999999" x14ac:dyDescent="0.2">
      <c r="B30" s="3" t="s">
        <v>109</v>
      </c>
      <c r="P30" s="80">
        <v>85.46276518008537</v>
      </c>
      <c r="Q30" s="80">
        <v>85.532531137206249</v>
      </c>
      <c r="R30" s="80">
        <v>85.717088781373221</v>
      </c>
      <c r="S30" s="80">
        <v>85.562372857263028</v>
      </c>
      <c r="T30" s="80">
        <v>85.75377786225387</v>
      </c>
      <c r="U30" s="80">
        <v>85.590580308250352</v>
      </c>
      <c r="V30" s="80">
        <v>85.699742732688264</v>
      </c>
      <c r="W30" s="80">
        <v>85.661732151238482</v>
      </c>
      <c r="X30" s="80">
        <v>85.682692463721082</v>
      </c>
      <c r="Y30" s="80">
        <v>86.071304466717066</v>
      </c>
      <c r="Z30" s="80">
        <v>85.9462990128076</v>
      </c>
      <c r="AA30" s="80">
        <v>86.409758785546188</v>
      </c>
      <c r="AB30" s="80">
        <v>86.461494622936058</v>
      </c>
      <c r="AC30" s="80">
        <v>86.596267835366206</v>
      </c>
      <c r="AD30" s="80">
        <v>86.439780648753811</v>
      </c>
      <c r="AE30" s="80">
        <v>86.751400583694789</v>
      </c>
      <c r="AF30" s="80">
        <v>86.695834261365988</v>
      </c>
      <c r="AG30" s="80">
        <v>86.669350482184214</v>
      </c>
      <c r="AH30" s="80">
        <v>86.726192376706933</v>
      </c>
      <c r="AI30" s="80">
        <v>86.859937912241534</v>
      </c>
      <c r="AJ30" s="80">
        <v>86.81883139014424</v>
      </c>
      <c r="AK30" s="80">
        <v>86.989293481494187</v>
      </c>
      <c r="AL30" s="80">
        <v>87.272603360933687</v>
      </c>
      <c r="AM30" s="80">
        <v>87.692355687618218</v>
      </c>
      <c r="AN30" s="80">
        <v>87.112368241982352</v>
      </c>
      <c r="AO30" s="80">
        <v>87.064383833986412</v>
      </c>
      <c r="AP30" s="80">
        <v>87.046836260759278</v>
      </c>
      <c r="AQ30" s="80">
        <v>86.874437418432024</v>
      </c>
      <c r="AR30" s="80">
        <v>87.145198016140441</v>
      </c>
      <c r="AS30" s="80">
        <v>87.107004409603903</v>
      </c>
      <c r="AT30" s="80">
        <v>87.970154545258879</v>
      </c>
      <c r="AU30" s="80">
        <v>88.026286669379374</v>
      </c>
      <c r="AV30" s="80">
        <v>88.008624802886175</v>
      </c>
      <c r="AW30" s="80">
        <v>88.016362557942927</v>
      </c>
      <c r="AX30" s="80">
        <v>88.08131275322755</v>
      </c>
      <c r="AY30" s="80">
        <v>88.352236036752046</v>
      </c>
      <c r="AZ30" s="80">
        <v>88.102930034577838</v>
      </c>
      <c r="BA30" s="80">
        <v>88.223478096691366</v>
      </c>
      <c r="BB30" s="80">
        <v>88.367248467354344</v>
      </c>
      <c r="BC30" s="80">
        <v>88.297431616396423</v>
      </c>
      <c r="BD30" s="80">
        <v>88.447551726127074</v>
      </c>
      <c r="BE30" s="80">
        <v>88.64063179431146</v>
      </c>
      <c r="BF30" s="80">
        <v>88.67149231137293</v>
      </c>
      <c r="BG30" s="80">
        <v>88.739279197818021</v>
      </c>
      <c r="BH30" s="80">
        <v>88.759246724608829</v>
      </c>
      <c r="BI30" s="80">
        <v>88.791344337689964</v>
      </c>
      <c r="BJ30" s="80">
        <v>88.762554795180023</v>
      </c>
      <c r="BK30" s="80">
        <v>88.881486975160556</v>
      </c>
      <c r="BL30" s="80">
        <v>88.626715831557334</v>
      </c>
      <c r="BM30" s="80">
        <v>88.503019763265286</v>
      </c>
      <c r="BN30" s="80">
        <v>88.603886740126214</v>
      </c>
      <c r="BO30" s="80">
        <v>88.486420710047682</v>
      </c>
      <c r="BP30" s="80">
        <v>88.3816194970574</v>
      </c>
      <c r="BQ30" s="80">
        <v>88.366561596234732</v>
      </c>
      <c r="BR30" s="80">
        <v>88.470614269291389</v>
      </c>
      <c r="BS30" s="80">
        <v>88.551206781478044</v>
      </c>
      <c r="BT30" s="80">
        <v>88.797859557274862</v>
      </c>
      <c r="BU30" s="80">
        <v>88.831980098250796</v>
      </c>
      <c r="BV30" s="80">
        <v>88.701983890471723</v>
      </c>
      <c r="BW30" s="80">
        <v>89.203741763732182</v>
      </c>
      <c r="BX30" s="80">
        <v>89.060604835943238</v>
      </c>
      <c r="BY30" s="80">
        <v>88.873623486904734</v>
      </c>
      <c r="BZ30" s="80">
        <v>88.94530109323162</v>
      </c>
      <c r="CA30" s="80">
        <v>88.715579762665428</v>
      </c>
      <c r="CB30" s="80">
        <v>88.747152854864908</v>
      </c>
      <c r="CC30" s="80">
        <v>88.860047144521644</v>
      </c>
      <c r="CD30" s="80">
        <v>88.880072624681418</v>
      </c>
      <c r="CE30" s="80">
        <v>89.015889521303848</v>
      </c>
      <c r="CF30" s="80">
        <v>89.124261596135966</v>
      </c>
      <c r="CG30" s="80">
        <v>89.185451175599141</v>
      </c>
      <c r="CH30" s="80">
        <v>89.228149214127527</v>
      </c>
      <c r="CI30" s="80">
        <v>89.383712104906564</v>
      </c>
      <c r="CJ30" s="80">
        <v>89.302778601324206</v>
      </c>
      <c r="CK30" s="80">
        <v>89.483596899125132</v>
      </c>
      <c r="CL30" s="80">
        <v>89.736467491976256</v>
      </c>
      <c r="CM30" s="80">
        <v>90.158383554748966</v>
      </c>
      <c r="CN30" s="80">
        <v>90.346786958182506</v>
      </c>
      <c r="CO30" s="80">
        <v>90.364411309838061</v>
      </c>
      <c r="CP30" s="80">
        <v>90.539188715270114</v>
      </c>
      <c r="CQ30" s="80">
        <v>90.633946448712521</v>
      </c>
      <c r="CR30" s="80">
        <v>90.704178897919874</v>
      </c>
      <c r="CS30" s="80">
        <v>90.936252874943776</v>
      </c>
      <c r="CT30" s="80">
        <v>90.953504328027918</v>
      </c>
      <c r="CU30" s="80">
        <v>91.113689595076394</v>
      </c>
      <c r="CV30" s="80">
        <v>91.00913600288267</v>
      </c>
      <c r="CW30" s="80">
        <v>91.216846577743965</v>
      </c>
      <c r="CX30" s="80">
        <v>91.373900121068829</v>
      </c>
      <c r="CY30" s="80">
        <v>91.540642105832134</v>
      </c>
      <c r="CZ30" s="80">
        <v>91.636508104288723</v>
      </c>
      <c r="DA30" s="80">
        <v>91.686437583884413</v>
      </c>
      <c r="DB30" s="80">
        <v>91.737108948646991</v>
      </c>
      <c r="DC30" s="80">
        <v>91.8626025263885</v>
      </c>
      <c r="DD30" s="80">
        <v>91.954878492803616</v>
      </c>
      <c r="DE30" s="80">
        <v>92.2392745235109</v>
      </c>
      <c r="DF30" s="80">
        <v>92.37806041540945</v>
      </c>
      <c r="DG30" s="80">
        <v>92.609620617001497</v>
      </c>
      <c r="DH30" s="80">
        <v>92.531901617468023</v>
      </c>
      <c r="DI30" s="80">
        <v>92.617405217471287</v>
      </c>
      <c r="DJ30" s="80">
        <v>92.642784117042325</v>
      </c>
      <c r="DK30" s="80">
        <v>92.834686672630212</v>
      </c>
      <c r="DL30" s="80">
        <v>93.045918032369727</v>
      </c>
      <c r="DM30" s="80">
        <v>93.242504393003088</v>
      </c>
      <c r="DN30" s="80">
        <v>93.236009958622532</v>
      </c>
      <c r="DO30" s="80">
        <v>93.356287013051386</v>
      </c>
      <c r="DP30" s="80">
        <v>93.545632621490725</v>
      </c>
      <c r="DQ30" s="80">
        <v>93.621864590084073</v>
      </c>
      <c r="DR30" s="80">
        <v>93.74155121810746</v>
      </c>
      <c r="DS30" s="80">
        <v>93.911866302996955</v>
      </c>
      <c r="DT30" s="80">
        <v>93.982319173128346</v>
      </c>
      <c r="DU30" s="80">
        <v>94.093696126806535</v>
      </c>
      <c r="DV30" s="80">
        <v>94.352907167746451</v>
      </c>
      <c r="DW30" s="80">
        <v>94.279470938180381</v>
      </c>
      <c r="DX30" s="80">
        <v>94.347728217031388</v>
      </c>
      <c r="DY30" s="80">
        <v>94.42195060664524</v>
      </c>
      <c r="DZ30" s="80">
        <v>94.665346540302096</v>
      </c>
      <c r="EA30" s="80">
        <v>94.804667929443227</v>
      </c>
      <c r="EB30" s="80">
        <v>94.850656141887853</v>
      </c>
      <c r="EC30" s="80">
        <v>95.132404253504959</v>
      </c>
      <c r="ED30" s="80">
        <v>95.261224875738179</v>
      </c>
      <c r="EE30" s="80">
        <v>95.854538801709907</v>
      </c>
      <c r="EF30" s="80">
        <v>96.233710465587961</v>
      </c>
      <c r="EG30" s="80">
        <v>96.86986721136536</v>
      </c>
      <c r="EH30" s="80">
        <v>97.625378310566575</v>
      </c>
      <c r="EI30" s="80">
        <v>98.787395147344199</v>
      </c>
      <c r="EJ30" s="80">
        <v>99.523289673678036</v>
      </c>
      <c r="EK30" s="80">
        <v>100.12209964844024</v>
      </c>
      <c r="EL30" s="80">
        <v>100.50257986444997</v>
      </c>
      <c r="EM30" s="80">
        <v>101.21346465270928</v>
      </c>
      <c r="EN30" s="80">
        <v>101.65680946685889</v>
      </c>
      <c r="EO30" s="80">
        <v>102.06808120302917</v>
      </c>
      <c r="EP30" s="80">
        <v>102.45935228986903</v>
      </c>
      <c r="EQ30" s="80">
        <v>102.93797206610118</v>
      </c>
    </row>
    <row r="31" spans="1:243" s="81" customFormat="1" ht="10.199999999999999" x14ac:dyDescent="0.2">
      <c r="B31" s="81" t="s">
        <v>110</v>
      </c>
      <c r="P31" s="82">
        <v>82.151632210076855</v>
      </c>
      <c r="Q31" s="82">
        <v>81.918771214776228</v>
      </c>
      <c r="R31" s="82">
        <v>82.018847882064179</v>
      </c>
      <c r="S31" s="82">
        <v>82.232105158387043</v>
      </c>
      <c r="T31" s="82">
        <v>82.505486985546199</v>
      </c>
      <c r="U31" s="82">
        <v>82.797563811504688</v>
      </c>
      <c r="V31" s="82">
        <v>83.100483432462894</v>
      </c>
      <c r="W31" s="82">
        <v>83.38181160880012</v>
      </c>
      <c r="X31" s="82">
        <v>83.381221370776956</v>
      </c>
      <c r="Y31" s="82">
        <v>83.606568766006902</v>
      </c>
      <c r="Z31" s="82">
        <v>83.834707823740132</v>
      </c>
      <c r="AA31" s="82">
        <v>83.96534243075773</v>
      </c>
      <c r="AB31" s="82">
        <v>83.719127265495516</v>
      </c>
      <c r="AC31" s="82">
        <v>83.888130681560952</v>
      </c>
      <c r="AD31" s="82">
        <v>83.894184342540484</v>
      </c>
      <c r="AE31" s="82">
        <v>84.088838768834947</v>
      </c>
      <c r="AF31" s="82">
        <v>84.108516923036206</v>
      </c>
      <c r="AG31" s="82">
        <v>84.241561618572121</v>
      </c>
      <c r="AH31" s="82">
        <v>84.09470645174224</v>
      </c>
      <c r="AI31" s="82">
        <v>84.444204726970781</v>
      </c>
      <c r="AJ31" s="82">
        <v>84.622943658326435</v>
      </c>
      <c r="AK31" s="82">
        <v>84.741507900593277</v>
      </c>
      <c r="AL31" s="82">
        <v>84.682375603776876</v>
      </c>
      <c r="AM31" s="82">
        <v>84.9905781258731</v>
      </c>
      <c r="AN31" s="82">
        <v>85.02153664521849</v>
      </c>
      <c r="AO31" s="82">
        <v>84.904988579459911</v>
      </c>
      <c r="AP31" s="82">
        <v>84.786392223000945</v>
      </c>
      <c r="AQ31" s="82">
        <v>84.787622170227806</v>
      </c>
      <c r="AR31" s="82">
        <v>85.082973014787314</v>
      </c>
      <c r="AS31" s="82">
        <v>85.257946494211183</v>
      </c>
      <c r="AT31" s="82">
        <v>88.446344463289819</v>
      </c>
      <c r="AU31" s="82">
        <v>88.635232483729723</v>
      </c>
      <c r="AV31" s="82">
        <v>88.995091633297832</v>
      </c>
      <c r="AW31" s="82">
        <v>88.876856549374423</v>
      </c>
      <c r="AX31" s="82">
        <v>89.134385144200593</v>
      </c>
      <c r="AY31" s="82">
        <v>89.297157559619066</v>
      </c>
      <c r="AZ31" s="82">
        <v>89.136649310123289</v>
      </c>
      <c r="BA31" s="82">
        <v>89.520534138407712</v>
      </c>
      <c r="BB31" s="82">
        <v>89.823580112731122</v>
      </c>
      <c r="BC31" s="82">
        <v>89.986915263608708</v>
      </c>
      <c r="BD31" s="82">
        <v>90.133864488550714</v>
      </c>
      <c r="BE31" s="82">
        <v>90.522490718745701</v>
      </c>
      <c r="BF31" s="82">
        <v>90.382966823435964</v>
      </c>
      <c r="BG31" s="82">
        <v>90.661816510433624</v>
      </c>
      <c r="BH31" s="82">
        <v>90.916211573764002</v>
      </c>
      <c r="BI31" s="82">
        <v>90.722384295145602</v>
      </c>
      <c r="BJ31" s="82">
        <v>90.787920540724627</v>
      </c>
      <c r="BK31" s="82">
        <v>90.825043288861181</v>
      </c>
      <c r="BL31" s="82">
        <v>90.952577643813342</v>
      </c>
      <c r="BM31" s="82">
        <v>90.970560285621573</v>
      </c>
      <c r="BN31" s="82">
        <v>90.895179534450236</v>
      </c>
      <c r="BO31" s="82">
        <v>90.96400996928061</v>
      </c>
      <c r="BP31" s="82">
        <v>90.998749286068104</v>
      </c>
      <c r="BQ31" s="82">
        <v>91.167387913379471</v>
      </c>
      <c r="BR31" s="82">
        <v>91.035020097061945</v>
      </c>
      <c r="BS31" s="82">
        <v>91.318242301052138</v>
      </c>
      <c r="BT31" s="82">
        <v>91.243497622330594</v>
      </c>
      <c r="BU31" s="82">
        <v>91.261841882822935</v>
      </c>
      <c r="BV31" s="82">
        <v>91.39115919909753</v>
      </c>
      <c r="BW31" s="82">
        <v>91.502806473202313</v>
      </c>
      <c r="BX31" s="82">
        <v>91.697145666979196</v>
      </c>
      <c r="BY31" s="82">
        <v>91.713642393277965</v>
      </c>
      <c r="BZ31" s="82">
        <v>91.831537871965637</v>
      </c>
      <c r="CA31" s="82">
        <v>91.993241480313657</v>
      </c>
      <c r="CB31" s="82">
        <v>91.863563843118598</v>
      </c>
      <c r="CC31" s="82">
        <v>91.916950660897101</v>
      </c>
      <c r="CD31" s="82">
        <v>91.926673432687025</v>
      </c>
      <c r="CE31" s="82">
        <v>92.053359844858434</v>
      </c>
      <c r="CF31" s="82">
        <v>92.000228347298432</v>
      </c>
      <c r="CG31" s="82">
        <v>91.929712666884058</v>
      </c>
      <c r="CH31" s="82">
        <v>91.922645995907914</v>
      </c>
      <c r="CI31" s="82">
        <v>92.053804517725226</v>
      </c>
      <c r="CJ31" s="82">
        <v>92.093911192768473</v>
      </c>
      <c r="CK31" s="82">
        <v>92.171018318113454</v>
      </c>
      <c r="CL31" s="82">
        <v>92.170388882730265</v>
      </c>
      <c r="CM31" s="82">
        <v>92.411917089115761</v>
      </c>
      <c r="CN31" s="82">
        <v>92.520319138110636</v>
      </c>
      <c r="CO31" s="82">
        <v>92.856249999457646</v>
      </c>
      <c r="CP31" s="82">
        <v>93.231323681665955</v>
      </c>
      <c r="CQ31" s="82">
        <v>93.426670758928907</v>
      </c>
      <c r="CR31" s="82">
        <v>93.524724255525697</v>
      </c>
      <c r="CS31" s="82">
        <v>93.660081030305093</v>
      </c>
      <c r="CT31" s="82">
        <v>93.800389824825615</v>
      </c>
      <c r="CU31" s="82">
        <v>94.176283224369598</v>
      </c>
      <c r="CV31" s="82">
        <v>94.341598692743887</v>
      </c>
      <c r="CW31" s="82">
        <v>94.190432837224506</v>
      </c>
      <c r="CX31" s="82">
        <v>94.665397273230653</v>
      </c>
      <c r="CY31" s="82">
        <v>94.790426002842963</v>
      </c>
      <c r="CZ31" s="82">
        <v>94.866292592051465</v>
      </c>
      <c r="DA31" s="82">
        <v>94.919697226024766</v>
      </c>
      <c r="DB31" s="82">
        <v>94.981614113293048</v>
      </c>
      <c r="DC31" s="82">
        <v>95.105930389661964</v>
      </c>
      <c r="DD31" s="82">
        <v>95.111549506944911</v>
      </c>
      <c r="DE31" s="82">
        <v>95.214521338058361</v>
      </c>
      <c r="DF31" s="82">
        <v>95.261891273050566</v>
      </c>
      <c r="DG31" s="82">
        <v>95.524223699050509</v>
      </c>
      <c r="DH31" s="82">
        <v>95.528263878952103</v>
      </c>
      <c r="DI31" s="82">
        <v>95.661233711348288</v>
      </c>
      <c r="DJ31" s="82">
        <v>95.953517503410765</v>
      </c>
      <c r="DK31" s="82">
        <v>97.290828393210887</v>
      </c>
      <c r="DL31" s="82">
        <v>96.094877818576904</v>
      </c>
      <c r="DM31" s="82">
        <v>96.097221360499304</v>
      </c>
      <c r="DN31" s="82">
        <v>96.187414663253904</v>
      </c>
      <c r="DO31" s="82">
        <v>96.254018214477028</v>
      </c>
      <c r="DP31" s="82">
        <v>96.352643073021326</v>
      </c>
      <c r="DQ31" s="82">
        <v>96.527596743418343</v>
      </c>
      <c r="DR31" s="82">
        <v>96.606099963401988</v>
      </c>
      <c r="DS31" s="82">
        <v>96.645869122653252</v>
      </c>
      <c r="DT31" s="82">
        <v>96.694872943196458</v>
      </c>
      <c r="DU31" s="82">
        <v>96.738354203625505</v>
      </c>
      <c r="DV31" s="82">
        <v>96.846183135982542</v>
      </c>
      <c r="DW31" s="82">
        <v>96.908348082072735</v>
      </c>
      <c r="DX31" s="82">
        <v>96.915042993456126</v>
      </c>
      <c r="DY31" s="82">
        <v>96.937218564617439</v>
      </c>
      <c r="DZ31" s="82">
        <v>97.110270251349505</v>
      </c>
      <c r="EA31" s="82">
        <v>97.258305540702565</v>
      </c>
      <c r="EB31" s="82">
        <v>97.266660722749791</v>
      </c>
      <c r="EC31" s="82">
        <v>97.450797438325182</v>
      </c>
      <c r="ED31" s="82">
        <v>97.578927692060972</v>
      </c>
      <c r="EE31" s="82">
        <v>98.022512267034131</v>
      </c>
      <c r="EF31" s="82">
        <v>98.318481994072613</v>
      </c>
      <c r="EG31" s="82">
        <v>98.384663810976122</v>
      </c>
      <c r="EH31" s="82">
        <v>98.777302673090588</v>
      </c>
      <c r="EI31" s="82">
        <v>99.108262281290479</v>
      </c>
      <c r="EJ31" s="82">
        <v>99.553396908602977</v>
      </c>
      <c r="EK31" s="82">
        <v>99.930459956905281</v>
      </c>
      <c r="EL31" s="82">
        <v>100.21115989811152</v>
      </c>
      <c r="EM31" s="82">
        <v>100.71353505483495</v>
      </c>
      <c r="EN31" s="82">
        <v>101.08127485187255</v>
      </c>
      <c r="EO31" s="82">
        <v>101.1956060995672</v>
      </c>
      <c r="EP31" s="82">
        <v>101.28212747136887</v>
      </c>
      <c r="EQ31" s="82">
        <v>101.44372899930694</v>
      </c>
    </row>
    <row r="32" spans="1:243" s="74" customFormat="1" ht="10.199999999999999" x14ac:dyDescent="0.2"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76"/>
      <c r="DX32" s="76"/>
      <c r="DY32" s="76"/>
      <c r="DZ32" s="76"/>
      <c r="EA32" s="76"/>
      <c r="EB32" s="76"/>
      <c r="EC32" s="76"/>
      <c r="ED32" s="76"/>
      <c r="EE32" s="76"/>
      <c r="EF32" s="76"/>
      <c r="EG32" s="76"/>
      <c r="EH32" s="76"/>
      <c r="EI32" s="76"/>
      <c r="EJ32" s="76"/>
      <c r="EK32" s="76"/>
      <c r="EL32" s="76"/>
      <c r="EM32" s="76"/>
      <c r="EN32" s="76"/>
      <c r="EO32" s="76"/>
      <c r="EP32" s="76"/>
      <c r="EQ32" s="76"/>
    </row>
    <row r="33" spans="2:176" s="3" customFormat="1" ht="10.199999999999999" x14ac:dyDescent="0.2">
      <c r="B33" s="3" t="s">
        <v>111</v>
      </c>
      <c r="P33" s="80">
        <v>84.766272502673459</v>
      </c>
      <c r="Q33" s="80">
        <v>84.884546685594785</v>
      </c>
      <c r="R33" s="80">
        <v>84.565112535032114</v>
      </c>
      <c r="S33" s="80">
        <v>84.729522228088811</v>
      </c>
      <c r="T33" s="80">
        <v>84.693673142052646</v>
      </c>
      <c r="U33" s="80">
        <v>83.412206899481689</v>
      </c>
      <c r="V33" s="80">
        <v>84.72406413808794</v>
      </c>
      <c r="W33" s="80">
        <v>84.620573608102504</v>
      </c>
      <c r="X33" s="80">
        <v>84.426661283105247</v>
      </c>
      <c r="Y33" s="80">
        <v>84.492665686203026</v>
      </c>
      <c r="Z33" s="80">
        <v>84.6528434729818</v>
      </c>
      <c r="AA33" s="80">
        <v>84.904440541322359</v>
      </c>
      <c r="AB33" s="80">
        <v>84.882613205343532</v>
      </c>
      <c r="AC33" s="80">
        <v>85.447838160861608</v>
      </c>
      <c r="AD33" s="80">
        <v>85.445759383499606</v>
      </c>
      <c r="AE33" s="80">
        <v>85.882065172514103</v>
      </c>
      <c r="AF33" s="80">
        <v>85.44410860963842</v>
      </c>
      <c r="AG33" s="80">
        <v>85.439632238738554</v>
      </c>
      <c r="AH33" s="80">
        <v>85.345676803404615</v>
      </c>
      <c r="AI33" s="80">
        <v>85.600598770203092</v>
      </c>
      <c r="AJ33" s="80">
        <v>85.100350520724106</v>
      </c>
      <c r="AK33" s="80">
        <v>85.916550635146365</v>
      </c>
      <c r="AL33" s="80">
        <v>86.013017621680376</v>
      </c>
      <c r="AM33" s="80">
        <v>85.970813215191981</v>
      </c>
      <c r="AN33" s="80">
        <v>85.944733621008879</v>
      </c>
      <c r="AO33" s="80">
        <v>86.248130960490798</v>
      </c>
      <c r="AP33" s="80">
        <v>86.224820253014698</v>
      </c>
      <c r="AQ33" s="80">
        <v>86.517538206046126</v>
      </c>
      <c r="AR33" s="80">
        <v>86.434548164464516</v>
      </c>
      <c r="AS33" s="80">
        <v>86.460703870367524</v>
      </c>
      <c r="AT33" s="80">
        <v>86.506671057629092</v>
      </c>
      <c r="AU33" s="80">
        <v>86.48139383082075</v>
      </c>
      <c r="AV33" s="80">
        <v>86.875965984022329</v>
      </c>
      <c r="AW33" s="80">
        <v>86.651580551523651</v>
      </c>
      <c r="AX33" s="80">
        <v>86.878136264227578</v>
      </c>
      <c r="AY33" s="80">
        <v>86.509569335179137</v>
      </c>
      <c r="AZ33" s="80">
        <v>86.565004329900987</v>
      </c>
      <c r="BA33" s="80">
        <v>86.989924514776789</v>
      </c>
      <c r="BB33" s="80">
        <v>87.063320367210423</v>
      </c>
      <c r="BC33" s="80">
        <v>87.131019583124754</v>
      </c>
      <c r="BD33" s="80">
        <v>87.65185992588161</v>
      </c>
      <c r="BE33" s="80">
        <v>88.51278114831122</v>
      </c>
      <c r="BF33" s="80">
        <v>87.982066421575055</v>
      </c>
      <c r="BG33" s="80">
        <v>88.274771413172587</v>
      </c>
      <c r="BH33" s="80">
        <v>88.241254864893634</v>
      </c>
      <c r="BI33" s="80">
        <v>88.199296209150063</v>
      </c>
      <c r="BJ33" s="80">
        <v>88.479421466428334</v>
      </c>
      <c r="BK33" s="80">
        <v>88.700075605654249</v>
      </c>
      <c r="BL33" s="80">
        <v>88.482632369794786</v>
      </c>
      <c r="BM33" s="80">
        <v>88.094506453966318</v>
      </c>
      <c r="BN33" s="80">
        <v>88.645068963909964</v>
      </c>
      <c r="BO33" s="80">
        <v>88.774000170746788</v>
      </c>
      <c r="BP33" s="80">
        <v>88.726443871364708</v>
      </c>
      <c r="BQ33" s="80">
        <v>89.567486169807367</v>
      </c>
      <c r="BR33" s="80">
        <v>88.734669420276845</v>
      </c>
      <c r="BS33" s="80">
        <v>88.676013049178707</v>
      </c>
      <c r="BT33" s="80">
        <v>89.116440595391552</v>
      </c>
      <c r="BU33" s="80">
        <v>89.140651817725924</v>
      </c>
      <c r="BV33" s="80">
        <v>89.292781439649914</v>
      </c>
      <c r="BW33" s="80">
        <v>89.524705367138324</v>
      </c>
      <c r="BX33" s="80">
        <v>89.056482579172794</v>
      </c>
      <c r="BY33" s="80">
        <v>89.072151620182311</v>
      </c>
      <c r="BZ33" s="80">
        <v>88.799708057368292</v>
      </c>
      <c r="CA33" s="80">
        <v>89.192167355803662</v>
      </c>
      <c r="CB33" s="80">
        <v>89.262445372807193</v>
      </c>
      <c r="CC33" s="80">
        <v>89.20248535584075</v>
      </c>
      <c r="CD33" s="80">
        <v>89.12995874672059</v>
      </c>
      <c r="CE33" s="80">
        <v>89.262510479480866</v>
      </c>
      <c r="CF33" s="80">
        <v>89.299421729316606</v>
      </c>
      <c r="CG33" s="80">
        <v>89.252472159475232</v>
      </c>
      <c r="CH33" s="80">
        <v>89.204731687247332</v>
      </c>
      <c r="CI33" s="80">
        <v>89.562021920590013</v>
      </c>
      <c r="CJ33" s="80">
        <v>89.629762987958756</v>
      </c>
      <c r="CK33" s="80">
        <v>89.815415815743549</v>
      </c>
      <c r="CL33" s="80">
        <v>89.764818313343852</v>
      </c>
      <c r="CM33" s="80">
        <v>89.786954487025895</v>
      </c>
      <c r="CN33" s="80">
        <v>90.011928253640718</v>
      </c>
      <c r="CO33" s="80">
        <v>90.446356377008584</v>
      </c>
      <c r="CP33" s="80">
        <v>90.505704080307552</v>
      </c>
      <c r="CQ33" s="80">
        <v>90.649906317691531</v>
      </c>
      <c r="CR33" s="80">
        <v>90.781947049068535</v>
      </c>
      <c r="CS33" s="80">
        <v>90.80156189796844</v>
      </c>
      <c r="CT33" s="80">
        <v>90.827623163934163</v>
      </c>
      <c r="CU33" s="80">
        <v>91.025740580946888</v>
      </c>
      <c r="CV33" s="80">
        <v>91.099785736450841</v>
      </c>
      <c r="CW33" s="80">
        <v>91.273776537315698</v>
      </c>
      <c r="CX33" s="80">
        <v>91.802660134648875</v>
      </c>
      <c r="CY33" s="80">
        <v>92.202863529150591</v>
      </c>
      <c r="CZ33" s="80">
        <v>92.373137599999907</v>
      </c>
      <c r="DA33" s="80">
        <v>92.376288822144446</v>
      </c>
      <c r="DB33" s="80">
        <v>92.319517569861233</v>
      </c>
      <c r="DC33" s="80">
        <v>92.623566630555359</v>
      </c>
      <c r="DD33" s="80">
        <v>92.706937677932999</v>
      </c>
      <c r="DE33" s="80">
        <v>92.78759806150066</v>
      </c>
      <c r="DF33" s="80">
        <v>92.80636643212344</v>
      </c>
      <c r="DG33" s="80">
        <v>92.801629646916595</v>
      </c>
      <c r="DH33" s="80">
        <v>92.985256670586978</v>
      </c>
      <c r="DI33" s="80">
        <v>93.243027611576679</v>
      </c>
      <c r="DJ33" s="80">
        <v>93.385069763127234</v>
      </c>
      <c r="DK33" s="80">
        <v>93.4974018520508</v>
      </c>
      <c r="DL33" s="80">
        <v>94.026997684479468</v>
      </c>
      <c r="DM33" s="80">
        <v>94.368985809827549</v>
      </c>
      <c r="DN33" s="80">
        <v>94.149940829658718</v>
      </c>
      <c r="DO33" s="80">
        <v>94.176208356274572</v>
      </c>
      <c r="DP33" s="80">
        <v>94.533586722448902</v>
      </c>
      <c r="DQ33" s="80">
        <v>94.674911414026553</v>
      </c>
      <c r="DR33" s="80">
        <v>94.7759315826804</v>
      </c>
      <c r="DS33" s="80">
        <v>94.752864665325703</v>
      </c>
      <c r="DT33" s="80">
        <v>94.951314980759889</v>
      </c>
      <c r="DU33" s="80">
        <v>95.000926192877529</v>
      </c>
      <c r="DV33" s="80">
        <v>95.211790504819618</v>
      </c>
      <c r="DW33" s="80">
        <v>95.290449803775658</v>
      </c>
      <c r="DX33" s="80">
        <v>95.366958371869799</v>
      </c>
      <c r="DY33" s="80">
        <v>95.419730494308581</v>
      </c>
      <c r="DZ33" s="80">
        <v>95.89784402589865</v>
      </c>
      <c r="EA33" s="80">
        <v>95.771530431973673</v>
      </c>
      <c r="EB33" s="80">
        <v>95.707534973846009</v>
      </c>
      <c r="EC33" s="80">
        <v>95.88670100280433</v>
      </c>
      <c r="ED33" s="80">
        <v>95.967143079802185</v>
      </c>
      <c r="EE33" s="80">
        <v>96.357409996801522</v>
      </c>
      <c r="EF33" s="80">
        <v>96.863082478568785</v>
      </c>
      <c r="EG33" s="80">
        <v>97.366292460531554</v>
      </c>
      <c r="EH33" s="80">
        <v>97.814764144409409</v>
      </c>
      <c r="EI33" s="80">
        <v>98.992017933161677</v>
      </c>
      <c r="EJ33" s="80">
        <v>99.390585272238454</v>
      </c>
      <c r="EK33" s="80">
        <v>100.55007969540895</v>
      </c>
      <c r="EL33" s="80">
        <v>100.80536753204743</v>
      </c>
      <c r="EM33" s="80">
        <v>101.1357890509197</v>
      </c>
      <c r="EN33" s="80">
        <v>101.17910854207734</v>
      </c>
      <c r="EO33" s="80">
        <v>101.57240185175968</v>
      </c>
      <c r="EP33" s="80">
        <v>102.01960432504302</v>
      </c>
      <c r="EQ33" s="80">
        <v>102.31090671383407</v>
      </c>
    </row>
    <row r="34" spans="2:176" s="3" customFormat="1" ht="10.199999999999999" x14ac:dyDescent="0.2">
      <c r="B34" s="3" t="s">
        <v>112</v>
      </c>
      <c r="P34" s="80">
        <v>75.261026448784932</v>
      </c>
      <c r="Q34" s="80">
        <v>75.202955314727802</v>
      </c>
      <c r="R34" s="80">
        <v>75.714005076035875</v>
      </c>
      <c r="S34" s="80">
        <v>76.110558423106866</v>
      </c>
      <c r="T34" s="80">
        <v>76.427460556232333</v>
      </c>
      <c r="U34" s="80">
        <v>76.350536748915104</v>
      </c>
      <c r="V34" s="80">
        <v>76.505154167576691</v>
      </c>
      <c r="W34" s="80">
        <v>77.051601548852076</v>
      </c>
      <c r="X34" s="80">
        <v>77.071802680309943</v>
      </c>
      <c r="Y34" s="80">
        <v>77.472118383119096</v>
      </c>
      <c r="Z34" s="80">
        <v>77.146298742593501</v>
      </c>
      <c r="AA34" s="80">
        <v>78.193508943836676</v>
      </c>
      <c r="AB34" s="80">
        <v>77.964572586430705</v>
      </c>
      <c r="AC34" s="80">
        <v>77.52710038126834</v>
      </c>
      <c r="AD34" s="80">
        <v>77.760498701855028</v>
      </c>
      <c r="AE34" s="80">
        <v>77.492541803153983</v>
      </c>
      <c r="AF34" s="80">
        <v>77.755082617386066</v>
      </c>
      <c r="AG34" s="80">
        <v>78.023517952546158</v>
      </c>
      <c r="AH34" s="80">
        <v>78.197803162175646</v>
      </c>
      <c r="AI34" s="80">
        <v>78.540721677800676</v>
      </c>
      <c r="AJ34" s="80">
        <v>78.961482521237272</v>
      </c>
      <c r="AK34" s="80">
        <v>79.580287381158257</v>
      </c>
      <c r="AL34" s="80">
        <v>79.806407806379966</v>
      </c>
      <c r="AM34" s="80">
        <v>79.792682765730092</v>
      </c>
      <c r="AN34" s="80">
        <v>78.985706580026317</v>
      </c>
      <c r="AO34" s="80">
        <v>78.916008264508633</v>
      </c>
      <c r="AP34" s="80">
        <v>78.78800000645559</v>
      </c>
      <c r="AQ34" s="80">
        <v>78.358396626475496</v>
      </c>
      <c r="AR34" s="80">
        <v>78.777519939480911</v>
      </c>
      <c r="AS34" s="80">
        <v>78.310816077942164</v>
      </c>
      <c r="AT34" s="80">
        <v>79.658552166048239</v>
      </c>
      <c r="AU34" s="80">
        <v>79.746912360224385</v>
      </c>
      <c r="AV34" s="80">
        <v>79.986563830405444</v>
      </c>
      <c r="AW34" s="80">
        <v>79.933281045831322</v>
      </c>
      <c r="AX34" s="80">
        <v>80.740070849822686</v>
      </c>
      <c r="AY34" s="80">
        <v>81.124297817291904</v>
      </c>
      <c r="AZ34" s="80">
        <v>80.184464445175138</v>
      </c>
      <c r="BA34" s="80">
        <v>80.549797502603823</v>
      </c>
      <c r="BB34" s="80">
        <v>80.266274763896178</v>
      </c>
      <c r="BC34" s="80">
        <v>81.113792361736571</v>
      </c>
      <c r="BD34" s="80">
        <v>81.255989557066286</v>
      </c>
      <c r="BE34" s="80">
        <v>81.615635870932152</v>
      </c>
      <c r="BF34" s="80">
        <v>82.184975122105485</v>
      </c>
      <c r="BG34" s="80">
        <v>81.811339871746469</v>
      </c>
      <c r="BH34" s="80">
        <v>82.173384183551562</v>
      </c>
      <c r="BI34" s="80">
        <v>82.382662449371793</v>
      </c>
      <c r="BJ34" s="80">
        <v>82.023306676910053</v>
      </c>
      <c r="BK34" s="80">
        <v>82.413463115981884</v>
      </c>
      <c r="BL34" s="80">
        <v>81.675563463349278</v>
      </c>
      <c r="BM34" s="80">
        <v>81.616866757954298</v>
      </c>
      <c r="BN34" s="80">
        <v>81.810008381785863</v>
      </c>
      <c r="BO34" s="80">
        <v>82.062110395214063</v>
      </c>
      <c r="BP34" s="80">
        <v>82.872691078236741</v>
      </c>
      <c r="BQ34" s="80">
        <v>82.225477693749355</v>
      </c>
      <c r="BR34" s="80">
        <v>82.384207514707967</v>
      </c>
      <c r="BS34" s="80">
        <v>82.714392232266832</v>
      </c>
      <c r="BT34" s="80">
        <v>82.653920476984268</v>
      </c>
      <c r="BU34" s="80">
        <v>82.222167171848383</v>
      </c>
      <c r="BV34" s="80">
        <v>82.201133860261834</v>
      </c>
      <c r="BW34" s="80">
        <v>82.164451794164975</v>
      </c>
      <c r="BX34" s="80">
        <v>81.485106702254726</v>
      </c>
      <c r="BY34" s="80">
        <v>81.512813786797707</v>
      </c>
      <c r="BZ34" s="80">
        <v>81.644439308400564</v>
      </c>
      <c r="CA34" s="80">
        <v>82.277922101619964</v>
      </c>
      <c r="CB34" s="80">
        <v>82.423569500743213</v>
      </c>
      <c r="CC34" s="80">
        <v>82.326864693180738</v>
      </c>
      <c r="CD34" s="80">
        <v>82.464299458841339</v>
      </c>
      <c r="CE34" s="80">
        <v>82.980984614699906</v>
      </c>
      <c r="CF34" s="80">
        <v>83.285603553996083</v>
      </c>
      <c r="CG34" s="80">
        <v>83.150874824018814</v>
      </c>
      <c r="CH34" s="80">
        <v>83.036241676167606</v>
      </c>
      <c r="CI34" s="80">
        <v>82.950107221565659</v>
      </c>
      <c r="CJ34" s="80">
        <v>82.632599048090427</v>
      </c>
      <c r="CK34" s="80">
        <v>82.39042530751216</v>
      </c>
      <c r="CL34" s="80">
        <v>82.476821823328677</v>
      </c>
      <c r="CM34" s="80">
        <v>82.875177417175678</v>
      </c>
      <c r="CN34" s="80">
        <v>83.123986824192983</v>
      </c>
      <c r="CO34" s="80">
        <v>82.862139880116587</v>
      </c>
      <c r="CP34" s="80">
        <v>82.717044345319181</v>
      </c>
      <c r="CQ34" s="80">
        <v>82.807157732773263</v>
      </c>
      <c r="CR34" s="80">
        <v>83.434857852793883</v>
      </c>
      <c r="CS34" s="80">
        <v>84.067157014788094</v>
      </c>
      <c r="CT34" s="80">
        <v>84.099377917860508</v>
      </c>
      <c r="CU34" s="80">
        <v>84.21070551201926</v>
      </c>
      <c r="CV34" s="80">
        <v>83.639867191529405</v>
      </c>
      <c r="CW34" s="80">
        <v>84.216076922471075</v>
      </c>
      <c r="CX34" s="80">
        <v>84.577503393995912</v>
      </c>
      <c r="CY34" s="80">
        <v>84.990601348698021</v>
      </c>
      <c r="CZ34" s="80">
        <v>84.928237659065161</v>
      </c>
      <c r="DA34" s="80">
        <v>85.071998539008248</v>
      </c>
      <c r="DB34" s="80">
        <v>85.511028344565261</v>
      </c>
      <c r="DC34" s="80">
        <v>85.652106201376142</v>
      </c>
      <c r="DD34" s="80">
        <v>85.861598325297265</v>
      </c>
      <c r="DE34" s="80">
        <v>86.350652792390306</v>
      </c>
      <c r="DF34" s="80">
        <v>86.810896352307878</v>
      </c>
      <c r="DG34" s="80">
        <v>86.873862077232019</v>
      </c>
      <c r="DH34" s="80">
        <v>87.037149416226626</v>
      </c>
      <c r="DI34" s="80">
        <v>87.147404465235041</v>
      </c>
      <c r="DJ34" s="80">
        <v>87.630047866013697</v>
      </c>
      <c r="DK34" s="80">
        <v>87.382550984405057</v>
      </c>
      <c r="DL34" s="80">
        <v>87.691233594132385</v>
      </c>
      <c r="DM34" s="80">
        <v>87.87679780802263</v>
      </c>
      <c r="DN34" s="80">
        <v>88.704340804902699</v>
      </c>
      <c r="DO34" s="80">
        <v>88.959013331552953</v>
      </c>
      <c r="DP34" s="80">
        <v>88.704044627720336</v>
      </c>
      <c r="DQ34" s="80">
        <v>89.407991324593922</v>
      </c>
      <c r="DR34" s="80">
        <v>89.169219276468141</v>
      </c>
      <c r="DS34" s="80">
        <v>89.441647538490884</v>
      </c>
      <c r="DT34" s="80">
        <v>89.10857013726546</v>
      </c>
      <c r="DU34" s="80">
        <v>89.233244211864445</v>
      </c>
      <c r="DV34" s="80">
        <v>89.723281312482257</v>
      </c>
      <c r="DW34" s="80">
        <v>90.233901443959994</v>
      </c>
      <c r="DX34" s="80">
        <v>90.689583116757063</v>
      </c>
      <c r="DY34" s="80">
        <v>91.167642093983545</v>
      </c>
      <c r="DZ34" s="80">
        <v>92.095464148878335</v>
      </c>
      <c r="EA34" s="80">
        <v>91.844290005912782</v>
      </c>
      <c r="EB34" s="80">
        <v>92.044558526689002</v>
      </c>
      <c r="EC34" s="80">
        <v>92.261270420778459</v>
      </c>
      <c r="ED34" s="80">
        <v>92.374479705696146</v>
      </c>
      <c r="EE34" s="80">
        <v>94.392160962275398</v>
      </c>
      <c r="EF34" s="80">
        <v>94.968348357197996</v>
      </c>
      <c r="EG34" s="80">
        <v>95.691721556077866</v>
      </c>
      <c r="EH34" s="80">
        <v>96.392568376210804</v>
      </c>
      <c r="EI34" s="80">
        <v>98.145000984522767</v>
      </c>
      <c r="EJ34" s="80">
        <v>98.897428629782141</v>
      </c>
      <c r="EK34" s="80">
        <v>99.17359077897332</v>
      </c>
      <c r="EL34" s="80">
        <v>100.41710657298088</v>
      </c>
      <c r="EM34" s="80">
        <v>101.72681338918923</v>
      </c>
      <c r="EN34" s="80">
        <v>102.57951323878002</v>
      </c>
      <c r="EO34" s="80">
        <v>103.09028341386237</v>
      </c>
      <c r="EP34" s="80">
        <v>104.13816271042766</v>
      </c>
      <c r="EQ34" s="80">
        <v>104.77946199199475</v>
      </c>
    </row>
    <row r="35" spans="2:176" s="3" customFormat="1" ht="10.199999999999999" x14ac:dyDescent="0.2">
      <c r="B35" s="3" t="s">
        <v>113</v>
      </c>
      <c r="P35" s="80">
        <v>84.537924923205594</v>
      </c>
      <c r="Q35" s="80">
        <v>84.805891577018471</v>
      </c>
      <c r="R35" s="80">
        <v>85.017238836673286</v>
      </c>
      <c r="S35" s="80">
        <v>84.85033957629112</v>
      </c>
      <c r="T35" s="80">
        <v>85.260562143629528</v>
      </c>
      <c r="U35" s="80">
        <v>85.142993339461995</v>
      </c>
      <c r="V35" s="80">
        <v>85.473224504849227</v>
      </c>
      <c r="W35" s="80">
        <v>85.349997329831226</v>
      </c>
      <c r="X35" s="80">
        <v>85.199811251013855</v>
      </c>
      <c r="Y35" s="80">
        <v>85.604564463910222</v>
      </c>
      <c r="Z35" s="80">
        <v>85.498730234739398</v>
      </c>
      <c r="AA35" s="80">
        <v>86.373220165530753</v>
      </c>
      <c r="AB35" s="80">
        <v>85.831252084719068</v>
      </c>
      <c r="AC35" s="80">
        <v>86.162617152874759</v>
      </c>
      <c r="AD35" s="80">
        <v>85.924013452460997</v>
      </c>
      <c r="AE35" s="80">
        <v>86.23880827349096</v>
      </c>
      <c r="AF35" s="80">
        <v>86.136609118249339</v>
      </c>
      <c r="AG35" s="80">
        <v>86.218063196327535</v>
      </c>
      <c r="AH35" s="80">
        <v>86.254903926316842</v>
      </c>
      <c r="AI35" s="80">
        <v>86.573948532080152</v>
      </c>
      <c r="AJ35" s="80">
        <v>86.603821761326671</v>
      </c>
      <c r="AK35" s="80">
        <v>86.69280470887864</v>
      </c>
      <c r="AL35" s="80">
        <v>86.527177677506373</v>
      </c>
      <c r="AM35" s="80">
        <v>87.563097280788114</v>
      </c>
      <c r="AN35" s="80">
        <v>86.770529297542254</v>
      </c>
      <c r="AO35" s="80">
        <v>86.874454478884218</v>
      </c>
      <c r="AP35" s="80">
        <v>86.706917024480845</v>
      </c>
      <c r="AQ35" s="80">
        <v>86.847452188592413</v>
      </c>
      <c r="AR35" s="80">
        <v>87.242982541416907</v>
      </c>
      <c r="AS35" s="80">
        <v>87.186444260489324</v>
      </c>
      <c r="AT35" s="80">
        <v>87.446219982379489</v>
      </c>
      <c r="AU35" s="80">
        <v>87.432076290866007</v>
      </c>
      <c r="AV35" s="80">
        <v>87.445393371719803</v>
      </c>
      <c r="AW35" s="80">
        <v>87.456276502038648</v>
      </c>
      <c r="AX35" s="80">
        <v>87.61496724045135</v>
      </c>
      <c r="AY35" s="80">
        <v>88.180525683401584</v>
      </c>
      <c r="AZ35" s="80">
        <v>87.608790606737017</v>
      </c>
      <c r="BA35" s="80">
        <v>87.530591456292584</v>
      </c>
      <c r="BB35" s="80">
        <v>87.566595406705318</v>
      </c>
      <c r="BC35" s="80">
        <v>87.005546558100747</v>
      </c>
      <c r="BD35" s="80">
        <v>87.372939247214973</v>
      </c>
      <c r="BE35" s="80">
        <v>87.682966107753515</v>
      </c>
      <c r="BF35" s="80">
        <v>87.714154552611248</v>
      </c>
      <c r="BG35" s="80">
        <v>87.786376647476885</v>
      </c>
      <c r="BH35" s="80">
        <v>87.768098461359614</v>
      </c>
      <c r="BI35" s="80">
        <v>87.506151773088931</v>
      </c>
      <c r="BJ35" s="80">
        <v>87.542917857515192</v>
      </c>
      <c r="BK35" s="80">
        <v>88.150549770590899</v>
      </c>
      <c r="BL35" s="80">
        <v>87.695375626301839</v>
      </c>
      <c r="BM35" s="80">
        <v>87.639306543795854</v>
      </c>
      <c r="BN35" s="80">
        <v>87.7810716434211</v>
      </c>
      <c r="BO35" s="80">
        <v>87.507472694707971</v>
      </c>
      <c r="BP35" s="80">
        <v>87.464988425662071</v>
      </c>
      <c r="BQ35" s="80">
        <v>87.487347472995978</v>
      </c>
      <c r="BR35" s="80">
        <v>87.919828585720609</v>
      </c>
      <c r="BS35" s="80">
        <v>88.113783434037373</v>
      </c>
      <c r="BT35" s="80">
        <v>88.269001151397234</v>
      </c>
      <c r="BU35" s="80">
        <v>88.170584286224909</v>
      </c>
      <c r="BV35" s="80">
        <v>87.841276410383884</v>
      </c>
      <c r="BW35" s="80">
        <v>88.702243028209338</v>
      </c>
      <c r="BX35" s="80">
        <v>88.603426516263724</v>
      </c>
      <c r="BY35" s="80">
        <v>88.439637305033912</v>
      </c>
      <c r="BZ35" s="80">
        <v>88.59236811800001</v>
      </c>
      <c r="CA35" s="80">
        <v>88.607689945117784</v>
      </c>
      <c r="CB35" s="80">
        <v>88.474599750662406</v>
      </c>
      <c r="CC35" s="80">
        <v>88.560895745787647</v>
      </c>
      <c r="CD35" s="80">
        <v>88.680893881086874</v>
      </c>
      <c r="CE35" s="80">
        <v>88.820821572519961</v>
      </c>
      <c r="CF35" s="80">
        <v>88.992522478357898</v>
      </c>
      <c r="CG35" s="80">
        <v>88.846369880269691</v>
      </c>
      <c r="CH35" s="80">
        <v>88.937402391691876</v>
      </c>
      <c r="CI35" s="80">
        <v>89.157369017560271</v>
      </c>
      <c r="CJ35" s="80">
        <v>89.118143096796601</v>
      </c>
      <c r="CK35" s="80">
        <v>89.37484913867911</v>
      </c>
      <c r="CL35" s="80">
        <v>89.402937055093474</v>
      </c>
      <c r="CM35" s="80">
        <v>89.696154321386103</v>
      </c>
      <c r="CN35" s="80">
        <v>89.878395348157227</v>
      </c>
      <c r="CO35" s="80">
        <v>89.906247409661617</v>
      </c>
      <c r="CP35" s="80">
        <v>90.11799681977952</v>
      </c>
      <c r="CQ35" s="80">
        <v>90.304176900875746</v>
      </c>
      <c r="CR35" s="80">
        <v>90.478320892679832</v>
      </c>
      <c r="CS35" s="80">
        <v>90.802798058066188</v>
      </c>
      <c r="CT35" s="80">
        <v>90.930948567763011</v>
      </c>
      <c r="CU35" s="80">
        <v>91.216291174003629</v>
      </c>
      <c r="CV35" s="80">
        <v>91.182953807870817</v>
      </c>
      <c r="CW35" s="80">
        <v>91.288669221038461</v>
      </c>
      <c r="CX35" s="80">
        <v>91.447564756580078</v>
      </c>
      <c r="CY35" s="80">
        <v>91.659274219433428</v>
      </c>
      <c r="CZ35" s="80">
        <v>91.852084924800451</v>
      </c>
      <c r="DA35" s="80">
        <v>92.094375029728809</v>
      </c>
      <c r="DB35" s="80">
        <v>92.207456438875781</v>
      </c>
      <c r="DC35" s="80">
        <v>92.419349070554489</v>
      </c>
      <c r="DD35" s="80">
        <v>92.558035902461114</v>
      </c>
      <c r="DE35" s="80">
        <v>92.997167914213449</v>
      </c>
      <c r="DF35" s="80">
        <v>93.238202358215261</v>
      </c>
      <c r="DG35" s="80">
        <v>93.591836855916014</v>
      </c>
      <c r="DH35" s="80">
        <v>93.4479590836618</v>
      </c>
      <c r="DI35" s="80">
        <v>93.513194671960903</v>
      </c>
      <c r="DJ35" s="80">
        <v>93.47533148087939</v>
      </c>
      <c r="DK35" s="80">
        <v>93.872178234336204</v>
      </c>
      <c r="DL35" s="80">
        <v>94.045269789923637</v>
      </c>
      <c r="DM35" s="80">
        <v>94.284517334352884</v>
      </c>
      <c r="DN35" s="80">
        <v>94.280438214705953</v>
      </c>
      <c r="DO35" s="80">
        <v>94.355124429835797</v>
      </c>
      <c r="DP35" s="80">
        <v>94.755353702547893</v>
      </c>
      <c r="DQ35" s="80">
        <v>94.904086132757328</v>
      </c>
      <c r="DR35" s="80">
        <v>95.073222948129384</v>
      </c>
      <c r="DS35" s="80">
        <v>95.303983779611826</v>
      </c>
      <c r="DT35" s="80">
        <v>95.297184413361876</v>
      </c>
      <c r="DU35" s="80">
        <v>95.416620482738054</v>
      </c>
      <c r="DV35" s="80">
        <v>95.779003960638363</v>
      </c>
      <c r="DW35" s="80">
        <v>95.71332179197023</v>
      </c>
      <c r="DX35" s="80">
        <v>95.891630874113432</v>
      </c>
      <c r="DY35" s="80">
        <v>96.084929949947934</v>
      </c>
      <c r="DZ35" s="80">
        <v>96.40226128484538</v>
      </c>
      <c r="EA35" s="80">
        <v>96.604117663614829</v>
      </c>
      <c r="EB35" s="80">
        <v>96.54860905087709</v>
      </c>
      <c r="EC35" s="80">
        <v>96.905502056311775</v>
      </c>
      <c r="ED35" s="80">
        <v>97.096107754124205</v>
      </c>
      <c r="EE35" s="80">
        <v>97.352940799373144</v>
      </c>
      <c r="EF35" s="80">
        <v>97.650020050620952</v>
      </c>
      <c r="EG35" s="80">
        <v>98.025602593781301</v>
      </c>
      <c r="EH35" s="80">
        <v>98.389764590809207</v>
      </c>
      <c r="EI35" s="80">
        <v>99.186414861270848</v>
      </c>
      <c r="EJ35" s="80">
        <v>99.796118034860754</v>
      </c>
      <c r="EK35" s="80">
        <v>100.29720431100093</v>
      </c>
      <c r="EL35" s="80">
        <v>100.3221406732613</v>
      </c>
      <c r="EM35" s="80">
        <v>100.70380226192415</v>
      </c>
      <c r="EN35" s="80">
        <v>101.16132636916556</v>
      </c>
      <c r="EO35" s="80">
        <v>101.28206608985995</v>
      </c>
      <c r="EP35" s="80">
        <v>101.36610098661865</v>
      </c>
      <c r="EQ35" s="80">
        <v>101.81943917682614</v>
      </c>
    </row>
    <row r="36" spans="2:176" s="81" customFormat="1" ht="10.199999999999999" x14ac:dyDescent="0.2">
      <c r="B36" s="81" t="s">
        <v>114</v>
      </c>
      <c r="P36" s="82">
        <v>82.104364376529531</v>
      </c>
      <c r="Q36" s="82">
        <v>81.869525606485311</v>
      </c>
      <c r="R36" s="82">
        <v>81.970436362468419</v>
      </c>
      <c r="S36" s="82">
        <v>82.187382825327035</v>
      </c>
      <c r="T36" s="82">
        <v>82.464475188880982</v>
      </c>
      <c r="U36" s="82">
        <v>82.856043358478416</v>
      </c>
      <c r="V36" s="82">
        <v>83.08075868758776</v>
      </c>
      <c r="W36" s="82">
        <v>83.366344521730596</v>
      </c>
      <c r="X36" s="82">
        <v>83.365507224086258</v>
      </c>
      <c r="Y36" s="82">
        <v>83.59506878291387</v>
      </c>
      <c r="Z36" s="82">
        <v>83.825896962232875</v>
      </c>
      <c r="AA36" s="82">
        <v>83.947472798462613</v>
      </c>
      <c r="AB36" s="82">
        <v>83.728743545187371</v>
      </c>
      <c r="AC36" s="82">
        <v>83.86248834202145</v>
      </c>
      <c r="AD36" s="82">
        <v>83.871605820252995</v>
      </c>
      <c r="AE36" s="82">
        <v>84.063008271035102</v>
      </c>
      <c r="AF36" s="82">
        <v>84.082599489005489</v>
      </c>
      <c r="AG36" s="82">
        <v>84.216931574981629</v>
      </c>
      <c r="AH36" s="82">
        <v>84.06896043370341</v>
      </c>
      <c r="AI36" s="82">
        <v>84.421242565469683</v>
      </c>
      <c r="AJ36" s="82">
        <v>84.606989883579445</v>
      </c>
      <c r="AK36" s="82">
        <v>84.721663323523046</v>
      </c>
      <c r="AL36" s="82">
        <v>84.675018819204752</v>
      </c>
      <c r="AM36" s="82">
        <v>84.986494935105043</v>
      </c>
      <c r="AN36" s="82">
        <v>84.97415000643754</v>
      </c>
      <c r="AO36" s="82">
        <v>84.856521445490699</v>
      </c>
      <c r="AP36" s="82">
        <v>84.737183121773228</v>
      </c>
      <c r="AQ36" s="82">
        <v>84.729352802182504</v>
      </c>
      <c r="AR36" s="82">
        <v>85.021949265097689</v>
      </c>
      <c r="AS36" s="82">
        <v>85.219199418323271</v>
      </c>
      <c r="AT36" s="82">
        <v>88.440502504010723</v>
      </c>
      <c r="AU36" s="82">
        <v>88.631665436916009</v>
      </c>
      <c r="AV36" s="82">
        <v>88.995231656892926</v>
      </c>
      <c r="AW36" s="82">
        <v>88.871400775803849</v>
      </c>
      <c r="AX36" s="82">
        <v>89.136038678419467</v>
      </c>
      <c r="AY36" s="82">
        <v>89.305710295364022</v>
      </c>
      <c r="AZ36" s="82">
        <v>89.149192881523192</v>
      </c>
      <c r="BA36" s="82">
        <v>89.537086531681624</v>
      </c>
      <c r="BB36" s="82">
        <v>89.843169915664021</v>
      </c>
      <c r="BC36" s="82">
        <v>90.016879648307054</v>
      </c>
      <c r="BD36" s="82">
        <v>90.15694539637137</v>
      </c>
      <c r="BE36" s="82">
        <v>90.536070609480504</v>
      </c>
      <c r="BF36" s="82">
        <v>90.39537825664263</v>
      </c>
      <c r="BG36" s="82">
        <v>90.677048231722324</v>
      </c>
      <c r="BH36" s="82">
        <v>90.938670357333649</v>
      </c>
      <c r="BI36" s="82">
        <v>90.738405221677041</v>
      </c>
      <c r="BJ36" s="82">
        <v>90.80450926259897</v>
      </c>
      <c r="BK36" s="82">
        <v>90.842122540159139</v>
      </c>
      <c r="BL36" s="82">
        <v>90.970948748787478</v>
      </c>
      <c r="BM36" s="82">
        <v>90.993923932913148</v>
      </c>
      <c r="BN36" s="82">
        <v>90.913056662525477</v>
      </c>
      <c r="BO36" s="82">
        <v>90.988346583668033</v>
      </c>
      <c r="BP36" s="82">
        <v>91.017969024665206</v>
      </c>
      <c r="BQ36" s="82">
        <v>91.188708765143673</v>
      </c>
      <c r="BR36" s="82">
        <v>91.054657668174443</v>
      </c>
      <c r="BS36" s="82">
        <v>91.340292584787377</v>
      </c>
      <c r="BT36" s="82">
        <v>91.264823910535</v>
      </c>
      <c r="BU36" s="82">
        <v>91.297917349366884</v>
      </c>
      <c r="BV36" s="82">
        <v>91.428557703877075</v>
      </c>
      <c r="BW36" s="82">
        <v>91.541226482102616</v>
      </c>
      <c r="BX36" s="82">
        <v>91.737970321464942</v>
      </c>
      <c r="BY36" s="82">
        <v>91.754404305381499</v>
      </c>
      <c r="BZ36" s="82">
        <v>91.858979510965568</v>
      </c>
      <c r="CA36" s="82">
        <v>92.022348374718405</v>
      </c>
      <c r="CB36" s="82">
        <v>91.890878019164219</v>
      </c>
      <c r="CC36" s="82">
        <v>91.945037192516196</v>
      </c>
      <c r="CD36" s="82">
        <v>91.954899471768613</v>
      </c>
      <c r="CE36" s="82">
        <v>92.082695069107871</v>
      </c>
      <c r="CF36" s="82">
        <v>92.029110127731556</v>
      </c>
      <c r="CG36" s="82">
        <v>91.957833775494962</v>
      </c>
      <c r="CH36" s="82">
        <v>91.950735868139006</v>
      </c>
      <c r="CI36" s="82">
        <v>92.08321880293181</v>
      </c>
      <c r="CJ36" s="82">
        <v>92.128598675580662</v>
      </c>
      <c r="CK36" s="82">
        <v>92.20184567435949</v>
      </c>
      <c r="CL36" s="82">
        <v>92.201265355336488</v>
      </c>
      <c r="CM36" s="82">
        <v>92.444913450486084</v>
      </c>
      <c r="CN36" s="82">
        <v>92.55378459344071</v>
      </c>
      <c r="CO36" s="82">
        <v>92.888822297321965</v>
      </c>
      <c r="CP36" s="82">
        <v>93.267402078442601</v>
      </c>
      <c r="CQ36" s="82">
        <v>93.464176675426856</v>
      </c>
      <c r="CR36" s="82">
        <v>93.562820879673836</v>
      </c>
      <c r="CS36" s="82">
        <v>93.700060536083285</v>
      </c>
      <c r="CT36" s="82">
        <v>93.840269939196943</v>
      </c>
      <c r="CU36" s="82">
        <v>94.218778621304395</v>
      </c>
      <c r="CV36" s="82">
        <v>94.385860220626554</v>
      </c>
      <c r="CW36" s="82">
        <v>94.230458718171931</v>
      </c>
      <c r="CX36" s="82">
        <v>94.706820595481304</v>
      </c>
      <c r="CY36" s="82">
        <v>94.830856840788655</v>
      </c>
      <c r="CZ36" s="82">
        <v>94.902127904417966</v>
      </c>
      <c r="DA36" s="82">
        <v>94.955814548486387</v>
      </c>
      <c r="DB36" s="82">
        <v>95.021720762535111</v>
      </c>
      <c r="DC36" s="82">
        <v>95.144715844752412</v>
      </c>
      <c r="DD36" s="82">
        <v>95.14948501909565</v>
      </c>
      <c r="DE36" s="82">
        <v>95.251907015688545</v>
      </c>
      <c r="DF36" s="82">
        <v>95.299216061179791</v>
      </c>
      <c r="DG36" s="82">
        <v>95.564813723194575</v>
      </c>
      <c r="DH36" s="82">
        <v>95.566709432897355</v>
      </c>
      <c r="DI36" s="82">
        <v>95.695086644546279</v>
      </c>
      <c r="DJ36" s="82">
        <v>95.987510414993238</v>
      </c>
      <c r="DK36" s="82">
        <v>97.338259183931569</v>
      </c>
      <c r="DL36" s="82">
        <v>96.130302267335765</v>
      </c>
      <c r="DM36" s="82">
        <v>96.133469701852007</v>
      </c>
      <c r="DN36" s="82">
        <v>96.221667052305349</v>
      </c>
      <c r="DO36" s="82">
        <v>96.289271919484193</v>
      </c>
      <c r="DP36" s="82">
        <v>96.387478168737502</v>
      </c>
      <c r="DQ36" s="82">
        <v>96.561656064702348</v>
      </c>
      <c r="DR36" s="82">
        <v>96.640188069026493</v>
      </c>
      <c r="DS36" s="82">
        <v>96.680364132464831</v>
      </c>
      <c r="DT36" s="82">
        <v>96.727081189752923</v>
      </c>
      <c r="DU36" s="82">
        <v>96.766545265274473</v>
      </c>
      <c r="DV36" s="82">
        <v>96.872838103275257</v>
      </c>
      <c r="DW36" s="82">
        <v>96.936039127952952</v>
      </c>
      <c r="DX36" s="82">
        <v>96.942256247077609</v>
      </c>
      <c r="DY36" s="82">
        <v>96.967127874691059</v>
      </c>
      <c r="DZ36" s="82">
        <v>97.14123451398109</v>
      </c>
      <c r="EA36" s="82">
        <v>97.290648754944002</v>
      </c>
      <c r="EB36" s="82">
        <v>97.299978738404832</v>
      </c>
      <c r="EC36" s="82">
        <v>97.486468057730406</v>
      </c>
      <c r="ED36" s="82">
        <v>97.610095097698064</v>
      </c>
      <c r="EE36" s="82">
        <v>98.051636873424442</v>
      </c>
      <c r="EF36" s="82">
        <v>98.345444001748945</v>
      </c>
      <c r="EG36" s="82">
        <v>98.406466744400404</v>
      </c>
      <c r="EH36" s="82">
        <v>98.789158267641142</v>
      </c>
      <c r="EI36" s="82">
        <v>99.108050322055988</v>
      </c>
      <c r="EJ36" s="82">
        <v>99.547491725645401</v>
      </c>
      <c r="EK36" s="82">
        <v>99.936653218423004</v>
      </c>
      <c r="EL36" s="82">
        <v>100.21544896251189</v>
      </c>
      <c r="EM36" s="82">
        <v>100.70361587646153</v>
      </c>
      <c r="EN36" s="82">
        <v>101.06658666981588</v>
      </c>
      <c r="EO36" s="82">
        <v>101.18186081890583</v>
      </c>
      <c r="EP36" s="82">
        <v>101.26925865795397</v>
      </c>
      <c r="EQ36" s="82">
        <v>101.42996473443601</v>
      </c>
    </row>
    <row r="37" spans="2:176" s="198" customFormat="1" ht="10.8" x14ac:dyDescent="0.25">
      <c r="C37" s="15"/>
    </row>
    <row r="38" spans="2:176" s="198" customFormat="1" ht="10.199999999999999" x14ac:dyDescent="0.2">
      <c r="B38" s="9" t="s">
        <v>5</v>
      </c>
      <c r="C38" s="9"/>
      <c r="D38" s="10" t="str">
        <f t="shared" ref="D38:BK38" si="3">IF(OR(D5="",D9="",D16=""),"",SUMPRODUCT(D8:D18,$C$8:$C$18)/SUM($C$8:$C$18))</f>
        <v/>
      </c>
      <c r="E38" s="10" t="str">
        <f t="shared" si="3"/>
        <v/>
      </c>
      <c r="F38" s="10" t="str">
        <f t="shared" si="3"/>
        <v/>
      </c>
      <c r="G38" s="10" t="str">
        <f t="shared" si="3"/>
        <v/>
      </c>
      <c r="H38" s="10" t="str">
        <f t="shared" si="3"/>
        <v/>
      </c>
      <c r="I38" s="10" t="str">
        <f t="shared" si="3"/>
        <v/>
      </c>
      <c r="J38" s="10" t="str">
        <f t="shared" si="3"/>
        <v/>
      </c>
      <c r="K38" s="10" t="str">
        <f t="shared" si="3"/>
        <v/>
      </c>
      <c r="L38" s="10" t="str">
        <f t="shared" si="3"/>
        <v/>
      </c>
      <c r="M38" s="10" t="str">
        <f t="shared" si="3"/>
        <v/>
      </c>
      <c r="N38" s="10" t="str">
        <f t="shared" si="3"/>
        <v/>
      </c>
      <c r="O38" s="10" t="str">
        <f t="shared" si="3"/>
        <v/>
      </c>
      <c r="P38" s="10">
        <f t="shared" si="3"/>
        <v>83.614444993931087</v>
      </c>
      <c r="Q38" s="10">
        <f t="shared" si="3"/>
        <v>83.535725616888712</v>
      </c>
      <c r="R38" s="10">
        <f t="shared" si="3"/>
        <v>83.833762635607172</v>
      </c>
      <c r="S38" s="10">
        <f t="shared" si="3"/>
        <v>83.933250483139034</v>
      </c>
      <c r="T38" s="10">
        <f t="shared" si="3"/>
        <v>84.139365046107571</v>
      </c>
      <c r="U38" s="10">
        <f t="shared" si="3"/>
        <v>84.205171122935525</v>
      </c>
      <c r="V38" s="10">
        <f t="shared" si="3"/>
        <v>84.512315890647102</v>
      </c>
      <c r="W38" s="10">
        <f t="shared" si="3"/>
        <v>84.600912931884537</v>
      </c>
      <c r="X38" s="10">
        <f t="shared" si="3"/>
        <v>84.459759059084291</v>
      </c>
      <c r="Y38" s="10">
        <f t="shared" si="3"/>
        <v>84.695389872348017</v>
      </c>
      <c r="Z38" s="10">
        <f t="shared" si="3"/>
        <v>84.794742611499075</v>
      </c>
      <c r="AA38" s="10">
        <f t="shared" si="3"/>
        <v>85.127858841369431</v>
      </c>
      <c r="AB38" s="10">
        <f t="shared" si="3"/>
        <v>84.970283172197568</v>
      </c>
      <c r="AC38" s="10">
        <f t="shared" si="3"/>
        <v>85.110919641726809</v>
      </c>
      <c r="AD38" s="10">
        <f t="shared" si="3"/>
        <v>85.219182231727089</v>
      </c>
      <c r="AE38" s="10">
        <f t="shared" si="3"/>
        <v>85.267808346713153</v>
      </c>
      <c r="AF38" s="10">
        <f t="shared" si="3"/>
        <v>85.181557446890039</v>
      </c>
      <c r="AG38" s="10">
        <f t="shared" si="3"/>
        <v>85.308837106974778</v>
      </c>
      <c r="AH38" s="10">
        <f t="shared" si="3"/>
        <v>85.36790952165272</v>
      </c>
      <c r="AI38" s="10">
        <f t="shared" si="3"/>
        <v>85.478424833305738</v>
      </c>
      <c r="AJ38" s="10">
        <f t="shared" si="3"/>
        <v>85.691887967766235</v>
      </c>
      <c r="AK38" s="10">
        <f t="shared" si="3"/>
        <v>85.893946232863144</v>
      </c>
      <c r="AL38" s="10">
        <f t="shared" si="3"/>
        <v>85.88959286068912</v>
      </c>
      <c r="AM38" s="10">
        <f t="shared" si="3"/>
        <v>86.233656430537692</v>
      </c>
      <c r="AN38" s="10">
        <f t="shared" si="3"/>
        <v>86.118715249111787</v>
      </c>
      <c r="AO38" s="10">
        <f t="shared" si="3"/>
        <v>86.083818368129357</v>
      </c>
      <c r="AP38" s="10">
        <f t="shared" si="3"/>
        <v>85.992715612618966</v>
      </c>
      <c r="AQ38" s="10">
        <f t="shared" si="3"/>
        <v>85.890406609403627</v>
      </c>
      <c r="AR38" s="10">
        <f t="shared" si="3"/>
        <v>86.074768611053614</v>
      </c>
      <c r="AS38" s="10">
        <f t="shared" si="3"/>
        <v>86.108870969793117</v>
      </c>
      <c r="AT38" s="10">
        <f t="shared" si="3"/>
        <v>88.132703071357483</v>
      </c>
      <c r="AU38" s="10">
        <f t="shared" si="3"/>
        <v>88.253812805255066</v>
      </c>
      <c r="AV38" s="10">
        <f t="shared" si="3"/>
        <v>88.590366351304667</v>
      </c>
      <c r="AW38" s="10">
        <f t="shared" si="3"/>
        <v>88.371085391143595</v>
      </c>
      <c r="AX38" s="10">
        <f t="shared" si="3"/>
        <v>88.902809650948527</v>
      </c>
      <c r="AY38" s="10">
        <f t="shared" si="3"/>
        <v>89.165441994481654</v>
      </c>
      <c r="AZ38" s="10">
        <f t="shared" si="3"/>
        <v>88.742481148544826</v>
      </c>
      <c r="BA38" s="10">
        <f t="shared" si="3"/>
        <v>89.097552578211079</v>
      </c>
      <c r="BB38" s="10">
        <f t="shared" si="3"/>
        <v>89.246425477669035</v>
      </c>
      <c r="BC38" s="10">
        <f t="shared" si="3"/>
        <v>89.393853757549522</v>
      </c>
      <c r="BD38" s="10">
        <f t="shared" si="3"/>
        <v>89.516619412591467</v>
      </c>
      <c r="BE38" s="10">
        <f t="shared" si="3"/>
        <v>89.973458686979896</v>
      </c>
      <c r="BF38" s="10">
        <f t="shared" si="3"/>
        <v>89.794853127961233</v>
      </c>
      <c r="BG38" s="10">
        <f t="shared" si="3"/>
        <v>89.961393098609534</v>
      </c>
      <c r="BH38" s="10">
        <f t="shared" si="3"/>
        <v>90.145216156133372</v>
      </c>
      <c r="BI38" s="10">
        <f t="shared" si="3"/>
        <v>89.877555289752692</v>
      </c>
      <c r="BJ38" s="10">
        <f t="shared" si="3"/>
        <v>89.997530373738371</v>
      </c>
      <c r="BK38" s="10">
        <f t="shared" si="3"/>
        <v>90.260979422400837</v>
      </c>
      <c r="BL38" s="10">
        <f t="shared" ref="BL38:DW38" si="4">IF(OR(BL5="",BL9="",BL16=""),"",SUMPRODUCT(BL8:BL18,$C$8:$C$18)/SUM($C$8:$C$18))</f>
        <v>90.078050504912667</v>
      </c>
      <c r="BM38" s="10">
        <f t="shared" si="4"/>
        <v>89.908781595940269</v>
      </c>
      <c r="BN38" s="10">
        <f t="shared" si="4"/>
        <v>90.180745595411636</v>
      </c>
      <c r="BO38" s="10">
        <f t="shared" si="4"/>
        <v>90.109814099422209</v>
      </c>
      <c r="BP38" s="10">
        <f t="shared" si="4"/>
        <v>90.214235683914964</v>
      </c>
      <c r="BQ38" s="10">
        <f t="shared" si="4"/>
        <v>90.1415301685945</v>
      </c>
      <c r="BR38" s="10">
        <f t="shared" si="4"/>
        <v>90.163308346233805</v>
      </c>
      <c r="BS38" s="10">
        <f t="shared" si="4"/>
        <v>90.510677914144892</v>
      </c>
      <c r="BT38" s="10">
        <f t="shared" si="4"/>
        <v>90.438393369078824</v>
      </c>
      <c r="BU38" s="10">
        <f t="shared" si="4"/>
        <v>90.466256145832929</v>
      </c>
      <c r="BV38" s="10">
        <f t="shared" si="4"/>
        <v>90.461687786957299</v>
      </c>
      <c r="BW38" s="10">
        <f t="shared" si="4"/>
        <v>90.873629228555004</v>
      </c>
      <c r="BX38" s="10">
        <f t="shared" si="4"/>
        <v>90.889170173343089</v>
      </c>
      <c r="BY38" s="10">
        <f t="shared" si="4"/>
        <v>90.802245269424944</v>
      </c>
      <c r="BZ38" s="10">
        <f t="shared" si="4"/>
        <v>91.00139226791002</v>
      </c>
      <c r="CA38" s="10">
        <f t="shared" si="4"/>
        <v>91.103273417687475</v>
      </c>
      <c r="CB38" s="10">
        <f t="shared" si="4"/>
        <v>91.017010281098607</v>
      </c>
      <c r="CC38" s="10">
        <f t="shared" si="4"/>
        <v>91.087413145843811</v>
      </c>
      <c r="CD38" s="10">
        <f t="shared" si="4"/>
        <v>91.11537404201502</v>
      </c>
      <c r="CE38" s="10">
        <f t="shared" si="4"/>
        <v>91.242425245344776</v>
      </c>
      <c r="CF38" s="10">
        <f t="shared" si="4"/>
        <v>91.294862118984042</v>
      </c>
      <c r="CG38" s="10">
        <f t="shared" si="4"/>
        <v>91.330583430072679</v>
      </c>
      <c r="CH38" s="10">
        <f t="shared" si="4"/>
        <v>91.282276326902718</v>
      </c>
      <c r="CI38" s="10">
        <f t="shared" si="4"/>
        <v>91.312947586692061</v>
      </c>
      <c r="CJ38" s="10">
        <f t="shared" si="4"/>
        <v>91.447044799666415</v>
      </c>
      <c r="CK38" s="10">
        <f t="shared" si="4"/>
        <v>91.37378991836745</v>
      </c>
      <c r="CL38" s="10">
        <f t="shared" si="4"/>
        <v>91.31199879770115</v>
      </c>
      <c r="CM38" s="10">
        <f t="shared" si="4"/>
        <v>91.485617261287061</v>
      </c>
      <c r="CN38" s="10">
        <f t="shared" si="4"/>
        <v>91.681464385450056</v>
      </c>
      <c r="CO38" s="10">
        <f t="shared" si="4"/>
        <v>91.837927278394304</v>
      </c>
      <c r="CP38" s="10">
        <f t="shared" si="4"/>
        <v>92.064578440317163</v>
      </c>
      <c r="CQ38" s="10">
        <f t="shared" si="4"/>
        <v>92.242816580936946</v>
      </c>
      <c r="CR38" s="10">
        <f t="shared" si="4"/>
        <v>92.373065854122217</v>
      </c>
      <c r="CS38" s="10">
        <f t="shared" si="4"/>
        <v>92.601890137412852</v>
      </c>
      <c r="CT38" s="10">
        <f t="shared" si="4"/>
        <v>92.695201657968468</v>
      </c>
      <c r="CU38" s="10">
        <f t="shared" si="4"/>
        <v>92.966594533399459</v>
      </c>
      <c r="CV38" s="10">
        <f t="shared" si="4"/>
        <v>93.080633856953312</v>
      </c>
      <c r="CW38" s="10">
        <f t="shared" si="4"/>
        <v>93.084836652479268</v>
      </c>
      <c r="CX38" s="10">
        <f t="shared" si="4"/>
        <v>93.450215679794638</v>
      </c>
      <c r="CY38" s="10">
        <f t="shared" si="4"/>
        <v>93.681256725882534</v>
      </c>
      <c r="CZ38" s="10">
        <f t="shared" si="4"/>
        <v>93.790150544122298</v>
      </c>
      <c r="DA38" s="10">
        <f t="shared" si="4"/>
        <v>93.854271780243792</v>
      </c>
      <c r="DB38" s="10">
        <f t="shared" si="4"/>
        <v>93.97190950068385</v>
      </c>
      <c r="DC38" s="10">
        <f t="shared" si="4"/>
        <v>94.208094935521373</v>
      </c>
      <c r="DD38" s="10">
        <f t="shared" si="4"/>
        <v>94.26308999855172</v>
      </c>
      <c r="DE38" s="10">
        <f t="shared" si="4"/>
        <v>94.664340578793713</v>
      </c>
      <c r="DF38" s="10">
        <f t="shared" si="4"/>
        <v>94.941181228171573</v>
      </c>
      <c r="DG38" s="10">
        <f t="shared" si="4"/>
        <v>95.028789766400791</v>
      </c>
      <c r="DH38" s="10">
        <f t="shared" si="4"/>
        <v>95.069674685939091</v>
      </c>
      <c r="DI38" s="10">
        <f t="shared" si="4"/>
        <v>95.156704124702202</v>
      </c>
      <c r="DJ38" s="10">
        <f t="shared" si="4"/>
        <v>95.320212596485462</v>
      </c>
      <c r="DK38" s="10">
        <f t="shared" si="4"/>
        <v>96.152996231391441</v>
      </c>
      <c r="DL38" s="10"/>
      <c r="DM38" s="10">
        <f t="shared" si="4"/>
        <v>95.620468904995022</v>
      </c>
      <c r="DN38" s="10">
        <f t="shared" si="4"/>
        <v>95.674554483243384</v>
      </c>
      <c r="DO38" s="10">
        <f t="shared" si="4"/>
        <v>95.902080625588269</v>
      </c>
      <c r="DP38" s="10">
        <f t="shared" si="4"/>
        <v>95.886128861179742</v>
      </c>
      <c r="DQ38" s="10">
        <f t="shared" si="4"/>
        <v>96.242141863998597</v>
      </c>
      <c r="DR38" s="10">
        <f t="shared" si="4"/>
        <v>96.281877999247655</v>
      </c>
      <c r="DS38" s="10">
        <f t="shared" si="4"/>
        <v>96.407402327350255</v>
      </c>
      <c r="DT38" s="10">
        <f t="shared" si="4"/>
        <v>96.502075585975888</v>
      </c>
      <c r="DU38" s="10">
        <f t="shared" si="4"/>
        <v>96.520401859732999</v>
      </c>
      <c r="DV38" s="10">
        <f t="shared" si="4"/>
        <v>96.641166314534743</v>
      </c>
      <c r="DW38" s="10">
        <f t="shared" si="4"/>
        <v>96.748608380088001</v>
      </c>
      <c r="DX38" s="10">
        <f t="shared" ref="DX38:FO38" si="5">IF(OR(DX5="",DX9="",DX16=""),"",SUMPRODUCT(DX8:DX18,$C$8:$C$18)/SUM($C$8:$C$18))</f>
        <v>96.864379627122076</v>
      </c>
      <c r="DY38" s="10">
        <f t="shared" si="5"/>
        <v>96.914998999936728</v>
      </c>
      <c r="DZ38" s="10">
        <f t="shared" si="5"/>
        <v>97.17051612851327</v>
      </c>
      <c r="EA38" s="10">
        <f t="shared" si="5"/>
        <v>97.183886236811588</v>
      </c>
      <c r="EB38" s="10">
        <f t="shared" si="5"/>
        <v>97.228411672263633</v>
      </c>
      <c r="EC38" s="10">
        <f t="shared" si="5"/>
        <v>97.432300007182135</v>
      </c>
      <c r="ED38" s="10">
        <f t="shared" si="5"/>
        <v>97.471945286790643</v>
      </c>
      <c r="EE38" s="10">
        <f t="shared" si="5"/>
        <v>97.82935810889704</v>
      </c>
      <c r="EF38" s="10">
        <f t="shared" si="5"/>
        <v>98.171759253158967</v>
      </c>
      <c r="EG38" s="10">
        <f t="shared" si="5"/>
        <v>98.332176440003707</v>
      </c>
      <c r="EH38" s="10">
        <f>IF(OR(ET5="",ET9="",ET16=""),"",SUMPRODUCT(ET8:ET18,$C$8:$C$18)/SUM($C$8:$C$18))</f>
        <v>104.90138295425083</v>
      </c>
      <c r="EI38" s="10">
        <f t="shared" si="5"/>
        <v>99.196795538886022</v>
      </c>
      <c r="EJ38" s="10">
        <f t="shared" si="5"/>
        <v>99.643729715548119</v>
      </c>
      <c r="EK38" s="10">
        <f t="shared" si="5"/>
        <v>99.900192812324505</v>
      </c>
      <c r="EL38" s="10">
        <f t="shared" si="5"/>
        <v>100.10059410345109</v>
      </c>
      <c r="EM38" s="10">
        <f t="shared" si="5"/>
        <v>100.50855355609802</v>
      </c>
      <c r="EN38" s="10">
        <f t="shared" si="5"/>
        <v>100.88646908879736</v>
      </c>
      <c r="EO38" s="10">
        <f t="shared" si="5"/>
        <v>101.27568705882456</v>
      </c>
      <c r="EP38" s="10">
        <f t="shared" si="5"/>
        <v>101.47381495676498</v>
      </c>
      <c r="EQ38" s="10">
        <f t="shared" si="5"/>
        <v>101.78956596906544</v>
      </c>
      <c r="ER38" s="10">
        <f t="shared" si="5"/>
        <v>102.03525979421714</v>
      </c>
      <c r="ES38" s="10">
        <f t="shared" si="5"/>
        <v>103.82842122470575</v>
      </c>
      <c r="ET38" s="10">
        <f t="shared" si="5"/>
        <v>104.90138295425083</v>
      </c>
      <c r="EU38" s="10">
        <f t="shared" si="5"/>
        <v>105.32945852898261</v>
      </c>
      <c r="EV38" s="10">
        <f t="shared" si="5"/>
        <v>105.51038737252647</v>
      </c>
      <c r="EW38" s="10">
        <f t="shared" si="5"/>
        <v>105.90351221014079</v>
      </c>
      <c r="EX38" s="10">
        <f t="shared" si="5"/>
        <v>106.12627649398046</v>
      </c>
      <c r="EY38" s="10">
        <f t="shared" si="5"/>
        <v>106.32973194758918</v>
      </c>
      <c r="EZ38" s="10">
        <f t="shared" si="5"/>
        <v>106.48629167425068</v>
      </c>
      <c r="FA38" s="10">
        <f t="shared" si="5"/>
        <v>106.58392596034524</v>
      </c>
      <c r="FB38" s="10">
        <f t="shared" si="5"/>
        <v>106.7964905181817</v>
      </c>
      <c r="FC38" s="10">
        <f t="shared" si="5"/>
        <v>107.01375548359158</v>
      </c>
      <c r="FD38" s="10">
        <f t="shared" si="5"/>
        <v>107.00019067175124</v>
      </c>
      <c r="FE38" s="10">
        <f t="shared" si="5"/>
        <v>108.56928718099149</v>
      </c>
      <c r="FF38" s="10">
        <f t="shared" si="5"/>
        <v>109.10214139043708</v>
      </c>
      <c r="FG38" s="10">
        <f t="shared" si="5"/>
        <v>109.4069521853916</v>
      </c>
      <c r="FH38" s="10">
        <f t="shared" si="5"/>
        <v>109.71204165444412</v>
      </c>
      <c r="FI38" s="10">
        <f t="shared" si="5"/>
        <v>109.85481079495456</v>
      </c>
      <c r="FJ38" s="10">
        <f t="shared" si="5"/>
        <v>109.93777527660497</v>
      </c>
      <c r="FK38" s="10">
        <f t="shared" si="5"/>
        <v>110.0607111777264</v>
      </c>
      <c r="FL38" s="10">
        <f t="shared" si="5"/>
        <v>110.27328320537367</v>
      </c>
      <c r="FM38" s="10">
        <f t="shared" si="5"/>
        <v>110.49696347558697</v>
      </c>
      <c r="FN38" s="10">
        <f t="shared" si="5"/>
        <v>110.76358562435313</v>
      </c>
      <c r="FO38" s="10">
        <f t="shared" si="5"/>
        <v>111.08561059288101</v>
      </c>
      <c r="FP38" s="10">
        <f t="shared" ref="FP38:FR38" si="6">IF(OR(FP5="",FP9="",FP16=""),"",SUMPRODUCT(FP8:FP18,$C$8:$C$18)/SUM($C$8:$C$18))</f>
        <v>111.09023173951306</v>
      </c>
      <c r="FQ38" s="10">
        <f t="shared" si="6"/>
        <v>111.20085068935173</v>
      </c>
      <c r="FR38" s="10">
        <f t="shared" si="6"/>
        <v>111.33247286594312</v>
      </c>
      <c r="FS38" s="10"/>
      <c r="FT38" s="10"/>
    </row>
    <row r="39" spans="2:176" s="198" customFormat="1" ht="10.199999999999999" x14ac:dyDescent="0.2">
      <c r="B39" s="9" t="s">
        <v>6</v>
      </c>
      <c r="C39" s="9"/>
      <c r="D39" s="10" t="str">
        <f t="shared" ref="D39:BO39" si="7">IF(OR(D5="",D11="",D17=""),"",(D5*$C$5+SUMPRODUCT($C$8:$C$12,D8:D12)+SUMPRODUCT($C$14:$C$18,D14:D18))/SUM($C$5,$C$8:$C$12,$C$14:$C$18))</f>
        <v/>
      </c>
      <c r="E39" s="10" t="str">
        <f t="shared" si="7"/>
        <v/>
      </c>
      <c r="F39" s="10" t="str">
        <f t="shared" si="7"/>
        <v/>
      </c>
      <c r="G39" s="10" t="str">
        <f t="shared" si="7"/>
        <v/>
      </c>
      <c r="H39" s="10" t="str">
        <f t="shared" si="7"/>
        <v/>
      </c>
      <c r="I39" s="10" t="str">
        <f t="shared" si="7"/>
        <v/>
      </c>
      <c r="J39" s="10" t="str">
        <f t="shared" si="7"/>
        <v/>
      </c>
      <c r="K39" s="10" t="str">
        <f t="shared" si="7"/>
        <v/>
      </c>
      <c r="L39" s="10" t="str">
        <f t="shared" si="7"/>
        <v/>
      </c>
      <c r="M39" s="10" t="str">
        <f t="shared" si="7"/>
        <v/>
      </c>
      <c r="N39" s="10" t="str">
        <f t="shared" si="7"/>
        <v/>
      </c>
      <c r="O39" s="10" t="str">
        <f t="shared" si="7"/>
        <v/>
      </c>
      <c r="P39" s="10">
        <f t="shared" si="7"/>
        <v>80.219344824275552</v>
      </c>
      <c r="Q39" s="10">
        <f t="shared" si="7"/>
        <v>80.167300404812138</v>
      </c>
      <c r="R39" s="10">
        <f t="shared" si="7"/>
        <v>80.52413671282487</v>
      </c>
      <c r="S39" s="10">
        <f t="shared" si="7"/>
        <v>80.728737363771671</v>
      </c>
      <c r="T39" s="10">
        <f t="shared" si="7"/>
        <v>81.050345820295973</v>
      </c>
      <c r="U39" s="10">
        <f t="shared" si="7"/>
        <v>81.100681490712404</v>
      </c>
      <c r="V39" s="10">
        <f t="shared" si="7"/>
        <v>81.240172532256992</v>
      </c>
      <c r="W39" s="10">
        <f t="shared" si="7"/>
        <v>81.58191053282502</v>
      </c>
      <c r="X39" s="10">
        <f t="shared" si="7"/>
        <v>81.540715118695672</v>
      </c>
      <c r="Y39" s="10">
        <f t="shared" si="7"/>
        <v>81.922444581606243</v>
      </c>
      <c r="Z39" s="10">
        <f t="shared" si="7"/>
        <v>81.815996508214326</v>
      </c>
      <c r="AA39" s="10">
        <f t="shared" si="7"/>
        <v>82.524037343870646</v>
      </c>
      <c r="AB39" s="10">
        <f t="shared" si="7"/>
        <v>82.284346695162739</v>
      </c>
      <c r="AC39" s="10">
        <f t="shared" si="7"/>
        <v>82.132436207327856</v>
      </c>
      <c r="AD39" s="10">
        <f t="shared" si="7"/>
        <v>82.253467923179315</v>
      </c>
      <c r="AE39" s="10">
        <f t="shared" si="7"/>
        <v>82.220469626219966</v>
      </c>
      <c r="AF39" s="10">
        <f t="shared" si="7"/>
        <v>82.330129738510422</v>
      </c>
      <c r="AG39" s="10">
        <f t="shared" si="7"/>
        <v>82.503433003547585</v>
      </c>
      <c r="AH39" s="10">
        <f t="shared" si="7"/>
        <v>82.564918483461454</v>
      </c>
      <c r="AI39" s="10">
        <f t="shared" si="7"/>
        <v>82.852212126430913</v>
      </c>
      <c r="AJ39" s="10">
        <f t="shared" si="7"/>
        <v>83.133619476484384</v>
      </c>
      <c r="AK39" s="10">
        <f t="shared" si="7"/>
        <v>83.533931411688101</v>
      </c>
      <c r="AL39" s="10">
        <f t="shared" si="7"/>
        <v>83.668676647521039</v>
      </c>
      <c r="AM39" s="10">
        <f t="shared" si="7"/>
        <v>83.875748053482255</v>
      </c>
      <c r="AN39" s="10">
        <f t="shared" si="7"/>
        <v>83.29246163632817</v>
      </c>
      <c r="AO39" s="10">
        <f t="shared" si="7"/>
        <v>83.231044456021024</v>
      </c>
      <c r="AP39" s="10">
        <f t="shared" si="7"/>
        <v>83.133559049399523</v>
      </c>
      <c r="AQ39" s="10">
        <f t="shared" si="7"/>
        <v>82.937116115241196</v>
      </c>
      <c r="AR39" s="10">
        <f t="shared" si="7"/>
        <v>83.272442295703897</v>
      </c>
      <c r="AS39" s="10">
        <f t="shared" si="7"/>
        <v>83.079324330543258</v>
      </c>
      <c r="AT39" s="10">
        <f t="shared" si="7"/>
        <v>83.71800361303363</v>
      </c>
      <c r="AU39" s="10">
        <f t="shared" si="7"/>
        <v>83.757303931486007</v>
      </c>
      <c r="AV39" s="10">
        <f t="shared" si="7"/>
        <v>83.960484184888571</v>
      </c>
      <c r="AW39" s="10">
        <f t="shared" si="7"/>
        <v>83.90800769162675</v>
      </c>
      <c r="AX39" s="10">
        <f t="shared" si="7"/>
        <v>84.397466786956571</v>
      </c>
      <c r="AY39" s="10">
        <f t="shared" si="7"/>
        <v>84.73737408968374</v>
      </c>
      <c r="AZ39" s="10">
        <f t="shared" si="7"/>
        <v>84.096731486254981</v>
      </c>
      <c r="BA39" s="10">
        <f t="shared" si="7"/>
        <v>84.377978175531027</v>
      </c>
      <c r="BB39" s="10">
        <f t="shared" si="7"/>
        <v>84.35803748721618</v>
      </c>
      <c r="BC39" s="10">
        <f t="shared" si="7"/>
        <v>84.782917138559242</v>
      </c>
      <c r="BD39" s="10">
        <f t="shared" si="7"/>
        <v>84.921229005125952</v>
      </c>
      <c r="BE39" s="10">
        <f t="shared" si="7"/>
        <v>85.332823881713125</v>
      </c>
      <c r="BF39" s="10">
        <f t="shared" si="7"/>
        <v>85.611115700074549</v>
      </c>
      <c r="BG39" s="10">
        <f t="shared" si="7"/>
        <v>85.480220227776329</v>
      </c>
      <c r="BH39" s="10">
        <f t="shared" si="7"/>
        <v>85.743791057081793</v>
      </c>
      <c r="BI39" s="10">
        <f t="shared" si="7"/>
        <v>85.788931865677114</v>
      </c>
      <c r="BJ39" s="10">
        <f t="shared" si="7"/>
        <v>85.615896445313254</v>
      </c>
      <c r="BK39" s="10">
        <f t="shared" si="7"/>
        <v>85.953983036838991</v>
      </c>
      <c r="BL39" s="10">
        <f t="shared" si="7"/>
        <v>85.68352833504882</v>
      </c>
      <c r="BM39" s="10">
        <f t="shared" si="7"/>
        <v>85.631921369709758</v>
      </c>
      <c r="BN39" s="10">
        <f t="shared" si="7"/>
        <v>85.713343174820139</v>
      </c>
      <c r="BO39" s="10">
        <f t="shared" si="7"/>
        <v>85.853715966993789</v>
      </c>
      <c r="BP39" s="10">
        <f t="shared" ref="BP39:EA39" si="8">IF(OR(BP5="",BP11="",BP17=""),"",(BP5*$C$5+SUMPRODUCT($C$8:$C$12,BP8:BP12)+SUMPRODUCT($C$14:$C$18,BP14:BP18))/SUM($C$5,$C$8:$C$12,$C$14:$C$18))</f>
        <v>86.247031816069224</v>
      </c>
      <c r="BQ39" s="10">
        <f t="shared" si="8"/>
        <v>85.979642291134866</v>
      </c>
      <c r="BR39" s="10">
        <f t="shared" si="8"/>
        <v>86.077545909799625</v>
      </c>
      <c r="BS39" s="10">
        <f t="shared" si="8"/>
        <v>86.336686576771243</v>
      </c>
      <c r="BT39" s="10">
        <f t="shared" si="8"/>
        <v>86.370870075970643</v>
      </c>
      <c r="BU39" s="10">
        <f t="shared" si="8"/>
        <v>86.140660688511218</v>
      </c>
      <c r="BV39" s="10">
        <f t="shared" si="8"/>
        <v>86.120903850788281</v>
      </c>
      <c r="BW39" s="10">
        <f t="shared" si="8"/>
        <v>86.315468478435506</v>
      </c>
      <c r="BX39" s="10">
        <f t="shared" si="8"/>
        <v>86.010939554544734</v>
      </c>
      <c r="BY39" s="10">
        <f t="shared" si="8"/>
        <v>85.977139874356141</v>
      </c>
      <c r="BZ39" s="10">
        <f t="shared" si="8"/>
        <v>86.076048477417814</v>
      </c>
      <c r="CA39" s="10">
        <f t="shared" si="8"/>
        <v>86.496585025751017</v>
      </c>
      <c r="CB39" s="10">
        <f t="shared" si="8"/>
        <v>86.519243335138469</v>
      </c>
      <c r="CC39" s="10">
        <f t="shared" si="8"/>
        <v>86.493063097960857</v>
      </c>
      <c r="CD39" s="10">
        <f t="shared" si="8"/>
        <v>86.604374844300835</v>
      </c>
      <c r="CE39" s="10">
        <f t="shared" si="8"/>
        <v>86.916639793199309</v>
      </c>
      <c r="CF39" s="10">
        <f t="shared" si="8"/>
        <v>87.073651876723588</v>
      </c>
      <c r="CG39" s="10">
        <f t="shared" si="8"/>
        <v>86.991522032010664</v>
      </c>
      <c r="CH39" s="10">
        <f t="shared" si="8"/>
        <v>86.93948959652765</v>
      </c>
      <c r="CI39" s="10">
        <f t="shared" si="8"/>
        <v>86.96265539822987</v>
      </c>
      <c r="CJ39" s="10">
        <f t="shared" si="8"/>
        <v>86.82665885000047</v>
      </c>
      <c r="CK39" s="10">
        <f t="shared" si="8"/>
        <v>86.760239317758561</v>
      </c>
      <c r="CL39" s="10">
        <f t="shared" si="8"/>
        <v>86.80745037999867</v>
      </c>
      <c r="CM39" s="10">
        <f t="shared" si="8"/>
        <v>87.151846527043475</v>
      </c>
      <c r="CN39" s="10">
        <f t="shared" si="8"/>
        <v>87.372301414578246</v>
      </c>
      <c r="CO39" s="10">
        <f t="shared" si="8"/>
        <v>87.350872143592355</v>
      </c>
      <c r="CP39" s="10">
        <f t="shared" si="8"/>
        <v>87.380904916638372</v>
      </c>
      <c r="CQ39" s="10">
        <f t="shared" si="8"/>
        <v>87.494878941401794</v>
      </c>
      <c r="CR39" s="10">
        <f t="shared" si="8"/>
        <v>87.861887547326617</v>
      </c>
      <c r="CS39" s="10">
        <f t="shared" si="8"/>
        <v>88.310386536390894</v>
      </c>
      <c r="CT39" s="10">
        <f t="shared" si="8"/>
        <v>88.407764865615732</v>
      </c>
      <c r="CU39" s="10">
        <f t="shared" si="8"/>
        <v>88.640952913772452</v>
      </c>
      <c r="CV39" s="10">
        <f t="shared" si="8"/>
        <v>88.38821193627092</v>
      </c>
      <c r="CW39" s="10">
        <f t="shared" si="8"/>
        <v>88.650306359756343</v>
      </c>
      <c r="CX39" s="10">
        <f t="shared" si="8"/>
        <v>89.054264375192744</v>
      </c>
      <c r="CY39" s="10">
        <f t="shared" si="8"/>
        <v>89.325259276256276</v>
      </c>
      <c r="CZ39" s="10">
        <f t="shared" si="8"/>
        <v>89.362169983107691</v>
      </c>
      <c r="DA39" s="10">
        <f t="shared" si="8"/>
        <v>89.50699592713066</v>
      </c>
      <c r="DB39" s="10">
        <f t="shared" si="8"/>
        <v>89.751619687589553</v>
      </c>
      <c r="DC39" s="10">
        <f t="shared" si="8"/>
        <v>89.904725505453129</v>
      </c>
      <c r="DD39" s="10">
        <f t="shared" si="8"/>
        <v>90.048200662761232</v>
      </c>
      <c r="DE39" s="10">
        <f t="shared" si="8"/>
        <v>90.430023073176542</v>
      </c>
      <c r="DF39" s="10">
        <f t="shared" si="8"/>
        <v>90.710125557157781</v>
      </c>
      <c r="DG39" s="10">
        <f t="shared" si="8"/>
        <v>90.851453122923814</v>
      </c>
      <c r="DH39" s="10">
        <f t="shared" si="8"/>
        <v>90.945420375346501</v>
      </c>
      <c r="DI39" s="10">
        <f t="shared" si="8"/>
        <v>91.015361437444724</v>
      </c>
      <c r="DJ39" s="10">
        <f t="shared" si="8"/>
        <v>91.252901701193238</v>
      </c>
      <c r="DK39" s="10">
        <f t="shared" si="8"/>
        <v>91.286887461740733</v>
      </c>
      <c r="DL39" s="10">
        <f t="shared" si="8"/>
        <v>91.497784906851493</v>
      </c>
      <c r="DM39" s="10">
        <f t="shared" si="8"/>
        <v>91.627557957485024</v>
      </c>
      <c r="DN39" s="10">
        <f t="shared" si="8"/>
        <v>92.066456568017983</v>
      </c>
      <c r="DO39" s="10">
        <f t="shared" si="8"/>
        <v>92.234706570670483</v>
      </c>
      <c r="DP39" s="10">
        <f t="shared" si="8"/>
        <v>92.200042402132496</v>
      </c>
      <c r="DQ39" s="10">
        <f t="shared" si="8"/>
        <v>92.633526433506844</v>
      </c>
      <c r="DR39" s="10">
        <f t="shared" si="8"/>
        <v>92.572601389684621</v>
      </c>
      <c r="DS39" s="10">
        <f t="shared" si="8"/>
        <v>92.752874930171444</v>
      </c>
      <c r="DT39" s="10">
        <f t="shared" si="8"/>
        <v>92.625809292685901</v>
      </c>
      <c r="DU39" s="10">
        <f t="shared" si="8"/>
        <v>92.728188613331469</v>
      </c>
      <c r="DV39" s="10">
        <f t="shared" si="8"/>
        <v>93.066091017680009</v>
      </c>
      <c r="DW39" s="10">
        <f t="shared" si="8"/>
        <v>93.348106817087327</v>
      </c>
      <c r="DX39" s="10">
        <f t="shared" si="8"/>
        <v>93.6122392183171</v>
      </c>
      <c r="DY39" s="10">
        <f t="shared" si="8"/>
        <v>93.897121563519192</v>
      </c>
      <c r="DZ39" s="10">
        <f t="shared" si="8"/>
        <v>94.430944892844906</v>
      </c>
      <c r="EA39" s="10">
        <f t="shared" si="8"/>
        <v>94.380154264054681</v>
      </c>
      <c r="EB39" s="10">
        <f t="shared" ref="EB39:FO39" si="9">IF(OR(EB5="",EB11="",EB17=""),"",(EB5*$C$5+SUMPRODUCT($C$8:$C$12,EB8:EB12)+SUMPRODUCT($C$14:$C$18,EB14:EB18))/SUM($C$5,$C$8:$C$12,$C$14:$C$18))</f>
        <v>94.477377068840767</v>
      </c>
      <c r="EC39" s="10">
        <f t="shared" si="9"/>
        <v>94.679393045830295</v>
      </c>
      <c r="ED39" s="10">
        <f t="shared" si="9"/>
        <v>94.799701066679802</v>
      </c>
      <c r="EE39" s="10">
        <f t="shared" si="9"/>
        <v>96.005335018444455</v>
      </c>
      <c r="EF39" s="10">
        <f t="shared" si="9"/>
        <v>96.454118369728135</v>
      </c>
      <c r="EG39" s="10">
        <f t="shared" si="9"/>
        <v>96.888536697128245</v>
      </c>
      <c r="EH39" s="10">
        <f>IF(OR(ET5="",ET11="",ET17=""),"",(ET5*$C$5+SUMPRODUCT($C$8:$C$12,ET8:ET12)+SUMPRODUCT($C$14:$C$18,ET14:ET18))/SUM($C$5,$C$8:$C$12,$C$14:$C$18))</f>
        <v>104.53587408351311</v>
      </c>
      <c r="EI39" s="10">
        <f t="shared" si="9"/>
        <v>98.639157372410594</v>
      </c>
      <c r="EJ39" s="10">
        <f t="shared" si="9"/>
        <v>99.284733311063519</v>
      </c>
      <c r="EK39" s="10">
        <f t="shared" si="9"/>
        <v>99.581141812784466</v>
      </c>
      <c r="EL39" s="10">
        <f t="shared" si="9"/>
        <v>100.31941712264405</v>
      </c>
      <c r="EM39" s="10">
        <f t="shared" si="9"/>
        <v>101.16903949832138</v>
      </c>
      <c r="EN39" s="10">
        <f t="shared" si="9"/>
        <v>101.85427471319167</v>
      </c>
      <c r="EO39" s="10">
        <f t="shared" si="9"/>
        <v>102.22456010454758</v>
      </c>
      <c r="EP39" s="10">
        <f t="shared" si="9"/>
        <v>102.81806713532588</v>
      </c>
      <c r="EQ39" s="10">
        <f t="shared" si="9"/>
        <v>103.29313804285314</v>
      </c>
      <c r="ER39" s="10">
        <f t="shared" si="9"/>
        <v>103.78430584546264</v>
      </c>
      <c r="ES39" s="10">
        <f t="shared" si="9"/>
        <v>104.26340707948714</v>
      </c>
      <c r="ET39" s="10">
        <f t="shared" si="9"/>
        <v>104.53587408351311</v>
      </c>
      <c r="EU39" s="10">
        <f t="shared" si="9"/>
        <v>105.29015995854154</v>
      </c>
      <c r="EV39" s="10">
        <f t="shared" si="9"/>
        <v>105.76045633400118</v>
      </c>
      <c r="EW39" s="10">
        <f t="shared" si="9"/>
        <v>106.2829448188328</v>
      </c>
      <c r="EX39" s="10">
        <f t="shared" si="9"/>
        <v>106.75047633368658</v>
      </c>
      <c r="EY39" s="10">
        <f t="shared" si="9"/>
        <v>107.38762725619107</v>
      </c>
      <c r="EZ39" s="10">
        <f t="shared" si="9"/>
        <v>107.61938489539794</v>
      </c>
      <c r="FA39" s="10">
        <f t="shared" si="9"/>
        <v>107.83719730640985</v>
      </c>
      <c r="FB39" s="10">
        <f t="shared" si="9"/>
        <v>107.79151956415134</v>
      </c>
      <c r="FC39" s="10">
        <f t="shared" si="9"/>
        <v>107.78716203126703</v>
      </c>
      <c r="FD39" s="10">
        <f t="shared" si="9"/>
        <v>107.44238701679254</v>
      </c>
      <c r="FE39" s="10">
        <f t="shared" si="9"/>
        <v>107.96966076862394</v>
      </c>
      <c r="FF39" s="10">
        <f t="shared" si="9"/>
        <v>108.348461625155</v>
      </c>
      <c r="FG39" s="10">
        <f t="shared" si="9"/>
        <v>108.88375972050042</v>
      </c>
      <c r="FH39" s="10">
        <f t="shared" si="9"/>
        <v>109.22128930463207</v>
      </c>
      <c r="FI39" s="10">
        <f t="shared" si="9"/>
        <v>109.68960892595517</v>
      </c>
      <c r="FJ39" s="10">
        <f t="shared" si="9"/>
        <v>109.76064692302782</v>
      </c>
      <c r="FK39" s="10">
        <f t="shared" si="9"/>
        <v>110.3062985528052</v>
      </c>
      <c r="FL39" s="10">
        <f t="shared" si="9"/>
        <v>111.21093430039413</v>
      </c>
      <c r="FM39" s="10">
        <f t="shared" si="9"/>
        <v>111.41206194297118</v>
      </c>
      <c r="FN39" s="10">
        <f t="shared" si="9"/>
        <v>111.4189011415471</v>
      </c>
      <c r="FO39" s="10">
        <f t="shared" si="9"/>
        <v>112.21408438700152</v>
      </c>
      <c r="FP39" s="10">
        <f t="shared" ref="FP39:FR39" si="10">IF(OR(FP5="",FP11="",FP17=""),"",(FP5*$C$5+SUMPRODUCT($C$8:$C$12,FP8:FP12)+SUMPRODUCT($C$14:$C$18,FP14:FP18))/SUM($C$5,$C$8:$C$12,$C$14:$C$18))</f>
        <v>112.04945339794888</v>
      </c>
      <c r="FQ39" s="10">
        <f t="shared" si="10"/>
        <v>112.17031443705626</v>
      </c>
      <c r="FR39" s="10">
        <f t="shared" si="10"/>
        <v>112.54564408880877</v>
      </c>
      <c r="FS39" s="10"/>
      <c r="FT39" s="10"/>
    </row>
    <row r="40" spans="2:176" s="198" customFormat="1" ht="10.199999999999999" x14ac:dyDescent="0.2">
      <c r="B40" s="9" t="s">
        <v>7</v>
      </c>
      <c r="C40" s="9"/>
      <c r="D40" s="10" t="str">
        <f t="shared" ref="D40:BO40" si="11">IF(OR(D5="",D10="",D16=""),"",(SUMPRODUCT($C$8:$C$12,D8:D12)+SUMPRODUCT($C$14:$C$18,D14:D18))/SUM($C$8:$C$12,$C$14:$C$18))</f>
        <v/>
      </c>
      <c r="E40" s="10" t="str">
        <f t="shared" si="11"/>
        <v/>
      </c>
      <c r="F40" s="10" t="str">
        <f t="shared" si="11"/>
        <v/>
      </c>
      <c r="G40" s="10" t="str">
        <f t="shared" si="11"/>
        <v/>
      </c>
      <c r="H40" s="10" t="str">
        <f t="shared" si="11"/>
        <v/>
      </c>
      <c r="I40" s="10" t="str">
        <f t="shared" si="11"/>
        <v/>
      </c>
      <c r="J40" s="10" t="str">
        <f t="shared" si="11"/>
        <v/>
      </c>
      <c r="K40" s="10" t="str">
        <f t="shared" si="11"/>
        <v/>
      </c>
      <c r="L40" s="10" t="str">
        <f t="shared" si="11"/>
        <v/>
      </c>
      <c r="M40" s="10" t="str">
        <f t="shared" si="11"/>
        <v/>
      </c>
      <c r="N40" s="10" t="str">
        <f t="shared" si="11"/>
        <v/>
      </c>
      <c r="O40" s="10" t="str">
        <f t="shared" si="11"/>
        <v/>
      </c>
      <c r="P40" s="10">
        <f t="shared" si="11"/>
        <v>84.903546754759219</v>
      </c>
      <c r="Q40" s="10">
        <f t="shared" si="11"/>
        <v>84.851839811368677</v>
      </c>
      <c r="R40" s="10">
        <f t="shared" si="11"/>
        <v>85.218434302218014</v>
      </c>
      <c r="S40" s="10">
        <f t="shared" si="11"/>
        <v>85.255342641425457</v>
      </c>
      <c r="T40" s="10">
        <f t="shared" si="11"/>
        <v>85.449531035555395</v>
      </c>
      <c r="U40" s="10">
        <f t="shared" si="11"/>
        <v>85.521650850340635</v>
      </c>
      <c r="V40" s="10">
        <f t="shared" si="11"/>
        <v>85.644747713789002</v>
      </c>
      <c r="W40" s="10">
        <f t="shared" si="11"/>
        <v>85.702322372037003</v>
      </c>
      <c r="X40" s="10">
        <f t="shared" si="11"/>
        <v>85.534331389386168</v>
      </c>
      <c r="Y40" s="10">
        <f t="shared" si="11"/>
        <v>85.827738227811125</v>
      </c>
      <c r="Z40" s="10">
        <f t="shared" si="11"/>
        <v>85.917851109130126</v>
      </c>
      <c r="AA40" s="10">
        <f t="shared" si="11"/>
        <v>86.261252642439558</v>
      </c>
      <c r="AB40" s="10">
        <f t="shared" si="11"/>
        <v>86.126389481764647</v>
      </c>
      <c r="AC40" s="10">
        <f t="shared" si="11"/>
        <v>86.246016214934258</v>
      </c>
      <c r="AD40" s="10">
        <f t="shared" si="11"/>
        <v>86.4149901963074</v>
      </c>
      <c r="AE40" s="10">
        <f t="shared" si="11"/>
        <v>86.405229353277676</v>
      </c>
      <c r="AF40" s="10">
        <f t="shared" si="11"/>
        <v>86.325844728042824</v>
      </c>
      <c r="AG40" s="10">
        <f t="shared" si="11"/>
        <v>86.449418174053818</v>
      </c>
      <c r="AH40" s="10">
        <f t="shared" si="11"/>
        <v>86.549590415484332</v>
      </c>
      <c r="AI40" s="10">
        <f t="shared" si="11"/>
        <v>86.583616333768575</v>
      </c>
      <c r="AJ40" s="10">
        <f t="shared" si="11"/>
        <v>86.868640070080929</v>
      </c>
      <c r="AK40" s="10">
        <f t="shared" si="11"/>
        <v>87.047503552013694</v>
      </c>
      <c r="AL40" s="10">
        <f t="shared" si="11"/>
        <v>87.114893094172118</v>
      </c>
      <c r="AM40" s="10">
        <f t="shared" si="11"/>
        <v>87.429404201481631</v>
      </c>
      <c r="AN40" s="10">
        <f t="shared" si="11"/>
        <v>87.250918340896007</v>
      </c>
      <c r="AO40" s="10">
        <f t="shared" si="11"/>
        <v>87.235013043031614</v>
      </c>
      <c r="AP40" s="10">
        <f t="shared" si="11"/>
        <v>87.17368242388676</v>
      </c>
      <c r="AQ40" s="10">
        <f t="shared" si="11"/>
        <v>87.06787251690784</v>
      </c>
      <c r="AR40" s="10">
        <f t="shared" si="11"/>
        <v>87.218423082555887</v>
      </c>
      <c r="AS40" s="10">
        <f t="shared" si="11"/>
        <v>87.217337629454235</v>
      </c>
      <c r="AT40" s="10">
        <f t="shared" si="11"/>
        <v>87.63871727043022</v>
      </c>
      <c r="AU40" s="10">
        <f t="shared" si="11"/>
        <v>87.717146684131777</v>
      </c>
      <c r="AV40" s="10">
        <f t="shared" si="11"/>
        <v>88.013209210590787</v>
      </c>
      <c r="AW40" s="10">
        <f t="shared" si="11"/>
        <v>87.839347499189145</v>
      </c>
      <c r="AX40" s="10">
        <f t="shared" si="11"/>
        <v>88.354698766017236</v>
      </c>
      <c r="AY40" s="10">
        <f t="shared" si="11"/>
        <v>88.682261659195177</v>
      </c>
      <c r="AZ40" s="10">
        <f t="shared" si="11"/>
        <v>88.14081593699683</v>
      </c>
      <c r="BA40" s="10">
        <f t="shared" si="11"/>
        <v>88.536568359502667</v>
      </c>
      <c r="BB40" s="10">
        <f t="shared" si="11"/>
        <v>88.674882809308187</v>
      </c>
      <c r="BC40" s="10">
        <f t="shared" si="11"/>
        <v>88.875934253477354</v>
      </c>
      <c r="BD40" s="10">
        <f t="shared" si="11"/>
        <v>88.954676888668374</v>
      </c>
      <c r="BE40" s="10">
        <f t="shared" si="11"/>
        <v>89.48562557409214</v>
      </c>
      <c r="BF40" s="10">
        <f t="shared" si="11"/>
        <v>89.366935605422256</v>
      </c>
      <c r="BG40" s="10">
        <f t="shared" si="11"/>
        <v>89.469707048923908</v>
      </c>
      <c r="BH40" s="10">
        <f t="shared" si="11"/>
        <v>89.660723934661405</v>
      </c>
      <c r="BI40" s="10">
        <f t="shared" si="11"/>
        <v>89.425639560770676</v>
      </c>
      <c r="BJ40" s="10">
        <f t="shared" si="11"/>
        <v>89.550102677547429</v>
      </c>
      <c r="BK40" s="10">
        <f t="shared" si="11"/>
        <v>89.875820113594287</v>
      </c>
      <c r="BL40" s="10">
        <f t="shared" si="11"/>
        <v>89.830640929331764</v>
      </c>
      <c r="BM40" s="10">
        <f t="shared" si="11"/>
        <v>89.66498556955905</v>
      </c>
      <c r="BN40" s="10">
        <f t="shared" si="11"/>
        <v>89.890574014299816</v>
      </c>
      <c r="BO40" s="10">
        <f t="shared" si="11"/>
        <v>89.856455784124009</v>
      </c>
      <c r="BP40" s="10">
        <f t="shared" ref="BP40:EA40" si="12">IF(OR(BP5="",BP10="",BP16=""),"",(SUMPRODUCT($C$8:$C$12,BP8:BP12)+SUMPRODUCT($C$14:$C$18,BP14:BP18))/SUM($C$8:$C$12,$C$14:$C$18))</f>
        <v>89.944948170727741</v>
      </c>
      <c r="BQ40" s="10">
        <f t="shared" si="12"/>
        <v>89.838402276017106</v>
      </c>
      <c r="BR40" s="10">
        <f t="shared" si="12"/>
        <v>89.91556057236042</v>
      </c>
      <c r="BS40" s="10">
        <f t="shared" si="12"/>
        <v>90.236114431713602</v>
      </c>
      <c r="BT40" s="10">
        <f t="shared" si="12"/>
        <v>90.232847881153717</v>
      </c>
      <c r="BU40" s="10">
        <f t="shared" si="12"/>
        <v>90.24704487772253</v>
      </c>
      <c r="BV40" s="10">
        <f t="shared" si="12"/>
        <v>90.229507901091964</v>
      </c>
      <c r="BW40" s="10">
        <f t="shared" si="12"/>
        <v>90.707706215522791</v>
      </c>
      <c r="BX40" s="10">
        <f t="shared" si="12"/>
        <v>90.640435834753575</v>
      </c>
      <c r="BY40" s="10">
        <f t="shared" si="12"/>
        <v>90.537845931877598</v>
      </c>
      <c r="BZ40" s="10">
        <f t="shared" si="12"/>
        <v>90.736401626821831</v>
      </c>
      <c r="CA40" s="10">
        <f t="shared" si="12"/>
        <v>90.840630020557938</v>
      </c>
      <c r="CB40" s="10">
        <f t="shared" si="12"/>
        <v>90.751411798289965</v>
      </c>
      <c r="CC40" s="10">
        <f t="shared" si="12"/>
        <v>90.83139320174979</v>
      </c>
      <c r="CD40" s="10">
        <f t="shared" si="12"/>
        <v>90.905728616156551</v>
      </c>
      <c r="CE40" s="10">
        <f t="shared" si="12"/>
        <v>91.011393229420719</v>
      </c>
      <c r="CF40" s="10">
        <f t="shared" si="12"/>
        <v>91.094744492396757</v>
      </c>
      <c r="CG40" s="10">
        <f t="shared" si="12"/>
        <v>91.186339772638377</v>
      </c>
      <c r="CH40" s="10">
        <f t="shared" si="12"/>
        <v>91.123345708257844</v>
      </c>
      <c r="CI40" s="10">
        <f t="shared" si="12"/>
        <v>91.125705405499403</v>
      </c>
      <c r="CJ40" s="10">
        <f t="shared" si="12"/>
        <v>91.307160310731248</v>
      </c>
      <c r="CK40" s="10">
        <f t="shared" si="12"/>
        <v>91.204650704013062</v>
      </c>
      <c r="CL40" s="10">
        <f t="shared" si="12"/>
        <v>91.147895521238112</v>
      </c>
      <c r="CM40" s="10">
        <f t="shared" si="12"/>
        <v>91.336870260756271</v>
      </c>
      <c r="CN40" s="10">
        <f t="shared" si="12"/>
        <v>91.557845268472747</v>
      </c>
      <c r="CO40" s="10">
        <f t="shared" si="12"/>
        <v>91.718590988583415</v>
      </c>
      <c r="CP40" s="10">
        <f t="shared" si="12"/>
        <v>91.852452859220222</v>
      </c>
      <c r="CQ40" s="10">
        <f t="shared" si="12"/>
        <v>92.013555736700582</v>
      </c>
      <c r="CR40" s="10">
        <f t="shared" si="12"/>
        <v>92.169929242455254</v>
      </c>
      <c r="CS40" s="10">
        <f t="shared" si="12"/>
        <v>92.404829373628402</v>
      </c>
      <c r="CT40" s="10">
        <f t="shared" si="12"/>
        <v>92.503392100211357</v>
      </c>
      <c r="CU40" s="10">
        <f t="shared" si="12"/>
        <v>92.766570631777654</v>
      </c>
      <c r="CV40" s="10">
        <f t="shared" si="12"/>
        <v>92.873752426686252</v>
      </c>
      <c r="CW40" s="10">
        <f t="shared" si="12"/>
        <v>92.87437416246074</v>
      </c>
      <c r="CX40" s="10">
        <f t="shared" si="12"/>
        <v>93.303193682261991</v>
      </c>
      <c r="CY40" s="10">
        <f t="shared" si="12"/>
        <v>93.509091807364555</v>
      </c>
      <c r="CZ40" s="10">
        <f t="shared" si="12"/>
        <v>93.617254689351228</v>
      </c>
      <c r="DA40" s="10">
        <f t="shared" si="12"/>
        <v>93.694800585471086</v>
      </c>
      <c r="DB40" s="10">
        <f t="shared" si="12"/>
        <v>93.823052583559615</v>
      </c>
      <c r="DC40" s="10">
        <f t="shared" si="12"/>
        <v>94.072147038803635</v>
      </c>
      <c r="DD40" s="10">
        <f t="shared" si="12"/>
        <v>94.138041729385364</v>
      </c>
      <c r="DE40" s="10">
        <f t="shared" si="12"/>
        <v>94.6002640812127</v>
      </c>
      <c r="DF40" s="10">
        <f t="shared" si="12"/>
        <v>94.923618273588147</v>
      </c>
      <c r="DG40" s="10">
        <f t="shared" si="12"/>
        <v>94.967004940426676</v>
      </c>
      <c r="DH40" s="10">
        <f t="shared" si="12"/>
        <v>95.057012123533539</v>
      </c>
      <c r="DI40" s="10">
        <f t="shared" si="12"/>
        <v>95.09609449054355</v>
      </c>
      <c r="DJ40" s="10">
        <f t="shared" si="12"/>
        <v>95.144335584707832</v>
      </c>
      <c r="DK40" s="10">
        <f t="shared" si="12"/>
        <v>95.393453190783134</v>
      </c>
      <c r="DL40" s="10">
        <f t="shared" si="12"/>
        <v>95.583742036302453</v>
      </c>
      <c r="DM40" s="10">
        <f t="shared" si="12"/>
        <v>95.486713336549144</v>
      </c>
      <c r="DN40" s="10">
        <f t="shared" si="12"/>
        <v>95.556456010318215</v>
      </c>
      <c r="DO40" s="10">
        <f t="shared" si="12"/>
        <v>95.805941130202328</v>
      </c>
      <c r="DP40" s="10">
        <f t="shared" si="12"/>
        <v>95.762502238735195</v>
      </c>
      <c r="DQ40" s="10">
        <f t="shared" si="12"/>
        <v>96.134901630867333</v>
      </c>
      <c r="DR40" s="10">
        <f t="shared" si="12"/>
        <v>96.162181598907907</v>
      </c>
      <c r="DS40" s="10">
        <f t="shared" si="12"/>
        <v>96.303759627642393</v>
      </c>
      <c r="DT40" s="10">
        <f t="shared" si="12"/>
        <v>96.432976406927978</v>
      </c>
      <c r="DU40" s="10">
        <f t="shared" si="12"/>
        <v>96.45780881253468</v>
      </c>
      <c r="DV40" s="10">
        <f t="shared" si="12"/>
        <v>96.583374598924422</v>
      </c>
      <c r="DW40" s="10">
        <f t="shared" si="12"/>
        <v>96.69765084331388</v>
      </c>
      <c r="DX40" s="10">
        <f t="shared" si="12"/>
        <v>96.818356589275396</v>
      </c>
      <c r="DY40" s="10">
        <f t="shared" si="12"/>
        <v>96.871002176294965</v>
      </c>
      <c r="DZ40" s="10">
        <f t="shared" si="12"/>
        <v>97.105809031459174</v>
      </c>
      <c r="EA40" s="10">
        <f t="shared" si="12"/>
        <v>97.104527007982611</v>
      </c>
      <c r="EB40" s="10">
        <f t="shared" ref="EB40:FO40" si="13">IF(OR(EB5="",EB10="",EB16=""),"",(SUMPRODUCT($C$8:$C$12,EB8:EB12)+SUMPRODUCT($C$14:$C$18,EB14:EB18))/SUM($C$8:$C$12,$C$14:$C$18))</f>
        <v>97.162687678775427</v>
      </c>
      <c r="EC40" s="10">
        <f t="shared" si="13"/>
        <v>97.357967672686513</v>
      </c>
      <c r="ED40" s="10">
        <f t="shared" si="13"/>
        <v>97.377389410479708</v>
      </c>
      <c r="EE40" s="10">
        <f t="shared" si="13"/>
        <v>97.71708768184412</v>
      </c>
      <c r="EF40" s="10">
        <f t="shared" si="13"/>
        <v>98.08367775487001</v>
      </c>
      <c r="EG40" s="10">
        <f t="shared" si="13"/>
        <v>98.24367353871078</v>
      </c>
      <c r="EH40" s="10">
        <f>IF(OR(ET5="",ET10="",ET16=""),"",(SUMPRODUCT($C$8:$C$12,ET8:ET12)+SUMPRODUCT($C$14:$C$18,ET14:ET18))/SUM($C$8:$C$12,$C$14:$C$18))</f>
        <v>102.92930749880146</v>
      </c>
      <c r="EI40" s="10">
        <f t="shared" si="13"/>
        <v>99.174438537587164</v>
      </c>
      <c r="EJ40" s="10">
        <f t="shared" si="13"/>
        <v>99.669599749759016</v>
      </c>
      <c r="EK40" s="10">
        <f t="shared" si="13"/>
        <v>99.812475263728317</v>
      </c>
      <c r="EL40" s="10">
        <f t="shared" si="13"/>
        <v>100.05883837335446</v>
      </c>
      <c r="EM40" s="10">
        <f t="shared" si="13"/>
        <v>100.4685187931773</v>
      </c>
      <c r="EN40" s="10">
        <f t="shared" si="13"/>
        <v>100.92338866650782</v>
      </c>
      <c r="EO40" s="10">
        <f t="shared" si="13"/>
        <v>101.35944890562259</v>
      </c>
      <c r="EP40" s="10">
        <f t="shared" si="13"/>
        <v>101.58877932284257</v>
      </c>
      <c r="EQ40" s="10">
        <f t="shared" si="13"/>
        <v>101.95978939478861</v>
      </c>
      <c r="ER40" s="10">
        <f t="shared" si="13"/>
        <v>102.22983224807743</v>
      </c>
      <c r="ES40" s="10">
        <f t="shared" si="13"/>
        <v>102.66674575516085</v>
      </c>
      <c r="ET40" s="10">
        <f t="shared" si="13"/>
        <v>102.92930749880146</v>
      </c>
      <c r="EU40" s="10">
        <f t="shared" si="13"/>
        <v>103.35859655737073</v>
      </c>
      <c r="EV40" s="10">
        <f t="shared" si="13"/>
        <v>103.50489875863714</v>
      </c>
      <c r="EW40" s="10">
        <f t="shared" si="13"/>
        <v>103.6863421796415</v>
      </c>
      <c r="EX40" s="10">
        <f t="shared" si="13"/>
        <v>103.89608308800747</v>
      </c>
      <c r="EY40" s="10">
        <f t="shared" si="13"/>
        <v>104.10134353151362</v>
      </c>
      <c r="EZ40" s="10">
        <f t="shared" si="13"/>
        <v>104.29692914976918</v>
      </c>
      <c r="FA40" s="10">
        <f t="shared" si="13"/>
        <v>104.41746087962272</v>
      </c>
      <c r="FB40" s="10">
        <f t="shared" si="13"/>
        <v>104.59052949952142</v>
      </c>
      <c r="FC40" s="10">
        <f t="shared" si="13"/>
        <v>104.74167276703879</v>
      </c>
      <c r="FD40" s="10">
        <f t="shared" si="13"/>
        <v>104.78227025127393</v>
      </c>
      <c r="FE40" s="10">
        <f t="shared" si="13"/>
        <v>105.1570549991214</v>
      </c>
      <c r="FF40" s="10">
        <f t="shared" si="13"/>
        <v>105.30035143208575</v>
      </c>
      <c r="FG40" s="10">
        <f t="shared" si="13"/>
        <v>105.40808293797222</v>
      </c>
      <c r="FH40" s="10">
        <f t="shared" si="13"/>
        <v>105.65477069056405</v>
      </c>
      <c r="FI40" s="10">
        <f t="shared" si="13"/>
        <v>105.8258126866983</v>
      </c>
      <c r="FJ40" s="10">
        <f t="shared" si="13"/>
        <v>105.91856791961416</v>
      </c>
      <c r="FK40" s="10">
        <f t="shared" si="13"/>
        <v>106.07969677452463</v>
      </c>
      <c r="FL40" s="10">
        <f t="shared" si="13"/>
        <v>106.23175098847636</v>
      </c>
      <c r="FM40" s="10">
        <f t="shared" si="13"/>
        <v>106.32895720530816</v>
      </c>
      <c r="FN40" s="10">
        <f t="shared" si="13"/>
        <v>106.56369271088026</v>
      </c>
      <c r="FO40" s="10">
        <f t="shared" si="13"/>
        <v>106.91035062609485</v>
      </c>
      <c r="FP40" s="10">
        <f t="shared" ref="FP40:FR40" si="14">IF(OR(FP5="",FP10="",FP16=""),"",(SUMPRODUCT($C$8:$C$12,FP8:FP12)+SUMPRODUCT($C$14:$C$18,FP14:FP18))/SUM($C$8:$C$12,$C$14:$C$18))</f>
        <v>106.98903531892461</v>
      </c>
      <c r="FQ40" s="10">
        <f t="shared" si="14"/>
        <v>107.12156035846071</v>
      </c>
      <c r="FR40" s="10">
        <f t="shared" si="14"/>
        <v>107.25944473730451</v>
      </c>
      <c r="FS40" s="10"/>
      <c r="FT40" s="10"/>
    </row>
    <row r="41" spans="2:176" s="198" customFormat="1" ht="10.199999999999999" x14ac:dyDescent="0.2"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</row>
    <row r="42" spans="2:176" s="63" customFormat="1" ht="10.199999999999999" x14ac:dyDescent="0.2">
      <c r="B42" s="63" t="s">
        <v>80</v>
      </c>
      <c r="C42" s="64">
        <f>AVERAGE(D42:O42)</f>
        <v>222.06666666666663</v>
      </c>
      <c r="D42" s="63">
        <v>220.3</v>
      </c>
      <c r="E42" s="63">
        <v>220.3</v>
      </c>
      <c r="F42" s="63">
        <v>219.5</v>
      </c>
      <c r="G42" s="63">
        <v>219.2</v>
      </c>
      <c r="H42" s="63">
        <v>220.1</v>
      </c>
      <c r="I42" s="63">
        <v>221.2</v>
      </c>
      <c r="J42" s="63">
        <v>222.2</v>
      </c>
      <c r="K42" s="63">
        <v>223</v>
      </c>
      <c r="L42" s="63">
        <v>224.2</v>
      </c>
      <c r="M42" s="63">
        <v>224.5</v>
      </c>
      <c r="N42" s="63">
        <v>224.7</v>
      </c>
      <c r="O42" s="63">
        <v>225.6</v>
      </c>
      <c r="P42" s="65">
        <v>224.4</v>
      </c>
      <c r="Q42" s="65">
        <v>224.2</v>
      </c>
      <c r="R42" s="65">
        <v>225.1</v>
      </c>
      <c r="S42" s="65">
        <v>225.8</v>
      </c>
      <c r="T42" s="65">
        <v>226.7</v>
      </c>
      <c r="U42" s="65">
        <v>226.9</v>
      </c>
      <c r="V42" s="65">
        <f>V19*AVERAGE($D$42:$O$42)/100</f>
        <v>178.05314529810229</v>
      </c>
      <c r="W42" s="65">
        <f t="shared" ref="W42:CH42" si="15">W19*AVERAGE($D$42:$O$42)/100</f>
        <v>178.86990915474118</v>
      </c>
      <c r="X42" s="65">
        <f t="shared" si="15"/>
        <v>178.78618005919077</v>
      </c>
      <c r="Y42" s="65">
        <f t="shared" si="15"/>
        <v>179.54565112336513</v>
      </c>
      <c r="Z42" s="65">
        <f t="shared" si="15"/>
        <v>179.36068495765605</v>
      </c>
      <c r="AA42" s="65">
        <f t="shared" si="15"/>
        <v>180.87904678808817</v>
      </c>
      <c r="AB42" s="65">
        <f t="shared" si="15"/>
        <v>180.30729605676558</v>
      </c>
      <c r="AC42" s="65">
        <f t="shared" si="15"/>
        <v>180.04505194674519</v>
      </c>
      <c r="AD42" s="65">
        <f t="shared" si="15"/>
        <v>180.23398864155547</v>
      </c>
      <c r="AE42" s="65">
        <f t="shared" si="15"/>
        <v>180.21416491919311</v>
      </c>
      <c r="AF42" s="65">
        <f t="shared" si="15"/>
        <v>180.4668326313855</v>
      </c>
      <c r="AG42" s="65">
        <f t="shared" si="15"/>
        <v>180.89166235214074</v>
      </c>
      <c r="AH42" s="65">
        <f t="shared" si="15"/>
        <v>180.98188835330916</v>
      </c>
      <c r="AI42" s="65">
        <f t="shared" si="15"/>
        <v>181.7426533713743</v>
      </c>
      <c r="AJ42" s="65">
        <f t="shared" si="15"/>
        <v>182.27862520600451</v>
      </c>
      <c r="AK42" s="65">
        <f t="shared" si="15"/>
        <v>183.15419708348972</v>
      </c>
      <c r="AL42" s="65">
        <f t="shared" si="15"/>
        <v>183.33025751894317</v>
      </c>
      <c r="AM42" s="65">
        <f t="shared" si="15"/>
        <v>183.85612795034521</v>
      </c>
      <c r="AN42" s="65">
        <f t="shared" si="15"/>
        <v>182.70556380263363</v>
      </c>
      <c r="AO42" s="65">
        <f t="shared" si="15"/>
        <v>182.56815334665421</v>
      </c>
      <c r="AP42" s="65">
        <f t="shared" si="15"/>
        <v>182.28693212007602</v>
      </c>
      <c r="AQ42" s="65">
        <f t="shared" si="15"/>
        <v>181.89463882900625</v>
      </c>
      <c r="AR42" s="65">
        <f t="shared" si="15"/>
        <v>182.6987075523422</v>
      </c>
      <c r="AS42" s="65">
        <f t="shared" si="15"/>
        <v>182.31767211866855</v>
      </c>
      <c r="AT42" s="65">
        <f t="shared" si="15"/>
        <v>186.31292765610354</v>
      </c>
      <c r="AU42" s="65">
        <f t="shared" si="15"/>
        <v>186.53171533514345</v>
      </c>
      <c r="AV42" s="65">
        <f t="shared" si="15"/>
        <v>187.04591318852781</v>
      </c>
      <c r="AW42" s="65">
        <f t="shared" si="15"/>
        <v>186.86440516556479</v>
      </c>
      <c r="AX42" s="65">
        <f t="shared" si="15"/>
        <v>187.99249552683887</v>
      </c>
      <c r="AY42" s="65">
        <f t="shared" si="15"/>
        <v>188.67408724315163</v>
      </c>
      <c r="AZ42" s="65">
        <f t="shared" si="15"/>
        <v>187.41904300242655</v>
      </c>
      <c r="BA42" s="65">
        <f t="shared" si="15"/>
        <v>188.04106716876788</v>
      </c>
      <c r="BB42" s="65">
        <f t="shared" si="15"/>
        <v>188.06182909723353</v>
      </c>
      <c r="BC42" s="65">
        <f t="shared" si="15"/>
        <v>188.93761386750342</v>
      </c>
      <c r="BD42" s="65">
        <f t="shared" si="15"/>
        <v>189.31718826500702</v>
      </c>
      <c r="BE42" s="65">
        <f t="shared" si="15"/>
        <v>190.10790252204862</v>
      </c>
      <c r="BF42" s="65">
        <f t="shared" si="15"/>
        <v>190.65638251132705</v>
      </c>
      <c r="BG42" s="65">
        <f t="shared" si="15"/>
        <v>190.47560443094204</v>
      </c>
      <c r="BH42" s="65">
        <f t="shared" si="15"/>
        <v>191.06068608729274</v>
      </c>
      <c r="BI42" s="65">
        <f t="shared" si="15"/>
        <v>191.07920354363065</v>
      </c>
      <c r="BJ42" s="65">
        <f t="shared" si="15"/>
        <v>190.7388419117836</v>
      </c>
      <c r="BK42" s="65">
        <f t="shared" si="15"/>
        <v>191.40276943176428</v>
      </c>
      <c r="BL42" s="65">
        <f t="shared" si="15"/>
        <v>190.61146104914599</v>
      </c>
      <c r="BM42" s="65">
        <f t="shared" si="15"/>
        <v>190.48970533942625</v>
      </c>
      <c r="BN42" s="65">
        <f t="shared" si="15"/>
        <v>190.77094752919081</v>
      </c>
      <c r="BO42" s="65">
        <f t="shared" si="15"/>
        <v>191.01895075267427</v>
      </c>
      <c r="BP42" s="65">
        <f t="shared" si="15"/>
        <v>191.90463020996856</v>
      </c>
      <c r="BQ42" s="65">
        <f t="shared" si="15"/>
        <v>191.3807358916205</v>
      </c>
      <c r="BR42" s="65">
        <f t="shared" si="15"/>
        <v>191.51668989563325</v>
      </c>
      <c r="BS42" s="65">
        <f t="shared" si="15"/>
        <v>192.15766263382713</v>
      </c>
      <c r="BT42" s="65">
        <f t="shared" si="15"/>
        <v>192.12130576663955</v>
      </c>
      <c r="BU42" s="65">
        <f t="shared" si="15"/>
        <v>191.64348385492877</v>
      </c>
      <c r="BV42" s="65">
        <f t="shared" si="15"/>
        <v>191.59793678210042</v>
      </c>
      <c r="BW42" s="65">
        <f t="shared" si="15"/>
        <v>191.9608002070315</v>
      </c>
      <c r="BX42" s="65">
        <f t="shared" si="15"/>
        <v>191.42501715832256</v>
      </c>
      <c r="BY42" s="65">
        <f t="shared" si="15"/>
        <v>191.38417822390315</v>
      </c>
      <c r="BZ42" s="65">
        <f t="shared" si="15"/>
        <v>191.61393224281204</v>
      </c>
      <c r="CA42" s="65">
        <f t="shared" si="15"/>
        <v>192.50501835669664</v>
      </c>
      <c r="CB42" s="65">
        <f t="shared" si="15"/>
        <v>192.54479392050769</v>
      </c>
      <c r="CC42" s="65">
        <f t="shared" si="15"/>
        <v>192.4962315846322</v>
      </c>
      <c r="CD42" s="65">
        <f t="shared" si="15"/>
        <v>192.67154856579262</v>
      </c>
      <c r="CE42" s="65">
        <f t="shared" si="15"/>
        <v>193.38496254805156</v>
      </c>
      <c r="CF42" s="65">
        <f t="shared" si="15"/>
        <v>193.68441375989445</v>
      </c>
      <c r="CG42" s="65">
        <f t="shared" si="15"/>
        <v>193.43052639911872</v>
      </c>
      <c r="CH42" s="65">
        <f t="shared" si="15"/>
        <v>193.32855022310991</v>
      </c>
      <c r="CI42" s="65">
        <f t="shared" ref="CI42:ET42" si="16">CI19*AVERAGE($D$42:$O$42)/100</f>
        <v>193.42369414899801</v>
      </c>
      <c r="CJ42" s="65">
        <f t="shared" si="16"/>
        <v>193.09626482383158</v>
      </c>
      <c r="CK42" s="65">
        <f t="shared" si="16"/>
        <v>192.98164394134037</v>
      </c>
      <c r="CL42" s="65">
        <f t="shared" si="16"/>
        <v>193.05920345261165</v>
      </c>
      <c r="CM42" s="65">
        <f t="shared" si="16"/>
        <v>193.77824386219211</v>
      </c>
      <c r="CN42" s="65">
        <f t="shared" si="16"/>
        <v>194.22942983093992</v>
      </c>
      <c r="CO42" s="65">
        <f t="shared" si="16"/>
        <v>194.21659759110679</v>
      </c>
      <c r="CP42" s="65">
        <f t="shared" si="16"/>
        <v>194.45871688849155</v>
      </c>
      <c r="CQ42" s="65">
        <f t="shared" si="16"/>
        <v>194.75288530465764</v>
      </c>
      <c r="CR42" s="65">
        <f t="shared" si="16"/>
        <v>195.51638967072103</v>
      </c>
      <c r="CS42" s="65">
        <f t="shared" si="16"/>
        <v>196.47246816038427</v>
      </c>
      <c r="CT42" s="65">
        <f t="shared" si="16"/>
        <v>196.68356207177331</v>
      </c>
      <c r="CU42" s="65">
        <f t="shared" si="16"/>
        <v>197.24119267008973</v>
      </c>
      <c r="CV42" s="65">
        <f t="shared" si="16"/>
        <v>196.74657763374987</v>
      </c>
      <c r="CW42" s="65">
        <f t="shared" si="16"/>
        <v>197.29173955190916</v>
      </c>
      <c r="CX42" s="65">
        <f t="shared" si="16"/>
        <v>198.13894376689967</v>
      </c>
      <c r="CY42" s="65">
        <f t="shared" si="16"/>
        <v>198.79166547312099</v>
      </c>
      <c r="CZ42" s="65">
        <f t="shared" si="16"/>
        <v>198.88376038795295</v>
      </c>
      <c r="DA42" s="65">
        <f t="shared" si="16"/>
        <v>199.1774297771926</v>
      </c>
      <c r="DB42" s="65">
        <f t="shared" si="16"/>
        <v>199.70262720848004</v>
      </c>
      <c r="DC42" s="65">
        <f t="shared" si="16"/>
        <v>200.03686966319458</v>
      </c>
      <c r="DD42" s="65">
        <f t="shared" si="16"/>
        <v>200.32905777225761</v>
      </c>
      <c r="DE42" s="65">
        <f t="shared" si="16"/>
        <v>201.09536538522073</v>
      </c>
      <c r="DF42" s="65">
        <f t="shared" si="16"/>
        <v>201.65519877991238</v>
      </c>
      <c r="DG42" s="65">
        <f t="shared" si="16"/>
        <v>202.02917232964424</v>
      </c>
      <c r="DH42" s="65">
        <f t="shared" si="16"/>
        <v>202.17572452884974</v>
      </c>
      <c r="DI42" s="65">
        <f t="shared" si="16"/>
        <v>202.40368835748333</v>
      </c>
      <c r="DJ42" s="65">
        <f t="shared" si="16"/>
        <v>203.09655131788298</v>
      </c>
      <c r="DK42" s="65">
        <f t="shared" si="16"/>
        <v>204.11556551306222</v>
      </c>
      <c r="DL42" s="65">
        <f t="shared" si="16"/>
        <v>203.57943385627831</v>
      </c>
      <c r="DM42" s="65">
        <f t="shared" si="16"/>
        <v>203.84863224848397</v>
      </c>
      <c r="DN42" s="65">
        <f t="shared" si="16"/>
        <v>204.79568589765245</v>
      </c>
      <c r="DO42" s="65">
        <f t="shared" si="16"/>
        <v>205.14660214700157</v>
      </c>
      <c r="DP42" s="65">
        <f t="shared" si="16"/>
        <v>205.0949607226668</v>
      </c>
      <c r="DQ42" s="65">
        <f t="shared" si="16"/>
        <v>206.04062224058259</v>
      </c>
      <c r="DR42" s="65">
        <f t="shared" si="16"/>
        <v>205.93275904726497</v>
      </c>
      <c r="DS42" s="65">
        <f t="shared" si="16"/>
        <v>206.31081766838761</v>
      </c>
      <c r="DT42" s="65">
        <f t="shared" si="16"/>
        <v>205.99694173675067</v>
      </c>
      <c r="DU42" s="65">
        <f t="shared" si="16"/>
        <v>206.1997883187758</v>
      </c>
      <c r="DV42" s="65">
        <f t="shared" si="16"/>
        <v>206.93021882443827</v>
      </c>
      <c r="DW42" s="65">
        <f t="shared" si="16"/>
        <v>207.54380952724622</v>
      </c>
      <c r="DX42" s="65">
        <f t="shared" si="16"/>
        <v>208.11675765021803</v>
      </c>
      <c r="DY42" s="65">
        <f t="shared" si="16"/>
        <v>208.72054786311077</v>
      </c>
      <c r="DZ42" s="65">
        <f t="shared" si="16"/>
        <v>209.91615738107316</v>
      </c>
      <c r="EA42" s="65">
        <f t="shared" si="16"/>
        <v>209.83289373663902</v>
      </c>
      <c r="EB42" s="65">
        <f t="shared" si="16"/>
        <v>210.02652191022841</v>
      </c>
      <c r="EC42" s="65">
        <f t="shared" si="16"/>
        <v>210.49962140657971</v>
      </c>
      <c r="ED42" s="65">
        <f t="shared" si="16"/>
        <v>210.78991171356714</v>
      </c>
      <c r="EE42" s="65">
        <f t="shared" si="16"/>
        <v>213.44327640992992</v>
      </c>
      <c r="EF42" s="65">
        <f t="shared" si="16"/>
        <v>214.42196036781436</v>
      </c>
      <c r="EG42" s="65">
        <f t="shared" si="16"/>
        <v>215.3582289626747</v>
      </c>
      <c r="EH42" s="65">
        <f>ET19*AVERAGE($D$42:$O$42)/100</f>
        <v>235.04638581954788</v>
      </c>
      <c r="EI42" s="65">
        <f t="shared" si="16"/>
        <v>219.08006800260785</v>
      </c>
      <c r="EJ42" s="65">
        <f t="shared" si="16"/>
        <v>220.4608550288761</v>
      </c>
      <c r="EK42" s="65">
        <f t="shared" si="16"/>
        <v>221.2676740256191</v>
      </c>
      <c r="EL42" s="65">
        <f t="shared" si="16"/>
        <v>222.81582424355136</v>
      </c>
      <c r="EM42" s="65">
        <f t="shared" si="16"/>
        <v>224.6778974463441</v>
      </c>
      <c r="EN42" s="65">
        <f t="shared" si="16"/>
        <v>226.1022380994271</v>
      </c>
      <c r="EO42" s="65">
        <f t="shared" si="16"/>
        <v>226.85617385788669</v>
      </c>
      <c r="EP42" s="65">
        <f t="shared" si="16"/>
        <v>228.09920422652263</v>
      </c>
      <c r="EQ42" s="65">
        <f t="shared" si="16"/>
        <v>229.05743904608968</v>
      </c>
      <c r="ER42" s="65">
        <f t="shared" si="16"/>
        <v>229.73511093806869</v>
      </c>
      <c r="ES42" s="65">
        <f t="shared" si="16"/>
        <v>233.07143587230857</v>
      </c>
      <c r="ET42" s="65">
        <f t="shared" si="16"/>
        <v>235.04638581954788</v>
      </c>
      <c r="EU42" s="65">
        <f t="shared" ref="EU42:FO42" si="17">EU19*AVERAGE($D$42:$O$42)/100</f>
        <v>236.63033302990436</v>
      </c>
      <c r="EV42" s="65">
        <f t="shared" si="17"/>
        <v>237.63781109979976</v>
      </c>
      <c r="EW42" s="65">
        <f t="shared" si="17"/>
        <v>239.05557231476615</v>
      </c>
      <c r="EX42" s="65">
        <f t="shared" si="17"/>
        <v>240.02709278958156</v>
      </c>
      <c r="EY42" s="65">
        <f t="shared" si="17"/>
        <v>241.32944450622207</v>
      </c>
      <c r="EZ42" s="65">
        <f t="shared" si="17"/>
        <v>241.76946796616582</v>
      </c>
      <c r="FA42" s="65">
        <f t="shared" si="17"/>
        <v>242.18462025424608</v>
      </c>
      <c r="FB42" s="65">
        <f t="shared" si="17"/>
        <v>242.19516277170482</v>
      </c>
      <c r="FC42" s="65">
        <f t="shared" si="17"/>
        <v>242.33520944121085</v>
      </c>
      <c r="FD42" s="65">
        <f t="shared" si="17"/>
        <v>241.6085333333333</v>
      </c>
      <c r="FE42" s="65">
        <f t="shared" si="17"/>
        <v>244.71746666666661</v>
      </c>
      <c r="FF42" s="65">
        <f t="shared" si="17"/>
        <v>246.27193333333332</v>
      </c>
      <c r="FG42" s="65">
        <f t="shared" si="17"/>
        <v>247.6043333333333</v>
      </c>
      <c r="FH42" s="65">
        <f t="shared" si="17"/>
        <v>248.2705333333333</v>
      </c>
      <c r="FI42" s="65">
        <f t="shared" si="17"/>
        <v>249.15879999999999</v>
      </c>
      <c r="FJ42" s="65">
        <f t="shared" si="17"/>
        <v>249.4356349080808</v>
      </c>
      <c r="FK42" s="65">
        <f t="shared" si="17"/>
        <v>250.47170976832217</v>
      </c>
      <c r="FL42" s="65">
        <f t="shared" si="17"/>
        <v>252.37066125658399</v>
      </c>
      <c r="FM42" s="65">
        <f t="shared" si="17"/>
        <v>253.0029870661686</v>
      </c>
      <c r="FN42" s="65">
        <f t="shared" si="17"/>
        <v>253.14583827331836</v>
      </c>
      <c r="FO42" s="65">
        <f t="shared" si="17"/>
        <v>254.72885000461284</v>
      </c>
      <c r="FP42" s="65">
        <f t="shared" ref="FP42:FR42" si="18">FP19*AVERAGE($D$42:$O$42)/100</f>
        <v>254.26633333333331</v>
      </c>
      <c r="FQ42" s="65">
        <f t="shared" si="18"/>
        <v>254.48839999999996</v>
      </c>
      <c r="FR42" s="65">
        <f t="shared" si="18"/>
        <v>255.37666666666664</v>
      </c>
      <c r="FS42" s="65"/>
      <c r="FT42" s="65"/>
    </row>
    <row r="43" spans="2:176" s="1" customFormat="1" ht="10.199999999999999" x14ac:dyDescent="0.2">
      <c r="O43" s="7"/>
    </row>
    <row r="44" spans="2:176" s="1" customFormat="1" ht="10.8" thickBot="1" x14ac:dyDescent="0.25">
      <c r="O44" s="7"/>
    </row>
    <row r="45" spans="2:176" s="2" customFormat="1" ht="33" thickTop="1" thickBot="1" x14ac:dyDescent="0.55000000000000004">
      <c r="B45" s="2" t="s">
        <v>93</v>
      </c>
    </row>
    <row r="46" spans="2:176" s="20" customFormat="1" ht="14.4" thickTop="1" thickBot="1" x14ac:dyDescent="0.3"/>
    <row r="47" spans="2:176" s="24" customFormat="1" ht="13.8" thickBot="1" x14ac:dyDescent="0.3">
      <c r="B47" s="21" t="s">
        <v>34</v>
      </c>
      <c r="C47" s="22" t="s">
        <v>1</v>
      </c>
      <c r="D47" s="23">
        <v>40544</v>
      </c>
      <c r="E47" s="23">
        <v>40575</v>
      </c>
      <c r="F47" s="23">
        <v>40603</v>
      </c>
      <c r="G47" s="23">
        <v>40634</v>
      </c>
      <c r="H47" s="23">
        <v>40664</v>
      </c>
      <c r="I47" s="23">
        <v>40695</v>
      </c>
      <c r="J47" s="23">
        <v>40725</v>
      </c>
      <c r="K47" s="23">
        <v>40756</v>
      </c>
      <c r="L47" s="23">
        <v>40787</v>
      </c>
      <c r="M47" s="23">
        <v>40817</v>
      </c>
      <c r="N47" s="23">
        <v>40848</v>
      </c>
      <c r="O47" s="23">
        <v>40878</v>
      </c>
      <c r="P47" s="23">
        <v>40909</v>
      </c>
      <c r="Q47" s="23">
        <v>40940</v>
      </c>
      <c r="R47" s="23">
        <v>40969</v>
      </c>
      <c r="S47" s="23">
        <v>41000</v>
      </c>
      <c r="T47" s="23">
        <v>41030</v>
      </c>
      <c r="U47" s="23">
        <v>41061</v>
      </c>
      <c r="V47" s="23">
        <v>41091</v>
      </c>
      <c r="W47" s="23">
        <v>41122</v>
      </c>
      <c r="X47" s="23">
        <v>41153</v>
      </c>
      <c r="Y47" s="23">
        <v>41183</v>
      </c>
      <c r="Z47" s="23">
        <v>41214</v>
      </c>
      <c r="AA47" s="23">
        <v>41244</v>
      </c>
      <c r="AB47" s="23">
        <v>41275</v>
      </c>
      <c r="AC47" s="23">
        <v>41306</v>
      </c>
      <c r="AD47" s="23">
        <v>41334</v>
      </c>
      <c r="AE47" s="23">
        <v>41365</v>
      </c>
      <c r="AF47" s="23">
        <v>41395</v>
      </c>
      <c r="AG47" s="23">
        <v>41426</v>
      </c>
      <c r="AH47" s="23">
        <v>41456</v>
      </c>
      <c r="AI47" s="23">
        <v>41487</v>
      </c>
      <c r="AJ47" s="23">
        <v>41518</v>
      </c>
      <c r="AK47" s="23">
        <v>41548</v>
      </c>
      <c r="AL47" s="23">
        <v>41579</v>
      </c>
      <c r="AM47" s="23">
        <v>41609</v>
      </c>
      <c r="AN47" s="23">
        <v>41640</v>
      </c>
      <c r="AO47" s="23">
        <v>41671</v>
      </c>
      <c r="AP47" s="23">
        <v>41699</v>
      </c>
      <c r="AQ47" s="23">
        <v>41730</v>
      </c>
      <c r="AR47" s="23">
        <v>41760</v>
      </c>
      <c r="AS47" s="23">
        <v>41791</v>
      </c>
      <c r="AT47" s="23">
        <v>41821</v>
      </c>
      <c r="AU47" s="23">
        <v>41852</v>
      </c>
      <c r="AV47" s="23">
        <v>41883</v>
      </c>
      <c r="AW47" s="23">
        <v>41913</v>
      </c>
      <c r="AX47" s="23">
        <v>41944</v>
      </c>
      <c r="AY47" s="23">
        <v>41974</v>
      </c>
      <c r="AZ47" s="23">
        <v>42005</v>
      </c>
      <c r="BA47" s="23">
        <v>42036</v>
      </c>
      <c r="BB47" s="23">
        <v>42064</v>
      </c>
      <c r="BC47" s="23">
        <v>42095</v>
      </c>
      <c r="BD47" s="23">
        <v>42125</v>
      </c>
      <c r="BE47" s="23">
        <v>42156</v>
      </c>
      <c r="BF47" s="23">
        <v>42186</v>
      </c>
      <c r="BG47" s="23">
        <v>42217</v>
      </c>
      <c r="BH47" s="23">
        <v>42248</v>
      </c>
      <c r="BI47" s="23">
        <v>42278</v>
      </c>
      <c r="BJ47" s="23">
        <v>42309</v>
      </c>
      <c r="BK47" s="23">
        <v>42339</v>
      </c>
      <c r="BL47" s="23">
        <v>42370</v>
      </c>
      <c r="BM47" s="23">
        <v>42401</v>
      </c>
      <c r="BN47" s="23">
        <v>42430</v>
      </c>
      <c r="BO47" s="23">
        <v>42461</v>
      </c>
      <c r="BP47" s="23">
        <v>42491</v>
      </c>
      <c r="BQ47" s="23">
        <v>42522</v>
      </c>
      <c r="BR47" s="23">
        <v>42552</v>
      </c>
      <c r="BS47" s="23">
        <v>42583</v>
      </c>
      <c r="BT47" s="23">
        <v>42614</v>
      </c>
      <c r="BU47" s="23">
        <v>42644</v>
      </c>
      <c r="BV47" s="23">
        <v>42675</v>
      </c>
      <c r="BW47" s="23">
        <v>42705</v>
      </c>
      <c r="BX47" s="23">
        <v>42736</v>
      </c>
      <c r="BY47" s="23">
        <v>42767</v>
      </c>
      <c r="BZ47" s="23">
        <v>42795</v>
      </c>
      <c r="CA47" s="23">
        <v>42826</v>
      </c>
      <c r="CB47" s="23">
        <v>42856</v>
      </c>
      <c r="CC47" s="23">
        <v>42887</v>
      </c>
      <c r="CD47" s="23">
        <v>42917</v>
      </c>
      <c r="CE47" s="23">
        <v>42948</v>
      </c>
      <c r="CF47" s="23">
        <v>42979</v>
      </c>
      <c r="CG47" s="23">
        <v>43009</v>
      </c>
      <c r="CH47" s="23">
        <v>43040</v>
      </c>
      <c r="CI47" s="23">
        <v>43070</v>
      </c>
      <c r="CJ47" s="23">
        <v>43101</v>
      </c>
      <c r="CK47" s="23">
        <v>43132</v>
      </c>
      <c r="CL47" s="23">
        <v>43160</v>
      </c>
      <c r="CM47" s="23">
        <v>43191</v>
      </c>
      <c r="CN47" s="23">
        <v>43221</v>
      </c>
      <c r="CO47" s="23">
        <v>43252</v>
      </c>
      <c r="CP47" s="23">
        <v>43282</v>
      </c>
      <c r="CQ47" s="23">
        <v>43313</v>
      </c>
      <c r="CR47" s="23">
        <v>43344</v>
      </c>
      <c r="CS47" s="23">
        <v>43374</v>
      </c>
      <c r="CT47" s="23">
        <v>43405</v>
      </c>
      <c r="CU47" s="23">
        <v>43435</v>
      </c>
      <c r="CV47" s="23">
        <v>43466</v>
      </c>
      <c r="CW47" s="23">
        <v>43497</v>
      </c>
      <c r="CX47" s="23">
        <v>43525</v>
      </c>
      <c r="CY47" s="23">
        <v>43556</v>
      </c>
      <c r="CZ47" s="23">
        <v>43586</v>
      </c>
      <c r="DA47" s="23">
        <v>43617</v>
      </c>
      <c r="DB47" s="23">
        <v>43647</v>
      </c>
      <c r="DC47" s="23">
        <v>43678</v>
      </c>
      <c r="DD47" s="23">
        <v>43709</v>
      </c>
      <c r="DE47" s="23">
        <v>43739</v>
      </c>
      <c r="DF47" s="23">
        <v>43770</v>
      </c>
      <c r="DG47" s="23">
        <v>43800</v>
      </c>
      <c r="DH47" s="23">
        <v>43831</v>
      </c>
      <c r="DI47" s="23">
        <v>43862</v>
      </c>
      <c r="DJ47" s="23">
        <v>43891</v>
      </c>
      <c r="DK47" s="23">
        <v>43922</v>
      </c>
      <c r="DL47" s="23">
        <v>43952</v>
      </c>
      <c r="DM47" s="23">
        <v>43983</v>
      </c>
      <c r="DN47" s="23">
        <v>44013</v>
      </c>
      <c r="DO47" s="23">
        <v>44044</v>
      </c>
      <c r="DP47" s="23">
        <v>44075</v>
      </c>
      <c r="DQ47" s="23">
        <v>44105</v>
      </c>
      <c r="DR47" s="23">
        <v>44136</v>
      </c>
      <c r="DS47" s="23">
        <v>44166</v>
      </c>
      <c r="DT47" s="23">
        <f>DT4</f>
        <v>44197</v>
      </c>
      <c r="DU47" s="23">
        <f t="shared" ref="DU47:FA47" si="19">DU4</f>
        <v>44228</v>
      </c>
      <c r="DV47" s="23">
        <f t="shared" si="19"/>
        <v>44256</v>
      </c>
      <c r="DW47" s="23">
        <f t="shared" si="19"/>
        <v>44287</v>
      </c>
      <c r="DX47" s="23">
        <f t="shared" si="19"/>
        <v>44317</v>
      </c>
      <c r="DY47" s="23">
        <f t="shared" si="19"/>
        <v>44348</v>
      </c>
      <c r="DZ47" s="23">
        <f t="shared" si="19"/>
        <v>44378</v>
      </c>
      <c r="EA47" s="23">
        <f t="shared" si="19"/>
        <v>44409</v>
      </c>
      <c r="EB47" s="23">
        <f t="shared" si="19"/>
        <v>44440</v>
      </c>
      <c r="EC47" s="23">
        <f t="shared" si="19"/>
        <v>44470</v>
      </c>
      <c r="ED47" s="23">
        <f t="shared" si="19"/>
        <v>44501</v>
      </c>
      <c r="EE47" s="23">
        <f t="shared" si="19"/>
        <v>44531</v>
      </c>
      <c r="EF47" s="23">
        <f t="shared" si="19"/>
        <v>44562</v>
      </c>
      <c r="EG47" s="23">
        <f t="shared" si="19"/>
        <v>44593</v>
      </c>
      <c r="EH47" s="23">
        <f>ET4</f>
        <v>44986</v>
      </c>
      <c r="EI47" s="23">
        <f t="shared" si="19"/>
        <v>44652</v>
      </c>
      <c r="EJ47" s="23">
        <f t="shared" si="19"/>
        <v>44682</v>
      </c>
      <c r="EK47" s="23">
        <f t="shared" si="19"/>
        <v>44713</v>
      </c>
      <c r="EL47" s="23">
        <f t="shared" si="19"/>
        <v>44743</v>
      </c>
      <c r="EM47" s="23">
        <f t="shared" si="19"/>
        <v>44774</v>
      </c>
      <c r="EN47" s="23">
        <f t="shared" si="19"/>
        <v>44805</v>
      </c>
      <c r="EO47" s="23">
        <f t="shared" si="19"/>
        <v>44835</v>
      </c>
      <c r="EP47" s="23">
        <f t="shared" si="19"/>
        <v>44866</v>
      </c>
      <c r="EQ47" s="23">
        <f t="shared" si="19"/>
        <v>44896</v>
      </c>
      <c r="ER47" s="23">
        <f t="shared" si="19"/>
        <v>44927</v>
      </c>
      <c r="ES47" s="23">
        <f t="shared" si="19"/>
        <v>44958</v>
      </c>
      <c r="ET47" s="23">
        <f t="shared" si="19"/>
        <v>44986</v>
      </c>
      <c r="EU47" s="23">
        <f t="shared" si="19"/>
        <v>45017</v>
      </c>
      <c r="EV47" s="23">
        <f t="shared" si="19"/>
        <v>45047</v>
      </c>
      <c r="EW47" s="23">
        <f t="shared" si="19"/>
        <v>45078</v>
      </c>
      <c r="EX47" s="23">
        <f t="shared" si="19"/>
        <v>45108</v>
      </c>
      <c r="EY47" s="23">
        <f t="shared" si="19"/>
        <v>45139</v>
      </c>
      <c r="EZ47" s="23">
        <f t="shared" si="19"/>
        <v>45170</v>
      </c>
      <c r="FA47" s="23">
        <f t="shared" si="19"/>
        <v>45200</v>
      </c>
      <c r="FB47" s="23">
        <v>45231</v>
      </c>
      <c r="FC47" s="23">
        <v>45261</v>
      </c>
      <c r="FD47" s="23">
        <v>45292</v>
      </c>
      <c r="FE47" s="23">
        <v>45323</v>
      </c>
      <c r="FF47" s="23">
        <v>45352</v>
      </c>
      <c r="FG47" s="23">
        <v>45383</v>
      </c>
      <c r="FH47" s="23">
        <v>45413</v>
      </c>
      <c r="FI47" s="23">
        <v>45444</v>
      </c>
      <c r="FJ47" s="23">
        <v>45474</v>
      </c>
      <c r="FK47" s="23">
        <v>45505</v>
      </c>
      <c r="FL47" s="23">
        <v>45536</v>
      </c>
      <c r="FM47" s="23">
        <v>45566</v>
      </c>
      <c r="FN47" s="23">
        <v>45597</v>
      </c>
      <c r="FO47" s="23">
        <v>45627</v>
      </c>
      <c r="FP47" s="23">
        <v>45658</v>
      </c>
      <c r="FQ47" s="23">
        <v>45689</v>
      </c>
      <c r="FR47" s="23">
        <v>45717</v>
      </c>
      <c r="FS47" s="23">
        <v>45748</v>
      </c>
      <c r="FT47" s="23">
        <v>45778</v>
      </c>
    </row>
    <row r="48" spans="2:176" s="210" customFormat="1" x14ac:dyDescent="0.25">
      <c r="B48" s="208" t="s">
        <v>35</v>
      </c>
      <c r="C48" s="209"/>
      <c r="P48" s="211">
        <v>100.83146077213542</v>
      </c>
      <c r="Q48" s="211">
        <v>100.16336542611806</v>
      </c>
      <c r="R48" s="211">
        <v>100.27141894197266</v>
      </c>
      <c r="S48" s="211">
        <v>100.15404198856346</v>
      </c>
      <c r="T48" s="211">
        <v>100.6803796028053</v>
      </c>
      <c r="U48" s="211">
        <v>101.06150733897671</v>
      </c>
      <c r="V48" s="211">
        <v>100.83752964920239</v>
      </c>
      <c r="W48" s="211">
        <v>100.94415295340391</v>
      </c>
      <c r="X48" s="211">
        <v>100.86213814261951</v>
      </c>
      <c r="Y48" s="211">
        <v>101.92086393533903</v>
      </c>
      <c r="Z48" s="211">
        <v>101.80165034828688</v>
      </c>
      <c r="AA48" s="211">
        <v>102.62344495522267</v>
      </c>
      <c r="AB48" s="211">
        <v>102.63625286261775</v>
      </c>
      <c r="AC48" s="211">
        <v>102.77304483237917</v>
      </c>
      <c r="AD48" s="211">
        <v>103.17092285111744</v>
      </c>
      <c r="AE48" s="211">
        <v>103.13666184371745</v>
      </c>
      <c r="AF48" s="211">
        <v>102.92605118366002</v>
      </c>
      <c r="AG48" s="211">
        <v>102.6901715224102</v>
      </c>
      <c r="AH48" s="211">
        <v>103.0292541827362</v>
      </c>
      <c r="AI48" s="211">
        <v>103.13888813544339</v>
      </c>
      <c r="AJ48" s="211">
        <v>103.18419903074351</v>
      </c>
      <c r="AK48" s="211">
        <v>103.83376217497023</v>
      </c>
      <c r="AL48" s="211">
        <v>104.73744523213323</v>
      </c>
      <c r="AM48" s="211">
        <v>105.11539482809191</v>
      </c>
      <c r="AN48" s="211">
        <v>104.35089534368902</v>
      </c>
      <c r="AO48" s="211">
        <v>103.97637787064831</v>
      </c>
      <c r="AP48" s="211">
        <v>103.8401990532462</v>
      </c>
      <c r="AQ48" s="211">
        <v>103.71665737490486</v>
      </c>
      <c r="AR48" s="211">
        <v>103.80038652597854</v>
      </c>
      <c r="AS48" s="211">
        <v>104.06017184360167</v>
      </c>
      <c r="AT48" s="211">
        <v>106.52154013477292</v>
      </c>
      <c r="AU48" s="211">
        <v>106.42084205538991</v>
      </c>
      <c r="AV48" s="211">
        <v>106.83117028026895</v>
      </c>
      <c r="AW48" s="211">
        <v>106.22837463493104</v>
      </c>
      <c r="AX48" s="211">
        <v>106.86681541395106</v>
      </c>
      <c r="AY48" s="211">
        <v>107.20657434035549</v>
      </c>
      <c r="AZ48" s="211">
        <v>107.10356058234039</v>
      </c>
      <c r="BA48" s="211">
        <v>107.76720190390928</v>
      </c>
      <c r="BB48" s="211">
        <v>108.09603344332538</v>
      </c>
      <c r="BC48" s="211">
        <v>108.31169761541777</v>
      </c>
      <c r="BD48" s="211">
        <v>108.33455188319343</v>
      </c>
      <c r="BE48" s="211">
        <v>108.73648548335368</v>
      </c>
      <c r="BF48" s="211">
        <v>108.35986088413397</v>
      </c>
      <c r="BG48" s="211">
        <v>108.43686607119839</v>
      </c>
      <c r="BH48" s="211">
        <v>108.74157718696115</v>
      </c>
      <c r="BI48" s="211">
        <v>108.86105829355859</v>
      </c>
      <c r="BJ48" s="211">
        <v>108.76898050947418</v>
      </c>
      <c r="BK48" s="211">
        <v>108.87604777139144</v>
      </c>
      <c r="BL48" s="211">
        <v>109.09763835168658</v>
      </c>
      <c r="BM48" s="211">
        <v>108.9558959368489</v>
      </c>
      <c r="BN48" s="211">
        <v>109.14247989934437</v>
      </c>
      <c r="BO48" s="211">
        <v>109.76546929013907</v>
      </c>
      <c r="BP48" s="211">
        <v>109.53945142205143</v>
      </c>
      <c r="BQ48" s="211">
        <v>109.67300147331343</v>
      </c>
      <c r="BR48" s="211">
        <v>109.79957465952705</v>
      </c>
      <c r="BS48" s="211">
        <v>109.99294812732816</v>
      </c>
      <c r="BT48" s="211">
        <v>110.17945590882897</v>
      </c>
      <c r="BU48" s="211">
        <v>110.20598554056936</v>
      </c>
      <c r="BV48" s="211">
        <v>110.81273744935244</v>
      </c>
      <c r="BW48" s="211">
        <v>110.33513428429619</v>
      </c>
      <c r="BX48" s="211">
        <v>110.43003702537433</v>
      </c>
      <c r="BY48" s="211">
        <v>110.29807174377434</v>
      </c>
      <c r="BZ48" s="211">
        <v>110.3541926563327</v>
      </c>
      <c r="CA48" s="211">
        <v>110.95810403714766</v>
      </c>
      <c r="CB48" s="211">
        <v>111.06167169042811</v>
      </c>
      <c r="CC48" s="211">
        <v>110.8731285376942</v>
      </c>
      <c r="CD48" s="211">
        <v>110.54981812698182</v>
      </c>
      <c r="CE48" s="211">
        <v>110.67937889939549</v>
      </c>
      <c r="CF48" s="211">
        <v>110.45862958395495</v>
      </c>
      <c r="CG48" s="211">
        <v>110.47641140814321</v>
      </c>
      <c r="CH48" s="211">
        <v>110.81288596089594</v>
      </c>
      <c r="CI48" s="211">
        <v>110.67996108140922</v>
      </c>
      <c r="CJ48" s="211">
        <v>110.58555259134346</v>
      </c>
      <c r="CK48" s="211">
        <v>110.66280334148614</v>
      </c>
      <c r="CL48" s="211">
        <v>110.76719230043892</v>
      </c>
      <c r="CM48" s="211">
        <v>111.68912644361539</v>
      </c>
      <c r="CN48" s="211">
        <v>112.2048629284306</v>
      </c>
      <c r="CO48" s="211">
        <v>111.97220443453118</v>
      </c>
      <c r="CP48" s="211">
        <v>111.70163175961224</v>
      </c>
      <c r="CQ48" s="211">
        <v>111.87584682694138</v>
      </c>
      <c r="CR48" s="211">
        <v>112.05012719405268</v>
      </c>
      <c r="CS48" s="211">
        <v>112.70040820351336</v>
      </c>
      <c r="CT48" s="211">
        <v>113.06607949200152</v>
      </c>
      <c r="CU48" s="211">
        <v>113.32852217106952</v>
      </c>
      <c r="CV48" s="211">
        <v>112.78877551216581</v>
      </c>
      <c r="CW48" s="211">
        <v>113.6870631650045</v>
      </c>
      <c r="CX48" s="211">
        <v>113.83910213227286</v>
      </c>
      <c r="CY48" s="211">
        <v>114.09673147921909</v>
      </c>
      <c r="CZ48" s="211">
        <v>114.27715885603355</v>
      </c>
      <c r="DA48" s="211">
        <v>114.59019924186806</v>
      </c>
      <c r="DB48" s="211">
        <v>114.66080002748342</v>
      </c>
      <c r="DC48" s="211">
        <v>114.8080515084292</v>
      </c>
      <c r="DD48" s="211">
        <v>114.95053362806604</v>
      </c>
      <c r="DE48" s="211">
        <v>115.23120816043976</v>
      </c>
      <c r="DF48" s="211">
        <v>115.43509212504348</v>
      </c>
      <c r="DG48" s="211">
        <v>115.79789224681848</v>
      </c>
      <c r="DH48" s="211">
        <v>115.6235117928115</v>
      </c>
      <c r="DI48" s="211">
        <v>115.82966838384547</v>
      </c>
      <c r="DJ48" s="211">
        <v>116.35755240857259</v>
      </c>
      <c r="DK48" s="211">
        <v>116.83660954343479</v>
      </c>
      <c r="DL48" s="211">
        <v>116.65575584795387</v>
      </c>
      <c r="DM48" s="211">
        <v>116.82385856709089</v>
      </c>
      <c r="DN48" s="211">
        <v>116.77267268221253</v>
      </c>
      <c r="DO48" s="211">
        <v>117.00871211935019</v>
      </c>
      <c r="DP48" s="211">
        <v>117.26687430416425</v>
      </c>
      <c r="DQ48" s="211">
        <v>117.44997942908356</v>
      </c>
      <c r="DR48" s="211">
        <v>117.31339254694518</v>
      </c>
      <c r="DS48" s="211">
        <v>117.41077563860281</v>
      </c>
      <c r="DT48" s="211">
        <v>117.35161967421602</v>
      </c>
      <c r="DU48" s="211">
        <v>117.74198792529046</v>
      </c>
      <c r="DV48" s="211">
        <v>118.20889146392231</v>
      </c>
      <c r="DW48" s="211">
        <v>118.1951956781117</v>
      </c>
      <c r="DX48" s="211">
        <v>118.26018597822308</v>
      </c>
      <c r="DY48" s="211">
        <v>118.71743601519286</v>
      </c>
      <c r="DZ48" s="211">
        <v>119.12855869112431</v>
      </c>
      <c r="EA48" s="211">
        <v>119.36274355790766</v>
      </c>
      <c r="EB48" s="211">
        <v>119.59214691892898</v>
      </c>
      <c r="EC48" s="211">
        <v>119.69532751639078</v>
      </c>
      <c r="ED48" s="211">
        <v>119.87520420086561</v>
      </c>
      <c r="EE48" s="211">
        <v>121.09549433969464</v>
      </c>
      <c r="EF48" s="211">
        <v>121.23430747449552</v>
      </c>
      <c r="EG48" s="211">
        <v>121.8284652403254</v>
      </c>
      <c r="EH48" s="211">
        <v>122.81531710057521</v>
      </c>
      <c r="EI48" s="211">
        <v>124.34959408257087</v>
      </c>
      <c r="EJ48" s="211">
        <v>125.40102134166402</v>
      </c>
      <c r="EK48" s="211">
        <v>126.29074314200575</v>
      </c>
      <c r="EL48" s="211">
        <v>127.2815622066569</v>
      </c>
      <c r="EM48" s="211">
        <v>128.16337617355924</v>
      </c>
      <c r="EN48" s="211">
        <v>128.70965336830287</v>
      </c>
      <c r="EO48" s="211">
        <v>129.19149316953155</v>
      </c>
      <c r="EP48" s="211">
        <v>129.52909251687234</v>
      </c>
      <c r="EQ48" s="211">
        <v>130.26473271265962</v>
      </c>
      <c r="ER48" s="210">
        <v>103.1</v>
      </c>
      <c r="ES48" s="210">
        <v>105.1</v>
      </c>
      <c r="ET48" s="210">
        <v>106.1</v>
      </c>
      <c r="EU48" s="210">
        <v>107.2</v>
      </c>
      <c r="EV48" s="210">
        <v>107.4</v>
      </c>
      <c r="EW48" s="210">
        <v>107.5</v>
      </c>
      <c r="EX48" s="210">
        <v>107.8</v>
      </c>
      <c r="EY48" s="210">
        <v>108.6</v>
      </c>
      <c r="EZ48" s="210">
        <v>108.7</v>
      </c>
      <c r="FA48" s="210">
        <v>108.8</v>
      </c>
      <c r="FB48" s="210">
        <v>108.7</v>
      </c>
      <c r="FC48" s="210">
        <v>108.8</v>
      </c>
      <c r="FD48" s="210">
        <v>108.4</v>
      </c>
      <c r="FE48" s="210">
        <v>109.9</v>
      </c>
      <c r="FF48" s="210">
        <v>110.5</v>
      </c>
      <c r="FG48" s="210">
        <v>111.3</v>
      </c>
      <c r="FH48" s="210">
        <v>111.7</v>
      </c>
      <c r="FI48" s="210">
        <v>111.6</v>
      </c>
      <c r="FJ48" s="210">
        <v>111.8</v>
      </c>
      <c r="FK48" s="210">
        <v>112.1</v>
      </c>
      <c r="FL48" s="210">
        <v>113.1</v>
      </c>
      <c r="FM48" s="210">
        <v>113</v>
      </c>
      <c r="FN48" s="210">
        <v>112.9</v>
      </c>
      <c r="FO48" s="210">
        <v>113.4</v>
      </c>
      <c r="FP48" s="210">
        <v>113.7</v>
      </c>
      <c r="FQ48" s="210">
        <v>113.9</v>
      </c>
      <c r="FR48" s="210">
        <v>114.6</v>
      </c>
    </row>
    <row r="49" spans="1:176" s="210" customFormat="1" x14ac:dyDescent="0.25">
      <c r="B49" s="208" t="s">
        <v>36</v>
      </c>
      <c r="C49" s="209"/>
      <c r="P49" s="211">
        <v>100.88881430356939</v>
      </c>
      <c r="Q49" s="211">
        <v>100.84829858366581</v>
      </c>
      <c r="R49" s="211">
        <v>101.22001860706054</v>
      </c>
      <c r="S49" s="211">
        <v>101.68921539656834</v>
      </c>
      <c r="T49" s="211">
        <v>101.65287068101358</v>
      </c>
      <c r="U49" s="211">
        <v>101.7754398807691</v>
      </c>
      <c r="V49" s="211">
        <v>102.22689356849915</v>
      </c>
      <c r="W49" s="211">
        <v>102.54259069801434</v>
      </c>
      <c r="X49" s="211">
        <v>102.56710662188769</v>
      </c>
      <c r="Y49" s="211">
        <v>102.80472742759983</v>
      </c>
      <c r="Z49" s="211">
        <v>102.76369681104293</v>
      </c>
      <c r="AA49" s="211">
        <v>103.84580443855913</v>
      </c>
      <c r="AB49" s="211">
        <v>104.1073736798709</v>
      </c>
      <c r="AC49" s="211">
        <v>103.63289500354441</v>
      </c>
      <c r="AD49" s="211">
        <v>103.07444192562872</v>
      </c>
      <c r="AE49" s="211">
        <v>103.29047058778393</v>
      </c>
      <c r="AF49" s="211">
        <v>103.44817454754751</v>
      </c>
      <c r="AG49" s="211">
        <v>103.49364813430542</v>
      </c>
      <c r="AH49" s="211">
        <v>103.59546836681804</v>
      </c>
      <c r="AI49" s="211">
        <v>104.77713913186392</v>
      </c>
      <c r="AJ49" s="211">
        <v>104.58103821116541</v>
      </c>
      <c r="AK49" s="211">
        <v>105.30428742995842</v>
      </c>
      <c r="AL49" s="211">
        <v>105.25851915026131</v>
      </c>
      <c r="AM49" s="211">
        <v>105.14012702207566</v>
      </c>
      <c r="AN49" s="211">
        <v>105.03637378701023</v>
      </c>
      <c r="AO49" s="211">
        <v>105.2382513185598</v>
      </c>
      <c r="AP49" s="211">
        <v>104.80687199999338</v>
      </c>
      <c r="AQ49" s="211">
        <v>105.11253956926414</v>
      </c>
      <c r="AR49" s="211">
        <v>106.30662738926453</v>
      </c>
      <c r="AS49" s="211">
        <v>105.78194680177268</v>
      </c>
      <c r="AT49" s="211">
        <v>108.61701112618945</v>
      </c>
      <c r="AU49" s="211">
        <v>108.73739344637478</v>
      </c>
      <c r="AV49" s="211">
        <v>108.79033726082747</v>
      </c>
      <c r="AW49" s="211">
        <v>108.78788753025242</v>
      </c>
      <c r="AX49" s="211">
        <v>108.71095808287259</v>
      </c>
      <c r="AY49" s="211">
        <v>109.92934420981651</v>
      </c>
      <c r="AZ49" s="211">
        <v>109.182201451002</v>
      </c>
      <c r="BA49" s="211">
        <v>109.22794513515032</v>
      </c>
      <c r="BB49" s="211">
        <v>108.88255629476363</v>
      </c>
      <c r="BC49" s="211">
        <v>108.80747942909059</v>
      </c>
      <c r="BD49" s="211">
        <v>109.34588043174359</v>
      </c>
      <c r="BE49" s="211">
        <v>109.51335857368252</v>
      </c>
      <c r="BF49" s="211">
        <v>110.01985928204566</v>
      </c>
      <c r="BG49" s="211">
        <v>110.12586895118706</v>
      </c>
      <c r="BH49" s="211">
        <v>110.18273470993886</v>
      </c>
      <c r="BI49" s="211">
        <v>110.62609776796879</v>
      </c>
      <c r="BJ49" s="211">
        <v>110.63665535322119</v>
      </c>
      <c r="BK49" s="211">
        <v>110.88665224510427</v>
      </c>
      <c r="BL49" s="211">
        <v>110.18442694019133</v>
      </c>
      <c r="BM49" s="211">
        <v>110.45582572928917</v>
      </c>
      <c r="BN49" s="211">
        <v>110.33095845486351</v>
      </c>
      <c r="BO49" s="211">
        <v>110.68278624811806</v>
      </c>
      <c r="BP49" s="211">
        <v>111.68270000550361</v>
      </c>
      <c r="BQ49" s="211">
        <v>110.79668309902256</v>
      </c>
      <c r="BR49" s="211">
        <v>110.56833255127394</v>
      </c>
      <c r="BS49" s="211">
        <v>110.72063627025194</v>
      </c>
      <c r="BT49" s="211">
        <v>110.63644186071987</v>
      </c>
      <c r="BU49" s="211">
        <v>110.74464718755901</v>
      </c>
      <c r="BV49" s="211">
        <v>110.3575543091777</v>
      </c>
      <c r="BW49" s="211">
        <v>110.9135899171213</v>
      </c>
      <c r="BX49" s="211">
        <v>110.57194699695849</v>
      </c>
      <c r="BY49" s="211">
        <v>110.4535816834926</v>
      </c>
      <c r="BZ49" s="211">
        <v>110.64756975550519</v>
      </c>
      <c r="CA49" s="211">
        <v>111.25480617167356</v>
      </c>
      <c r="CB49" s="211">
        <v>111.06968615946603</v>
      </c>
      <c r="CC49" s="211">
        <v>110.96253041330326</v>
      </c>
      <c r="CD49" s="211">
        <v>110.75637365923421</v>
      </c>
      <c r="CE49" s="211">
        <v>111.12183473123038</v>
      </c>
      <c r="CF49" s="211">
        <v>111.19257450268628</v>
      </c>
      <c r="CG49" s="211">
        <v>110.88758720874448</v>
      </c>
      <c r="CH49" s="211">
        <v>111.02491131555345</v>
      </c>
      <c r="CI49" s="211">
        <v>111.02475137953824</v>
      </c>
      <c r="CJ49" s="211">
        <v>110.53000584148982</v>
      </c>
      <c r="CK49" s="211">
        <v>110.69662283316414</v>
      </c>
      <c r="CL49" s="211">
        <v>110.72905485323919</v>
      </c>
      <c r="CM49" s="211">
        <v>111.09174268110731</v>
      </c>
      <c r="CN49" s="211">
        <v>111.29090616568507</v>
      </c>
      <c r="CO49" s="211">
        <v>111.29555778097068</v>
      </c>
      <c r="CP49" s="211">
        <v>111.36820684468366</v>
      </c>
      <c r="CQ49" s="211">
        <v>111.73023005488825</v>
      </c>
      <c r="CR49" s="211">
        <v>112.05273944559764</v>
      </c>
      <c r="CS49" s="211">
        <v>112.92254744336955</v>
      </c>
      <c r="CT49" s="211">
        <v>113.29579601475184</v>
      </c>
      <c r="CU49" s="211">
        <v>113.54264562218148</v>
      </c>
      <c r="CV49" s="211">
        <v>112.93984480872378</v>
      </c>
      <c r="CW49" s="211">
        <v>113.1261272236242</v>
      </c>
      <c r="CX49" s="211">
        <v>113.68417922541006</v>
      </c>
      <c r="CY49" s="211">
        <v>114.07596802852888</v>
      </c>
      <c r="CZ49" s="211">
        <v>114.15064507886719</v>
      </c>
      <c r="DA49" s="211">
        <v>114.38596664285532</v>
      </c>
      <c r="DB49" s="211">
        <v>114.40432008910265</v>
      </c>
      <c r="DC49" s="211">
        <v>114.66500468051274</v>
      </c>
      <c r="DD49" s="211">
        <v>114.85822121366536</v>
      </c>
      <c r="DE49" s="211">
        <v>115.09050258299918</v>
      </c>
      <c r="DF49" s="211">
        <v>115.38664466440272</v>
      </c>
      <c r="DG49" s="211">
        <v>115.89778235848097</v>
      </c>
      <c r="DH49" s="211">
        <v>115.59913342947917</v>
      </c>
      <c r="DI49" s="211">
        <v>115.85287191751134</v>
      </c>
      <c r="DJ49" s="211">
        <v>116.29106566347293</v>
      </c>
      <c r="DK49" s="211">
        <v>117.02652444834322</v>
      </c>
      <c r="DL49" s="211">
        <v>116.73523445905955</v>
      </c>
      <c r="DM49" s="211">
        <v>116.84025132367127</v>
      </c>
      <c r="DN49" s="211">
        <v>116.93380088166394</v>
      </c>
      <c r="DO49" s="211">
        <v>117.30208357884169</v>
      </c>
      <c r="DP49" s="211">
        <v>117.49178812969218</v>
      </c>
      <c r="DQ49" s="211">
        <v>117.9159204669338</v>
      </c>
      <c r="DR49" s="211">
        <v>117.80780756322758</v>
      </c>
      <c r="DS49" s="211">
        <v>117.93681584805418</v>
      </c>
      <c r="DT49" s="211">
        <v>118.05567295352824</v>
      </c>
      <c r="DU49" s="211">
        <v>118.17871943347345</v>
      </c>
      <c r="DV49" s="211">
        <v>118.46099193742513</v>
      </c>
      <c r="DW49" s="211">
        <v>118.3265327305933</v>
      </c>
      <c r="DX49" s="211">
        <v>118.49349672407419</v>
      </c>
      <c r="DY49" s="211">
        <v>118.80855785239201</v>
      </c>
      <c r="DZ49" s="211">
        <v>119.45141777961194</v>
      </c>
      <c r="EA49" s="211">
        <v>119.52257642239476</v>
      </c>
      <c r="EB49" s="211">
        <v>119.69471974608491</v>
      </c>
      <c r="EC49" s="211">
        <v>119.77666445700333</v>
      </c>
      <c r="ED49" s="211">
        <v>119.98714074945275</v>
      </c>
      <c r="EE49" s="211">
        <v>121.40016720290045</v>
      </c>
      <c r="EF49" s="211">
        <v>121.49142329993646</v>
      </c>
      <c r="EG49" s="211">
        <v>122.02049045907427</v>
      </c>
      <c r="EH49" s="211">
        <v>122.86014049913176</v>
      </c>
      <c r="EI49" s="211">
        <v>124.47943977784142</v>
      </c>
      <c r="EJ49" s="211">
        <v>125.32725753317378</v>
      </c>
      <c r="EK49" s="211">
        <v>125.90038039755537</v>
      </c>
      <c r="EL49" s="211">
        <v>126.65927657786109</v>
      </c>
      <c r="EM49" s="211">
        <v>127.4395149975995</v>
      </c>
      <c r="EN49" s="211">
        <v>127.99941140767781</v>
      </c>
      <c r="EO49" s="211">
        <v>128.44931670341521</v>
      </c>
      <c r="EP49" s="211">
        <v>128.90561489310645</v>
      </c>
      <c r="EQ49" s="211">
        <v>129.56203163823233</v>
      </c>
      <c r="ER49" s="210">
        <v>104</v>
      </c>
      <c r="ES49" s="210">
        <v>105</v>
      </c>
      <c r="ET49" s="210">
        <v>105.8</v>
      </c>
      <c r="EU49" s="210">
        <v>106.6</v>
      </c>
      <c r="EV49" s="210">
        <v>107.2</v>
      </c>
      <c r="EW49" s="210">
        <v>107.8</v>
      </c>
      <c r="EX49" s="210">
        <v>108.2</v>
      </c>
      <c r="EY49" s="210">
        <v>109</v>
      </c>
      <c r="EZ49" s="210">
        <v>109.4</v>
      </c>
      <c r="FA49" s="210">
        <v>109.8</v>
      </c>
      <c r="FB49" s="210">
        <v>109.8</v>
      </c>
      <c r="FC49" s="210">
        <v>109.7</v>
      </c>
      <c r="FD49" s="210">
        <v>109.6</v>
      </c>
      <c r="FE49" s="210">
        <v>111.1</v>
      </c>
      <c r="FF49" s="210">
        <v>111.7</v>
      </c>
      <c r="FG49" s="210">
        <v>112.2</v>
      </c>
      <c r="FH49" s="210">
        <v>112.2</v>
      </c>
      <c r="FI49" s="210">
        <v>113</v>
      </c>
      <c r="FJ49" s="211">
        <v>113</v>
      </c>
      <c r="FK49" s="211">
        <v>113.9</v>
      </c>
      <c r="FL49" s="211">
        <v>114.6</v>
      </c>
      <c r="FM49" s="210">
        <v>115.3</v>
      </c>
      <c r="FN49" s="210">
        <v>115.2</v>
      </c>
      <c r="FO49" s="210">
        <v>116</v>
      </c>
      <c r="FP49" s="210">
        <v>115.3</v>
      </c>
      <c r="FQ49" s="210">
        <v>115.3</v>
      </c>
      <c r="FR49" s="210">
        <v>115.4</v>
      </c>
    </row>
    <row r="50" spans="1:176" s="210" customFormat="1" x14ac:dyDescent="0.25">
      <c r="B50" s="208" t="s">
        <v>82</v>
      </c>
      <c r="C50" s="209"/>
      <c r="P50" s="211">
        <v>101.37632475022239</v>
      </c>
      <c r="Q50" s="211">
        <v>102.88190193568961</v>
      </c>
      <c r="R50" s="211">
        <v>104.0513408883613</v>
      </c>
      <c r="S50" s="211">
        <v>104.88236876089381</v>
      </c>
      <c r="T50" s="211">
        <v>106.1594096804303</v>
      </c>
      <c r="U50" s="211">
        <v>106.03160145073974</v>
      </c>
      <c r="V50" s="211">
        <v>106.70197707034762</v>
      </c>
      <c r="W50" s="211">
        <v>107.22650853689782</v>
      </c>
      <c r="X50" s="211">
        <v>106.14569056323403</v>
      </c>
      <c r="Y50" s="211">
        <v>106.72207050868516</v>
      </c>
      <c r="Z50" s="211">
        <v>105.9884311943547</v>
      </c>
      <c r="AA50" s="211">
        <v>107.7500926603622</v>
      </c>
      <c r="AB50" s="211">
        <v>105.2842082615069</v>
      </c>
      <c r="AC50" s="211">
        <v>105.1541707613123</v>
      </c>
      <c r="AD50" s="211">
        <v>105.56445880136928</v>
      </c>
      <c r="AE50" s="211">
        <v>106.50154402776529</v>
      </c>
      <c r="AF50" s="211">
        <v>107.20871693009617</v>
      </c>
      <c r="AG50" s="211">
        <v>109.9167049630166</v>
      </c>
      <c r="AH50" s="211">
        <v>108.47742325070996</v>
      </c>
      <c r="AI50" s="211">
        <v>108.65489608276214</v>
      </c>
      <c r="AJ50" s="211">
        <v>110.04577174108928</v>
      </c>
      <c r="AK50" s="211">
        <v>109.6359207354319</v>
      </c>
      <c r="AL50" s="211">
        <v>108.53474824073919</v>
      </c>
      <c r="AM50" s="211">
        <v>109.17328792692562</v>
      </c>
      <c r="AN50" s="211">
        <v>107.81433046753502</v>
      </c>
      <c r="AO50" s="211">
        <v>107.59807005883467</v>
      </c>
      <c r="AP50" s="211">
        <v>107.61570022278048</v>
      </c>
      <c r="AQ50" s="211">
        <v>106.9496774373101</v>
      </c>
      <c r="AR50" s="211">
        <v>108.22717769190425</v>
      </c>
      <c r="AS50" s="211">
        <v>107.14682979531905</v>
      </c>
      <c r="AT50" s="211">
        <v>110.02532328563142</v>
      </c>
      <c r="AU50" s="211">
        <v>109.46250632977146</v>
      </c>
      <c r="AV50" s="211">
        <v>109.16376212634763</v>
      </c>
      <c r="AW50" s="211">
        <v>109.06534764464151</v>
      </c>
      <c r="AX50" s="211">
        <v>111.79843356927034</v>
      </c>
      <c r="AY50" s="211">
        <v>110.66875193989993</v>
      </c>
      <c r="AZ50" s="211">
        <v>109.59432811349097</v>
      </c>
      <c r="BA50" s="211">
        <v>109.50885176782093</v>
      </c>
      <c r="BB50" s="211">
        <v>109.40838398223882</v>
      </c>
      <c r="BC50" s="211">
        <v>111.67130651908823</v>
      </c>
      <c r="BD50" s="211">
        <v>111.54582604792769</v>
      </c>
      <c r="BE50" s="211">
        <v>112.17258632328435</v>
      </c>
      <c r="BF50" s="211">
        <v>112.93313567557935</v>
      </c>
      <c r="BG50" s="211">
        <v>112.25709033060623</v>
      </c>
      <c r="BH50" s="211">
        <v>110.81362878415673</v>
      </c>
      <c r="BI50" s="211">
        <v>110.96542679930273</v>
      </c>
      <c r="BJ50" s="211">
        <v>109.9689544549076</v>
      </c>
      <c r="BK50" s="211">
        <v>110.02376710167408</v>
      </c>
      <c r="BL50" s="211">
        <v>109.55323978131541</v>
      </c>
      <c r="BM50" s="211">
        <v>109.90887925278111</v>
      </c>
      <c r="BN50" s="211">
        <v>110.7274614245859</v>
      </c>
      <c r="BO50" s="211">
        <v>110.19060398499218</v>
      </c>
      <c r="BP50" s="211">
        <v>110.76614785528197</v>
      </c>
      <c r="BQ50" s="211">
        <v>109.97885621750015</v>
      </c>
      <c r="BR50" s="211">
        <v>110.52193749416531</v>
      </c>
      <c r="BS50" s="211">
        <v>109.97464501921812</v>
      </c>
      <c r="BT50" s="211">
        <v>110.2894039069399</v>
      </c>
      <c r="BU50" s="211">
        <v>108.11897799332705</v>
      </c>
      <c r="BV50" s="211">
        <v>108.82428383342587</v>
      </c>
      <c r="BW50" s="211">
        <v>109.33548433317786</v>
      </c>
      <c r="BX50" s="211">
        <v>108.54736213347444</v>
      </c>
      <c r="BY50" s="211">
        <v>108.57018024532347</v>
      </c>
      <c r="BZ50" s="211">
        <v>109.17561203970662</v>
      </c>
      <c r="CA50" s="211">
        <v>110.34176724344317</v>
      </c>
      <c r="CB50" s="211">
        <v>111.32184050803859</v>
      </c>
      <c r="CC50" s="211">
        <v>111.48863493592606</v>
      </c>
      <c r="CD50" s="211">
        <v>112.35123156503832</v>
      </c>
      <c r="CE50" s="211">
        <v>111.68500028161618</v>
      </c>
      <c r="CF50" s="211">
        <v>111.722631571326</v>
      </c>
      <c r="CG50" s="211">
        <v>111.97438818332166</v>
      </c>
      <c r="CH50" s="211">
        <v>111.90198424440189</v>
      </c>
      <c r="CI50" s="211">
        <v>112.66841914076689</v>
      </c>
      <c r="CJ50" s="211">
        <v>112.3246634593219</v>
      </c>
      <c r="CK50" s="211">
        <v>111.53451598465564</v>
      </c>
      <c r="CL50" s="211">
        <v>111.37218150438812</v>
      </c>
      <c r="CM50" s="211">
        <v>111.88903139153541</v>
      </c>
      <c r="CN50" s="211">
        <v>112.64921841960319</v>
      </c>
      <c r="CO50" s="211">
        <v>113.04984765011481</v>
      </c>
      <c r="CP50" s="211">
        <v>111.90507455312132</v>
      </c>
      <c r="CQ50" s="211">
        <v>111.17665355006628</v>
      </c>
      <c r="CR50" s="211">
        <v>111.4309935281582</v>
      </c>
      <c r="CS50" s="211">
        <v>110.61895525090587</v>
      </c>
      <c r="CT50" s="211">
        <v>111.4149170012396</v>
      </c>
      <c r="CU50" s="211">
        <v>111.60318531541994</v>
      </c>
      <c r="CV50" s="211">
        <v>110.90545002755199</v>
      </c>
      <c r="CW50" s="211">
        <v>110.21877678580998</v>
      </c>
      <c r="CX50" s="211">
        <v>111.11657915334087</v>
      </c>
      <c r="CY50" s="211">
        <v>111.22641465184185</v>
      </c>
      <c r="CZ50" s="211">
        <v>111.65665531211886</v>
      </c>
      <c r="DA50" s="211">
        <v>112.85583670302194</v>
      </c>
      <c r="DB50" s="211">
        <v>113.36510731958649</v>
      </c>
      <c r="DC50" s="211">
        <v>113.28024453496833</v>
      </c>
      <c r="DD50" s="211">
        <v>113.61958474263876</v>
      </c>
      <c r="DE50" s="211">
        <v>113.7932921436379</v>
      </c>
      <c r="DF50" s="211">
        <v>113.9918676646783</v>
      </c>
      <c r="DG50" s="211">
        <v>113.72590073034219</v>
      </c>
      <c r="DH50" s="211">
        <v>114.98679678624565</v>
      </c>
      <c r="DI50" s="211">
        <v>114.55383362926726</v>
      </c>
      <c r="DJ50" s="211">
        <v>114.09879876146768</v>
      </c>
      <c r="DK50" s="211">
        <v>115.29831383933939</v>
      </c>
      <c r="DL50" s="211">
        <v>115.41284690485051</v>
      </c>
      <c r="DM50" s="211">
        <v>116.19997590780628</v>
      </c>
      <c r="DN50" s="211">
        <v>117.93869446287937</v>
      </c>
      <c r="DO50" s="211">
        <v>117.53605428639003</v>
      </c>
      <c r="DP50" s="211">
        <v>115.74332364241481</v>
      </c>
      <c r="DQ50" s="211">
        <v>117.46331329023469</v>
      </c>
      <c r="DR50" s="211">
        <v>117.8399251557604</v>
      </c>
      <c r="DS50" s="211">
        <v>118.03375348754234</v>
      </c>
      <c r="DT50" s="211">
        <v>117.06632058204973</v>
      </c>
      <c r="DU50" s="211">
        <v>116.70163383948835</v>
      </c>
      <c r="DV50" s="211">
        <v>117.20174741244807</v>
      </c>
      <c r="DW50" s="211">
        <v>118.47295590674669</v>
      </c>
      <c r="DX50" s="211">
        <v>119.69722632229107</v>
      </c>
      <c r="DY50" s="211">
        <v>120.58294532084155</v>
      </c>
      <c r="DZ50" s="211">
        <v>121.18703090641787</v>
      </c>
      <c r="EA50" s="211">
        <v>121.82902173882725</v>
      </c>
      <c r="EB50" s="211">
        <v>121.44727852586995</v>
      </c>
      <c r="EC50" s="211">
        <v>121.59538925890431</v>
      </c>
      <c r="ED50" s="211">
        <v>121.50738397990209</v>
      </c>
      <c r="EE50" s="211">
        <v>122.80217388213855</v>
      </c>
      <c r="EF50" s="211">
        <v>124.10705752841044</v>
      </c>
      <c r="EG50" s="211">
        <v>124.11956395905985</v>
      </c>
      <c r="EH50" s="211">
        <v>124.69916112909736</v>
      </c>
      <c r="EI50" s="211">
        <v>126.46868029607317</v>
      </c>
      <c r="EJ50" s="211">
        <v>127.19616036332263</v>
      </c>
      <c r="EK50" s="211">
        <v>127.33688870762825</v>
      </c>
      <c r="EL50" s="211">
        <v>127.41184212563024</v>
      </c>
      <c r="EM50" s="211">
        <v>127.66027758924831</v>
      </c>
      <c r="EN50" s="211">
        <v>129.70504926469334</v>
      </c>
      <c r="EO50" s="211">
        <v>129.70563324832352</v>
      </c>
      <c r="EP50" s="211">
        <v>132.06834362970471</v>
      </c>
      <c r="EQ50" s="211">
        <v>131.93384835291894</v>
      </c>
      <c r="ER50" s="210">
        <v>103</v>
      </c>
      <c r="ES50" s="210">
        <v>103.7</v>
      </c>
      <c r="ET50" s="210">
        <v>104.8</v>
      </c>
      <c r="EU50" s="210">
        <v>105.7</v>
      </c>
      <c r="EV50" s="210">
        <v>106.6</v>
      </c>
      <c r="EW50" s="210">
        <v>108.8</v>
      </c>
      <c r="EX50" s="210">
        <v>108.4</v>
      </c>
      <c r="EY50" s="210">
        <v>109.4</v>
      </c>
      <c r="EZ50" s="210">
        <v>110.1</v>
      </c>
      <c r="FA50" s="210">
        <v>110.3</v>
      </c>
      <c r="FB50" s="210">
        <v>109.9</v>
      </c>
      <c r="FC50" s="210">
        <v>110</v>
      </c>
      <c r="FD50" s="210">
        <v>108.6</v>
      </c>
      <c r="FE50" s="210">
        <v>110.1</v>
      </c>
      <c r="FF50" s="210">
        <v>111</v>
      </c>
      <c r="FG50" s="210">
        <v>113.4</v>
      </c>
      <c r="FH50" s="210">
        <v>116.2</v>
      </c>
      <c r="FI50" s="210">
        <v>117.2</v>
      </c>
      <c r="FJ50" s="211">
        <v>117</v>
      </c>
      <c r="FK50" s="211">
        <v>116.2</v>
      </c>
      <c r="FL50" s="211">
        <v>117.2</v>
      </c>
      <c r="FM50" s="210">
        <v>117.5</v>
      </c>
      <c r="FN50" s="210">
        <v>117.8</v>
      </c>
      <c r="FO50" s="210">
        <v>118.8</v>
      </c>
      <c r="FP50" s="210">
        <v>117.7</v>
      </c>
      <c r="FQ50" s="210">
        <v>118.2</v>
      </c>
      <c r="FR50" s="210">
        <v>118.1</v>
      </c>
    </row>
    <row r="51" spans="1:176" s="210" customFormat="1" x14ac:dyDescent="0.25">
      <c r="B51" s="208" t="s">
        <v>37</v>
      </c>
      <c r="C51" s="209"/>
      <c r="P51" s="211">
        <v>101.82054471131308</v>
      </c>
      <c r="Q51" s="211">
        <v>101.40355628852572</v>
      </c>
      <c r="R51" s="211">
        <v>102.2787421801163</v>
      </c>
      <c r="S51" s="211">
        <v>102.95258927791562</v>
      </c>
      <c r="T51" s="211">
        <v>102.52137639607881</v>
      </c>
      <c r="U51" s="211">
        <v>101.58271822650775</v>
      </c>
      <c r="V51" s="211">
        <v>102.13124830845774</v>
      </c>
      <c r="W51" s="211">
        <v>103.97184383372918</v>
      </c>
      <c r="X51" s="211">
        <v>104.04336757128827</v>
      </c>
      <c r="Y51" s="211">
        <v>103.94165357082387</v>
      </c>
      <c r="Z51" s="211">
        <v>104.32195438630093</v>
      </c>
      <c r="AA51" s="211">
        <v>105.48617358969871</v>
      </c>
      <c r="AB51" s="211">
        <v>105.46789948147638</v>
      </c>
      <c r="AC51" s="211">
        <v>104.22247977656072</v>
      </c>
      <c r="AD51" s="211">
        <v>104.07198712523807</v>
      </c>
      <c r="AE51" s="211">
        <v>104.00882025641125</v>
      </c>
      <c r="AF51" s="211">
        <v>103.96364778808901</v>
      </c>
      <c r="AG51" s="211">
        <v>104.86268482302624</v>
      </c>
      <c r="AH51" s="211">
        <v>105.43509237200372</v>
      </c>
      <c r="AI51" s="211">
        <v>105.8481904293261</v>
      </c>
      <c r="AJ51" s="211">
        <v>106.8735625055122</v>
      </c>
      <c r="AK51" s="211">
        <v>107.34621093531563</v>
      </c>
      <c r="AL51" s="211">
        <v>107.31491320077546</v>
      </c>
      <c r="AM51" s="211">
        <v>109.07535516767381</v>
      </c>
      <c r="AN51" s="211">
        <v>107.23689330710819</v>
      </c>
      <c r="AO51" s="211">
        <v>107.11646253356557</v>
      </c>
      <c r="AP51" s="211">
        <v>106.33263419573967</v>
      </c>
      <c r="AQ51" s="211">
        <v>105.51790786819437</v>
      </c>
      <c r="AR51" s="211">
        <v>105.60071985659857</v>
      </c>
      <c r="AS51" s="211">
        <v>104.41912242308555</v>
      </c>
      <c r="AT51" s="211">
        <v>105.13705903118567</v>
      </c>
      <c r="AU51" s="211">
        <v>105.41938591901005</v>
      </c>
      <c r="AV51" s="211">
        <v>107.05935518023286</v>
      </c>
      <c r="AW51" s="211">
        <v>107.25119356088871</v>
      </c>
      <c r="AX51" s="211">
        <v>107.81318699393992</v>
      </c>
      <c r="AY51" s="211">
        <v>107.27134727875641</v>
      </c>
      <c r="AZ51" s="211">
        <v>106.42967636667932</v>
      </c>
      <c r="BA51" s="211">
        <v>107.14566508006027</v>
      </c>
      <c r="BB51" s="211">
        <v>107.08879793221762</v>
      </c>
      <c r="BC51" s="211">
        <v>106.51010884405068</v>
      </c>
      <c r="BD51" s="211">
        <v>107.31964411241081</v>
      </c>
      <c r="BE51" s="211">
        <v>107.16293502754516</v>
      </c>
      <c r="BF51" s="211">
        <v>108.03645509648909</v>
      </c>
      <c r="BG51" s="211">
        <v>108.11293790917529</v>
      </c>
      <c r="BH51" s="211">
        <v>109.74738561888823</v>
      </c>
      <c r="BI51" s="211">
        <v>109.62431145790862</v>
      </c>
      <c r="BJ51" s="211">
        <v>108.59304681382531</v>
      </c>
      <c r="BK51" s="211">
        <v>110.29366118093266</v>
      </c>
      <c r="BL51" s="211">
        <v>109.38239333388289</v>
      </c>
      <c r="BM51" s="211">
        <v>108.557794919195</v>
      </c>
      <c r="BN51" s="211">
        <v>109.2961775236576</v>
      </c>
      <c r="BO51" s="211">
        <v>107.98241119884672</v>
      </c>
      <c r="BP51" s="211">
        <v>108.98911190036966</v>
      </c>
      <c r="BQ51" s="211">
        <v>108.74247445140374</v>
      </c>
      <c r="BR51" s="211">
        <v>108.79128047316588</v>
      </c>
      <c r="BS51" s="211">
        <v>111.88041205584052</v>
      </c>
      <c r="BT51" s="211">
        <v>111.43368817635297</v>
      </c>
      <c r="BU51" s="211">
        <v>110.8099585693213</v>
      </c>
      <c r="BV51" s="211">
        <v>109.60504780065058</v>
      </c>
      <c r="BW51" s="211">
        <v>110.6875339499349</v>
      </c>
      <c r="BX51" s="211">
        <v>109.62502603349684</v>
      </c>
      <c r="BY51" s="211">
        <v>109.68029806323572</v>
      </c>
      <c r="BZ51" s="211">
        <v>110.18526652501312</v>
      </c>
      <c r="CA51" s="211">
        <v>110.24784539618717</v>
      </c>
      <c r="CB51" s="211">
        <v>109.89352405169667</v>
      </c>
      <c r="CC51" s="211">
        <v>109.76740741658141</v>
      </c>
      <c r="CD51" s="211">
        <v>110.41488274470021</v>
      </c>
      <c r="CE51" s="211">
        <v>112.22014434122082</v>
      </c>
      <c r="CF51" s="211">
        <v>112.60966711377334</v>
      </c>
      <c r="CG51" s="211">
        <v>112.50499560370341</v>
      </c>
      <c r="CH51" s="211">
        <v>111.35868740641529</v>
      </c>
      <c r="CI51" s="211">
        <v>111.00557626974332</v>
      </c>
      <c r="CJ51" s="211">
        <v>110.94663865392205</v>
      </c>
      <c r="CK51" s="211">
        <v>110.2216833295027</v>
      </c>
      <c r="CL51" s="211">
        <v>110.0627430687299</v>
      </c>
      <c r="CM51" s="211">
        <v>110.41697991600093</v>
      </c>
      <c r="CN51" s="211">
        <v>110.54967118939422</v>
      </c>
      <c r="CO51" s="211">
        <v>110.40010858567524</v>
      </c>
      <c r="CP51" s="211">
        <v>111.29245200258086</v>
      </c>
      <c r="CQ51" s="211">
        <v>111.34814846115303</v>
      </c>
      <c r="CR51" s="211">
        <v>112.32056515150529</v>
      </c>
      <c r="CS51" s="211">
        <v>112.56166639960659</v>
      </c>
      <c r="CT51" s="211">
        <v>112.98731176482362</v>
      </c>
      <c r="CU51" s="211">
        <v>113.23578733669659</v>
      </c>
      <c r="CV51" s="211">
        <v>112.8729448817766</v>
      </c>
      <c r="CW51" s="211">
        <v>112.96004480961177</v>
      </c>
      <c r="CX51" s="211">
        <v>113.42286221531135</v>
      </c>
      <c r="CY51" s="211">
        <v>113.70831676823245</v>
      </c>
      <c r="CZ51" s="211">
        <v>113.41573455561432</v>
      </c>
      <c r="DA51" s="211">
        <v>113.33147595993549</v>
      </c>
      <c r="DB51" s="211">
        <v>113.76890327235191</v>
      </c>
      <c r="DC51" s="211">
        <v>114.67506845522738</v>
      </c>
      <c r="DD51" s="211">
        <v>115.05044711064703</v>
      </c>
      <c r="DE51" s="211">
        <v>116.62679652791326</v>
      </c>
      <c r="DF51" s="211">
        <v>116.58083417061025</v>
      </c>
      <c r="DG51" s="211">
        <v>116.45337261298168</v>
      </c>
      <c r="DH51" s="211">
        <v>116.73209258701887</v>
      </c>
      <c r="DI51" s="211">
        <v>116.72254303884218</v>
      </c>
      <c r="DJ51" s="211">
        <v>117.19390178333735</v>
      </c>
      <c r="DK51" s="211">
        <v>117.30138721463345</v>
      </c>
      <c r="DL51" s="211">
        <v>116.94519836781707</v>
      </c>
      <c r="DM51" s="211">
        <v>116.37929470988595</v>
      </c>
      <c r="DN51" s="211">
        <v>116.92180194588857</v>
      </c>
      <c r="DO51" s="211">
        <v>117.15419083446623</v>
      </c>
      <c r="DP51" s="211">
        <v>117.43990342145923</v>
      </c>
      <c r="DQ51" s="211">
        <v>118.48948706277442</v>
      </c>
      <c r="DR51" s="211">
        <v>118.58954896610882</v>
      </c>
      <c r="DS51" s="211">
        <v>118.84291019660451</v>
      </c>
      <c r="DT51" s="211">
        <v>117.72418547615749</v>
      </c>
      <c r="DU51" s="211">
        <v>117.53951854475223</v>
      </c>
      <c r="DV51" s="211">
        <v>119.19262503131367</v>
      </c>
      <c r="DW51" s="211">
        <v>119.68646288644362</v>
      </c>
      <c r="DX51" s="211">
        <v>119.7903284376746</v>
      </c>
      <c r="DY51" s="211">
        <v>119.88515658429341</v>
      </c>
      <c r="DZ51" s="211">
        <v>120.9355427825562</v>
      </c>
      <c r="EA51" s="211">
        <v>120.48226258977814</v>
      </c>
      <c r="EB51" s="211">
        <v>120.48890420894998</v>
      </c>
      <c r="EC51" s="211">
        <v>121.02331856851453</v>
      </c>
      <c r="ED51" s="211">
        <v>120.75485378204435</v>
      </c>
      <c r="EE51" s="211">
        <v>124.54327359090517</v>
      </c>
      <c r="EF51" s="211">
        <v>124.89610406667842</v>
      </c>
      <c r="EG51" s="211">
        <v>125.40513826688876</v>
      </c>
      <c r="EH51" s="211">
        <v>125.74538071879901</v>
      </c>
      <c r="EI51" s="211">
        <v>126.71471437315238</v>
      </c>
      <c r="EJ51" s="211">
        <v>126.72920231817481</v>
      </c>
      <c r="EK51" s="211">
        <v>127.20783291101786</v>
      </c>
      <c r="EL51" s="211">
        <v>128.32918461327708</v>
      </c>
      <c r="EM51" s="211">
        <v>130.70692690924767</v>
      </c>
      <c r="EN51" s="211">
        <v>131.95887881734652</v>
      </c>
      <c r="EO51" s="211">
        <v>132.22765887696036</v>
      </c>
      <c r="EP51" s="211">
        <v>133.09260336306403</v>
      </c>
      <c r="EQ51" s="211">
        <v>134.03988250199677</v>
      </c>
      <c r="ER51" s="210">
        <v>104.2</v>
      </c>
      <c r="ES51" s="210">
        <v>105.8</v>
      </c>
      <c r="ET51" s="210">
        <v>105.9</v>
      </c>
      <c r="EU51" s="210">
        <v>106.1</v>
      </c>
      <c r="EV51" s="210">
        <v>106.3</v>
      </c>
      <c r="EW51" s="210">
        <v>106.9</v>
      </c>
      <c r="EX51" s="210">
        <v>107.4</v>
      </c>
      <c r="EY51" s="210">
        <v>108</v>
      </c>
      <c r="EZ51" s="210">
        <v>108.2</v>
      </c>
      <c r="FA51" s="210">
        <v>108.2</v>
      </c>
      <c r="FB51" s="210">
        <v>108.2</v>
      </c>
      <c r="FC51" s="210">
        <v>109</v>
      </c>
      <c r="FD51" s="210">
        <v>108.4</v>
      </c>
      <c r="FE51" s="210">
        <v>110.3</v>
      </c>
      <c r="FF51" s="210">
        <v>111.4</v>
      </c>
      <c r="FG51" s="210">
        <v>111.6</v>
      </c>
      <c r="FH51" s="210">
        <v>112.2</v>
      </c>
      <c r="FI51" s="210">
        <v>112.9</v>
      </c>
      <c r="FJ51" s="211">
        <v>111.7</v>
      </c>
      <c r="FK51" s="211">
        <v>112.1</v>
      </c>
      <c r="FL51" s="211">
        <v>113.3</v>
      </c>
      <c r="FM51" s="210">
        <v>113.7</v>
      </c>
      <c r="FN51" s="210">
        <v>113.5</v>
      </c>
      <c r="FO51" s="210">
        <v>114</v>
      </c>
      <c r="FP51" s="210">
        <v>114.5</v>
      </c>
      <c r="FQ51" s="210">
        <v>114.8</v>
      </c>
      <c r="FR51" s="210">
        <v>115.2</v>
      </c>
    </row>
    <row r="52" spans="1:176" s="210" customFormat="1" ht="12" customHeight="1" x14ac:dyDescent="0.25">
      <c r="B52" s="208" t="s">
        <v>85</v>
      </c>
      <c r="C52" s="209"/>
      <c r="P52" s="211">
        <v>101.19291264973974</v>
      </c>
      <c r="Q52" s="211">
        <v>100.79216846861968</v>
      </c>
      <c r="R52" s="211">
        <v>100.9211602628416</v>
      </c>
      <c r="S52" s="211">
        <v>100.80445883718133</v>
      </c>
      <c r="T52" s="211">
        <v>101.83383463551979</v>
      </c>
      <c r="U52" s="211">
        <v>101.36605840717222</v>
      </c>
      <c r="V52" s="211">
        <v>104.14235767923444</v>
      </c>
      <c r="W52" s="211">
        <v>103.15309314073468</v>
      </c>
      <c r="X52" s="211">
        <v>103.79725201880998</v>
      </c>
      <c r="Y52" s="211">
        <v>103.90705329913098</v>
      </c>
      <c r="Z52" s="211">
        <v>103.31475831416756</v>
      </c>
      <c r="AA52" s="211">
        <v>104.02383871712766</v>
      </c>
      <c r="AB52" s="211">
        <v>103.71919393387091</v>
      </c>
      <c r="AC52" s="211">
        <v>103.85055267090652</v>
      </c>
      <c r="AD52" s="211">
        <v>103.93927033897253</v>
      </c>
      <c r="AE52" s="211">
        <v>103.74792243921371</v>
      </c>
      <c r="AF52" s="211">
        <v>103.63154196468454</v>
      </c>
      <c r="AG52" s="211">
        <v>103.37709253639404</v>
      </c>
      <c r="AH52" s="211">
        <v>103.08373848701771</v>
      </c>
      <c r="AI52" s="211">
        <v>103.25064282942354</v>
      </c>
      <c r="AJ52" s="211">
        <v>104.47722746072913</v>
      </c>
      <c r="AK52" s="211">
        <v>103.84469880659584</v>
      </c>
      <c r="AL52" s="211">
        <v>104.33395214494041</v>
      </c>
      <c r="AM52" s="211">
        <v>104.5520801311917</v>
      </c>
      <c r="AN52" s="211">
        <v>104.36733876183976</v>
      </c>
      <c r="AO52" s="211">
        <v>104.61787347621961</v>
      </c>
      <c r="AP52" s="211">
        <v>104.58877175684196</v>
      </c>
      <c r="AQ52" s="211">
        <v>103.74801921656113</v>
      </c>
      <c r="AR52" s="211">
        <v>104.09899491237317</v>
      </c>
      <c r="AS52" s="211">
        <v>104.39930756491334</v>
      </c>
      <c r="AT52" s="211">
        <v>105.82316493134326</v>
      </c>
      <c r="AU52" s="211">
        <v>106.25833193144842</v>
      </c>
      <c r="AV52" s="211">
        <v>107.51654884358905</v>
      </c>
      <c r="AW52" s="211">
        <v>107.83932279279811</v>
      </c>
      <c r="AX52" s="211">
        <v>108.10509920152502</v>
      </c>
      <c r="AY52" s="211">
        <v>108.96086919743301</v>
      </c>
      <c r="AZ52" s="211">
        <v>107.61682602883644</v>
      </c>
      <c r="BA52" s="211">
        <v>109.26869168136312</v>
      </c>
      <c r="BB52" s="211">
        <v>108.80154507503188</v>
      </c>
      <c r="BC52" s="211">
        <v>109.2212898134694</v>
      </c>
      <c r="BD52" s="211">
        <v>110.26815159771556</v>
      </c>
      <c r="BE52" s="211">
        <v>111.40941450882735</v>
      </c>
      <c r="BF52" s="211">
        <v>110.83789095809669</v>
      </c>
      <c r="BG52" s="211">
        <v>111.15137155836541</v>
      </c>
      <c r="BH52" s="211">
        <v>111.09416039435749</v>
      </c>
      <c r="BI52" s="211">
        <v>111.45942719767604</v>
      </c>
      <c r="BJ52" s="211">
        <v>111.63442022621071</v>
      </c>
      <c r="BK52" s="211">
        <v>112.30032987687176</v>
      </c>
      <c r="BL52" s="211">
        <v>111.64787522232504</v>
      </c>
      <c r="BM52" s="211">
        <v>112.3762999832181</v>
      </c>
      <c r="BN52" s="211">
        <v>111.15593543113363</v>
      </c>
      <c r="BO52" s="211">
        <v>112.30216986173841</v>
      </c>
      <c r="BP52" s="211">
        <v>112.7774884936654</v>
      </c>
      <c r="BQ52" s="211">
        <v>112.35450967593765</v>
      </c>
      <c r="BR52" s="211">
        <v>112.68370509606854</v>
      </c>
      <c r="BS52" s="211">
        <v>112.60854048414984</v>
      </c>
      <c r="BT52" s="211">
        <v>112.47375045147433</v>
      </c>
      <c r="BU52" s="211">
        <v>112.27374391971705</v>
      </c>
      <c r="BV52" s="211">
        <v>112.67662380602039</v>
      </c>
      <c r="BW52" s="211">
        <v>112.15270893186643</v>
      </c>
      <c r="BX52" s="211">
        <v>112.19843564662628</v>
      </c>
      <c r="BY52" s="211">
        <v>112.25104363887435</v>
      </c>
      <c r="BZ52" s="211">
        <v>112.05128758642799</v>
      </c>
      <c r="CA52" s="211">
        <v>111.96939223152295</v>
      </c>
      <c r="CB52" s="211">
        <v>111.85758395363817</v>
      </c>
      <c r="CC52" s="211">
        <v>111.80721527074107</v>
      </c>
      <c r="CD52" s="211">
        <v>112.2153643726821</v>
      </c>
      <c r="CE52" s="211">
        <v>112.61690723100379</v>
      </c>
      <c r="CF52" s="211">
        <v>113.78186191247075</v>
      </c>
      <c r="CG52" s="211">
        <v>113.83984369527029</v>
      </c>
      <c r="CH52" s="211">
        <v>113.70748214869336</v>
      </c>
      <c r="CI52" s="211">
        <v>113.81284662744991</v>
      </c>
      <c r="CJ52" s="211">
        <v>114.03963028315368</v>
      </c>
      <c r="CK52" s="211">
        <v>113.76371548041385</v>
      </c>
      <c r="CL52" s="211">
        <v>114.26912866079898</v>
      </c>
      <c r="CM52" s="211">
        <v>114.09078551252205</v>
      </c>
      <c r="CN52" s="211">
        <v>113.85277818802835</v>
      </c>
      <c r="CO52" s="211">
        <v>113.65714880817073</v>
      </c>
      <c r="CP52" s="211">
        <v>115.20060424450732</v>
      </c>
      <c r="CQ52" s="211">
        <v>115.43585695557901</v>
      </c>
      <c r="CR52" s="211">
        <v>117.25611074701995</v>
      </c>
      <c r="CS52" s="211">
        <v>116.69566416752799</v>
      </c>
      <c r="CT52" s="211">
        <v>115.38900233552144</v>
      </c>
      <c r="CU52" s="211">
        <v>115.47380907854745</v>
      </c>
      <c r="CV52" s="211">
        <v>116.06471743110143</v>
      </c>
      <c r="CW52" s="211">
        <v>116.6008014165848</v>
      </c>
      <c r="CX52" s="211">
        <v>118.37431984792677</v>
      </c>
      <c r="CY52" s="211">
        <v>119.4957411719068</v>
      </c>
      <c r="CZ52" s="211">
        <v>118.66032420048408</v>
      </c>
      <c r="DA52" s="211">
        <v>118.23529866171835</v>
      </c>
      <c r="DB52" s="211">
        <v>119.27977876323496</v>
      </c>
      <c r="DC52" s="211">
        <v>119.24009483933435</v>
      </c>
      <c r="DD52" s="211">
        <v>119.06378553810569</v>
      </c>
      <c r="DE52" s="211">
        <v>119.10030248979716</v>
      </c>
      <c r="DF52" s="211">
        <v>120.59691408362674</v>
      </c>
      <c r="DG52" s="211">
        <v>120.90061795101622</v>
      </c>
      <c r="DH52" s="211">
        <v>121.39275223548596</v>
      </c>
      <c r="DI52" s="211">
        <v>121.98051567428277</v>
      </c>
      <c r="DJ52" s="211">
        <v>123.25372276323924</v>
      </c>
      <c r="DK52" s="211">
        <v>123.83263480703505</v>
      </c>
      <c r="DL52" s="211">
        <v>121.9572186243512</v>
      </c>
      <c r="DM52" s="211">
        <v>122.51987864003941</v>
      </c>
      <c r="DN52" s="211">
        <v>123.69052255216324</v>
      </c>
      <c r="DO52" s="211">
        <v>124.05179025504631</v>
      </c>
      <c r="DP52" s="211">
        <v>123.52177911018738</v>
      </c>
      <c r="DQ52" s="211">
        <v>124.07745418207695</v>
      </c>
      <c r="DR52" s="211">
        <v>123.19907701843539</v>
      </c>
      <c r="DS52" s="211">
        <v>123.69085840000436</v>
      </c>
      <c r="DT52" s="211">
        <v>123.38747798997203</v>
      </c>
      <c r="DU52" s="211">
        <v>123.4976444512853</v>
      </c>
      <c r="DV52" s="211">
        <v>123.98804280989818</v>
      </c>
      <c r="DW52" s="211">
        <v>123.77159285290681</v>
      </c>
      <c r="DX52" s="211">
        <v>124.04192028988369</v>
      </c>
      <c r="DY52" s="211">
        <v>124.13658127615575</v>
      </c>
      <c r="DZ52" s="211">
        <v>126.31176619587278</v>
      </c>
      <c r="EA52" s="211">
        <v>125.55767166071196</v>
      </c>
      <c r="EB52" s="211">
        <v>125.90790737545777</v>
      </c>
      <c r="EC52" s="211">
        <v>126.77439148015578</v>
      </c>
      <c r="ED52" s="211">
        <v>126.77778003681752</v>
      </c>
      <c r="EE52" s="211">
        <v>128.00354530957287</v>
      </c>
      <c r="EF52" s="211">
        <v>128.38174308150028</v>
      </c>
      <c r="EG52" s="211">
        <v>130.00792076756753</v>
      </c>
      <c r="EH52" s="211">
        <v>130.43013019568539</v>
      </c>
      <c r="EI52" s="211">
        <v>132.28290992536699</v>
      </c>
      <c r="EJ52" s="211">
        <v>133.26652142756464</v>
      </c>
      <c r="EK52" s="211">
        <v>133.57600428528735</v>
      </c>
      <c r="EL52" s="211">
        <v>134.75062870368643</v>
      </c>
      <c r="EM52" s="211">
        <v>137.02013887250857</v>
      </c>
      <c r="EN52" s="211">
        <v>137.54094528975565</v>
      </c>
      <c r="EO52" s="211">
        <v>136.47063851545846</v>
      </c>
      <c r="EP52" s="211">
        <v>137.08432986448886</v>
      </c>
      <c r="EQ52" s="211">
        <v>138.06853516528054</v>
      </c>
      <c r="ER52" s="210">
        <v>103.1</v>
      </c>
      <c r="ES52" s="210">
        <v>104.9</v>
      </c>
      <c r="ET52" s="210">
        <v>105.9</v>
      </c>
      <c r="EU52" s="210">
        <v>106.3</v>
      </c>
      <c r="EV52" s="210">
        <v>107.1</v>
      </c>
      <c r="EW52" s="210">
        <v>107.1</v>
      </c>
      <c r="EX52" s="210">
        <v>107.8</v>
      </c>
      <c r="EY52" s="210">
        <v>107.2</v>
      </c>
      <c r="EZ52" s="210">
        <v>108</v>
      </c>
      <c r="FA52" s="210">
        <v>108</v>
      </c>
      <c r="FB52" s="210">
        <v>108.2</v>
      </c>
      <c r="FC52" s="210">
        <v>108.7</v>
      </c>
      <c r="FD52" s="210">
        <v>108.6</v>
      </c>
      <c r="FE52" s="210">
        <v>109.9</v>
      </c>
      <c r="FF52" s="210">
        <v>110.8</v>
      </c>
      <c r="FG52" s="210">
        <v>111.4</v>
      </c>
      <c r="FH52" s="210">
        <v>111.4</v>
      </c>
      <c r="FI52" s="210">
        <v>111.5</v>
      </c>
      <c r="FJ52" s="211">
        <v>111.2</v>
      </c>
      <c r="FK52" s="211">
        <v>112.8</v>
      </c>
      <c r="FL52" s="211">
        <v>113.9</v>
      </c>
      <c r="FM52" s="210">
        <v>113.8</v>
      </c>
      <c r="FN52" s="210">
        <v>113.7</v>
      </c>
      <c r="FO52" s="210">
        <v>113.9</v>
      </c>
      <c r="FP52" s="210">
        <v>114</v>
      </c>
      <c r="FQ52" s="210">
        <v>114.5</v>
      </c>
      <c r="FR52" s="210">
        <v>115</v>
      </c>
    </row>
    <row r="53" spans="1:176" s="210" customFormat="1" x14ac:dyDescent="0.25">
      <c r="B53" s="208" t="s">
        <v>39</v>
      </c>
      <c r="C53" s="209"/>
      <c r="P53" s="211">
        <v>102.09798939956565</v>
      </c>
      <c r="Q53" s="211">
        <v>101.94543532133731</v>
      </c>
      <c r="R53" s="211">
        <v>101.3473204959603</v>
      </c>
      <c r="S53" s="211">
        <v>100.82464492125884</v>
      </c>
      <c r="T53" s="211">
        <v>102.44425202635033</v>
      </c>
      <c r="U53" s="211">
        <v>103.34469087694353</v>
      </c>
      <c r="V53" s="211">
        <v>103.42872101132754</v>
      </c>
      <c r="W53" s="211">
        <v>103.93707093603084</v>
      </c>
      <c r="X53" s="211">
        <v>103.19247498260353</v>
      </c>
      <c r="Y53" s="211">
        <v>102.99172498838008</v>
      </c>
      <c r="Z53" s="211">
        <v>103.74425684637799</v>
      </c>
      <c r="AA53" s="211">
        <v>103.32107351534538</v>
      </c>
      <c r="AB53" s="211">
        <v>102.18073680820238</v>
      </c>
      <c r="AC53" s="211">
        <v>102.15973066130884</v>
      </c>
      <c r="AD53" s="211">
        <v>102.5383190267693</v>
      </c>
      <c r="AE53" s="211">
        <v>102.10073014364301</v>
      </c>
      <c r="AF53" s="211">
        <v>103.18269605126974</v>
      </c>
      <c r="AG53" s="211">
        <v>103.83974645106191</v>
      </c>
      <c r="AH53" s="211">
        <v>103.39029277865312</v>
      </c>
      <c r="AI53" s="211">
        <v>103.58939876783931</v>
      </c>
      <c r="AJ53" s="211">
        <v>103.40374679914545</v>
      </c>
      <c r="AK53" s="211">
        <v>104.20936895027911</v>
      </c>
      <c r="AL53" s="211">
        <v>104.42617070651299</v>
      </c>
      <c r="AM53" s="211">
        <v>105.12249457711827</v>
      </c>
      <c r="AN53" s="211">
        <v>103.87615370830942</v>
      </c>
      <c r="AO53" s="211">
        <v>103.55677072052245</v>
      </c>
      <c r="AP53" s="211">
        <v>103.35570254608447</v>
      </c>
      <c r="AQ53" s="211">
        <v>102.82226515988518</v>
      </c>
      <c r="AR53" s="211">
        <v>102.86325742394418</v>
      </c>
      <c r="AS53" s="211">
        <v>103.28124953712913</v>
      </c>
      <c r="AT53" s="211">
        <v>105.58029197936077</v>
      </c>
      <c r="AU53" s="211">
        <v>106.15894774520062</v>
      </c>
      <c r="AV53" s="211">
        <v>106.38116783692905</v>
      </c>
      <c r="AW53" s="211">
        <v>106.89459595716964</v>
      </c>
      <c r="AX53" s="211">
        <v>109.59350147625531</v>
      </c>
      <c r="AY53" s="211">
        <v>109.60451608993267</v>
      </c>
      <c r="AZ53" s="211">
        <v>108.31736520654255</v>
      </c>
      <c r="BA53" s="211">
        <v>107.33968395976494</v>
      </c>
      <c r="BB53" s="211">
        <v>107.30582721378775</v>
      </c>
      <c r="BC53" s="211">
        <v>108.63563158950723</v>
      </c>
      <c r="BD53" s="211">
        <v>108.69913203509594</v>
      </c>
      <c r="BE53" s="211">
        <v>108.8899086754504</v>
      </c>
      <c r="BF53" s="211">
        <v>110.48457618005015</v>
      </c>
      <c r="BG53" s="211">
        <v>109.41424624320479</v>
      </c>
      <c r="BH53" s="211">
        <v>110.2794191016942</v>
      </c>
      <c r="BI53" s="211">
        <v>110.04070630539181</v>
      </c>
      <c r="BJ53" s="211">
        <v>110.13773233033326</v>
      </c>
      <c r="BK53" s="211">
        <v>110.35676473700335</v>
      </c>
      <c r="BL53" s="211">
        <v>110.39333724487203</v>
      </c>
      <c r="BM53" s="211">
        <v>108.96515967321604</v>
      </c>
      <c r="BN53" s="211">
        <v>108.43262772308707</v>
      </c>
      <c r="BO53" s="211">
        <v>107.98158229966006</v>
      </c>
      <c r="BP53" s="211">
        <v>107.49719174070961</v>
      </c>
      <c r="BQ53" s="211">
        <v>108.53491211053718</v>
      </c>
      <c r="BR53" s="211">
        <v>109.53951822391832</v>
      </c>
      <c r="BS53" s="211">
        <v>109.80458838587752</v>
      </c>
      <c r="BT53" s="211">
        <v>109.29240073424364</v>
      </c>
      <c r="BU53" s="211">
        <v>109.07090059414793</v>
      </c>
      <c r="BV53" s="211">
        <v>109.37426304048176</v>
      </c>
      <c r="BW53" s="211">
        <v>109.4468527905813</v>
      </c>
      <c r="BX53" s="211">
        <v>108.95398421807099</v>
      </c>
      <c r="BY53" s="211">
        <v>108.62801792741585</v>
      </c>
      <c r="BZ53" s="211">
        <v>108.46997941875468</v>
      </c>
      <c r="CA53" s="211">
        <v>109.16887168400157</v>
      </c>
      <c r="CB53" s="211">
        <v>109.20757177135691</v>
      </c>
      <c r="CC53" s="211">
        <v>109.88464864386432</v>
      </c>
      <c r="CD53" s="211">
        <v>110.06438604379625</v>
      </c>
      <c r="CE53" s="211">
        <v>110.90194754294846</v>
      </c>
      <c r="CF53" s="211">
        <v>111.19384086813957</v>
      </c>
      <c r="CG53" s="211">
        <v>110.83581265981111</v>
      </c>
      <c r="CH53" s="211">
        <v>110.36224078643154</v>
      </c>
      <c r="CI53" s="211">
        <v>110.89079412752865</v>
      </c>
      <c r="CJ53" s="211">
        <v>110.2130241637155</v>
      </c>
      <c r="CK53" s="211">
        <v>110.72007539531195</v>
      </c>
      <c r="CL53" s="211">
        <v>110.16391067902408</v>
      </c>
      <c r="CM53" s="211">
        <v>110.35610496031819</v>
      </c>
      <c r="CN53" s="211">
        <v>110.39828124185784</v>
      </c>
      <c r="CO53" s="211">
        <v>111.59208617266789</v>
      </c>
      <c r="CP53" s="211">
        <v>112.45144707138503</v>
      </c>
      <c r="CQ53" s="211">
        <v>112.82548806239656</v>
      </c>
      <c r="CR53" s="211">
        <v>112.4774677605706</v>
      </c>
      <c r="CS53" s="211">
        <v>113.26666131461202</v>
      </c>
      <c r="CT53" s="211">
        <v>112.72032520693915</v>
      </c>
      <c r="CU53" s="211">
        <v>111.93180912440049</v>
      </c>
      <c r="CV53" s="211">
        <v>112.52324758354759</v>
      </c>
      <c r="CW53" s="211">
        <v>112.26040731309455</v>
      </c>
      <c r="CX53" s="211">
        <v>111.68036792645525</v>
      </c>
      <c r="CY53" s="211">
        <v>112.22349184585687</v>
      </c>
      <c r="CZ53" s="211">
        <v>112.74779917117819</v>
      </c>
      <c r="DA53" s="211">
        <v>112.64179895687499</v>
      </c>
      <c r="DB53" s="211">
        <v>113.72618900417508</v>
      </c>
      <c r="DC53" s="211">
        <v>113.90436536350838</v>
      </c>
      <c r="DD53" s="211">
        <v>114.32821295551204</v>
      </c>
      <c r="DE53" s="211">
        <v>115.18704129438356</v>
      </c>
      <c r="DF53" s="211">
        <v>115.51940975341573</v>
      </c>
      <c r="DG53" s="211">
        <v>115.30102648114125</v>
      </c>
      <c r="DH53" s="211">
        <v>115.84360047170192</v>
      </c>
      <c r="DI53" s="211">
        <v>115.57783252360831</v>
      </c>
      <c r="DJ53" s="211">
        <v>115.6000048774107</v>
      </c>
      <c r="DK53" s="211">
        <v>116.10082920792907</v>
      </c>
      <c r="DL53" s="211">
        <v>116.05302277098369</v>
      </c>
      <c r="DM53" s="211">
        <v>115.93173928011521</v>
      </c>
      <c r="DN53" s="211">
        <v>117.15521893562941</v>
      </c>
      <c r="DO53" s="211">
        <v>117.12050145711187</v>
      </c>
      <c r="DP53" s="211">
        <v>117.23775148183978</v>
      </c>
      <c r="DQ53" s="211">
        <v>117.1109845308103</v>
      </c>
      <c r="DR53" s="211">
        <v>117.22176781440703</v>
      </c>
      <c r="DS53" s="211">
        <v>117.53662357868841</v>
      </c>
      <c r="DT53" s="211">
        <v>116.79888612973069</v>
      </c>
      <c r="DU53" s="211">
        <v>117.15188979470709</v>
      </c>
      <c r="DV53" s="211">
        <v>116.96998760595162</v>
      </c>
      <c r="DW53" s="211">
        <v>117.675415813896</v>
      </c>
      <c r="DX53" s="211">
        <v>118.55941724090401</v>
      </c>
      <c r="DY53" s="211">
        <v>118.94062954488902</v>
      </c>
      <c r="DZ53" s="211">
        <v>120.03647812229509</v>
      </c>
      <c r="EA53" s="211">
        <v>119.80141165478376</v>
      </c>
      <c r="EB53" s="211">
        <v>120.0282546523399</v>
      </c>
      <c r="EC53" s="211">
        <v>119.87648881432091</v>
      </c>
      <c r="ED53" s="211">
        <v>120.0545772493751</v>
      </c>
      <c r="EE53" s="211">
        <v>121.53125765399255</v>
      </c>
      <c r="EF53" s="211">
        <v>122.77886861724879</v>
      </c>
      <c r="EG53" s="211">
        <v>123.03680643764365</v>
      </c>
      <c r="EH53" s="211">
        <v>122.84177259346261</v>
      </c>
      <c r="EI53" s="211">
        <v>123.45520373395775</v>
      </c>
      <c r="EJ53" s="211">
        <v>124.44486362529946</v>
      </c>
      <c r="EK53" s="211">
        <v>125.16719028491777</v>
      </c>
      <c r="EL53" s="211">
        <v>126.16828811173022</v>
      </c>
      <c r="EM53" s="211">
        <v>127.23590378726009</v>
      </c>
      <c r="EN53" s="211">
        <v>126.77158801730033</v>
      </c>
      <c r="EO53" s="211">
        <v>127.62984892846761</v>
      </c>
      <c r="EP53" s="211">
        <v>127.66208582166152</v>
      </c>
      <c r="EQ53" s="211">
        <v>127.92470251100384</v>
      </c>
      <c r="ER53" s="210">
        <v>104.5</v>
      </c>
      <c r="ES53" s="210">
        <v>104.9</v>
      </c>
      <c r="ET53" s="210">
        <v>105.5</v>
      </c>
      <c r="EU53" s="210">
        <v>105.6</v>
      </c>
      <c r="EV53" s="210">
        <v>105.8</v>
      </c>
      <c r="EW53" s="210">
        <v>107</v>
      </c>
      <c r="EX53" s="210">
        <v>108.3</v>
      </c>
      <c r="EY53" s="210">
        <v>108.1</v>
      </c>
      <c r="EZ53" s="210">
        <v>108.5</v>
      </c>
      <c r="FA53" s="210">
        <v>108.5</v>
      </c>
      <c r="FB53" s="210">
        <v>109.3</v>
      </c>
      <c r="FC53" s="210">
        <v>108.7</v>
      </c>
      <c r="FD53" s="210">
        <v>107.9</v>
      </c>
      <c r="FE53" s="210">
        <v>108.6</v>
      </c>
      <c r="FF53" s="210">
        <v>108.6</v>
      </c>
      <c r="FG53" s="210">
        <v>109.1</v>
      </c>
      <c r="FH53" s="210">
        <v>109.4</v>
      </c>
      <c r="FI53" s="210">
        <v>110.1</v>
      </c>
      <c r="FJ53" s="211">
        <v>110.4</v>
      </c>
      <c r="FK53" s="211">
        <v>110.6</v>
      </c>
      <c r="FL53" s="211">
        <v>111</v>
      </c>
      <c r="FM53" s="210">
        <v>111.9</v>
      </c>
      <c r="FN53" s="210">
        <v>112</v>
      </c>
      <c r="FO53" s="210">
        <v>113.1</v>
      </c>
      <c r="FP53" s="210">
        <v>112.4</v>
      </c>
      <c r="FQ53" s="210">
        <v>112.2</v>
      </c>
      <c r="FR53" s="210">
        <v>112.3</v>
      </c>
    </row>
    <row r="54" spans="1:176" s="210" customFormat="1" x14ac:dyDescent="0.25">
      <c r="B54" s="208" t="s">
        <v>86</v>
      </c>
      <c r="C54" s="209"/>
      <c r="P54" s="211">
        <v>100.08953760055832</v>
      </c>
      <c r="Q54" s="211">
        <v>100.15768861131886</v>
      </c>
      <c r="R54" s="211">
        <v>102.47153150981717</v>
      </c>
      <c r="S54" s="211">
        <v>102.96096420051535</v>
      </c>
      <c r="T54" s="211">
        <v>102.82287827546183</v>
      </c>
      <c r="U54" s="211">
        <v>101.95108970486514</v>
      </c>
      <c r="V54" s="211">
        <v>100.91816444521913</v>
      </c>
      <c r="W54" s="211">
        <v>102.89876417102502</v>
      </c>
      <c r="X54" s="211">
        <v>104.87284002933778</v>
      </c>
      <c r="Y54" s="211">
        <v>104.85957806676755</v>
      </c>
      <c r="Z54" s="211">
        <v>104.78640385616622</v>
      </c>
      <c r="AA54" s="211">
        <v>105.01354053342858</v>
      </c>
      <c r="AB54" s="211">
        <v>105.228363525742</v>
      </c>
      <c r="AC54" s="211">
        <v>106.44036129926498</v>
      </c>
      <c r="AD54" s="211">
        <v>107.13087023099261</v>
      </c>
      <c r="AE54" s="211">
        <v>104.91219103096383</v>
      </c>
      <c r="AF54" s="211">
        <v>105.88155834227868</v>
      </c>
      <c r="AG54" s="211">
        <v>105.86518230644786</v>
      </c>
      <c r="AH54" s="211">
        <v>105.35079417538867</v>
      </c>
      <c r="AI54" s="211">
        <v>105.87823479404885</v>
      </c>
      <c r="AJ54" s="211">
        <v>106.92965106584344</v>
      </c>
      <c r="AK54" s="211">
        <v>107.06624580292961</v>
      </c>
      <c r="AL54" s="211">
        <v>105.79066579920973</v>
      </c>
      <c r="AM54" s="211">
        <v>105.5425557060442</v>
      </c>
      <c r="AN54" s="211">
        <v>105.84885706901929</v>
      </c>
      <c r="AO54" s="211">
        <v>106.16165811521407</v>
      </c>
      <c r="AP54" s="211">
        <v>105.74301374211946</v>
      </c>
      <c r="AQ54" s="211">
        <v>106.88575927346685</v>
      </c>
      <c r="AR54" s="211">
        <v>105.39401097116593</v>
      </c>
      <c r="AS54" s="211">
        <v>107.39224450752941</v>
      </c>
      <c r="AT54" s="211">
        <v>108.17437862662214</v>
      </c>
      <c r="AU54" s="211">
        <v>108.06433560686737</v>
      </c>
      <c r="AV54" s="211">
        <v>109.49699974206102</v>
      </c>
      <c r="AW54" s="211">
        <v>108.88854583856828</v>
      </c>
      <c r="AX54" s="211">
        <v>109.83652607222578</v>
      </c>
      <c r="AY54" s="211">
        <v>111.15507277579029</v>
      </c>
      <c r="AZ54" s="211">
        <v>109.64366667688874</v>
      </c>
      <c r="BA54" s="211">
        <v>110.6072992902329</v>
      </c>
      <c r="BB54" s="211">
        <v>111.09750438600425</v>
      </c>
      <c r="BC54" s="211">
        <v>112.38200810170261</v>
      </c>
      <c r="BD54" s="211">
        <v>111.87594601604037</v>
      </c>
      <c r="BE54" s="211">
        <v>110.87757643137128</v>
      </c>
      <c r="BF54" s="211">
        <v>110.85837967570167</v>
      </c>
      <c r="BG54" s="211">
        <v>112.2380268917543</v>
      </c>
      <c r="BH54" s="211">
        <v>112.68598375609457</v>
      </c>
      <c r="BI54" s="211">
        <v>112.12254272941961</v>
      </c>
      <c r="BJ54" s="211">
        <v>111.24531181274398</v>
      </c>
      <c r="BK54" s="211">
        <v>112.26896885574148</v>
      </c>
      <c r="BL54" s="211">
        <v>112.26123762374698</v>
      </c>
      <c r="BM54" s="211">
        <v>111.47297148044873</v>
      </c>
      <c r="BN54" s="211">
        <v>112.15689624210508</v>
      </c>
      <c r="BO54" s="211">
        <v>111.31596363144243</v>
      </c>
      <c r="BP54" s="211">
        <v>112.81203441985862</v>
      </c>
      <c r="BQ54" s="211">
        <v>112.86501318714566</v>
      </c>
      <c r="BR54" s="211">
        <v>112.53474927033264</v>
      </c>
      <c r="BS54" s="211">
        <v>112.1956911273864</v>
      </c>
      <c r="BT54" s="211">
        <v>112.6733849843453</v>
      </c>
      <c r="BU54" s="211">
        <v>112.34759863065565</v>
      </c>
      <c r="BV54" s="211">
        <v>112.7376477942593</v>
      </c>
      <c r="BW54" s="211">
        <v>112.59000286389562</v>
      </c>
      <c r="BX54" s="211">
        <v>112.87089603803204</v>
      </c>
      <c r="BY54" s="211">
        <v>113.40389855207526</v>
      </c>
      <c r="BZ54" s="211">
        <v>113.2178677935507</v>
      </c>
      <c r="CA54" s="211">
        <v>113.14216577918167</v>
      </c>
      <c r="CB54" s="211">
        <v>113.22882222702232</v>
      </c>
      <c r="CC54" s="211">
        <v>112.96650164039832</v>
      </c>
      <c r="CD54" s="211">
        <v>112.63375580131847</v>
      </c>
      <c r="CE54" s="211">
        <v>113.5253575605128</v>
      </c>
      <c r="CF54" s="211">
        <v>114.13585831108266</v>
      </c>
      <c r="CG54" s="211">
        <v>113.01421478051542</v>
      </c>
      <c r="CH54" s="211">
        <v>113.37464139467058</v>
      </c>
      <c r="CI54" s="211">
        <v>113.9524024349798</v>
      </c>
      <c r="CJ54" s="211">
        <v>113.31108727562705</v>
      </c>
      <c r="CK54" s="211">
        <v>113.99650126785301</v>
      </c>
      <c r="CL54" s="211">
        <v>113.47035604390391</v>
      </c>
      <c r="CM54" s="211">
        <v>113.17503418337319</v>
      </c>
      <c r="CN54" s="211">
        <v>114.18806384633346</v>
      </c>
      <c r="CO54" s="211">
        <v>113.26825788890589</v>
      </c>
      <c r="CP54" s="211">
        <v>114.49241991347894</v>
      </c>
      <c r="CQ54" s="211">
        <v>113.2450334692753</v>
      </c>
      <c r="CR54" s="211">
        <v>113.13389878016432</v>
      </c>
      <c r="CS54" s="211">
        <v>113.99264408180565</v>
      </c>
      <c r="CT54" s="211">
        <v>114.62262964097087</v>
      </c>
      <c r="CU54" s="211">
        <v>115.16519015822178</v>
      </c>
      <c r="CV54" s="211">
        <v>116.06145992140621</v>
      </c>
      <c r="CW54" s="211">
        <v>116.63665672760891</v>
      </c>
      <c r="CX54" s="211">
        <v>117.46028303738981</v>
      </c>
      <c r="CY54" s="211">
        <v>117.04560001918543</v>
      </c>
      <c r="CZ54" s="211">
        <v>117.12397441438713</v>
      </c>
      <c r="DA54" s="211">
        <v>115.97595240555187</v>
      </c>
      <c r="DB54" s="211">
        <v>116.4495388519136</v>
      </c>
      <c r="DC54" s="211">
        <v>116.4115079543465</v>
      </c>
      <c r="DD54" s="211">
        <v>116.27555133760225</v>
      </c>
      <c r="DE54" s="211">
        <v>117.59477492136961</v>
      </c>
      <c r="DF54" s="211">
        <v>117.32712711383186</v>
      </c>
      <c r="DG54" s="211">
        <v>116.53393944774203</v>
      </c>
      <c r="DH54" s="211">
        <v>115.95877007462497</v>
      </c>
      <c r="DI54" s="211">
        <v>116.39033361335088</v>
      </c>
      <c r="DJ54" s="211">
        <v>117.59088063593315</v>
      </c>
      <c r="DK54" s="211">
        <v>117.85801508623055</v>
      </c>
      <c r="DL54" s="211">
        <v>116.54343011892357</v>
      </c>
      <c r="DM54" s="211">
        <v>116.79506485471242</v>
      </c>
      <c r="DN54" s="211">
        <v>117.52100962356766</v>
      </c>
      <c r="DO54" s="211">
        <v>118.64085752500631</v>
      </c>
      <c r="DP54" s="211">
        <v>117.59058944051792</v>
      </c>
      <c r="DQ54" s="211">
        <v>118.37878670125453</v>
      </c>
      <c r="DR54" s="211">
        <v>119.12088456756729</v>
      </c>
      <c r="DS54" s="211">
        <v>119.10609620751259</v>
      </c>
      <c r="DT54" s="211">
        <v>119.56185386510938</v>
      </c>
      <c r="DU54" s="211">
        <v>119.74644907397368</v>
      </c>
      <c r="DV54" s="211">
        <v>120.15923461450332</v>
      </c>
      <c r="DW54" s="211">
        <v>122.13793329325719</v>
      </c>
      <c r="DX54" s="211">
        <v>122.13793329325719</v>
      </c>
      <c r="DY54" s="211">
        <v>123.01967514608482</v>
      </c>
      <c r="DZ54" s="211">
        <v>123.08403802974864</v>
      </c>
      <c r="EA54" s="211">
        <v>122.79032398646518</v>
      </c>
      <c r="EB54" s="211">
        <v>122.84203144954138</v>
      </c>
      <c r="EC54" s="211">
        <v>122.15521833729052</v>
      </c>
      <c r="ED54" s="211">
        <v>122.61689975600902</v>
      </c>
      <c r="EE54" s="211">
        <v>123.65667630071314</v>
      </c>
      <c r="EF54" s="211">
        <v>126.33496831273385</v>
      </c>
      <c r="EG54" s="211">
        <v>125.93189692275426</v>
      </c>
      <c r="EH54" s="211">
        <v>128.31436369331627</v>
      </c>
      <c r="EI54" s="211">
        <v>127.84730890069306</v>
      </c>
      <c r="EJ54" s="211">
        <v>127.87027633266948</v>
      </c>
      <c r="EK54" s="211">
        <v>126.98243187340256</v>
      </c>
      <c r="EL54" s="211">
        <v>127.09767577383317</v>
      </c>
      <c r="EM54" s="211">
        <v>128.31452026627937</v>
      </c>
      <c r="EN54" s="211">
        <v>129.19435502084821</v>
      </c>
      <c r="EO54" s="211">
        <v>130.60953829940237</v>
      </c>
      <c r="EP54" s="211">
        <v>134.25324243787256</v>
      </c>
      <c r="EQ54" s="211">
        <v>134.28304084131165</v>
      </c>
      <c r="ER54" s="210">
        <v>103.3</v>
      </c>
      <c r="ES54" s="210">
        <v>105.4</v>
      </c>
      <c r="ET54" s="210">
        <v>106.6</v>
      </c>
      <c r="EU54" s="210">
        <v>106.5</v>
      </c>
      <c r="EV54" s="210">
        <v>106.8</v>
      </c>
      <c r="EW54" s="210">
        <v>107.7</v>
      </c>
      <c r="EX54" s="210">
        <v>108.1</v>
      </c>
      <c r="EY54" s="210">
        <v>108.4</v>
      </c>
      <c r="EZ54" s="210">
        <v>108.3</v>
      </c>
      <c r="FA54" s="210">
        <v>108.7</v>
      </c>
      <c r="FB54" s="210">
        <v>108.3</v>
      </c>
      <c r="FC54" s="210">
        <v>109.2</v>
      </c>
      <c r="FD54" s="210">
        <v>109.1</v>
      </c>
      <c r="FE54" s="210">
        <v>109.8</v>
      </c>
      <c r="FF54" s="210">
        <v>111</v>
      </c>
      <c r="FG54" s="210">
        <v>111.2</v>
      </c>
      <c r="FH54" s="210">
        <v>112.4</v>
      </c>
      <c r="FI54" s="210">
        <v>112.4</v>
      </c>
      <c r="FJ54" s="211">
        <v>112.4</v>
      </c>
      <c r="FK54" s="211">
        <v>112.7</v>
      </c>
      <c r="FL54" s="211">
        <v>113.9</v>
      </c>
      <c r="FM54" s="210">
        <v>113.9</v>
      </c>
      <c r="FN54" s="210">
        <v>114.1</v>
      </c>
      <c r="FO54" s="210">
        <v>114.8</v>
      </c>
      <c r="FP54" s="210">
        <v>115.1</v>
      </c>
      <c r="FQ54" s="210">
        <v>114.3</v>
      </c>
      <c r="FR54" s="210">
        <v>114.6</v>
      </c>
    </row>
    <row r="55" spans="1:176" s="210" customFormat="1" x14ac:dyDescent="0.25">
      <c r="B55" s="208" t="s">
        <v>83</v>
      </c>
      <c r="C55" s="209"/>
      <c r="P55" s="211">
        <v>100.71870544906905</v>
      </c>
      <c r="Q55" s="211">
        <v>100.93158419462657</v>
      </c>
      <c r="R55" s="211">
        <v>102.00556114504523</v>
      </c>
      <c r="S55" s="211">
        <v>102.71415006772361</v>
      </c>
      <c r="T55" s="211">
        <v>101.802142810972</v>
      </c>
      <c r="U55" s="211">
        <v>103.83467319778893</v>
      </c>
      <c r="V55" s="211">
        <v>103.87192463960204</v>
      </c>
      <c r="W55" s="211">
        <v>104.41110350011945</v>
      </c>
      <c r="X55" s="211">
        <v>103.04507261895584</v>
      </c>
      <c r="Y55" s="211">
        <v>103.45597146262757</v>
      </c>
      <c r="Z55" s="211">
        <v>102.32418609059827</v>
      </c>
      <c r="AA55" s="211">
        <v>102.66574076561855</v>
      </c>
      <c r="AB55" s="211">
        <v>102.26150578251369</v>
      </c>
      <c r="AC55" s="211">
        <v>102.27410828346379</v>
      </c>
      <c r="AD55" s="211">
        <v>103.1641077320767</v>
      </c>
      <c r="AE55" s="211">
        <v>102.86247489677289</v>
      </c>
      <c r="AF55" s="211">
        <v>103.51513765592118</v>
      </c>
      <c r="AG55" s="211">
        <v>103.599882357835</v>
      </c>
      <c r="AH55" s="211">
        <v>104.27335955213223</v>
      </c>
      <c r="AI55" s="211">
        <v>103.96180233770667</v>
      </c>
      <c r="AJ55" s="211">
        <v>104.37865327366669</v>
      </c>
      <c r="AK55" s="211">
        <v>105.10288980186114</v>
      </c>
      <c r="AL55" s="211">
        <v>104.64748908945823</v>
      </c>
      <c r="AM55" s="211">
        <v>103.76075968137394</v>
      </c>
      <c r="AN55" s="211">
        <v>103.8383863229364</v>
      </c>
      <c r="AO55" s="211">
        <v>104.12639039135439</v>
      </c>
      <c r="AP55" s="211">
        <v>104.69072608348563</v>
      </c>
      <c r="AQ55" s="211">
        <v>104.42048394449198</v>
      </c>
      <c r="AR55" s="211">
        <v>104.76388283841005</v>
      </c>
      <c r="AS55" s="211">
        <v>104.9773732851035</v>
      </c>
      <c r="AT55" s="211">
        <v>106.91477021902664</v>
      </c>
      <c r="AU55" s="211">
        <v>108.0664275120313</v>
      </c>
      <c r="AV55" s="211">
        <v>105.8111144343728</v>
      </c>
      <c r="AW55" s="211">
        <v>106.22250950813614</v>
      </c>
      <c r="AX55" s="211">
        <v>105.63348881317971</v>
      </c>
      <c r="AY55" s="211">
        <v>105.83148960152737</v>
      </c>
      <c r="AZ55" s="211">
        <v>105.15359811882476</v>
      </c>
      <c r="BA55" s="211">
        <v>104.69857677400324</v>
      </c>
      <c r="BB55" s="211">
        <v>104.79033989121386</v>
      </c>
      <c r="BC55" s="211">
        <v>105.47455941602557</v>
      </c>
      <c r="BD55" s="211">
        <v>105.83687823880466</v>
      </c>
      <c r="BE55" s="211">
        <v>106.67305497225765</v>
      </c>
      <c r="BF55" s="211">
        <v>108.11248942033767</v>
      </c>
      <c r="BG55" s="211">
        <v>108.35614148479506</v>
      </c>
      <c r="BH55" s="211">
        <v>108.35140232416614</v>
      </c>
      <c r="BI55" s="211">
        <v>107.7615384505701</v>
      </c>
      <c r="BJ55" s="211">
        <v>107.81978853988178</v>
      </c>
      <c r="BK55" s="211">
        <v>107.50498502493983</v>
      </c>
      <c r="BL55" s="211">
        <v>107.17336660214218</v>
      </c>
      <c r="BM55" s="211">
        <v>107.26107478342757</v>
      </c>
      <c r="BN55" s="211">
        <v>107.73822904033355</v>
      </c>
      <c r="BO55" s="211">
        <v>108.28864125077128</v>
      </c>
      <c r="BP55" s="211">
        <v>108.56735149519811</v>
      </c>
      <c r="BQ55" s="211">
        <v>108.22165842718792</v>
      </c>
      <c r="BR55" s="211">
        <v>107.98118202548348</v>
      </c>
      <c r="BS55" s="211">
        <v>108.13832877323831</v>
      </c>
      <c r="BT55" s="211">
        <v>109.14185433147652</v>
      </c>
      <c r="BU55" s="211">
        <v>109.18542590301034</v>
      </c>
      <c r="BV55" s="211">
        <v>107.45147203730042</v>
      </c>
      <c r="BW55" s="211">
        <v>108.96778363419412</v>
      </c>
      <c r="BX55" s="211">
        <v>108.26606149954512</v>
      </c>
      <c r="BY55" s="211">
        <v>108.09154073278445</v>
      </c>
      <c r="BZ55" s="211">
        <v>107.79605844509119</v>
      </c>
      <c r="CA55" s="211">
        <v>108.2159719029851</v>
      </c>
      <c r="CB55" s="211">
        <v>108.36908037025309</v>
      </c>
      <c r="CC55" s="211">
        <v>108.43532230236127</v>
      </c>
      <c r="CD55" s="211">
        <v>109.06692888268036</v>
      </c>
      <c r="CE55" s="211">
        <v>108.82334284564578</v>
      </c>
      <c r="CF55" s="211">
        <v>108.72371664324218</v>
      </c>
      <c r="CG55" s="211">
        <v>108.98142981350153</v>
      </c>
      <c r="CH55" s="211">
        <v>108.82813305575419</v>
      </c>
      <c r="CI55" s="211">
        <v>109.10988570968574</v>
      </c>
      <c r="CJ55" s="211">
        <v>109.21777599476266</v>
      </c>
      <c r="CK55" s="211">
        <v>108.97653115892761</v>
      </c>
      <c r="CL55" s="211">
        <v>109.49711601747795</v>
      </c>
      <c r="CM55" s="211">
        <v>109.94639418739676</v>
      </c>
      <c r="CN55" s="211">
        <v>109.76490573797332</v>
      </c>
      <c r="CO55" s="211">
        <v>109.84409277182738</v>
      </c>
      <c r="CP55" s="211">
        <v>109.83538412487795</v>
      </c>
      <c r="CQ55" s="211">
        <v>110.50022470196627</v>
      </c>
      <c r="CR55" s="211">
        <v>110.18865573408655</v>
      </c>
      <c r="CS55" s="211">
        <v>110.66632522729327</v>
      </c>
      <c r="CT55" s="211">
        <v>110.4389297867279</v>
      </c>
      <c r="CU55" s="211">
        <v>110.73285597482176</v>
      </c>
      <c r="CV55" s="211">
        <v>111.24544262556284</v>
      </c>
      <c r="CW55" s="211">
        <v>112.08772471168861</v>
      </c>
      <c r="CX55" s="211">
        <v>111.93590007849633</v>
      </c>
      <c r="CY55" s="211">
        <v>112.04797379356182</v>
      </c>
      <c r="CZ55" s="211">
        <v>112.09127501052627</v>
      </c>
      <c r="DA55" s="211">
        <v>112.02886879660983</v>
      </c>
      <c r="DB55" s="211">
        <v>112.94911740962976</v>
      </c>
      <c r="DC55" s="211">
        <v>112.42360251988214</v>
      </c>
      <c r="DD55" s="211">
        <v>112.84115344068675</v>
      </c>
      <c r="DE55" s="211">
        <v>113.31871424271696</v>
      </c>
      <c r="DF55" s="211">
        <v>113.57616547528006</v>
      </c>
      <c r="DG55" s="211">
        <v>113.29071151876418</v>
      </c>
      <c r="DH55" s="211">
        <v>113.35105597605626</v>
      </c>
      <c r="DI55" s="211">
        <v>113.42988265824302</v>
      </c>
      <c r="DJ55" s="211">
        <v>113.54628139916025</v>
      </c>
      <c r="DK55" s="211">
        <v>114.08309894154921</v>
      </c>
      <c r="DL55" s="211">
        <v>114.42327477943711</v>
      </c>
      <c r="DM55" s="211">
        <v>115.12879002727573</v>
      </c>
      <c r="DN55" s="211">
        <v>115.92648823908749</v>
      </c>
      <c r="DO55" s="211">
        <v>116.30297146434334</v>
      </c>
      <c r="DP55" s="211">
        <v>115.83834717355494</v>
      </c>
      <c r="DQ55" s="211">
        <v>116.21265293863665</v>
      </c>
      <c r="DR55" s="211">
        <v>116.23880198924914</v>
      </c>
      <c r="DS55" s="211">
        <v>116.152369869976</v>
      </c>
      <c r="DT55" s="211">
        <v>115.57597289987172</v>
      </c>
      <c r="DU55" s="211">
        <v>115.79374870505308</v>
      </c>
      <c r="DV55" s="211">
        <v>115.74226960669702</v>
      </c>
      <c r="DW55" s="211">
        <v>116.03893981895318</v>
      </c>
      <c r="DX55" s="211">
        <v>116.89375565962612</v>
      </c>
      <c r="DY55" s="211">
        <v>116.35016297771023</v>
      </c>
      <c r="DZ55" s="211">
        <v>116.00352149424828</v>
      </c>
      <c r="EA55" s="211">
        <v>115.91993761076236</v>
      </c>
      <c r="EB55" s="211">
        <v>115.92232025484734</v>
      </c>
      <c r="EC55" s="211">
        <v>115.98458778454223</v>
      </c>
      <c r="ED55" s="211">
        <v>116.44157032324208</v>
      </c>
      <c r="EE55" s="211">
        <v>117.68525123182395</v>
      </c>
      <c r="EF55" s="211">
        <v>119.06351376911601</v>
      </c>
      <c r="EG55" s="211">
        <v>121.91225373482655</v>
      </c>
      <c r="EH55" s="211">
        <v>123.49220370921499</v>
      </c>
      <c r="EI55" s="211">
        <v>124.12781505749857</v>
      </c>
      <c r="EJ55" s="211">
        <v>125.25998524222432</v>
      </c>
      <c r="EK55" s="211">
        <v>124.97485014840902</v>
      </c>
      <c r="EL55" s="211">
        <v>125.04888583958746</v>
      </c>
      <c r="EM55" s="211">
        <v>126.24598439108708</v>
      </c>
      <c r="EN55" s="211">
        <v>126.62824317115357</v>
      </c>
      <c r="EO55" s="211">
        <v>126.56928073651581</v>
      </c>
      <c r="EP55" s="211">
        <v>126.97225183848559</v>
      </c>
      <c r="EQ55" s="211">
        <v>126.74466933903228</v>
      </c>
      <c r="ER55" s="210">
        <v>102</v>
      </c>
      <c r="ES55" s="210">
        <v>105.2</v>
      </c>
      <c r="ET55" s="210">
        <v>105.8</v>
      </c>
      <c r="EU55" s="210">
        <v>106</v>
      </c>
      <c r="EV55" s="210">
        <v>107.5</v>
      </c>
      <c r="EW55" s="210">
        <v>109.1</v>
      </c>
      <c r="EX55" s="210">
        <v>110.4</v>
      </c>
      <c r="EY55" s="210">
        <v>110.9</v>
      </c>
      <c r="EZ55" s="210">
        <v>110.7</v>
      </c>
      <c r="FA55" s="210">
        <v>110.3</v>
      </c>
      <c r="FB55" s="210">
        <v>110.9</v>
      </c>
      <c r="FC55" s="210">
        <v>111.5</v>
      </c>
      <c r="FD55" s="210">
        <v>110.2</v>
      </c>
      <c r="FE55" s="210">
        <v>111.2</v>
      </c>
      <c r="FF55" s="210">
        <v>111.3</v>
      </c>
      <c r="FG55" s="210">
        <v>111.6</v>
      </c>
      <c r="FH55" s="210">
        <v>111</v>
      </c>
      <c r="FI55" s="210">
        <v>110.9</v>
      </c>
      <c r="FJ55" s="211">
        <v>112.4</v>
      </c>
      <c r="FK55" s="211">
        <v>113</v>
      </c>
      <c r="FL55" s="211">
        <v>112.6</v>
      </c>
      <c r="FM55" s="210">
        <v>113.3</v>
      </c>
      <c r="FN55" s="210">
        <v>113.3</v>
      </c>
      <c r="FO55" s="210">
        <v>115.3</v>
      </c>
      <c r="FP55" s="210">
        <v>115.4</v>
      </c>
      <c r="FQ55" s="210">
        <v>115.9</v>
      </c>
      <c r="FR55" s="210">
        <v>116.2</v>
      </c>
    </row>
    <row r="56" spans="1:176" s="210" customFormat="1" x14ac:dyDescent="0.25">
      <c r="B56" s="208" t="s">
        <v>84</v>
      </c>
      <c r="C56" s="209"/>
      <c r="P56" s="211">
        <v>100.17427866814319</v>
      </c>
      <c r="Q56" s="211">
        <v>101.33671990194227</v>
      </c>
      <c r="R56" s="211">
        <v>101.95659008493941</v>
      </c>
      <c r="S56" s="211">
        <v>102.67989105949137</v>
      </c>
      <c r="T56" s="211">
        <v>102.87859958566894</v>
      </c>
      <c r="U56" s="211">
        <v>102.9328368333196</v>
      </c>
      <c r="V56" s="211">
        <v>103.04289562720055</v>
      </c>
      <c r="W56" s="211">
        <v>104.14300516304216</v>
      </c>
      <c r="X56" s="211">
        <v>103.48028104560679</v>
      </c>
      <c r="Y56" s="211">
        <v>104.36092398238598</v>
      </c>
      <c r="Z56" s="211">
        <v>103.88950658423289</v>
      </c>
      <c r="AA56" s="211">
        <v>103.21997338735162</v>
      </c>
      <c r="AB56" s="211">
        <v>102.7173366257865</v>
      </c>
      <c r="AC56" s="211">
        <v>102.76061391887342</v>
      </c>
      <c r="AD56" s="211">
        <v>104.2538428290113</v>
      </c>
      <c r="AE56" s="211">
        <v>104.65747690487959</v>
      </c>
      <c r="AF56" s="211">
        <v>102.29687185541177</v>
      </c>
      <c r="AG56" s="211">
        <v>102.0260471193032</v>
      </c>
      <c r="AH56" s="211">
        <v>103.8711540718824</v>
      </c>
      <c r="AI56" s="211">
        <v>104.29781807453166</v>
      </c>
      <c r="AJ56" s="211">
        <v>103.29074967769444</v>
      </c>
      <c r="AK56" s="211">
        <v>106.70532752570068</v>
      </c>
      <c r="AL56" s="211">
        <v>106.58562121815574</v>
      </c>
      <c r="AM56" s="211">
        <v>106.3211921857099</v>
      </c>
      <c r="AN56" s="211">
        <v>104.74307427772867</v>
      </c>
      <c r="AO56" s="211">
        <v>104.15151362629859</v>
      </c>
      <c r="AP56" s="211">
        <v>106.30452808623947</v>
      </c>
      <c r="AQ56" s="211">
        <v>105.22220938585683</v>
      </c>
      <c r="AR56" s="211">
        <v>105.69227287498072</v>
      </c>
      <c r="AS56" s="211">
        <v>105.58075373942239</v>
      </c>
      <c r="AT56" s="211">
        <v>108.71652197678883</v>
      </c>
      <c r="AU56" s="211">
        <v>108.95932985808568</v>
      </c>
      <c r="AV56" s="211">
        <v>108.64658827696745</v>
      </c>
      <c r="AW56" s="211">
        <v>107.90832346713415</v>
      </c>
      <c r="AX56" s="211">
        <v>107.7251371279948</v>
      </c>
      <c r="AY56" s="211">
        <v>107.95843615628203</v>
      </c>
      <c r="AZ56" s="211">
        <v>109.04606156357671</v>
      </c>
      <c r="BA56" s="211">
        <v>108.13240736594551</v>
      </c>
      <c r="BB56" s="211">
        <v>109.44900948200331</v>
      </c>
      <c r="BC56" s="211">
        <v>110.05040678078262</v>
      </c>
      <c r="BD56" s="211">
        <v>109.88318361880545</v>
      </c>
      <c r="BE56" s="211">
        <v>111.23148477247435</v>
      </c>
      <c r="BF56" s="211">
        <v>111.24969041516812</v>
      </c>
      <c r="BG56" s="211">
        <v>108.69664413744577</v>
      </c>
      <c r="BH56" s="211">
        <v>108.58818163856178</v>
      </c>
      <c r="BI56" s="211">
        <v>108.17672614072289</v>
      </c>
      <c r="BJ56" s="211">
        <v>107.95576373433801</v>
      </c>
      <c r="BK56" s="211">
        <v>108.80986933090234</v>
      </c>
      <c r="BL56" s="211">
        <v>107.54934299419259</v>
      </c>
      <c r="BM56" s="211">
        <v>108.84541269121584</v>
      </c>
      <c r="BN56" s="211">
        <v>108.69801969137662</v>
      </c>
      <c r="BO56" s="211">
        <v>109.66037787139837</v>
      </c>
      <c r="BP56" s="211">
        <v>110.23901445450939</v>
      </c>
      <c r="BQ56" s="211">
        <v>109.98477494686989</v>
      </c>
      <c r="BR56" s="211">
        <v>110.56911443943137</v>
      </c>
      <c r="BS56" s="211">
        <v>111.17617917769154</v>
      </c>
      <c r="BT56" s="211">
        <v>110.4451177819751</v>
      </c>
      <c r="BU56" s="211">
        <v>109.52830961080163</v>
      </c>
      <c r="BV56" s="211">
        <v>108.75340513277831</v>
      </c>
      <c r="BW56" s="211">
        <v>110.34725346803641</v>
      </c>
      <c r="BX56" s="211">
        <v>109.4451434712871</v>
      </c>
      <c r="BY56" s="211">
        <v>110.01296277931088</v>
      </c>
      <c r="BZ56" s="211">
        <v>111.34690865286153</v>
      </c>
      <c r="CA56" s="211">
        <v>112.40833157906316</v>
      </c>
      <c r="CB56" s="211">
        <v>112.07153372940812</v>
      </c>
      <c r="CC56" s="211">
        <v>112.74537959284964</v>
      </c>
      <c r="CD56" s="211">
        <v>112.87945294062482</v>
      </c>
      <c r="CE56" s="211">
        <v>113.54003943759636</v>
      </c>
      <c r="CF56" s="211">
        <v>114.72806151424676</v>
      </c>
      <c r="CG56" s="211">
        <v>113.74692848251691</v>
      </c>
      <c r="CH56" s="211">
        <v>113.75403017882779</v>
      </c>
      <c r="CI56" s="211">
        <v>113.82646198054128</v>
      </c>
      <c r="CJ56" s="211">
        <v>115.79854065714089</v>
      </c>
      <c r="CK56" s="211">
        <v>114.95584951718597</v>
      </c>
      <c r="CL56" s="211">
        <v>115.06925101520586</v>
      </c>
      <c r="CM56" s="211">
        <v>115.29205580763346</v>
      </c>
      <c r="CN56" s="211">
        <v>115.27052403611685</v>
      </c>
      <c r="CO56" s="211">
        <v>115.39478958667121</v>
      </c>
      <c r="CP56" s="211">
        <v>114.59452883838892</v>
      </c>
      <c r="CQ56" s="211">
        <v>115.42345874156511</v>
      </c>
      <c r="CR56" s="211">
        <v>115.38420363645496</v>
      </c>
      <c r="CS56" s="211">
        <v>116.73080643224523</v>
      </c>
      <c r="CT56" s="211">
        <v>116.76539613900471</v>
      </c>
      <c r="CU56" s="211">
        <v>117.45191918690209</v>
      </c>
      <c r="CV56" s="211">
        <v>117.5772744398238</v>
      </c>
      <c r="CW56" s="211">
        <v>117.36271416704194</v>
      </c>
      <c r="CX56" s="211">
        <v>117.64695827956535</v>
      </c>
      <c r="CY56" s="211">
        <v>118.50426889783165</v>
      </c>
      <c r="CZ56" s="211">
        <v>117.64386912938272</v>
      </c>
      <c r="DA56" s="211">
        <v>117.47100659505206</v>
      </c>
      <c r="DB56" s="211">
        <v>117.55115507809667</v>
      </c>
      <c r="DC56" s="211">
        <v>117.90240543884327</v>
      </c>
      <c r="DD56" s="211">
        <v>117.89144987925877</v>
      </c>
      <c r="DE56" s="211">
        <v>118.17639487724347</v>
      </c>
      <c r="DF56" s="211">
        <v>118.78401226440447</v>
      </c>
      <c r="DG56" s="211">
        <v>119.27478461642411</v>
      </c>
      <c r="DH56" s="211">
        <v>119.21435933109315</v>
      </c>
      <c r="DI56" s="211">
        <v>118.59934673330788</v>
      </c>
      <c r="DJ56" s="211">
        <v>118.95999627843953</v>
      </c>
      <c r="DK56" s="211">
        <v>119.43558276137263</v>
      </c>
      <c r="DL56" s="211">
        <v>121.91567891680967</v>
      </c>
      <c r="DM56" s="211">
        <v>120.96204738031942</v>
      </c>
      <c r="DN56" s="211">
        <v>123.92646110552731</v>
      </c>
      <c r="DO56" s="211">
        <v>123.69500503860574</v>
      </c>
      <c r="DP56" s="211">
        <v>124.22501806633656</v>
      </c>
      <c r="DQ56" s="211">
        <v>124.91323755087613</v>
      </c>
      <c r="DR56" s="211">
        <v>125.75618470302457</v>
      </c>
      <c r="DS56" s="211">
        <v>125.67734472681803</v>
      </c>
      <c r="DT56" s="211">
        <v>125.00893227951676</v>
      </c>
      <c r="DU56" s="211">
        <v>125.44282868814415</v>
      </c>
      <c r="DV56" s="211">
        <v>125.5498574864808</v>
      </c>
      <c r="DW56" s="211">
        <v>127.53981492081989</v>
      </c>
      <c r="DX56" s="211">
        <v>128.52745349994038</v>
      </c>
      <c r="DY56" s="211">
        <v>128.20635456429704</v>
      </c>
      <c r="DZ56" s="211">
        <v>130.50822128105679</v>
      </c>
      <c r="EA56" s="211">
        <v>128.12591512660239</v>
      </c>
      <c r="EB56" s="211">
        <v>128.15040148603049</v>
      </c>
      <c r="EC56" s="211">
        <v>127.72500511804665</v>
      </c>
      <c r="ED56" s="211">
        <v>128.15830389919273</v>
      </c>
      <c r="EE56" s="211">
        <v>128.45597247751826</v>
      </c>
      <c r="EF56" s="211">
        <v>128.53301863277972</v>
      </c>
      <c r="EG56" s="211">
        <v>129.7673762186281</v>
      </c>
      <c r="EH56" s="211">
        <v>130.4379223132718</v>
      </c>
      <c r="EI56" s="211">
        <v>130.14173034814993</v>
      </c>
      <c r="EJ56" s="211">
        <v>130.99444528543074</v>
      </c>
      <c r="EK56" s="211">
        <v>131.09426004782443</v>
      </c>
      <c r="EL56" s="211">
        <v>132.74304753145833</v>
      </c>
      <c r="EM56" s="211">
        <v>135.65588614613165</v>
      </c>
      <c r="EN56" s="211">
        <v>138.14658307003259</v>
      </c>
      <c r="EO56" s="211">
        <v>140.60765172875585</v>
      </c>
      <c r="EP56" s="211">
        <v>143.19853581854767</v>
      </c>
      <c r="EQ56" s="211">
        <v>144.41463290673559</v>
      </c>
      <c r="ER56" s="210">
        <v>102.7</v>
      </c>
      <c r="ES56" s="210">
        <v>104.7</v>
      </c>
      <c r="ET56" s="210">
        <v>106.7</v>
      </c>
      <c r="EU56" s="210">
        <v>108.6</v>
      </c>
      <c r="EV56" s="210">
        <v>108.2</v>
      </c>
      <c r="EW56" s="210">
        <v>108.6</v>
      </c>
      <c r="EX56" s="210">
        <v>109</v>
      </c>
      <c r="EY56" s="210">
        <v>110.3</v>
      </c>
      <c r="EZ56" s="210">
        <v>109</v>
      </c>
      <c r="FA56" s="210">
        <v>109.4</v>
      </c>
      <c r="FB56" s="210">
        <v>109.1</v>
      </c>
      <c r="FC56" s="210">
        <v>109.4</v>
      </c>
      <c r="FD56" s="210">
        <v>109.9</v>
      </c>
      <c r="FE56" s="210">
        <v>112</v>
      </c>
      <c r="FF56" s="210">
        <v>112.8</v>
      </c>
      <c r="FG56" s="210">
        <v>112.5</v>
      </c>
      <c r="FH56" s="210">
        <v>111.1</v>
      </c>
      <c r="FI56" s="210">
        <v>111.5</v>
      </c>
      <c r="FJ56" s="211">
        <v>110.9</v>
      </c>
      <c r="FK56" s="211">
        <v>111.9</v>
      </c>
      <c r="FL56" s="211">
        <v>112.6</v>
      </c>
      <c r="FM56" s="210">
        <v>112.4</v>
      </c>
      <c r="FN56" s="210">
        <v>113.4</v>
      </c>
      <c r="FO56" s="210">
        <v>113.9</v>
      </c>
      <c r="FP56" s="210">
        <v>113.7</v>
      </c>
      <c r="FQ56" s="210">
        <v>113.2</v>
      </c>
      <c r="FR56" s="210">
        <v>112.7</v>
      </c>
    </row>
    <row r="57" spans="1:176" s="210" customFormat="1" x14ac:dyDescent="0.25">
      <c r="B57" s="208" t="s">
        <v>38</v>
      </c>
      <c r="C57" s="209"/>
      <c r="P57" s="211">
        <v>100.96455055239424</v>
      </c>
      <c r="Q57" s="211">
        <v>101.08994661882781</v>
      </c>
      <c r="R57" s="211">
        <v>100.88488188323338</v>
      </c>
      <c r="S57" s="211">
        <v>101.87682196234492</v>
      </c>
      <c r="T57" s="211">
        <v>102.83847777292857</v>
      </c>
      <c r="U57" s="211">
        <v>102.33350709433392</v>
      </c>
      <c r="V57" s="211">
        <v>101.96731837481182</v>
      </c>
      <c r="W57" s="211">
        <v>103.37931723531324</v>
      </c>
      <c r="X57" s="211">
        <v>104.21271315982071</v>
      </c>
      <c r="Y57" s="211">
        <v>104.4636019556994</v>
      </c>
      <c r="Z57" s="211">
        <v>105.00508588346094</v>
      </c>
      <c r="AA57" s="211">
        <v>106.28365056799522</v>
      </c>
      <c r="AB57" s="211">
        <v>105.42795613593766</v>
      </c>
      <c r="AC57" s="211">
        <v>105.47993195465703</v>
      </c>
      <c r="AD57" s="211">
        <v>105.37903639978114</v>
      </c>
      <c r="AE57" s="211">
        <v>104.96527503915715</v>
      </c>
      <c r="AF57" s="211">
        <v>105.9084309044743</v>
      </c>
      <c r="AG57" s="211">
        <v>105.36242279299476</v>
      </c>
      <c r="AH57" s="211">
        <v>105.41098716546672</v>
      </c>
      <c r="AI57" s="211">
        <v>105.66164166170421</v>
      </c>
      <c r="AJ57" s="211">
        <v>105.93674790602492</v>
      </c>
      <c r="AK57" s="211">
        <v>106.27447667812363</v>
      </c>
      <c r="AL57" s="211">
        <v>106.07617395768412</v>
      </c>
      <c r="AM57" s="211">
        <v>106.31951041533372</v>
      </c>
      <c r="AN57" s="211">
        <v>105.81399259568278</v>
      </c>
      <c r="AO57" s="211">
        <v>105.68420432779106</v>
      </c>
      <c r="AP57" s="211">
        <v>105.52128370757806</v>
      </c>
      <c r="AQ57" s="211">
        <v>105.08130477763086</v>
      </c>
      <c r="AR57" s="211">
        <v>105.11563570280569</v>
      </c>
      <c r="AS57" s="211">
        <v>104.1232675621289</v>
      </c>
      <c r="AT57" s="211">
        <v>106.67116563372817</v>
      </c>
      <c r="AU57" s="211">
        <v>107.11078907944011</v>
      </c>
      <c r="AV57" s="211">
        <v>107.0420236557964</v>
      </c>
      <c r="AW57" s="211">
        <v>107.24633663307694</v>
      </c>
      <c r="AX57" s="211">
        <v>107.71959216200244</v>
      </c>
      <c r="AY57" s="211">
        <v>107.96613445205109</v>
      </c>
      <c r="AZ57" s="211">
        <v>106.37331751329289</v>
      </c>
      <c r="BA57" s="211">
        <v>107.06874411459862</v>
      </c>
      <c r="BB57" s="211">
        <v>107.23091177879549</v>
      </c>
      <c r="BC57" s="211">
        <v>108.92520637959426</v>
      </c>
      <c r="BD57" s="211">
        <v>107.9478087136704</v>
      </c>
      <c r="BE57" s="211">
        <v>109.58729948120951</v>
      </c>
      <c r="BF57" s="211">
        <v>110.24871342968353</v>
      </c>
      <c r="BG57" s="211">
        <v>109.69419795762242</v>
      </c>
      <c r="BH57" s="211">
        <v>112.26921950701121</v>
      </c>
      <c r="BI57" s="211">
        <v>110.82067850010546</v>
      </c>
      <c r="BJ57" s="211">
        <v>111.04196770168858</v>
      </c>
      <c r="BK57" s="211">
        <v>111.41857796055761</v>
      </c>
      <c r="BL57" s="211">
        <v>109.83581605231825</v>
      </c>
      <c r="BM57" s="211">
        <v>108.92164854317483</v>
      </c>
      <c r="BN57" s="211">
        <v>110.43244000378037</v>
      </c>
      <c r="BO57" s="211">
        <v>109.8053788038679</v>
      </c>
      <c r="BP57" s="211">
        <v>111.09754300203495</v>
      </c>
      <c r="BQ57" s="211">
        <v>110.77957932132747</v>
      </c>
      <c r="BR57" s="211">
        <v>110.31462430339691</v>
      </c>
      <c r="BS57" s="211">
        <v>110.90506717655708</v>
      </c>
      <c r="BT57" s="211">
        <v>110.47283224491072</v>
      </c>
      <c r="BU57" s="211">
        <v>110.56385879675133</v>
      </c>
      <c r="BV57" s="211">
        <v>110.28621144600669</v>
      </c>
      <c r="BW57" s="211">
        <v>110.17180403873637</v>
      </c>
      <c r="BX57" s="211">
        <v>109.96079933500998</v>
      </c>
      <c r="BY57" s="211">
        <v>110.26408870101264</v>
      </c>
      <c r="BZ57" s="211">
        <v>109.88180207085649</v>
      </c>
      <c r="CA57" s="211">
        <v>110.07556021504431</v>
      </c>
      <c r="CB57" s="211">
        <v>109.97632143734049</v>
      </c>
      <c r="CC57" s="211">
        <v>109.91926986274586</v>
      </c>
      <c r="CD57" s="211">
        <v>110.4916345242527</v>
      </c>
      <c r="CE57" s="211">
        <v>111.51495455139971</v>
      </c>
      <c r="CF57" s="211">
        <v>111.65019337323727</v>
      </c>
      <c r="CG57" s="211">
        <v>111.37268584079857</v>
      </c>
      <c r="CH57" s="211">
        <v>110.75158648890503</v>
      </c>
      <c r="CI57" s="211">
        <v>110.48508424400582</v>
      </c>
      <c r="CJ57" s="211">
        <v>110.08330085033383</v>
      </c>
      <c r="CK57" s="211">
        <v>110.30003558215689</v>
      </c>
      <c r="CL57" s="211">
        <v>110.55506444918529</v>
      </c>
      <c r="CM57" s="211">
        <v>110.4680860282148</v>
      </c>
      <c r="CN57" s="211">
        <v>110.31637211925452</v>
      </c>
      <c r="CO57" s="211">
        <v>110.32046179929175</v>
      </c>
      <c r="CP57" s="211">
        <v>110.69726774473011</v>
      </c>
      <c r="CQ57" s="211">
        <v>111.27555327231079</v>
      </c>
      <c r="CR57" s="211">
        <v>112.51511453766369</v>
      </c>
      <c r="CS57" s="211">
        <v>114.42522200612859</v>
      </c>
      <c r="CT57" s="211">
        <v>113.75774728380125</v>
      </c>
      <c r="CU57" s="211">
        <v>115.76135746895771</v>
      </c>
      <c r="CV57" s="211">
        <v>115.31230238998262</v>
      </c>
      <c r="CW57" s="211">
        <v>115.49005197711514</v>
      </c>
      <c r="CX57" s="211">
        <v>116.05155468287556</v>
      </c>
      <c r="CY57" s="211">
        <v>116.51037097596621</v>
      </c>
      <c r="CZ57" s="211">
        <v>117.04134665740416</v>
      </c>
      <c r="DA57" s="211">
        <v>117.20000193195688</v>
      </c>
      <c r="DB57" s="211">
        <v>117.10833987232122</v>
      </c>
      <c r="DC57" s="211">
        <v>117.42914416572428</v>
      </c>
      <c r="DD57" s="211">
        <v>117.41303788068993</v>
      </c>
      <c r="DE57" s="211">
        <v>117.98212119924817</v>
      </c>
      <c r="DF57" s="211">
        <v>118.18647589436254</v>
      </c>
      <c r="DG57" s="211">
        <v>118.6675007653421</v>
      </c>
      <c r="DH57" s="211">
        <v>118.83427326391335</v>
      </c>
      <c r="DI57" s="211">
        <v>119.12579771122439</v>
      </c>
      <c r="DJ57" s="211">
        <v>118.97813403582234</v>
      </c>
      <c r="DK57" s="211">
        <v>119.51734113467219</v>
      </c>
      <c r="DL57" s="211">
        <v>118.76694665819824</v>
      </c>
      <c r="DM57" s="211">
        <v>118.96946984963478</v>
      </c>
      <c r="DN57" s="211">
        <v>119.27230639989469</v>
      </c>
      <c r="DO57" s="211">
        <v>119.17738722383065</v>
      </c>
      <c r="DP57" s="211">
        <v>120.12238754263362</v>
      </c>
      <c r="DQ57" s="211">
        <v>120.74738011145142</v>
      </c>
      <c r="DR57" s="211">
        <v>120.43254325021054</v>
      </c>
      <c r="DS57" s="211">
        <v>121.39258681566072</v>
      </c>
      <c r="DT57" s="211">
        <v>122.60003090321798</v>
      </c>
      <c r="DU57" s="211">
        <v>122.26953016607126</v>
      </c>
      <c r="DV57" s="211">
        <v>122.18510695877423</v>
      </c>
      <c r="DW57" s="211">
        <v>123.34616915577217</v>
      </c>
      <c r="DX57" s="211">
        <v>123.57394759793065</v>
      </c>
      <c r="DY57" s="211">
        <v>124.07498819736254</v>
      </c>
      <c r="DZ57" s="211">
        <v>123.64527984927383</v>
      </c>
      <c r="EA57" s="211">
        <v>123.85274455641773</v>
      </c>
      <c r="EB57" s="211">
        <v>123.81585944389201</v>
      </c>
      <c r="EC57" s="211">
        <v>125.69155025552749</v>
      </c>
      <c r="ED57" s="211">
        <v>126.31214158125417</v>
      </c>
      <c r="EE57" s="211">
        <v>128.22068756487315</v>
      </c>
      <c r="EF57" s="211">
        <v>129.89107665998895</v>
      </c>
      <c r="EG57" s="211">
        <v>128.70485430650621</v>
      </c>
      <c r="EH57" s="211">
        <v>128.50479673682705</v>
      </c>
      <c r="EI57" s="211">
        <v>131.07903933671028</v>
      </c>
      <c r="EJ57" s="211">
        <v>131.51638144390282</v>
      </c>
      <c r="EK57" s="211">
        <v>131.55062953225942</v>
      </c>
      <c r="EL57" s="211">
        <v>133.36344076249767</v>
      </c>
      <c r="EM57" s="211">
        <v>133.28204271785546</v>
      </c>
      <c r="EN57" s="211">
        <v>134.83054554703278</v>
      </c>
      <c r="EO57" s="211">
        <v>136.27828182752316</v>
      </c>
      <c r="EP57" s="211">
        <v>135.78459882189685</v>
      </c>
      <c r="EQ57" s="211">
        <v>135.75322206935107</v>
      </c>
      <c r="ER57" s="210">
        <v>103.5</v>
      </c>
      <c r="ES57" s="210">
        <v>104.8</v>
      </c>
      <c r="ET57" s="210">
        <v>105.6</v>
      </c>
      <c r="EU57" s="210">
        <v>105.8</v>
      </c>
      <c r="EV57" s="210">
        <v>105.9</v>
      </c>
      <c r="EW57" s="210">
        <v>105.8</v>
      </c>
      <c r="EX57" s="210">
        <v>106.3</v>
      </c>
      <c r="EY57" s="210">
        <v>106.5</v>
      </c>
      <c r="EZ57" s="210">
        <v>106.8</v>
      </c>
      <c r="FA57" s="210">
        <v>106.7</v>
      </c>
      <c r="FB57" s="210">
        <v>106.7</v>
      </c>
      <c r="FC57" s="210">
        <v>107.1</v>
      </c>
      <c r="FD57" s="210">
        <v>106.6</v>
      </c>
      <c r="FE57" s="210">
        <v>107.7</v>
      </c>
      <c r="FF57" s="210">
        <v>108.2</v>
      </c>
      <c r="FG57" s="210">
        <v>108.2</v>
      </c>
      <c r="FH57" s="210">
        <v>107.9</v>
      </c>
      <c r="FI57" s="210">
        <v>108.5</v>
      </c>
      <c r="FJ57" s="211">
        <v>110</v>
      </c>
      <c r="FK57" s="211">
        <v>110.4</v>
      </c>
      <c r="FL57" s="211">
        <v>111.4</v>
      </c>
      <c r="FM57" s="210">
        <v>111.7</v>
      </c>
      <c r="FN57" s="210">
        <v>112.3</v>
      </c>
      <c r="FO57" s="210">
        <v>112.8</v>
      </c>
      <c r="FP57" s="210">
        <v>112.9</v>
      </c>
      <c r="FQ57" s="210">
        <v>113.1</v>
      </c>
      <c r="FR57" s="210">
        <v>113.6</v>
      </c>
    </row>
    <row r="58" spans="1:176" s="66" customFormat="1" x14ac:dyDescent="0.25">
      <c r="B58" s="67" t="s">
        <v>2</v>
      </c>
      <c r="C58" s="68">
        <v>10000</v>
      </c>
      <c r="D58" s="69">
        <v>99.204443110177138</v>
      </c>
      <c r="E58" s="69">
        <v>99.204443110177138</v>
      </c>
      <c r="F58" s="69">
        <v>98.844190933653579</v>
      </c>
      <c r="G58" s="69">
        <v>98.709096367457235</v>
      </c>
      <c r="H58" s="69">
        <v>99.114380066046252</v>
      </c>
      <c r="I58" s="69">
        <v>99.609726808766155</v>
      </c>
      <c r="J58" s="69">
        <v>100.06004202942061</v>
      </c>
      <c r="K58" s="69">
        <v>100.42029420594417</v>
      </c>
      <c r="L58" s="69">
        <v>100.96067247072952</v>
      </c>
      <c r="M58" s="69">
        <v>101.09576703692586</v>
      </c>
      <c r="N58" s="69">
        <v>101.18583008105675</v>
      </c>
      <c r="O58" s="69">
        <v>101.59111377964577</v>
      </c>
      <c r="P58" s="69">
        <f>P19</f>
        <v>79.023880131924244</v>
      </c>
      <c r="Q58" s="69">
        <f t="shared" ref="Q58:CB58" si="20">Q19</f>
        <v>78.967070702477002</v>
      </c>
      <c r="R58" s="69">
        <f t="shared" si="20"/>
        <v>79.278133608015892</v>
      </c>
      <c r="S58" s="69">
        <f t="shared" si="20"/>
        <v>79.525024949038908</v>
      </c>
      <c r="T58" s="69">
        <f t="shared" si="20"/>
        <v>79.851858184678974</v>
      </c>
      <c r="U58" s="69">
        <f t="shared" si="20"/>
        <v>79.904066700946274</v>
      </c>
      <c r="V58" s="69">
        <f t="shared" si="20"/>
        <v>80.180041413135228</v>
      </c>
      <c r="W58" s="69">
        <f t="shared" si="20"/>
        <v>80.547842609460162</v>
      </c>
      <c r="X58" s="69">
        <f t="shared" si="20"/>
        <v>80.510138123322193</v>
      </c>
      <c r="Y58" s="69">
        <f t="shared" si="20"/>
        <v>80.852139503166541</v>
      </c>
      <c r="Z58" s="69">
        <f t="shared" si="20"/>
        <v>80.768846423441644</v>
      </c>
      <c r="AA58" s="69">
        <f t="shared" si="20"/>
        <v>81.45258786614599</v>
      </c>
      <c r="AB58" s="69">
        <f t="shared" si="20"/>
        <v>81.195119809411111</v>
      </c>
      <c r="AC58" s="69">
        <f t="shared" si="20"/>
        <v>81.077027295141946</v>
      </c>
      <c r="AD58" s="69">
        <f t="shared" si="20"/>
        <v>81.162108364555166</v>
      </c>
      <c r="AE58" s="69">
        <f t="shared" si="20"/>
        <v>81.153181440645355</v>
      </c>
      <c r="AF58" s="69">
        <f t="shared" si="20"/>
        <v>81.266961557213548</v>
      </c>
      <c r="AG58" s="69">
        <f t="shared" si="20"/>
        <v>81.458268846655997</v>
      </c>
      <c r="AH58" s="69">
        <f t="shared" si="20"/>
        <v>81.498898988280928</v>
      </c>
      <c r="AI58" s="69">
        <f t="shared" si="20"/>
        <v>81.841483055257115</v>
      </c>
      <c r="AJ58" s="69">
        <f t="shared" si="20"/>
        <v>82.082839330233199</v>
      </c>
      <c r="AK58" s="69">
        <f t="shared" si="20"/>
        <v>82.477122673441784</v>
      </c>
      <c r="AL58" s="69">
        <f t="shared" si="20"/>
        <v>82.556405367281542</v>
      </c>
      <c r="AM58" s="69">
        <f t="shared" si="20"/>
        <v>82.793212826634004</v>
      </c>
      <c r="AN58" s="69">
        <f t="shared" si="20"/>
        <v>82.275096278580151</v>
      </c>
      <c r="AO58" s="69">
        <f t="shared" si="20"/>
        <v>82.213218258775555</v>
      </c>
      <c r="AP58" s="69">
        <f t="shared" si="20"/>
        <v>82.086580060076273</v>
      </c>
      <c r="AQ58" s="69">
        <f t="shared" si="20"/>
        <v>81.909924420146922</v>
      </c>
      <c r="AR58" s="69">
        <f t="shared" si="20"/>
        <v>82.272008804717302</v>
      </c>
      <c r="AS58" s="69">
        <f t="shared" si="20"/>
        <v>82.100422749325389</v>
      </c>
      <c r="AT58" s="69">
        <f t="shared" si="20"/>
        <v>83.899547128236364</v>
      </c>
      <c r="AU58" s="69">
        <f t="shared" si="20"/>
        <v>83.998070550199699</v>
      </c>
      <c r="AV58" s="69">
        <f t="shared" si="20"/>
        <v>84.229621670006537</v>
      </c>
      <c r="AW58" s="69">
        <f t="shared" si="20"/>
        <v>84.147885844595379</v>
      </c>
      <c r="AX58" s="69">
        <f t="shared" si="20"/>
        <v>84.655882104550685</v>
      </c>
      <c r="AY58" s="69">
        <f t="shared" si="20"/>
        <v>84.962813228678314</v>
      </c>
      <c r="AZ58" s="69">
        <f t="shared" si="20"/>
        <v>84.397647704485095</v>
      </c>
      <c r="BA58" s="69">
        <f t="shared" si="20"/>
        <v>84.677754654203497</v>
      </c>
      <c r="BB58" s="69">
        <f t="shared" si="20"/>
        <v>84.687104066601719</v>
      </c>
      <c r="BC58" s="69">
        <f t="shared" si="20"/>
        <v>85.081483278671627</v>
      </c>
      <c r="BD58" s="69">
        <f t="shared" si="20"/>
        <v>85.252411407238242</v>
      </c>
      <c r="BE58" s="69">
        <f t="shared" si="20"/>
        <v>85.608482072372539</v>
      </c>
      <c r="BF58" s="69">
        <f t="shared" si="20"/>
        <v>85.855470959769022</v>
      </c>
      <c r="BG58" s="69">
        <f t="shared" si="20"/>
        <v>85.774063838610957</v>
      </c>
      <c r="BH58" s="69">
        <f t="shared" si="20"/>
        <v>86.037535013791398</v>
      </c>
      <c r="BI58" s="69">
        <f t="shared" si="20"/>
        <v>86.045873706228164</v>
      </c>
      <c r="BJ58" s="69">
        <f t="shared" si="20"/>
        <v>85.892603682880647</v>
      </c>
      <c r="BK58" s="69">
        <f t="shared" si="20"/>
        <v>86.191580350539311</v>
      </c>
      <c r="BL58" s="69">
        <f t="shared" si="20"/>
        <v>85.835242141614827</v>
      </c>
      <c r="BM58" s="69">
        <f t="shared" si="20"/>
        <v>85.780413692326448</v>
      </c>
      <c r="BN58" s="69">
        <f t="shared" si="20"/>
        <v>85.907061331067624</v>
      </c>
      <c r="BO58" s="69">
        <f t="shared" si="20"/>
        <v>86.018740957373595</v>
      </c>
      <c r="BP58" s="69">
        <f t="shared" si="20"/>
        <v>86.417575897614199</v>
      </c>
      <c r="BQ58" s="69">
        <f t="shared" si="20"/>
        <v>86.181658312047674</v>
      </c>
      <c r="BR58" s="69">
        <f t="shared" si="20"/>
        <v>86.242880469363527</v>
      </c>
      <c r="BS58" s="69">
        <f t="shared" si="20"/>
        <v>86.531520249396806</v>
      </c>
      <c r="BT58" s="69">
        <f t="shared" si="20"/>
        <v>86.515148198726919</v>
      </c>
      <c r="BU58" s="69">
        <f t="shared" si="20"/>
        <v>86.299977719121344</v>
      </c>
      <c r="BV58" s="69">
        <f t="shared" si="20"/>
        <v>86.279467178970478</v>
      </c>
      <c r="BW58" s="69">
        <f t="shared" si="20"/>
        <v>86.442870102235759</v>
      </c>
      <c r="BX58" s="69">
        <f t="shared" si="20"/>
        <v>86.201598840433462</v>
      </c>
      <c r="BY58" s="69">
        <f t="shared" si="20"/>
        <v>86.183208446669099</v>
      </c>
      <c r="BZ58" s="69">
        <f t="shared" si="20"/>
        <v>86.28667017839031</v>
      </c>
      <c r="CA58" s="69">
        <f t="shared" si="20"/>
        <v>86.687939818386369</v>
      </c>
      <c r="CB58" s="69">
        <f t="shared" si="20"/>
        <v>86.705851360180603</v>
      </c>
      <c r="CC58" s="69">
        <f t="shared" ref="CC58:EN58" si="21">CC19</f>
        <v>86.683983001185325</v>
      </c>
      <c r="CD58" s="69">
        <f t="shared" si="21"/>
        <v>86.762930906241053</v>
      </c>
      <c r="CE58" s="69">
        <f t="shared" si="21"/>
        <v>87.084192081079962</v>
      </c>
      <c r="CF58" s="69">
        <f t="shared" si="21"/>
        <v>87.219039519616246</v>
      </c>
      <c r="CG58" s="69">
        <f t="shared" si="21"/>
        <v>87.104710176727139</v>
      </c>
      <c r="CH58" s="69">
        <f t="shared" si="21"/>
        <v>87.058788752526254</v>
      </c>
      <c r="CI58" s="69">
        <f t="shared" si="21"/>
        <v>87.101633510506474</v>
      </c>
      <c r="CJ58" s="69">
        <f t="shared" si="21"/>
        <v>86.95418710169541</v>
      </c>
      <c r="CK58" s="69">
        <f t="shared" si="21"/>
        <v>86.902571573704776</v>
      </c>
      <c r="CL58" s="69">
        <f t="shared" si="21"/>
        <v>86.937497802136747</v>
      </c>
      <c r="CM58" s="69">
        <f t="shared" si="21"/>
        <v>87.261292642836437</v>
      </c>
      <c r="CN58" s="69">
        <f t="shared" si="21"/>
        <v>87.464468551909306</v>
      </c>
      <c r="CO58" s="69">
        <f t="shared" si="21"/>
        <v>87.458689998997372</v>
      </c>
      <c r="CP58" s="69">
        <f t="shared" si="21"/>
        <v>87.567720003823879</v>
      </c>
      <c r="CQ58" s="69">
        <f t="shared" si="21"/>
        <v>87.700188519059296</v>
      </c>
      <c r="CR58" s="69">
        <f t="shared" si="21"/>
        <v>88.044006156133776</v>
      </c>
      <c r="CS58" s="69">
        <f t="shared" si="21"/>
        <v>88.474542852169449</v>
      </c>
      <c r="CT58" s="69">
        <f t="shared" si="21"/>
        <v>88.569601653455422</v>
      </c>
      <c r="CU58" s="69">
        <f t="shared" si="21"/>
        <v>88.820711199379957</v>
      </c>
      <c r="CV58" s="69">
        <f t="shared" si="21"/>
        <v>88.597978520151571</v>
      </c>
      <c r="CW58" s="69">
        <f t="shared" si="21"/>
        <v>88.843473229619875</v>
      </c>
      <c r="CX58" s="69">
        <f t="shared" si="21"/>
        <v>89.224982182632715</v>
      </c>
      <c r="CY58" s="69">
        <f t="shared" si="21"/>
        <v>89.518912701795713</v>
      </c>
      <c r="CZ58" s="69">
        <f t="shared" si="21"/>
        <v>89.560384443689415</v>
      </c>
      <c r="DA58" s="69">
        <f t="shared" si="21"/>
        <v>89.69262823950433</v>
      </c>
      <c r="DB58" s="69">
        <f t="shared" si="21"/>
        <v>89.929132636661691</v>
      </c>
      <c r="DC58" s="69">
        <f t="shared" si="21"/>
        <v>90.079647101408568</v>
      </c>
      <c r="DD58" s="69">
        <f t="shared" si="21"/>
        <v>90.211223854213884</v>
      </c>
      <c r="DE58" s="69">
        <f t="shared" si="21"/>
        <v>90.556303836034559</v>
      </c>
      <c r="DF58" s="69">
        <f t="shared" si="21"/>
        <v>90.808405334694882</v>
      </c>
      <c r="DG58" s="69">
        <f t="shared" si="21"/>
        <v>90.976811316261305</v>
      </c>
      <c r="DH58" s="69">
        <f t="shared" si="21"/>
        <v>91.042806002183923</v>
      </c>
      <c r="DI58" s="69">
        <f t="shared" si="21"/>
        <v>91.145461583976299</v>
      </c>
      <c r="DJ58" s="69">
        <f t="shared" si="21"/>
        <v>91.457468320871968</v>
      </c>
      <c r="DK58" s="69">
        <f t="shared" si="21"/>
        <v>91.916345923024124</v>
      </c>
      <c r="DL58" s="69">
        <f t="shared" si="21"/>
        <v>91.674917677699639</v>
      </c>
      <c r="DM58" s="69">
        <f t="shared" si="21"/>
        <v>91.796141811085548</v>
      </c>
      <c r="DN58" s="69">
        <f t="shared" si="21"/>
        <v>92.22261448408247</v>
      </c>
      <c r="DO58" s="69">
        <f t="shared" si="21"/>
        <v>92.380637412339368</v>
      </c>
      <c r="DP58" s="69">
        <f t="shared" si="21"/>
        <v>92.357382492945135</v>
      </c>
      <c r="DQ58" s="69">
        <f t="shared" si="21"/>
        <v>92.783228268049811</v>
      </c>
      <c r="DR58" s="69">
        <f t="shared" si="21"/>
        <v>92.734655830350491</v>
      </c>
      <c r="DS58" s="69">
        <f t="shared" si="21"/>
        <v>92.904901381741652</v>
      </c>
      <c r="DT58" s="69">
        <f t="shared" si="21"/>
        <v>92.763558272328439</v>
      </c>
      <c r="DU58" s="69">
        <f t="shared" si="21"/>
        <v>92.854903175672092</v>
      </c>
      <c r="DV58" s="69">
        <f t="shared" si="21"/>
        <v>93.183827150002244</v>
      </c>
      <c r="DW58" s="69">
        <f t="shared" si="21"/>
        <v>93.46013638272872</v>
      </c>
      <c r="DX58" s="69">
        <f t="shared" si="21"/>
        <v>93.718143643148323</v>
      </c>
      <c r="DY58" s="69">
        <f t="shared" si="21"/>
        <v>93.990039566096129</v>
      </c>
      <c r="DZ58" s="69">
        <f t="shared" si="21"/>
        <v>94.528440729993932</v>
      </c>
      <c r="EA58" s="69">
        <f t="shared" si="21"/>
        <v>94.490945843578075</v>
      </c>
      <c r="EB58" s="69">
        <f t="shared" si="21"/>
        <v>94.5781395572929</v>
      </c>
      <c r="EC58" s="69">
        <f t="shared" si="21"/>
        <v>94.791183461383852</v>
      </c>
      <c r="ED58" s="69">
        <f t="shared" si="21"/>
        <v>94.921905605028741</v>
      </c>
      <c r="EE58" s="69">
        <f t="shared" si="21"/>
        <v>96.11675611374811</v>
      </c>
      <c r="EF58" s="69">
        <f t="shared" si="21"/>
        <v>96.557472396193802</v>
      </c>
      <c r="EG58" s="69">
        <f t="shared" si="21"/>
        <v>96.979088395080183</v>
      </c>
      <c r="EH58" s="69">
        <f>ET19</f>
        <v>105.84496509436261</v>
      </c>
      <c r="EI58" s="69">
        <f t="shared" si="21"/>
        <v>98.655089163588059</v>
      </c>
      <c r="EJ58" s="69">
        <f t="shared" si="21"/>
        <v>99.276878577998858</v>
      </c>
      <c r="EK58" s="69">
        <f t="shared" si="21"/>
        <v>99.640201452545384</v>
      </c>
      <c r="EL58" s="69">
        <f t="shared" si="21"/>
        <v>100.3373570595398</v>
      </c>
      <c r="EM58" s="69">
        <f t="shared" si="21"/>
        <v>101.17587696473018</v>
      </c>
      <c r="EN58" s="69">
        <f t="shared" si="21"/>
        <v>101.81727924021035</v>
      </c>
      <c r="EO58" s="69">
        <f t="shared" ref="EO58:FL58" si="22">EO19</f>
        <v>102.15678798764037</v>
      </c>
      <c r="EP58" s="69">
        <f t="shared" si="22"/>
        <v>102.71654348237286</v>
      </c>
      <c r="EQ58" s="69">
        <f t="shared" si="22"/>
        <v>103.14805120658498</v>
      </c>
      <c r="ER58" s="69">
        <f t="shared" si="22"/>
        <v>103.45321717415283</v>
      </c>
      <c r="ES58" s="69">
        <f t="shared" si="22"/>
        <v>104.95561507309003</v>
      </c>
      <c r="ET58" s="69">
        <f t="shared" si="22"/>
        <v>105.84496509436261</v>
      </c>
      <c r="EU58" s="69">
        <f t="shared" si="22"/>
        <v>106.55824063189931</v>
      </c>
      <c r="EV58" s="69">
        <f t="shared" si="22"/>
        <v>107.01192334124879</v>
      </c>
      <c r="EW58" s="69">
        <f t="shared" si="22"/>
        <v>107.65036279560169</v>
      </c>
      <c r="EX58" s="69">
        <f t="shared" si="22"/>
        <v>108.08785325258853</v>
      </c>
      <c r="EY58" s="69">
        <f t="shared" si="22"/>
        <v>108.6743220532372</v>
      </c>
      <c r="EZ58" s="69">
        <f t="shared" si="22"/>
        <v>108.87247131469492</v>
      </c>
      <c r="FA58" s="69">
        <f t="shared" si="22"/>
        <v>109.05942070890698</v>
      </c>
      <c r="FB58" s="69">
        <f t="shared" si="22"/>
        <v>109.06416816498268</v>
      </c>
      <c r="FC58" s="69">
        <f t="shared" si="22"/>
        <v>109.12723331186321</v>
      </c>
      <c r="FD58" s="66">
        <f t="shared" si="22"/>
        <v>108.8</v>
      </c>
      <c r="FE58" s="66">
        <f t="shared" si="22"/>
        <v>110.2</v>
      </c>
      <c r="FF58" s="66">
        <f t="shared" si="22"/>
        <v>110.9</v>
      </c>
      <c r="FG58" s="69">
        <f t="shared" si="22"/>
        <v>111.5</v>
      </c>
      <c r="FH58" s="69">
        <f t="shared" si="22"/>
        <v>111.8</v>
      </c>
      <c r="FI58" s="69">
        <f t="shared" si="22"/>
        <v>112.2</v>
      </c>
      <c r="FJ58" s="69">
        <f t="shared" si="22"/>
        <v>112.32466297271728</v>
      </c>
      <c r="FK58" s="69">
        <f t="shared" si="22"/>
        <v>112.79122325202141</v>
      </c>
      <c r="FL58" s="69">
        <f t="shared" si="22"/>
        <v>113.64635001047014</v>
      </c>
      <c r="FM58" s="69">
        <v>113.93109594693875</v>
      </c>
      <c r="FN58" s="69">
        <v>113.99542401980715</v>
      </c>
      <c r="FO58" s="69">
        <v>114.70827829688361</v>
      </c>
      <c r="FP58" s="69">
        <f>+FP19</f>
        <v>114.5</v>
      </c>
      <c r="FQ58" s="69">
        <f t="shared" ref="FQ58:FR58" si="23">+FQ19</f>
        <v>114.6</v>
      </c>
      <c r="FR58" s="69">
        <f t="shared" si="23"/>
        <v>115</v>
      </c>
      <c r="FS58" s="69"/>
      <c r="FT58" s="69"/>
    </row>
    <row r="60" spans="1:176" ht="13.8" thickBot="1" x14ac:dyDescent="0.3"/>
    <row r="61" spans="1:176" s="2" customFormat="1" ht="33" thickTop="1" thickBot="1" x14ac:dyDescent="0.55000000000000004">
      <c r="B61" s="2" t="s">
        <v>94</v>
      </c>
    </row>
    <row r="62" spans="1:176" ht="14.4" thickTop="1" thickBot="1" x14ac:dyDescent="0.3"/>
    <row r="63" spans="1:176" s="24" customFormat="1" ht="13.8" thickBot="1" x14ac:dyDescent="0.3">
      <c r="B63" s="21"/>
      <c r="C63" s="22" t="s">
        <v>95</v>
      </c>
      <c r="D63" s="23">
        <v>40544</v>
      </c>
      <c r="E63" s="23">
        <v>40575</v>
      </c>
      <c r="F63" s="23">
        <v>40603</v>
      </c>
      <c r="G63" s="23">
        <v>40634</v>
      </c>
      <c r="H63" s="23">
        <v>40664</v>
      </c>
      <c r="I63" s="23">
        <v>40695</v>
      </c>
      <c r="J63" s="23">
        <v>40725</v>
      </c>
      <c r="K63" s="23">
        <v>40756</v>
      </c>
      <c r="L63" s="23">
        <v>40787</v>
      </c>
      <c r="M63" s="23">
        <v>40817</v>
      </c>
      <c r="N63" s="23">
        <v>40848</v>
      </c>
      <c r="O63" s="23">
        <v>40878</v>
      </c>
      <c r="P63" s="23">
        <v>40909</v>
      </c>
      <c r="Q63" s="23">
        <v>40940</v>
      </c>
      <c r="R63" s="23">
        <v>40969</v>
      </c>
      <c r="S63" s="23">
        <v>41000</v>
      </c>
      <c r="T63" s="23">
        <v>41030</v>
      </c>
      <c r="U63" s="23">
        <v>41061</v>
      </c>
      <c r="V63" s="23">
        <v>41091</v>
      </c>
      <c r="W63" s="23">
        <v>41122</v>
      </c>
      <c r="X63" s="23">
        <v>41153</v>
      </c>
      <c r="Y63" s="23">
        <v>41183</v>
      </c>
      <c r="Z63" s="23">
        <v>41214</v>
      </c>
      <c r="AA63" s="23">
        <v>41244</v>
      </c>
      <c r="AB63" s="23">
        <v>41275</v>
      </c>
      <c r="AC63" s="23">
        <v>41306</v>
      </c>
      <c r="AD63" s="23">
        <v>41334</v>
      </c>
      <c r="AE63" s="23">
        <v>41365</v>
      </c>
      <c r="AF63" s="23">
        <v>41395</v>
      </c>
      <c r="AG63" s="23">
        <v>41426</v>
      </c>
      <c r="AH63" s="23">
        <v>41456</v>
      </c>
      <c r="AI63" s="23">
        <v>41487</v>
      </c>
      <c r="AJ63" s="23">
        <v>41518</v>
      </c>
      <c r="AK63" s="23">
        <v>41548</v>
      </c>
      <c r="AL63" s="23">
        <v>41579</v>
      </c>
      <c r="AM63" s="23">
        <v>41609</v>
      </c>
      <c r="AN63" s="23">
        <v>41640</v>
      </c>
      <c r="AO63" s="23">
        <v>41671</v>
      </c>
      <c r="AP63" s="23">
        <v>41699</v>
      </c>
      <c r="AQ63" s="23">
        <v>41730</v>
      </c>
      <c r="AR63" s="23">
        <v>41760</v>
      </c>
      <c r="AS63" s="23">
        <v>41791</v>
      </c>
      <c r="AT63" s="23">
        <v>41821</v>
      </c>
      <c r="AU63" s="23">
        <v>41852</v>
      </c>
      <c r="AV63" s="23">
        <v>41883</v>
      </c>
      <c r="AW63" s="23">
        <v>41913</v>
      </c>
      <c r="AX63" s="23">
        <v>41944</v>
      </c>
      <c r="AY63" s="23">
        <v>41974</v>
      </c>
      <c r="AZ63" s="23">
        <v>42005</v>
      </c>
      <c r="BA63" s="23">
        <v>42036</v>
      </c>
      <c r="BB63" s="23">
        <v>42064</v>
      </c>
      <c r="BC63" s="23">
        <v>42095</v>
      </c>
      <c r="BD63" s="23">
        <v>42125</v>
      </c>
      <c r="BE63" s="23">
        <v>42156</v>
      </c>
      <c r="BF63" s="23">
        <v>42186</v>
      </c>
      <c r="BG63" s="23">
        <v>42217</v>
      </c>
      <c r="BH63" s="23">
        <v>42248</v>
      </c>
      <c r="BI63" s="23">
        <v>42278</v>
      </c>
      <c r="BJ63" s="23">
        <v>42309</v>
      </c>
      <c r="BK63" s="23">
        <v>42339</v>
      </c>
      <c r="BL63" s="23">
        <v>42370</v>
      </c>
      <c r="BM63" s="23">
        <v>42401</v>
      </c>
      <c r="BN63" s="23">
        <v>42430</v>
      </c>
      <c r="BO63" s="23">
        <v>42461</v>
      </c>
      <c r="BP63" s="23">
        <v>42491</v>
      </c>
      <c r="BQ63" s="23">
        <v>42522</v>
      </c>
      <c r="BR63" s="23">
        <v>42552</v>
      </c>
      <c r="BS63" s="23">
        <v>42583</v>
      </c>
      <c r="BT63" s="23">
        <v>42614</v>
      </c>
      <c r="BU63" s="23">
        <v>42644</v>
      </c>
      <c r="BV63" s="23">
        <v>42675</v>
      </c>
      <c r="BW63" s="23">
        <v>42705</v>
      </c>
      <c r="BX63" s="23">
        <v>42736</v>
      </c>
      <c r="BY63" s="23">
        <v>42767</v>
      </c>
      <c r="BZ63" s="23">
        <v>42795</v>
      </c>
      <c r="CA63" s="23">
        <v>42826</v>
      </c>
      <c r="CB63" s="23">
        <v>42856</v>
      </c>
      <c r="CC63" s="23">
        <v>42887</v>
      </c>
      <c r="CD63" s="23">
        <v>42917</v>
      </c>
      <c r="CE63" s="23">
        <v>42948</v>
      </c>
      <c r="CF63" s="23">
        <v>42979</v>
      </c>
      <c r="CG63" s="23">
        <v>43009</v>
      </c>
      <c r="CH63" s="23">
        <v>43040</v>
      </c>
      <c r="CI63" s="23">
        <v>43070</v>
      </c>
      <c r="CJ63" s="23">
        <v>43101</v>
      </c>
      <c r="CK63" s="23">
        <v>43132</v>
      </c>
      <c r="CL63" s="23">
        <v>43160</v>
      </c>
      <c r="CM63" s="23">
        <v>43191</v>
      </c>
      <c r="CN63" s="23">
        <v>43221</v>
      </c>
      <c r="CO63" s="23">
        <v>43252</v>
      </c>
      <c r="CP63" s="23">
        <v>43282</v>
      </c>
      <c r="CQ63" s="23">
        <v>43313</v>
      </c>
      <c r="CR63" s="23">
        <v>43344</v>
      </c>
      <c r="CS63" s="23">
        <v>43374</v>
      </c>
      <c r="CT63" s="23">
        <v>43405</v>
      </c>
      <c r="CU63" s="23">
        <v>43435</v>
      </c>
      <c r="CV63" s="23">
        <v>43466</v>
      </c>
      <c r="CW63" s="23">
        <v>43497</v>
      </c>
      <c r="CX63" s="23">
        <v>43525</v>
      </c>
      <c r="CY63" s="23">
        <v>43556</v>
      </c>
      <c r="CZ63" s="23">
        <v>43586</v>
      </c>
      <c r="DA63" s="23">
        <v>43617</v>
      </c>
      <c r="DB63" s="23">
        <v>43647</v>
      </c>
      <c r="DC63" s="23">
        <v>43678</v>
      </c>
      <c r="DD63" s="23">
        <v>43709</v>
      </c>
      <c r="DE63" s="23">
        <v>43739</v>
      </c>
      <c r="DF63" s="23">
        <v>43770</v>
      </c>
      <c r="DG63" s="23">
        <v>43800</v>
      </c>
      <c r="DH63" s="23">
        <v>43831</v>
      </c>
      <c r="DI63" s="23">
        <v>43862</v>
      </c>
      <c r="DJ63" s="23">
        <v>43891</v>
      </c>
      <c r="DK63" s="23">
        <v>43922</v>
      </c>
      <c r="DL63" s="23">
        <v>43952</v>
      </c>
      <c r="DM63" s="23">
        <v>43983</v>
      </c>
      <c r="DN63" s="23">
        <v>44013</v>
      </c>
      <c r="DO63" s="23">
        <v>44044</v>
      </c>
      <c r="DP63" s="23">
        <v>44075</v>
      </c>
      <c r="DQ63" s="23">
        <v>44105</v>
      </c>
      <c r="DR63" s="23">
        <v>44136</v>
      </c>
      <c r="DS63" s="23">
        <v>44166</v>
      </c>
      <c r="DT63" s="23">
        <v>44197</v>
      </c>
      <c r="DU63" s="23">
        <v>44228</v>
      </c>
      <c r="DV63" s="23">
        <v>44256</v>
      </c>
      <c r="DW63" s="23">
        <v>44287</v>
      </c>
      <c r="DX63" s="23">
        <v>44317</v>
      </c>
      <c r="DY63" s="23">
        <v>44348</v>
      </c>
      <c r="DZ63" s="23">
        <v>44378</v>
      </c>
      <c r="EA63" s="23">
        <v>44409</v>
      </c>
      <c r="EB63" s="23">
        <v>44440</v>
      </c>
      <c r="EC63" s="23">
        <v>44470</v>
      </c>
      <c r="ED63" s="23">
        <v>44501</v>
      </c>
      <c r="EE63" s="23">
        <v>44531</v>
      </c>
      <c r="EF63" s="23">
        <v>44562</v>
      </c>
      <c r="EG63" s="23">
        <v>44593</v>
      </c>
      <c r="EH63" s="23">
        <v>44621</v>
      </c>
      <c r="EI63" s="23">
        <v>44652</v>
      </c>
      <c r="EJ63" s="23">
        <v>44682</v>
      </c>
      <c r="EK63" s="23">
        <v>44713</v>
      </c>
      <c r="EL63" s="23">
        <v>44743</v>
      </c>
      <c r="EM63" s="23">
        <v>44774</v>
      </c>
      <c r="EN63" s="23">
        <v>44805</v>
      </c>
      <c r="EO63" s="23">
        <v>44835</v>
      </c>
      <c r="EP63" s="23">
        <v>44866</v>
      </c>
      <c r="EQ63" s="23">
        <v>44896</v>
      </c>
      <c r="ER63" s="23">
        <v>44927</v>
      </c>
      <c r="ES63" s="23">
        <v>44958</v>
      </c>
      <c r="ET63" s="23">
        <v>44986</v>
      </c>
      <c r="EU63" s="23">
        <v>45017</v>
      </c>
      <c r="EV63" s="23">
        <v>45047</v>
      </c>
      <c r="EW63" s="23">
        <v>45078</v>
      </c>
      <c r="EX63" s="23">
        <v>45108</v>
      </c>
      <c r="EY63" s="23">
        <v>45139</v>
      </c>
      <c r="EZ63" s="23">
        <v>45170</v>
      </c>
      <c r="FA63" s="23">
        <v>45200</v>
      </c>
      <c r="FB63" s="23">
        <v>45231</v>
      </c>
      <c r="FC63" s="23">
        <v>45261</v>
      </c>
      <c r="FD63" s="23">
        <v>45292</v>
      </c>
      <c r="FE63" s="23">
        <v>45323</v>
      </c>
      <c r="FF63" s="23">
        <v>45352</v>
      </c>
      <c r="FG63" s="23">
        <v>45383</v>
      </c>
      <c r="FH63" s="23">
        <v>45413</v>
      </c>
      <c r="FI63" s="23">
        <v>45444</v>
      </c>
      <c r="FJ63" s="23">
        <v>45474</v>
      </c>
      <c r="FK63" s="23">
        <v>45505</v>
      </c>
      <c r="FL63" s="23">
        <v>45536</v>
      </c>
      <c r="FM63" s="23">
        <v>45566</v>
      </c>
      <c r="FN63" s="23">
        <v>45597</v>
      </c>
      <c r="FO63" s="23">
        <v>45627</v>
      </c>
      <c r="FP63" s="23">
        <v>45658</v>
      </c>
      <c r="FQ63" s="23">
        <v>45689</v>
      </c>
      <c r="FR63" s="23">
        <v>45717</v>
      </c>
      <c r="FS63" s="23">
        <v>45748</v>
      </c>
      <c r="FT63" s="23">
        <v>45778</v>
      </c>
    </row>
    <row r="64" spans="1:176" s="215" customFormat="1" ht="10.199999999999999" x14ac:dyDescent="0.2">
      <c r="A64" s="212"/>
      <c r="B64" s="213" t="s">
        <v>41</v>
      </c>
      <c r="C64" s="214" t="s">
        <v>270</v>
      </c>
      <c r="CJ64" s="215">
        <v>96.264547544361093</v>
      </c>
      <c r="CK64" s="215">
        <v>96.10203487083939</v>
      </c>
      <c r="CL64" s="215">
        <v>96.316100823945874</v>
      </c>
      <c r="CM64" s="215">
        <v>96.738067605120023</v>
      </c>
      <c r="CN64" s="215">
        <v>97.373817425178174</v>
      </c>
      <c r="CO64" s="215">
        <v>96.258382384230472</v>
      </c>
      <c r="CP64" s="215">
        <v>96.420279665816963</v>
      </c>
      <c r="CQ64" s="215">
        <v>97.160278095771361</v>
      </c>
      <c r="CR64" s="215">
        <v>96.967065316689002</v>
      </c>
      <c r="CS64" s="215">
        <v>97.835480655040172</v>
      </c>
      <c r="CT64" s="215">
        <v>99.236484366197374</v>
      </c>
      <c r="CU64" s="215">
        <v>101.94569623284114</v>
      </c>
      <c r="CV64" s="215">
        <v>100.84920733565869</v>
      </c>
      <c r="CW64" s="215">
        <v>101.1754830027844</v>
      </c>
      <c r="CX64" s="215">
        <v>100.74216173923953</v>
      </c>
      <c r="CY64" s="215">
        <v>101.56838381709285</v>
      </c>
      <c r="CZ64" s="215">
        <v>99.854992310416193</v>
      </c>
      <c r="DA64" s="215">
        <v>99.756434702352152</v>
      </c>
      <c r="DB64" s="215">
        <v>99.864226110594316</v>
      </c>
      <c r="DC64" s="215">
        <v>99.801568542118545</v>
      </c>
      <c r="DD64" s="215">
        <v>99.385140712845356</v>
      </c>
      <c r="DE64" s="215">
        <v>98.896381854879237</v>
      </c>
      <c r="DF64" s="215">
        <v>99.01779797662499</v>
      </c>
      <c r="DG64" s="215">
        <v>99.088221895393502</v>
      </c>
      <c r="DH64" s="215">
        <v>99.956031901961637</v>
      </c>
      <c r="DI64" s="215">
        <v>100.32389827541711</v>
      </c>
      <c r="DJ64" s="215">
        <v>101.18301006382485</v>
      </c>
      <c r="DK64" s="215">
        <v>101.82174231828911</v>
      </c>
      <c r="DL64" s="215">
        <v>104.44560269524652</v>
      </c>
      <c r="DM64" s="215">
        <v>104.71800448976477</v>
      </c>
      <c r="DN64" s="215">
        <v>103.11930782283305</v>
      </c>
      <c r="DO64" s="215">
        <v>102.51478941171229</v>
      </c>
      <c r="DP64" s="215">
        <v>101.31626124768512</v>
      </c>
      <c r="DQ64" s="215">
        <v>101.85273924322952</v>
      </c>
      <c r="DR64" s="215">
        <v>102.57315262740636</v>
      </c>
      <c r="DS64" s="215">
        <v>103.82177171292236</v>
      </c>
      <c r="DT64" s="215">
        <v>104.12302944</v>
      </c>
      <c r="DU64" s="215">
        <v>105.19854429000002</v>
      </c>
      <c r="DV64" s="215">
        <v>105.72922898</v>
      </c>
      <c r="DW64" s="215">
        <v>106.12091238999997</v>
      </c>
      <c r="DX64" s="215">
        <v>107.04885905999998</v>
      </c>
      <c r="DY64" s="215">
        <v>107.36574231</v>
      </c>
      <c r="DZ64" s="215">
        <v>105.53783955999999</v>
      </c>
      <c r="EA64" s="215">
        <v>104.27681781000001</v>
      </c>
      <c r="EB64" s="215">
        <v>104.98139856</v>
      </c>
      <c r="EC64" s="215">
        <v>103.19727215</v>
      </c>
      <c r="ED64" s="215">
        <v>104.17511900999997</v>
      </c>
      <c r="EE64" s="215">
        <v>104.37823871999998</v>
      </c>
      <c r="EF64" s="215">
        <v>104.36731965753118</v>
      </c>
      <c r="EG64" s="215">
        <v>107.62862479806336</v>
      </c>
      <c r="EH64" s="215">
        <v>109.31357955208415</v>
      </c>
      <c r="EI64" s="215">
        <v>117.81931647647129</v>
      </c>
      <c r="EJ64" s="215">
        <v>111.83894742609569</v>
      </c>
      <c r="EK64" s="215">
        <v>111.65927760887197</v>
      </c>
      <c r="EL64" s="215">
        <v>112.10711955033931</v>
      </c>
      <c r="EM64" s="215">
        <v>111.66749329207165</v>
      </c>
      <c r="EN64" s="215">
        <v>110.59017881812592</v>
      </c>
      <c r="EO64" s="215">
        <v>111.08890325295798</v>
      </c>
      <c r="EP64" s="215">
        <v>112.17741886632129</v>
      </c>
      <c r="EQ64" s="215">
        <v>112.29441689588707</v>
      </c>
      <c r="ER64" s="215">
        <v>115.17290012808031</v>
      </c>
      <c r="ES64" s="215">
        <v>116.38282014364501</v>
      </c>
      <c r="ET64" s="215">
        <v>115.06029842177507</v>
      </c>
      <c r="EU64" s="215">
        <v>113.9167912632883</v>
      </c>
      <c r="EV64" s="215">
        <v>115.01279407976861</v>
      </c>
      <c r="EW64" s="215">
        <v>114.39184823658066</v>
      </c>
      <c r="EX64" s="215">
        <v>114.35836912718879</v>
      </c>
      <c r="EY64" s="215">
        <v>112.848735019182</v>
      </c>
      <c r="EZ64" s="215">
        <v>112.41910021846414</v>
      </c>
      <c r="FA64" s="215">
        <v>114.5280791371145</v>
      </c>
      <c r="FB64" s="215">
        <v>113.32247016416302</v>
      </c>
      <c r="FC64" s="215">
        <v>114.9</v>
      </c>
      <c r="FD64" s="215">
        <v>116.32702443063292</v>
      </c>
      <c r="FE64" s="215">
        <v>115.11021782005925</v>
      </c>
      <c r="FF64" s="215">
        <v>115.14297311532988</v>
      </c>
      <c r="FG64" s="215">
        <v>115.53242733539115</v>
      </c>
      <c r="FH64" s="215">
        <v>115.48939430286082</v>
      </c>
      <c r="FI64" s="215">
        <v>115.56744652815613</v>
      </c>
      <c r="FJ64" s="215">
        <v>116.11999011129696</v>
      </c>
      <c r="FK64" s="215">
        <v>115.06634327245311</v>
      </c>
      <c r="FL64" s="215">
        <v>114.38292525306018</v>
      </c>
      <c r="FM64" s="215">
        <v>115.89854450919167</v>
      </c>
      <c r="FN64" s="215">
        <v>118.27652377633312</v>
      </c>
      <c r="FO64" s="215">
        <v>119.69841374110848</v>
      </c>
      <c r="FP64" s="215">
        <v>120.13611182461175</v>
      </c>
      <c r="FQ64" s="215">
        <v>118.2581069883886</v>
      </c>
      <c r="FR64" s="215">
        <v>117.16552266689197</v>
      </c>
      <c r="FS64" s="192">
        <v>116.79274157451711</v>
      </c>
      <c r="FT64" s="192">
        <v>118.00859533329583</v>
      </c>
    </row>
    <row r="65" spans="1:176" s="215" customFormat="1" ht="10.199999999999999" x14ac:dyDescent="0.2">
      <c r="A65" s="212"/>
      <c r="B65" s="213" t="s">
        <v>42</v>
      </c>
      <c r="C65" s="214" t="s">
        <v>271</v>
      </c>
      <c r="CJ65" s="215">
        <v>99.767034371894198</v>
      </c>
      <c r="CK65" s="215">
        <v>99.687248368778953</v>
      </c>
      <c r="CL65" s="215">
        <v>99.744766342754673</v>
      </c>
      <c r="CM65" s="215">
        <v>99.799684782640696</v>
      </c>
      <c r="CN65" s="215">
        <v>99.849752071788473</v>
      </c>
      <c r="CO65" s="215">
        <v>99.847060634978391</v>
      </c>
      <c r="CP65" s="215">
        <v>100.10052177320902</v>
      </c>
      <c r="CQ65" s="215">
        <v>100.1543439449309</v>
      </c>
      <c r="CR65" s="215">
        <v>100.04355521555541</v>
      </c>
      <c r="CS65" s="215">
        <v>100.24493376927066</v>
      </c>
      <c r="CT65" s="215">
        <v>100.29821765363052</v>
      </c>
      <c r="CU65" s="215">
        <v>100.46288107056812</v>
      </c>
      <c r="CV65" s="215">
        <v>100.57496399383645</v>
      </c>
      <c r="CW65" s="215">
        <v>100.78289423349584</v>
      </c>
      <c r="CX65" s="215">
        <v>100.8376730027541</v>
      </c>
      <c r="CY65" s="215">
        <v>100.99198015652148</v>
      </c>
      <c r="CZ65" s="215">
        <v>101.18214034875639</v>
      </c>
      <c r="DA65" s="215">
        <v>101.43571341802992</v>
      </c>
      <c r="DB65" s="215">
        <v>101.58812785012456</v>
      </c>
      <c r="DC65" s="215">
        <v>101.65236818652919</v>
      </c>
      <c r="DD65" s="215">
        <v>101.7033351443247</v>
      </c>
      <c r="DE65" s="215">
        <v>102.05864452502229</v>
      </c>
      <c r="DF65" s="215">
        <v>102.43488803251908</v>
      </c>
      <c r="DG65" s="215">
        <v>103.4048204077465</v>
      </c>
      <c r="DH65" s="215">
        <v>101</v>
      </c>
      <c r="DI65" s="215">
        <v>101.3</v>
      </c>
      <c r="DJ65" s="215">
        <v>101.7</v>
      </c>
      <c r="DK65" s="215">
        <v>103.8</v>
      </c>
      <c r="DL65" s="215">
        <v>103.3</v>
      </c>
      <c r="DM65" s="215">
        <v>101.6</v>
      </c>
      <c r="DN65" s="215">
        <v>101.4</v>
      </c>
      <c r="DO65" s="215">
        <v>101</v>
      </c>
      <c r="DP65" s="215">
        <v>101</v>
      </c>
      <c r="DQ65" s="215">
        <v>100.7</v>
      </c>
      <c r="DR65" s="215">
        <v>102</v>
      </c>
      <c r="DS65" s="215">
        <v>102.5</v>
      </c>
      <c r="DT65" s="215">
        <v>103.3</v>
      </c>
      <c r="DU65" s="215">
        <v>104.2</v>
      </c>
      <c r="DV65" s="215">
        <v>103</v>
      </c>
      <c r="DW65" s="215">
        <v>103.6</v>
      </c>
      <c r="DX65" s="215">
        <v>103.8</v>
      </c>
      <c r="DY65" s="215">
        <v>104.3</v>
      </c>
      <c r="DZ65" s="215">
        <v>104.3</v>
      </c>
      <c r="EA65" s="215">
        <v>103.7</v>
      </c>
      <c r="EB65" s="215">
        <v>103.5</v>
      </c>
      <c r="EC65" s="215">
        <v>103.7</v>
      </c>
      <c r="ED65" s="215">
        <v>103.9</v>
      </c>
      <c r="EE65" s="215">
        <v>104</v>
      </c>
      <c r="EF65" s="215">
        <v>105.04809421376433</v>
      </c>
      <c r="EG65" s="215">
        <v>106.0625833437164</v>
      </c>
      <c r="EH65" s="215">
        <v>107.06738868630778</v>
      </c>
      <c r="EI65" s="215">
        <v>106.60995589224319</v>
      </c>
      <c r="EJ65" s="215">
        <v>107.4</v>
      </c>
      <c r="EK65" s="215">
        <v>107.8</v>
      </c>
      <c r="EL65" s="215">
        <v>107.08063734103015</v>
      </c>
      <c r="EM65" s="215">
        <v>107.68590998324507</v>
      </c>
      <c r="EN65" s="215">
        <v>106.60248327068497</v>
      </c>
      <c r="EO65" s="215">
        <v>107.07061147922694</v>
      </c>
      <c r="EP65" s="215">
        <v>107.34569085433969</v>
      </c>
      <c r="EQ65" s="215">
        <v>107.38476426896703</v>
      </c>
      <c r="ER65" s="215">
        <v>108.47878633318773</v>
      </c>
      <c r="ES65" s="215">
        <v>109.65876508972595</v>
      </c>
      <c r="ET65" s="215">
        <v>110.1511948457953</v>
      </c>
      <c r="EU65" s="215">
        <v>110.79655197035561</v>
      </c>
      <c r="EV65" s="215">
        <v>111.11380508955551</v>
      </c>
      <c r="EW65" s="215">
        <v>112.17512615296936</v>
      </c>
      <c r="EX65" s="215">
        <v>112.61383875400564</v>
      </c>
      <c r="EY65" s="215">
        <v>112.73280495678291</v>
      </c>
      <c r="EZ65" s="215">
        <v>112.328218748756</v>
      </c>
      <c r="FA65" s="215">
        <v>112.12997035617508</v>
      </c>
      <c r="FB65" s="215">
        <v>112.76621724338604</v>
      </c>
      <c r="FC65" s="215">
        <v>113.4</v>
      </c>
      <c r="FD65" s="215">
        <v>112.21832856219648</v>
      </c>
      <c r="FE65" s="215">
        <v>111.69331735168349</v>
      </c>
      <c r="FF65" s="215">
        <v>112.30311434034691</v>
      </c>
      <c r="FG65" s="215">
        <v>113.3610233079955</v>
      </c>
      <c r="FH65" s="215">
        <v>115.09471490040767</v>
      </c>
      <c r="FI65" s="215">
        <v>116.20782740051246</v>
      </c>
      <c r="FJ65" s="215">
        <v>116.73888265939486</v>
      </c>
      <c r="FK65" s="215">
        <v>115.93221135785083</v>
      </c>
      <c r="FL65" s="215">
        <v>115.14820302196007</v>
      </c>
      <c r="FM65" s="215">
        <v>114.46742916917674</v>
      </c>
      <c r="FN65" s="215">
        <v>115.63666873611723</v>
      </c>
      <c r="FO65" s="215">
        <v>120.59251547939128</v>
      </c>
      <c r="FP65" s="215">
        <v>118.82641531919398</v>
      </c>
      <c r="FQ65" s="215">
        <v>118.56139179043514</v>
      </c>
      <c r="FR65" s="215">
        <v>119.69241002629988</v>
      </c>
      <c r="FS65" s="192">
        <v>119.5530301799559</v>
      </c>
      <c r="FT65" s="216">
        <v>119.85704624476989</v>
      </c>
    </row>
    <row r="66" spans="1:176" s="215" customFormat="1" ht="10.199999999999999" x14ac:dyDescent="0.2">
      <c r="A66" s="212"/>
      <c r="B66" s="213" t="s">
        <v>43</v>
      </c>
      <c r="C66" s="214" t="s">
        <v>272</v>
      </c>
      <c r="CJ66" s="215">
        <v>96.239602775221741</v>
      </c>
      <c r="CK66" s="215">
        <v>97.637280557541104</v>
      </c>
      <c r="CL66" s="215">
        <v>97.932057398141495</v>
      </c>
      <c r="CM66" s="215">
        <v>99.011476554681906</v>
      </c>
      <c r="CN66" s="215">
        <v>99.648468691922801</v>
      </c>
      <c r="CO66" s="215">
        <v>100.73306132952106</v>
      </c>
      <c r="CP66" s="215">
        <v>100.84026604717657</v>
      </c>
      <c r="CQ66" s="215">
        <v>101.06287412437456</v>
      </c>
      <c r="CR66" s="215">
        <v>101.31657090779129</v>
      </c>
      <c r="CS66" s="215">
        <v>101.77305889921374</v>
      </c>
      <c r="CT66" s="215">
        <v>102.03153545389564</v>
      </c>
      <c r="CU66" s="215">
        <v>101.68660000000001</v>
      </c>
      <c r="CV66" s="215">
        <v>100.05876600000001</v>
      </c>
      <c r="CW66" s="215">
        <v>100.006894</v>
      </c>
      <c r="CX66" s="215">
        <v>100.19214600000001</v>
      </c>
      <c r="CY66" s="215">
        <v>100.35163499999999</v>
      </c>
      <c r="CZ66" s="215">
        <v>100.86591499999999</v>
      </c>
      <c r="DA66" s="215">
        <v>101.35148900000003</v>
      </c>
      <c r="DB66" s="215">
        <v>101.04324000000001</v>
      </c>
      <c r="DC66" s="215">
        <v>100.79398500000002</v>
      </c>
      <c r="DD66" s="215">
        <v>100.710486</v>
      </c>
      <c r="DE66" s="215">
        <v>100.82868500000001</v>
      </c>
      <c r="DF66" s="215">
        <v>100.77850799999999</v>
      </c>
      <c r="DG66" s="215">
        <v>101.13306000000001</v>
      </c>
      <c r="DH66" s="215">
        <v>101</v>
      </c>
      <c r="DI66" s="215">
        <v>101.1</v>
      </c>
      <c r="DJ66" s="215">
        <v>101</v>
      </c>
      <c r="DK66" s="215">
        <v>101.49830300000002</v>
      </c>
      <c r="DL66" s="215">
        <v>102</v>
      </c>
      <c r="DM66" s="215">
        <v>102.3</v>
      </c>
      <c r="DN66" s="215">
        <v>102.7</v>
      </c>
      <c r="DO66" s="215">
        <v>102.6</v>
      </c>
      <c r="DP66" s="215">
        <v>102.8</v>
      </c>
      <c r="DQ66" s="215">
        <v>102.7</v>
      </c>
      <c r="DR66" s="215">
        <v>102.7</v>
      </c>
      <c r="DS66" s="215">
        <v>102.68</v>
      </c>
      <c r="DT66" s="215">
        <v>102.6</v>
      </c>
      <c r="DU66" s="215">
        <v>102.8</v>
      </c>
      <c r="DV66" s="215">
        <v>102.7</v>
      </c>
      <c r="DW66" s="215">
        <v>102.77</v>
      </c>
      <c r="DX66" s="215">
        <v>102.97</v>
      </c>
      <c r="DY66" s="215">
        <v>102.9</v>
      </c>
      <c r="DZ66" s="215">
        <v>103.2</v>
      </c>
      <c r="EA66" s="215">
        <v>103.4</v>
      </c>
      <c r="EB66" s="215">
        <v>103.4</v>
      </c>
      <c r="EC66" s="215">
        <v>103.5</v>
      </c>
      <c r="ED66" s="215">
        <v>104</v>
      </c>
      <c r="EE66" s="215">
        <v>104.4</v>
      </c>
      <c r="EF66" s="215">
        <v>104.548</v>
      </c>
      <c r="EG66" s="215">
        <v>105.21599999999999</v>
      </c>
      <c r="EH66" s="215">
        <v>105.7</v>
      </c>
      <c r="EI66" s="215">
        <v>105.84</v>
      </c>
      <c r="EJ66" s="215">
        <v>106.35</v>
      </c>
      <c r="EK66" s="215">
        <v>107.38</v>
      </c>
      <c r="EL66" s="215">
        <v>108.41</v>
      </c>
      <c r="EM66" s="215">
        <v>109.04</v>
      </c>
      <c r="EN66" s="215">
        <v>109.43</v>
      </c>
      <c r="EO66" s="215">
        <v>109.43</v>
      </c>
      <c r="EP66" s="215">
        <v>109.77</v>
      </c>
      <c r="EQ66" s="215">
        <v>110.02</v>
      </c>
      <c r="ER66" s="215">
        <v>109.96</v>
      </c>
      <c r="ES66" s="215">
        <v>110.19</v>
      </c>
      <c r="ET66" s="215">
        <v>110.48</v>
      </c>
      <c r="EU66" s="215">
        <v>110.76</v>
      </c>
      <c r="EV66" s="215">
        <v>111.27</v>
      </c>
      <c r="EW66" s="215">
        <v>111.556255817413</v>
      </c>
      <c r="EX66" s="215">
        <v>111.892390251159</v>
      </c>
      <c r="EY66" s="215">
        <v>112.159204483032</v>
      </c>
      <c r="EZ66" s="215">
        <v>112.374341487884</v>
      </c>
      <c r="FA66" s="215">
        <v>112.367069721221</v>
      </c>
      <c r="FB66" s="215">
        <v>112.260794639587</v>
      </c>
      <c r="FC66" s="215">
        <v>112.454187870025</v>
      </c>
      <c r="FD66" s="215">
        <v>112.445616722106</v>
      </c>
      <c r="FE66" s="215">
        <v>112.42079734802201</v>
      </c>
      <c r="FF66" s="215">
        <v>112.565994262695</v>
      </c>
      <c r="FG66" s="215">
        <v>112.65908479690501</v>
      </c>
      <c r="FH66" s="215">
        <v>112.708353996276</v>
      </c>
      <c r="FI66" s="215">
        <v>112.63188123703</v>
      </c>
      <c r="FJ66" s="215">
        <v>112.63188123703</v>
      </c>
      <c r="FK66" s="215">
        <v>112.7</v>
      </c>
      <c r="FL66" s="215">
        <v>112.8</v>
      </c>
      <c r="FM66" s="215">
        <v>113.1</v>
      </c>
      <c r="FN66" s="215">
        <v>113.5</v>
      </c>
      <c r="FO66" s="215">
        <v>113.5</v>
      </c>
      <c r="FP66" s="215">
        <v>113.6</v>
      </c>
      <c r="FQ66" s="215">
        <v>114.116096496582</v>
      </c>
      <c r="FR66" s="215">
        <v>114.3</v>
      </c>
      <c r="FS66" s="192">
        <v>114.37046608620207</v>
      </c>
      <c r="FT66" s="192">
        <v>114.6307028934137</v>
      </c>
    </row>
    <row r="67" spans="1:176" s="215" customFormat="1" ht="10.199999999999999" x14ac:dyDescent="0.2">
      <c r="A67" s="212"/>
      <c r="B67" s="213" t="s">
        <v>44</v>
      </c>
      <c r="C67" s="214" t="s">
        <v>246</v>
      </c>
      <c r="CJ67" s="215">
        <v>134.82</v>
      </c>
      <c r="CK67" s="215">
        <v>134.32</v>
      </c>
      <c r="CL67" s="215">
        <v>133.94999999999999</v>
      </c>
      <c r="CM67" s="215">
        <v>136.16</v>
      </c>
      <c r="CN67" s="215">
        <v>136.87</v>
      </c>
      <c r="CO67" s="215">
        <v>137.18</v>
      </c>
      <c r="CP67" s="215">
        <v>137.69999999999999</v>
      </c>
      <c r="CQ67" s="215">
        <v>137.19999999999999</v>
      </c>
      <c r="CR67" s="215">
        <v>137.69999999999999</v>
      </c>
      <c r="CS67" s="215">
        <v>138.37</v>
      </c>
      <c r="CT67" s="215">
        <v>138.36000000000001</v>
      </c>
      <c r="CU67" s="215">
        <v>138.28</v>
      </c>
      <c r="CV67" s="215">
        <v>137.69999999999999</v>
      </c>
      <c r="CW67" s="215">
        <v>138</v>
      </c>
      <c r="CX67" s="215">
        <v>137.80000000000001</v>
      </c>
      <c r="CY67" s="215">
        <v>136.6</v>
      </c>
      <c r="CZ67" s="215">
        <v>136.80000000000001</v>
      </c>
      <c r="DA67" s="215">
        <v>136.30000000000001</v>
      </c>
      <c r="DB67" s="215">
        <v>135.80000000000001</v>
      </c>
      <c r="DC67" s="215">
        <v>136.6</v>
      </c>
      <c r="DD67" s="215">
        <v>136.69999999999999</v>
      </c>
      <c r="DE67" s="215">
        <v>141.61146155241659</v>
      </c>
      <c r="DF67" s="215">
        <v>142.91879868463269</v>
      </c>
      <c r="DG67" s="215">
        <v>143.95858291742312</v>
      </c>
      <c r="DH67" s="215">
        <v>144.93</v>
      </c>
      <c r="DI67" s="215">
        <v>145.13999999999999</v>
      </c>
      <c r="DJ67" s="215">
        <v>145.38</v>
      </c>
      <c r="DK67" s="215">
        <v>145.12</v>
      </c>
      <c r="DL67" s="215">
        <v>146.27000000000001</v>
      </c>
      <c r="DM67" s="215">
        <v>146.6</v>
      </c>
      <c r="DN67" s="215">
        <v>145.66999999999999</v>
      </c>
      <c r="DO67" s="215">
        <v>145.21</v>
      </c>
      <c r="DP67" s="215">
        <v>144.85</v>
      </c>
      <c r="DQ67" s="215">
        <v>144.03</v>
      </c>
      <c r="DR67" s="215">
        <v>144.03</v>
      </c>
      <c r="DS67" s="215">
        <v>143.28</v>
      </c>
      <c r="DT67" s="215">
        <v>143.9</v>
      </c>
      <c r="DU67" s="215">
        <v>143.31</v>
      </c>
      <c r="DV67" s="215">
        <v>143.13999999999999</v>
      </c>
      <c r="DW67" s="215">
        <v>143.38</v>
      </c>
      <c r="DX67" s="215">
        <v>144.29</v>
      </c>
      <c r="DY67" s="215">
        <v>143.66</v>
      </c>
      <c r="DZ67" s="215">
        <v>145.03</v>
      </c>
      <c r="EA67" s="215">
        <v>145.22</v>
      </c>
      <c r="EB67" s="215">
        <v>145.76</v>
      </c>
      <c r="EC67" s="215">
        <v>146.69999999999999</v>
      </c>
      <c r="ED67" s="215">
        <v>147</v>
      </c>
      <c r="EE67" s="215">
        <v>147.4</v>
      </c>
      <c r="EF67" s="215">
        <v>148.13</v>
      </c>
      <c r="EG67" s="215">
        <v>148.16</v>
      </c>
      <c r="EH67" s="215">
        <v>148.77000000000001</v>
      </c>
      <c r="EI67" s="215">
        <v>149.85</v>
      </c>
      <c r="EJ67" s="215">
        <v>151.74</v>
      </c>
      <c r="EK67" s="215">
        <v>152.43</v>
      </c>
      <c r="EL67" s="215">
        <v>153.13999999999999</v>
      </c>
      <c r="EM67" s="215">
        <v>154.04</v>
      </c>
      <c r="EN67" s="215">
        <v>154.19907911772711</v>
      </c>
      <c r="EO67" s="215">
        <v>154.1</v>
      </c>
      <c r="EP67" s="215">
        <v>154.86000000000001</v>
      </c>
      <c r="EQ67" s="215">
        <v>154.78</v>
      </c>
      <c r="ER67" s="215">
        <v>154.65</v>
      </c>
      <c r="ES67" s="215">
        <v>154.47999999999999</v>
      </c>
      <c r="ET67" s="215">
        <v>155.13999999999999</v>
      </c>
      <c r="EU67" s="215">
        <v>154.49</v>
      </c>
      <c r="EV67" s="215">
        <v>154.4</v>
      </c>
      <c r="EW67" s="215">
        <v>153.07</v>
      </c>
      <c r="EX67" s="215">
        <v>155.47499069000003</v>
      </c>
      <c r="EY67" s="215">
        <v>156.16744433</v>
      </c>
      <c r="EZ67" s="215">
        <v>156.86313645999999</v>
      </c>
      <c r="FA67" s="215">
        <v>157.55324970999999</v>
      </c>
      <c r="FB67" s="215">
        <v>157.57247175000001</v>
      </c>
      <c r="FC67" s="215">
        <v>158.06967640999997</v>
      </c>
      <c r="FD67" s="215">
        <v>158.17024437000001</v>
      </c>
      <c r="FE67" s="215">
        <v>158.90742331000004</v>
      </c>
      <c r="FF67" s="215">
        <v>159.19999999999999</v>
      </c>
      <c r="FG67" s="215">
        <v>159.65830253999999</v>
      </c>
      <c r="FH67" s="215">
        <v>159.97305468999997</v>
      </c>
      <c r="FI67" s="215">
        <v>160.16130598000001</v>
      </c>
      <c r="FJ67" s="215">
        <v>160.80384717000004</v>
      </c>
      <c r="FK67" s="215">
        <v>161.57317105999999</v>
      </c>
      <c r="FL67" s="215">
        <v>161.82734779999998</v>
      </c>
      <c r="FM67" s="215">
        <v>163.40270437999996</v>
      </c>
      <c r="FN67" s="215">
        <v>163.46027377000001</v>
      </c>
      <c r="FO67" s="215">
        <v>163.50361047999999</v>
      </c>
      <c r="FP67" s="215">
        <v>162.59231355999998</v>
      </c>
      <c r="FQ67" s="215">
        <v>162.97210063999998</v>
      </c>
      <c r="FR67" s="215">
        <v>164.96796198364558</v>
      </c>
      <c r="FS67" s="192">
        <v>164.51</v>
      </c>
      <c r="FT67" s="192">
        <v>164.18758126644505</v>
      </c>
    </row>
    <row r="68" spans="1:176" s="215" customFormat="1" ht="10.199999999999999" x14ac:dyDescent="0.2">
      <c r="A68" s="212"/>
      <c r="B68" s="213" t="s">
        <v>45</v>
      </c>
      <c r="C68" s="214" t="s">
        <v>273</v>
      </c>
      <c r="CJ68" s="215">
        <v>94.79546481662932</v>
      </c>
      <c r="CK68" s="215">
        <v>94.205577627017178</v>
      </c>
      <c r="CL68" s="215">
        <v>93.503573755580106</v>
      </c>
      <c r="CM68" s="215">
        <v>95.456125563201653</v>
      </c>
      <c r="CN68" s="215">
        <v>102.25257832370772</v>
      </c>
      <c r="CO68" s="215">
        <v>101.85162178440696</v>
      </c>
      <c r="CP68" s="215">
        <v>101.2612003043821</v>
      </c>
      <c r="CQ68" s="215">
        <v>99.825239937354866</v>
      </c>
      <c r="CR68" s="215">
        <v>101.33325916715494</v>
      </c>
      <c r="CS68" s="215">
        <v>100.98418070096929</v>
      </c>
      <c r="CT68" s="215">
        <v>100.61215624868825</v>
      </c>
      <c r="CU68" s="215">
        <v>99.629276158536214</v>
      </c>
      <c r="CV68" s="215">
        <v>97.178358751603255</v>
      </c>
      <c r="CW68" s="215">
        <v>97.209579523210209</v>
      </c>
      <c r="CX68" s="215">
        <v>96.011332265595627</v>
      </c>
      <c r="CY68" s="215">
        <v>96.323300550897429</v>
      </c>
      <c r="CZ68" s="215">
        <v>98.899413101459118</v>
      </c>
      <c r="DA68" s="215">
        <v>100.45774275159705</v>
      </c>
      <c r="DB68" s="215">
        <v>98.397456093064534</v>
      </c>
      <c r="DC68" s="215">
        <v>97.769828360102551</v>
      </c>
      <c r="DD68" s="215">
        <v>98.447775876276964</v>
      </c>
      <c r="DE68" s="215">
        <v>97.717213762890253</v>
      </c>
      <c r="DF68" s="215">
        <v>97.840984835025452</v>
      </c>
      <c r="DG68" s="215">
        <v>97.949142292705361</v>
      </c>
      <c r="DH68" s="215">
        <v>91.423574743938943</v>
      </c>
      <c r="DI68" s="215">
        <v>93.431811586678947</v>
      </c>
      <c r="DJ68" s="215">
        <v>93.621438529961054</v>
      </c>
      <c r="DK68" s="215">
        <v>95.378282237183413</v>
      </c>
      <c r="DL68" s="215">
        <v>95.349206020125223</v>
      </c>
      <c r="DM68" s="215">
        <v>96.364572363396334</v>
      </c>
      <c r="DN68" s="215">
        <v>96.514087375228527</v>
      </c>
      <c r="DO68" s="215">
        <v>98.878635143735067</v>
      </c>
      <c r="DP68" s="215">
        <v>96.494657907235819</v>
      </c>
      <c r="DQ68" s="215">
        <v>96.027094085995145</v>
      </c>
      <c r="DR68" s="215">
        <v>95.426339270714394</v>
      </c>
      <c r="DS68" s="215">
        <v>94.044010346309477</v>
      </c>
      <c r="DT68" s="215">
        <v>92.882741225312856</v>
      </c>
      <c r="DU68" s="215">
        <v>92.921592871373733</v>
      </c>
      <c r="DV68" s="215">
        <v>93.322629862845588</v>
      </c>
      <c r="DW68" s="215">
        <v>93.56885518944685</v>
      </c>
      <c r="DX68" s="215">
        <v>94.890919589144488</v>
      </c>
      <c r="DY68" s="215">
        <v>95.778244252957634</v>
      </c>
      <c r="DZ68" s="215">
        <v>95.827891737661773</v>
      </c>
      <c r="EA68" s="215">
        <v>95.828198930184428</v>
      </c>
      <c r="EB68" s="215">
        <v>95.633275024210903</v>
      </c>
      <c r="EC68" s="215">
        <v>94.563635226248039</v>
      </c>
      <c r="ED68" s="215">
        <v>93.705517259982855</v>
      </c>
      <c r="EE68" s="215">
        <v>94.948660619329885</v>
      </c>
      <c r="EF68" s="215">
        <v>94.740804732756928</v>
      </c>
      <c r="EG68" s="215">
        <v>94.966790054047593</v>
      </c>
      <c r="EH68" s="215">
        <v>96.547278479694981</v>
      </c>
      <c r="EI68" s="215">
        <v>97.323553708933972</v>
      </c>
      <c r="EJ68" s="215">
        <v>99.596288797386919</v>
      </c>
      <c r="EK68" s="215">
        <v>100.83055205836821</v>
      </c>
      <c r="EL68" s="215">
        <v>101.66485418373712</v>
      </c>
      <c r="EM68" s="215">
        <v>103.2226563983383</v>
      </c>
      <c r="EN68" s="215">
        <v>102.4970436771748</v>
      </c>
      <c r="EO68" s="215">
        <v>102.44248982341115</v>
      </c>
      <c r="EP68" s="215">
        <v>103.31339911631278</v>
      </c>
      <c r="EQ68" s="215">
        <v>102.85428896983748</v>
      </c>
      <c r="ER68" s="215">
        <v>102.79233184587761</v>
      </c>
      <c r="ES68" s="215">
        <v>101.61144571390136</v>
      </c>
      <c r="ET68" s="215">
        <v>101.92922403113836</v>
      </c>
      <c r="EU68" s="215">
        <v>103.30958256474207</v>
      </c>
      <c r="EV68" s="215">
        <v>102.10317801945875</v>
      </c>
      <c r="EW68" s="215">
        <v>102.7221003013712</v>
      </c>
      <c r="EX68" s="215">
        <v>103.63547557299667</v>
      </c>
      <c r="EY68" s="215">
        <v>105.20247986192236</v>
      </c>
      <c r="EZ68" s="215">
        <v>106.00003881849783</v>
      </c>
      <c r="FA68" s="215">
        <v>106.70954058784513</v>
      </c>
      <c r="FB68" s="215">
        <v>106.01106349620353</v>
      </c>
      <c r="FC68" s="215">
        <v>107.28880755997547</v>
      </c>
      <c r="FD68" s="215">
        <v>105.30530642761858</v>
      </c>
      <c r="FE68" s="215">
        <v>106.08693379880533</v>
      </c>
      <c r="FF68" s="215">
        <v>106.50145479450602</v>
      </c>
      <c r="FG68" s="215">
        <v>106.55063390272173</v>
      </c>
      <c r="FH68" s="215">
        <v>109.76591415614331</v>
      </c>
      <c r="FI68" s="215">
        <v>111.2999572198141</v>
      </c>
      <c r="FJ68" s="215">
        <v>114.21669437419267</v>
      </c>
      <c r="FK68" s="215">
        <v>112.1398148547236</v>
      </c>
      <c r="FL68" s="215">
        <v>113.48037175553469</v>
      </c>
      <c r="FM68" s="215">
        <v>111.94630729436183</v>
      </c>
      <c r="FN68" s="215">
        <v>112.02717296150671</v>
      </c>
      <c r="FO68" s="215">
        <v>111.28007167212975</v>
      </c>
      <c r="FP68" s="215">
        <v>107.50959005278901</v>
      </c>
      <c r="FQ68" s="215">
        <v>106.67289436598585</v>
      </c>
      <c r="FR68" s="215">
        <v>106.44488241709342</v>
      </c>
      <c r="FS68" s="192">
        <v>106.01992073582934</v>
      </c>
      <c r="FT68" s="192">
        <v>108.21935785704025</v>
      </c>
    </row>
    <row r="69" spans="1:176" s="110" customFormat="1" x14ac:dyDescent="0.25">
      <c r="A69" s="66"/>
      <c r="B69" s="67" t="s">
        <v>46</v>
      </c>
      <c r="C69" s="68" t="s">
        <v>274</v>
      </c>
      <c r="CJ69" s="110">
        <v>96.264547544361108</v>
      </c>
      <c r="CK69" s="110">
        <v>96.102034870839404</v>
      </c>
      <c r="CL69" s="110">
        <v>96.316100823945888</v>
      </c>
      <c r="CM69" s="110">
        <v>96.738067605120037</v>
      </c>
      <c r="CN69" s="110">
        <v>97.373817425178189</v>
      </c>
      <c r="CO69" s="110">
        <v>96.258382384230487</v>
      </c>
      <c r="CP69" s="110">
        <v>96.420279665816977</v>
      </c>
      <c r="CQ69" s="110">
        <v>97.160278095771375</v>
      </c>
      <c r="CR69" s="110">
        <v>96.967065316689016</v>
      </c>
      <c r="CS69" s="110">
        <v>97.835480655040186</v>
      </c>
      <c r="CT69" s="110">
        <v>99.236484366197388</v>
      </c>
      <c r="CU69" s="110">
        <v>101.94569623284116</v>
      </c>
      <c r="CV69" s="110">
        <v>100.84920733565869</v>
      </c>
      <c r="CW69" s="110">
        <v>101.17548300278443</v>
      </c>
      <c r="CX69" s="110">
        <v>100.74216173923955</v>
      </c>
      <c r="CY69" s="110">
        <v>101.56838381709285</v>
      </c>
      <c r="CZ69" s="110">
        <v>99.854992310416208</v>
      </c>
      <c r="DA69" s="110">
        <v>99.756434702352166</v>
      </c>
      <c r="DB69" s="110">
        <v>99.864226110594331</v>
      </c>
      <c r="DC69" s="110">
        <v>99.801568542118559</v>
      </c>
      <c r="DD69" s="110">
        <v>99.38514071284537</v>
      </c>
      <c r="DE69" s="110">
        <v>98.896381854879252</v>
      </c>
      <c r="DF69" s="110">
        <v>99.017797976625005</v>
      </c>
      <c r="DG69" s="110">
        <v>99.088221895393517</v>
      </c>
      <c r="DH69" s="110">
        <v>99.956031901961651</v>
      </c>
      <c r="DI69" s="110">
        <v>100.32389827541712</v>
      </c>
      <c r="DJ69" s="110">
        <v>101.18301006382487</v>
      </c>
      <c r="DK69" s="110">
        <v>101.82174231828913</v>
      </c>
      <c r="DL69" s="110">
        <v>104.44560269524655</v>
      </c>
      <c r="DM69" s="110">
        <v>104.71800448976478</v>
      </c>
      <c r="DN69" s="110">
        <v>103.11930782283308</v>
      </c>
      <c r="DO69" s="110">
        <v>102.5147894117123</v>
      </c>
      <c r="DP69" s="110">
        <v>101.31626124768513</v>
      </c>
      <c r="DQ69" s="110">
        <v>101.85273924322954</v>
      </c>
      <c r="DR69" s="110">
        <v>102.57315262740639</v>
      </c>
      <c r="DS69" s="110">
        <v>103.82177171292237</v>
      </c>
      <c r="DT69" s="110">
        <v>104.12302944000001</v>
      </c>
      <c r="DU69" s="110">
        <v>105.19854429000004</v>
      </c>
      <c r="DV69" s="110">
        <v>105.72922898000002</v>
      </c>
      <c r="DW69" s="110">
        <v>106.12091238999999</v>
      </c>
      <c r="DX69" s="110">
        <v>107.04885905999998</v>
      </c>
      <c r="DY69" s="110">
        <v>107.36574231000003</v>
      </c>
      <c r="DZ69" s="110">
        <v>105.53783956000001</v>
      </c>
      <c r="EA69" s="110">
        <v>104.27681781000003</v>
      </c>
      <c r="EB69" s="110">
        <v>104.98139856000002</v>
      </c>
      <c r="EC69" s="110">
        <v>103.19727215</v>
      </c>
      <c r="ED69" s="110">
        <v>104.17511900999999</v>
      </c>
      <c r="EE69" s="110">
        <v>104.37823872</v>
      </c>
      <c r="EF69" s="110">
        <v>104.36731965753118</v>
      </c>
      <c r="EG69" s="110">
        <v>107.62862479806337</v>
      </c>
      <c r="EH69" s="110">
        <v>109.31357955208416</v>
      </c>
      <c r="EI69" s="110">
        <v>117.8193164764713</v>
      </c>
      <c r="EJ69" s="110">
        <v>111.8389474260957</v>
      </c>
      <c r="EK69" s="110">
        <v>111.659277608872</v>
      </c>
      <c r="EL69" s="110">
        <v>112.10711955033932</v>
      </c>
      <c r="EM69" s="110">
        <v>111.66749329207167</v>
      </c>
      <c r="EN69" s="110">
        <v>110.59017881812593</v>
      </c>
      <c r="EO69" s="110">
        <v>111.08890325295799</v>
      </c>
      <c r="EP69" s="110">
        <v>112.1774188663213</v>
      </c>
      <c r="EQ69" s="110">
        <v>112.29441689588708</v>
      </c>
      <c r="ER69" s="110">
        <v>115.17290012808033</v>
      </c>
      <c r="ES69" s="110">
        <v>116.38282014364503</v>
      </c>
      <c r="ET69" s="110">
        <v>115.0602984217751</v>
      </c>
      <c r="EU69" s="110">
        <v>113.9167912632883</v>
      </c>
      <c r="EV69" s="110">
        <v>115.01279407976864</v>
      </c>
      <c r="EW69" s="110">
        <v>114.39184823658066</v>
      </c>
      <c r="EX69" s="110">
        <v>114.35836912718882</v>
      </c>
      <c r="EY69" s="110">
        <v>112.84873501918202</v>
      </c>
      <c r="EZ69" s="110">
        <v>112.41910021846415</v>
      </c>
      <c r="FA69" s="110">
        <v>114.52807913711452</v>
      </c>
      <c r="FB69" s="110">
        <v>113.32247016416304</v>
      </c>
      <c r="FC69" s="110">
        <v>114.90000000000002</v>
      </c>
      <c r="FD69" s="110">
        <v>116.32702443063295</v>
      </c>
      <c r="FE69" s="110">
        <v>115.11021782005926</v>
      </c>
      <c r="FF69" s="110">
        <v>115.14297311532991</v>
      </c>
      <c r="FG69" s="110">
        <v>115.53242733539118</v>
      </c>
      <c r="FH69" s="110">
        <v>115.48939430286083</v>
      </c>
      <c r="FI69" s="110">
        <v>115.56744652815614</v>
      </c>
      <c r="FJ69" s="110">
        <v>116.11999011129697</v>
      </c>
      <c r="FK69" s="110">
        <v>115.06634327245312</v>
      </c>
      <c r="FL69" s="110">
        <v>114.38292525306019</v>
      </c>
      <c r="FM69" s="110">
        <v>115.89854450919168</v>
      </c>
      <c r="FN69" s="110">
        <v>118.27652377633314</v>
      </c>
      <c r="FO69" s="110">
        <v>119.6984137411085</v>
      </c>
      <c r="FP69" s="110">
        <v>120.13611182461177</v>
      </c>
      <c r="FQ69" s="110">
        <v>118.25810698838862</v>
      </c>
      <c r="FR69" s="110">
        <v>117.165522666892</v>
      </c>
      <c r="FS69" s="217"/>
      <c r="FT69" s="217"/>
    </row>
    <row r="70" spans="1:176" s="109" customFormat="1" x14ac:dyDescent="0.25">
      <c r="A70" s="195" t="s">
        <v>248</v>
      </c>
      <c r="B70" s="30" t="s">
        <v>50</v>
      </c>
      <c r="C70" s="71"/>
      <c r="D70" s="109">
        <v>104.7</v>
      </c>
      <c r="E70" s="109">
        <v>104</v>
      </c>
      <c r="F70" s="109">
        <v>104.1</v>
      </c>
      <c r="G70" s="109">
        <v>105.1</v>
      </c>
      <c r="H70" s="109">
        <v>105.9</v>
      </c>
      <c r="I70" s="109">
        <v>105.9</v>
      </c>
      <c r="J70" s="109">
        <v>106</v>
      </c>
      <c r="K70" s="109">
        <v>106.1</v>
      </c>
      <c r="L70" s="109">
        <v>106</v>
      </c>
      <c r="M70" s="109">
        <v>105.8</v>
      </c>
      <c r="N70" s="109">
        <v>106.1</v>
      </c>
      <c r="O70" s="109">
        <v>106.7</v>
      </c>
      <c r="P70" s="109">
        <v>107.1</v>
      </c>
      <c r="Q70" s="109">
        <v>106.9</v>
      </c>
      <c r="R70" s="109">
        <v>106.9</v>
      </c>
      <c r="S70" s="109">
        <v>107.2</v>
      </c>
      <c r="T70" s="109">
        <v>107.7</v>
      </c>
      <c r="U70" s="109">
        <v>108</v>
      </c>
      <c r="V70" s="109">
        <v>108.4</v>
      </c>
      <c r="W70" s="109">
        <v>108.6</v>
      </c>
      <c r="X70" s="109">
        <v>109</v>
      </c>
      <c r="Y70" s="109">
        <v>109.3</v>
      </c>
      <c r="Z70" s="109">
        <v>109.5</v>
      </c>
      <c r="AA70" s="109">
        <v>109.7</v>
      </c>
      <c r="AB70" s="109">
        <v>109.5</v>
      </c>
      <c r="AC70" s="109">
        <v>109.5</v>
      </c>
      <c r="AD70" s="109">
        <v>109.3</v>
      </c>
      <c r="AE70" s="109">
        <v>109.7</v>
      </c>
      <c r="AF70" s="109">
        <v>109.8</v>
      </c>
      <c r="AG70" s="109">
        <v>109.9</v>
      </c>
      <c r="AH70" s="109">
        <v>110.3</v>
      </c>
      <c r="AI70" s="109">
        <v>110.3</v>
      </c>
      <c r="AJ70" s="109">
        <v>110.2</v>
      </c>
      <c r="AK70" s="109">
        <v>110.1</v>
      </c>
      <c r="AL70" s="109">
        <f>Z70*1.005</f>
        <v>110.04749999999999</v>
      </c>
      <c r="AM70" s="109">
        <f>AA70*1</f>
        <v>109.7</v>
      </c>
      <c r="AN70" s="109">
        <f>AB70*1.001</f>
        <v>109.60949999999998</v>
      </c>
      <c r="AO70" s="109">
        <f>AC70*(1-0.4%)</f>
        <v>109.062</v>
      </c>
      <c r="AP70" s="109">
        <f>AD70*(1-0.3%)</f>
        <v>108.9721</v>
      </c>
      <c r="AQ70" s="109">
        <v>109</v>
      </c>
      <c r="AR70" s="109">
        <v>109.7</v>
      </c>
      <c r="AS70" s="109">
        <v>109.9</v>
      </c>
      <c r="AT70" s="109">
        <v>110.2</v>
      </c>
      <c r="AU70" s="109">
        <v>110.1</v>
      </c>
      <c r="AV70" s="109">
        <v>109.73</v>
      </c>
      <c r="AW70" s="109">
        <v>110.18</v>
      </c>
      <c r="AX70" s="109">
        <v>110</v>
      </c>
      <c r="AY70" s="109">
        <v>109.8</v>
      </c>
      <c r="BL70" s="109">
        <v>100.86</v>
      </c>
      <c r="BM70" s="109">
        <v>100.53</v>
      </c>
      <c r="BN70" s="109">
        <v>100.65</v>
      </c>
      <c r="BO70" s="109">
        <v>101.44</v>
      </c>
      <c r="BP70" s="109">
        <v>102.26</v>
      </c>
      <c r="BQ70" s="109">
        <v>102.18</v>
      </c>
      <c r="BR70" s="109">
        <v>101.87</v>
      </c>
      <c r="BS70" s="109">
        <v>101.17</v>
      </c>
      <c r="BT70" s="109">
        <v>101.16</v>
      </c>
      <c r="BU70" s="109">
        <v>101.22</v>
      </c>
      <c r="BV70" s="109">
        <v>101.32</v>
      </c>
      <c r="BW70" s="109">
        <v>101.48</v>
      </c>
      <c r="BX70" s="109">
        <v>101.56</v>
      </c>
      <c r="BY70" s="109">
        <v>101.46</v>
      </c>
      <c r="BZ70" s="109">
        <v>101.73</v>
      </c>
      <c r="CA70" s="109">
        <v>101.79</v>
      </c>
      <c r="CB70" s="109">
        <v>102.27</v>
      </c>
      <c r="CC70" s="109">
        <v>102.8</v>
      </c>
      <c r="CD70" s="109">
        <v>103.13</v>
      </c>
      <c r="CE70" s="109">
        <v>102.56</v>
      </c>
      <c r="CF70" s="109">
        <v>102.99</v>
      </c>
      <c r="CG70" s="109">
        <v>103.15</v>
      </c>
      <c r="CH70" s="109">
        <v>102.8</v>
      </c>
      <c r="CI70" s="109">
        <v>102.83</v>
      </c>
      <c r="CJ70" s="109">
        <v>102.92</v>
      </c>
      <c r="CK70" s="109">
        <v>103.35</v>
      </c>
      <c r="CL70" s="109">
        <v>102.9</v>
      </c>
      <c r="CM70" s="109">
        <v>103.45</v>
      </c>
      <c r="CN70" s="109">
        <v>103.87</v>
      </c>
      <c r="CO70" s="109">
        <v>103.88</v>
      </c>
      <c r="CP70" s="109">
        <v>104.1</v>
      </c>
      <c r="CQ70" s="109">
        <v>104.06</v>
      </c>
      <c r="CR70" s="109">
        <v>104.12</v>
      </c>
      <c r="CS70" s="109">
        <v>103.93</v>
      </c>
      <c r="CT70" s="109">
        <v>103.71</v>
      </c>
      <c r="CU70" s="109">
        <v>103.7</v>
      </c>
      <c r="CV70" s="142">
        <v>102.73</v>
      </c>
      <c r="CW70" s="142">
        <v>102.4</v>
      </c>
      <c r="CX70" s="142">
        <v>102.35</v>
      </c>
      <c r="CY70" s="142">
        <v>102.5</v>
      </c>
      <c r="CZ70" s="142">
        <v>103.02</v>
      </c>
      <c r="DA70" s="142">
        <v>103.36</v>
      </c>
      <c r="DB70" s="142">
        <v>103.33</v>
      </c>
      <c r="DC70" s="142">
        <v>102.84</v>
      </c>
      <c r="DD70" s="142">
        <v>102.9</v>
      </c>
      <c r="DE70" s="142">
        <v>102.96</v>
      </c>
      <c r="DF70" s="142">
        <v>103.23</v>
      </c>
      <c r="DG70" s="142">
        <v>103.21</v>
      </c>
      <c r="DH70" s="142">
        <v>103.54</v>
      </c>
      <c r="DI70" s="142">
        <v>103.96</v>
      </c>
      <c r="DJ70" s="142">
        <v>103.71</v>
      </c>
      <c r="DK70" s="142">
        <v>104.09</v>
      </c>
      <c r="DL70" s="142">
        <v>104.9</v>
      </c>
      <c r="DM70" s="142">
        <v>105.26</v>
      </c>
      <c r="DN70" s="142">
        <v>105.92</v>
      </c>
      <c r="DO70" s="142">
        <v>106.2</v>
      </c>
      <c r="DP70" s="142">
        <v>105.93</v>
      </c>
      <c r="DQ70" s="142">
        <v>106.51</v>
      </c>
      <c r="DR70" s="142">
        <v>105.78</v>
      </c>
      <c r="DS70" s="142">
        <v>105.46</v>
      </c>
      <c r="DT70" s="142">
        <v>105.48</v>
      </c>
      <c r="DU70" s="142">
        <v>106.22</v>
      </c>
      <c r="DV70" s="142">
        <v>106.29</v>
      </c>
      <c r="DW70" s="142">
        <v>107.33</v>
      </c>
      <c r="DX70" s="142">
        <v>108.32</v>
      </c>
      <c r="DY70" s="142">
        <v>109.1</v>
      </c>
      <c r="DZ70" s="142">
        <v>109.68</v>
      </c>
      <c r="EA70" s="142">
        <v>109.91</v>
      </c>
      <c r="EB70" s="142">
        <v>110.53</v>
      </c>
      <c r="EC70" s="142">
        <v>110.6</v>
      </c>
      <c r="ED70" s="142">
        <v>111</v>
      </c>
      <c r="EE70" s="142">
        <v>111.8</v>
      </c>
      <c r="EF70" s="142">
        <v>112.3</v>
      </c>
      <c r="EG70" s="142">
        <v>112.7</v>
      </c>
      <c r="EH70" s="142">
        <v>113.3</v>
      </c>
      <c r="EI70" s="142">
        <v>114.6</v>
      </c>
      <c r="EJ70" s="142">
        <v>115.7</v>
      </c>
      <c r="EK70" s="142">
        <v>117.3</v>
      </c>
      <c r="EL70" s="142">
        <v>118.6</v>
      </c>
      <c r="EM70" s="142">
        <v>119.6</v>
      </c>
      <c r="EN70" s="142">
        <v>119.7</v>
      </c>
      <c r="EO70" s="142">
        <v>120</v>
      </c>
      <c r="EP70" s="142">
        <v>119.9</v>
      </c>
      <c r="EQ70" s="142">
        <v>119.6</v>
      </c>
      <c r="ER70" s="142">
        <v>119</v>
      </c>
      <c r="ES70" s="142">
        <v>119.1</v>
      </c>
      <c r="ET70" s="142">
        <v>119.8</v>
      </c>
      <c r="EU70" s="142">
        <v>119.8</v>
      </c>
      <c r="EV70" s="142">
        <v>120.2</v>
      </c>
      <c r="EW70" s="142">
        <v>121.5</v>
      </c>
      <c r="EX70" s="142">
        <v>122.6</v>
      </c>
      <c r="EY70" s="148">
        <v>122.67</v>
      </c>
      <c r="EZ70" s="148">
        <v>123.01</v>
      </c>
      <c r="FA70" s="148">
        <v>122.53</v>
      </c>
      <c r="FB70" s="148">
        <v>122.67</v>
      </c>
      <c r="FC70" s="148">
        <v>122.63</v>
      </c>
      <c r="FD70" s="148">
        <v>122.27</v>
      </c>
      <c r="FE70" s="148">
        <v>122.6</v>
      </c>
      <c r="FF70" s="109">
        <v>123.21</v>
      </c>
      <c r="FG70" s="109">
        <v>124.28</v>
      </c>
      <c r="FH70" s="109">
        <v>125.4</v>
      </c>
      <c r="FI70" s="109">
        <v>126.9</v>
      </c>
      <c r="FJ70" s="109">
        <v>128.01</v>
      </c>
      <c r="FK70" s="109">
        <v>128</v>
      </c>
      <c r="FL70" s="109">
        <v>127.5</v>
      </c>
      <c r="FM70" s="109">
        <v>126.7</v>
      </c>
      <c r="FN70" s="109">
        <v>125.79</v>
      </c>
      <c r="FO70" s="109">
        <v>125.87</v>
      </c>
      <c r="FP70" s="109">
        <v>103.3</v>
      </c>
      <c r="FQ70" s="109">
        <v>103.2</v>
      </c>
      <c r="FS70" s="192"/>
      <c r="FT70" s="192"/>
    </row>
    <row r="71" spans="1:176" s="109" customFormat="1" x14ac:dyDescent="0.25">
      <c r="A71" s="194" t="s">
        <v>259</v>
      </c>
      <c r="B71" s="30" t="s">
        <v>51</v>
      </c>
      <c r="C71" s="71"/>
      <c r="D71" s="109">
        <v>110.54</v>
      </c>
      <c r="E71" s="109">
        <v>111</v>
      </c>
      <c r="F71" s="109">
        <v>112.51</v>
      </c>
      <c r="G71" s="109">
        <v>113.13</v>
      </c>
      <c r="H71" s="109">
        <v>113.11</v>
      </c>
      <c r="I71" s="109">
        <v>113.09</v>
      </c>
      <c r="J71" s="109">
        <v>112.43</v>
      </c>
      <c r="K71" s="109">
        <v>112.65</v>
      </c>
      <c r="L71" s="109">
        <v>113.48</v>
      </c>
      <c r="M71" s="109">
        <v>113.87</v>
      </c>
      <c r="N71" s="109">
        <v>113.98</v>
      </c>
      <c r="O71" s="109">
        <v>114.35</v>
      </c>
      <c r="P71" s="109">
        <v>113.49</v>
      </c>
      <c r="Q71" s="109">
        <v>114.05</v>
      </c>
      <c r="R71" s="109">
        <v>115.53</v>
      </c>
      <c r="S71" s="109">
        <v>116.07</v>
      </c>
      <c r="T71" s="109">
        <v>115.91</v>
      </c>
      <c r="U71" s="109">
        <v>115.82</v>
      </c>
      <c r="V71" s="109">
        <v>115.21</v>
      </c>
      <c r="W71" s="109">
        <v>115.69</v>
      </c>
      <c r="X71" s="109">
        <v>116.5</v>
      </c>
      <c r="Y71" s="109">
        <v>116.77</v>
      </c>
      <c r="Z71" s="109">
        <v>116.54</v>
      </c>
      <c r="AA71" s="109">
        <v>116.95</v>
      </c>
      <c r="AB71" s="109">
        <v>115.73</v>
      </c>
      <c r="AC71" s="109">
        <v>116.16</v>
      </c>
      <c r="AD71" s="109">
        <v>117.53</v>
      </c>
      <c r="AE71" s="109">
        <v>117.47</v>
      </c>
      <c r="AF71" s="109">
        <v>117.6</v>
      </c>
      <c r="AG71" s="109">
        <v>117.73</v>
      </c>
      <c r="AH71" s="109">
        <v>117.1</v>
      </c>
      <c r="AI71" s="109">
        <v>117.25</v>
      </c>
      <c r="AJ71" s="109">
        <v>117.82</v>
      </c>
      <c r="AK71" s="109">
        <v>117.67</v>
      </c>
      <c r="AL71" s="109">
        <v>117.57</v>
      </c>
      <c r="AM71" s="109">
        <v>117.99</v>
      </c>
      <c r="AN71" s="109">
        <v>116.67</v>
      </c>
      <c r="AO71" s="109">
        <v>117.03</v>
      </c>
      <c r="AP71" s="109">
        <v>118.13</v>
      </c>
      <c r="AQ71" s="109">
        <v>118.31</v>
      </c>
      <c r="AR71" s="109">
        <v>118.18</v>
      </c>
      <c r="AS71" s="109">
        <v>118.31</v>
      </c>
      <c r="AT71" s="109">
        <v>117.54</v>
      </c>
      <c r="AU71" s="109">
        <v>117.68</v>
      </c>
      <c r="AV71" s="109">
        <v>118.19</v>
      </c>
      <c r="AW71" s="109">
        <v>118.12</v>
      </c>
      <c r="AX71" s="109">
        <v>117.91</v>
      </c>
      <c r="AY71" s="109">
        <v>117.79</v>
      </c>
      <c r="EK71" s="109">
        <v>177.01</v>
      </c>
      <c r="EL71" s="109">
        <v>117.14</v>
      </c>
      <c r="EM71" s="109">
        <v>117.85</v>
      </c>
      <c r="EN71" s="109">
        <v>119.26</v>
      </c>
      <c r="EO71" s="109">
        <v>121.03</v>
      </c>
      <c r="EP71" s="109">
        <v>120.95</v>
      </c>
      <c r="EQ71" s="109">
        <v>120.52</v>
      </c>
      <c r="ER71" s="109">
        <v>120.27</v>
      </c>
      <c r="ES71" s="109">
        <v>121.24</v>
      </c>
      <c r="ET71" s="109">
        <v>122.34</v>
      </c>
      <c r="EU71" s="109">
        <v>123.1</v>
      </c>
      <c r="EW71" s="109">
        <v>186.74554999999998</v>
      </c>
      <c r="EX71" s="109">
        <v>123.34841999999999</v>
      </c>
      <c r="EY71" s="148">
        <v>123.81</v>
      </c>
      <c r="EZ71" s="148">
        <v>124.28</v>
      </c>
      <c r="FA71" s="148">
        <v>124.6</v>
      </c>
      <c r="FB71" s="148">
        <v>123.8</v>
      </c>
      <c r="FC71" s="148">
        <v>124.5</v>
      </c>
      <c r="FD71" s="148">
        <v>123.6</v>
      </c>
      <c r="FE71" s="148">
        <v>124.6</v>
      </c>
      <c r="FF71" s="109">
        <v>125.3</v>
      </c>
      <c r="FG71" s="109">
        <v>126.04</v>
      </c>
      <c r="FH71" s="109">
        <v>126.3</v>
      </c>
      <c r="FI71" s="109">
        <v>126.5</v>
      </c>
      <c r="FJ71" s="109">
        <v>126.54</v>
      </c>
      <c r="FK71" s="109">
        <v>126.72</v>
      </c>
      <c r="FL71" s="109">
        <v>126.6</v>
      </c>
      <c r="FM71" s="109">
        <v>127.03</v>
      </c>
      <c r="FN71" s="109">
        <v>126.62</v>
      </c>
      <c r="FO71" s="109">
        <v>127.07</v>
      </c>
      <c r="FP71" s="109">
        <v>126.72</v>
      </c>
      <c r="FQ71" s="109">
        <v>127.26</v>
      </c>
      <c r="FR71" s="109">
        <v>128.04</v>
      </c>
      <c r="FS71" s="192">
        <v>128.77000000000001</v>
      </c>
      <c r="FT71" s="192">
        <v>128.72999999999999</v>
      </c>
    </row>
    <row r="72" spans="1:176" s="109" customFormat="1" x14ac:dyDescent="0.25">
      <c r="A72" s="194" t="s">
        <v>260</v>
      </c>
      <c r="B72" s="73" t="s">
        <v>52</v>
      </c>
      <c r="C72" s="71" t="s">
        <v>206</v>
      </c>
      <c r="D72" s="109">
        <v>94.6</v>
      </c>
      <c r="E72" s="109">
        <v>95.07</v>
      </c>
      <c r="F72" s="109">
        <v>95.9</v>
      </c>
      <c r="G72" s="109">
        <v>96.24</v>
      </c>
      <c r="H72" s="109">
        <v>96.31</v>
      </c>
      <c r="I72" s="109">
        <v>96.39</v>
      </c>
      <c r="J72" s="109">
        <v>95.91</v>
      </c>
      <c r="K72" s="109">
        <v>96.46</v>
      </c>
      <c r="L72" s="109">
        <v>96.43</v>
      </c>
      <c r="M72" s="109">
        <v>96.69</v>
      </c>
      <c r="N72" s="109">
        <v>96.99</v>
      </c>
      <c r="O72" s="109">
        <v>97.41</v>
      </c>
      <c r="P72" s="109">
        <v>97.03</v>
      </c>
      <c r="Q72" s="109">
        <v>97.49</v>
      </c>
      <c r="R72" s="109">
        <v>98.39</v>
      </c>
      <c r="S72" s="109">
        <v>98.56</v>
      </c>
      <c r="T72" s="109">
        <v>98.51</v>
      </c>
      <c r="U72" s="109">
        <v>98.56</v>
      </c>
      <c r="V72" s="109">
        <v>98.05</v>
      </c>
      <c r="W72" s="109">
        <v>98.76</v>
      </c>
      <c r="X72" s="109">
        <v>98.51</v>
      </c>
      <c r="Y72" s="109">
        <v>98.71</v>
      </c>
      <c r="Z72" s="109">
        <v>98.54</v>
      </c>
      <c r="AA72" s="109">
        <v>98.9</v>
      </c>
      <c r="AB72" s="109">
        <v>98.34</v>
      </c>
      <c r="AC72" s="109">
        <v>98.65</v>
      </c>
      <c r="AD72" s="109">
        <v>99.46</v>
      </c>
      <c r="AE72" s="109">
        <v>99.35</v>
      </c>
      <c r="AF72" s="109">
        <v>99.39</v>
      </c>
      <c r="AG72" s="109">
        <v>99.57</v>
      </c>
      <c r="AH72" s="109">
        <v>99.22</v>
      </c>
      <c r="AI72" s="109">
        <v>99.72</v>
      </c>
      <c r="AJ72" s="109">
        <v>99.52</v>
      </c>
      <c r="AK72" s="109">
        <v>99.39</v>
      </c>
      <c r="AL72" s="109">
        <v>99.35</v>
      </c>
      <c r="AM72" s="109">
        <v>99.73</v>
      </c>
      <c r="AN72" s="109">
        <v>99.09</v>
      </c>
      <c r="AO72" s="109">
        <v>99.7</v>
      </c>
      <c r="AP72" s="109">
        <v>100.21</v>
      </c>
      <c r="AQ72" s="109">
        <v>100.18</v>
      </c>
      <c r="AR72" s="109">
        <v>100.21</v>
      </c>
      <c r="AS72" s="109">
        <v>100.16</v>
      </c>
      <c r="AT72" s="109">
        <v>99.78</v>
      </c>
      <c r="AU72" s="109">
        <v>100.26</v>
      </c>
      <c r="AV72" s="109">
        <v>99.89</v>
      </c>
      <c r="AW72" s="109">
        <v>99.92</v>
      </c>
      <c r="AX72" s="109">
        <v>99.75</v>
      </c>
      <c r="AY72" s="109">
        <v>99.82</v>
      </c>
      <c r="AZ72" s="109">
        <v>98.7</v>
      </c>
      <c r="BA72" s="109">
        <v>99.42</v>
      </c>
      <c r="BB72" s="109">
        <v>100.17</v>
      </c>
      <c r="BC72" s="109">
        <v>100.3</v>
      </c>
      <c r="BD72" s="109">
        <v>100.56</v>
      </c>
      <c r="BE72" s="109">
        <v>100.49</v>
      </c>
      <c r="BF72" s="109">
        <v>100</v>
      </c>
      <c r="BG72" s="109">
        <v>100.36</v>
      </c>
      <c r="BH72" s="109">
        <v>99.99</v>
      </c>
      <c r="BI72" s="109">
        <v>100.07</v>
      </c>
      <c r="BJ72" s="109">
        <v>99.86</v>
      </c>
      <c r="BK72" s="109">
        <v>100.09</v>
      </c>
      <c r="BL72" s="109">
        <v>99.02</v>
      </c>
      <c r="BM72" s="109">
        <v>99.31</v>
      </c>
      <c r="BN72" s="109">
        <v>100.09</v>
      </c>
      <c r="BO72" s="109">
        <v>100.18</v>
      </c>
      <c r="BP72" s="109">
        <v>100.65</v>
      </c>
      <c r="BQ72" s="109">
        <v>100.8</v>
      </c>
      <c r="BR72" s="109">
        <v>100.39</v>
      </c>
      <c r="BS72" s="109">
        <v>100.74</v>
      </c>
      <c r="BT72" s="109">
        <v>100.5</v>
      </c>
      <c r="BU72" s="109">
        <v>100.54</v>
      </c>
      <c r="BV72" s="109">
        <v>100.55</v>
      </c>
      <c r="BW72" s="109">
        <v>100.9</v>
      </c>
      <c r="BX72" s="109">
        <v>100.57</v>
      </c>
      <c r="BY72" s="109">
        <v>100.73</v>
      </c>
      <c r="BZ72" s="109">
        <v>101.47</v>
      </c>
      <c r="CA72" s="109">
        <v>101.57</v>
      </c>
      <c r="CB72" s="109">
        <v>101.59</v>
      </c>
      <c r="CC72" s="109">
        <v>101.58</v>
      </c>
      <c r="CD72" s="109">
        <v>101.17</v>
      </c>
      <c r="CE72" s="109">
        <v>101.74</v>
      </c>
      <c r="CF72" s="109">
        <v>101.58</v>
      </c>
      <c r="CG72" s="109">
        <v>101.7</v>
      </c>
      <c r="CH72" s="109">
        <v>101.8</v>
      </c>
      <c r="CI72" s="109">
        <v>102.16</v>
      </c>
      <c r="CJ72" s="109">
        <v>102.06</v>
      </c>
      <c r="CK72" s="109">
        <v>102.05</v>
      </c>
      <c r="CL72" s="109">
        <v>103.22</v>
      </c>
      <c r="CM72" s="109">
        <v>103.43</v>
      </c>
      <c r="CN72" s="109">
        <v>103.92</v>
      </c>
      <c r="CO72" s="109">
        <v>103.93</v>
      </c>
      <c r="CP72" s="109">
        <v>103.8</v>
      </c>
      <c r="CQ72" s="109">
        <v>104.35</v>
      </c>
      <c r="CR72" s="109">
        <v>104.12</v>
      </c>
      <c r="CS72" s="109">
        <v>104.24</v>
      </c>
      <c r="CT72" s="109">
        <v>104</v>
      </c>
      <c r="CU72" s="109">
        <v>104.1</v>
      </c>
      <c r="CV72" s="109">
        <v>103.52</v>
      </c>
      <c r="CW72" s="109">
        <v>103.64</v>
      </c>
      <c r="CX72" s="109">
        <v>104.55</v>
      </c>
      <c r="CY72" s="109">
        <v>104.93</v>
      </c>
      <c r="CZ72" s="109">
        <v>105.06</v>
      </c>
      <c r="DA72" s="109">
        <v>105.35</v>
      </c>
      <c r="DB72" s="109">
        <v>105.11</v>
      </c>
      <c r="DC72" s="109">
        <v>105.65</v>
      </c>
      <c r="DD72" s="109">
        <v>104.5</v>
      </c>
      <c r="DE72" s="109">
        <v>104.46</v>
      </c>
      <c r="DF72" s="109">
        <v>104.52</v>
      </c>
      <c r="DG72" s="109">
        <v>104.98</v>
      </c>
      <c r="DH72" s="109">
        <v>104.54</v>
      </c>
      <c r="DI72" s="109">
        <v>104.53</v>
      </c>
      <c r="DJ72" s="109">
        <v>104.59</v>
      </c>
      <c r="DK72" s="109">
        <v>104.56</v>
      </c>
      <c r="DL72" s="109">
        <v>104.71</v>
      </c>
      <c r="DM72" s="109">
        <v>104.79</v>
      </c>
      <c r="DN72" s="109">
        <v>105.19</v>
      </c>
      <c r="DO72" s="109">
        <v>105.09</v>
      </c>
      <c r="DP72" s="109">
        <v>104.55</v>
      </c>
      <c r="DQ72" s="109">
        <v>104.51</v>
      </c>
      <c r="DR72" s="109">
        <v>104.73</v>
      </c>
      <c r="DS72" s="109">
        <v>104.96</v>
      </c>
      <c r="DT72" s="109">
        <v>105.12</v>
      </c>
      <c r="DU72" s="109">
        <v>105.12</v>
      </c>
      <c r="DV72" s="109">
        <v>105.75</v>
      </c>
      <c r="DW72" s="109">
        <v>105.86</v>
      </c>
      <c r="DX72" s="109">
        <v>106.2</v>
      </c>
      <c r="DY72" s="109">
        <v>106.34</v>
      </c>
      <c r="DZ72" s="109">
        <v>106.4</v>
      </c>
      <c r="EA72" s="109">
        <v>107.05</v>
      </c>
      <c r="EB72" s="109">
        <v>106.81</v>
      </c>
      <c r="EC72" s="109">
        <v>107.25</v>
      </c>
      <c r="ED72" s="109">
        <v>107.64</v>
      </c>
      <c r="EE72" s="109">
        <v>107.85</v>
      </c>
      <c r="EF72" s="109">
        <v>108.12</v>
      </c>
      <c r="EG72" s="109">
        <v>108.94</v>
      </c>
      <c r="EH72" s="109">
        <v>110.49</v>
      </c>
      <c r="EI72" s="109">
        <v>110.97</v>
      </c>
      <c r="EJ72" s="109">
        <v>111.79</v>
      </c>
      <c r="EK72" s="109">
        <v>112.55</v>
      </c>
      <c r="EL72" s="109">
        <v>112.87</v>
      </c>
      <c r="EM72" s="109">
        <v>113.38</v>
      </c>
      <c r="EN72" s="109">
        <v>112.74</v>
      </c>
      <c r="EO72" s="109">
        <v>113.9</v>
      </c>
      <c r="EP72" s="109">
        <v>114.26</v>
      </c>
      <c r="EQ72" s="109">
        <v>114.16</v>
      </c>
      <c r="ER72" s="109">
        <v>114.6</v>
      </c>
      <c r="ES72" s="109">
        <v>115.78</v>
      </c>
      <c r="ET72" s="109">
        <v>116.79</v>
      </c>
      <c r="EU72" s="109">
        <v>117.5</v>
      </c>
      <c r="EV72" s="109">
        <v>117.44</v>
      </c>
      <c r="EW72" s="109">
        <v>117.65</v>
      </c>
      <c r="EX72" s="109">
        <v>117.71</v>
      </c>
      <c r="EY72" s="148">
        <v>118.32</v>
      </c>
      <c r="EZ72" s="148">
        <v>118.43</v>
      </c>
      <c r="FA72" s="148">
        <v>118.58</v>
      </c>
      <c r="FB72" s="148">
        <v>118.54</v>
      </c>
      <c r="FC72" s="148">
        <v>118.93</v>
      </c>
      <c r="FD72" s="148">
        <v>118.95</v>
      </c>
      <c r="FE72" s="148">
        <v>119.55</v>
      </c>
      <c r="FF72" s="109">
        <v>119.1</v>
      </c>
      <c r="FG72" s="109">
        <v>120.07</v>
      </c>
      <c r="FH72" s="109">
        <v>120.11</v>
      </c>
      <c r="FI72" s="109">
        <v>120.2</v>
      </c>
      <c r="FJ72" s="109">
        <v>120.42</v>
      </c>
      <c r="FK72" s="109">
        <v>121.06</v>
      </c>
      <c r="FL72" s="109">
        <v>119.56</v>
      </c>
      <c r="FM72" s="109">
        <v>119.89</v>
      </c>
      <c r="FN72" s="109">
        <v>119.81</v>
      </c>
      <c r="FO72" s="109">
        <v>119.95</v>
      </c>
      <c r="FP72" s="109">
        <v>120.14</v>
      </c>
      <c r="FQ72" s="109">
        <v>120.16</v>
      </c>
      <c r="FR72" s="109">
        <v>120.38</v>
      </c>
      <c r="FS72" s="192">
        <v>121.06</v>
      </c>
      <c r="FT72" s="192">
        <v>121.91</v>
      </c>
    </row>
    <row r="73" spans="1:176" s="109" customFormat="1" x14ac:dyDescent="0.25">
      <c r="A73" s="194" t="s">
        <v>261</v>
      </c>
      <c r="B73" s="31" t="s">
        <v>53</v>
      </c>
      <c r="C73" s="71" t="s">
        <v>205</v>
      </c>
      <c r="D73" s="109">
        <v>220.22300000000001</v>
      </c>
      <c r="E73" s="109">
        <v>221.309</v>
      </c>
      <c r="F73" s="109">
        <v>223.46700000000001</v>
      </c>
      <c r="G73" s="109">
        <v>224.90600000000001</v>
      </c>
      <c r="H73" s="109">
        <v>225.964</v>
      </c>
      <c r="I73" s="109">
        <v>225.72200000000001</v>
      </c>
      <c r="J73" s="109">
        <v>225.922</v>
      </c>
      <c r="K73" s="109">
        <v>226.54499999999999</v>
      </c>
      <c r="L73" s="109">
        <v>226.88900000000001</v>
      </c>
      <c r="M73" s="109">
        <v>226.42099999999999</v>
      </c>
      <c r="N73" s="109">
        <v>226.42099999999999</v>
      </c>
      <c r="O73" s="109">
        <v>226.23</v>
      </c>
      <c r="P73" s="109">
        <v>226.66499999999999</v>
      </c>
      <c r="Q73" s="109">
        <v>227.66300000000001</v>
      </c>
      <c r="R73" s="109">
        <v>229.392</v>
      </c>
      <c r="S73" s="109">
        <v>230.08500000000001</v>
      </c>
      <c r="T73" s="109">
        <v>229.815</v>
      </c>
      <c r="U73" s="109">
        <v>229.47800000000001</v>
      </c>
      <c r="V73" s="109">
        <v>229.10400000000001</v>
      </c>
      <c r="W73" s="109">
        <v>230.37899999999999</v>
      </c>
      <c r="X73" s="109">
        <v>231.40700000000001</v>
      </c>
      <c r="Y73" s="109">
        <v>231.31700000000001</v>
      </c>
      <c r="Z73" s="109">
        <v>230.221</v>
      </c>
      <c r="AA73" s="109">
        <v>229.601</v>
      </c>
      <c r="AB73" s="109">
        <v>230.28</v>
      </c>
      <c r="AC73" s="109">
        <v>232.166</v>
      </c>
      <c r="AD73" s="109">
        <v>232.773</v>
      </c>
      <c r="AE73" s="109">
        <v>232.53100000000001</v>
      </c>
      <c r="AF73" s="109">
        <v>232.94499999999999</v>
      </c>
      <c r="AG73" s="109">
        <v>233.50399999999999</v>
      </c>
      <c r="AH73" s="109">
        <v>233.596</v>
      </c>
      <c r="AI73" s="109">
        <v>233.87700000000001</v>
      </c>
      <c r="AJ73" s="109">
        <v>234.149</v>
      </c>
      <c r="AK73" s="109">
        <v>233.54599999999999</v>
      </c>
      <c r="AL73" s="109">
        <v>233.06899999999999</v>
      </c>
      <c r="AM73" s="109">
        <v>233.04900000000001</v>
      </c>
      <c r="AN73" s="109">
        <v>233.916</v>
      </c>
      <c r="AO73" s="109">
        <v>234.78100000000001</v>
      </c>
      <c r="AP73" s="109">
        <v>236.29300000000001</v>
      </c>
      <c r="AQ73" s="109">
        <v>237.072</v>
      </c>
      <c r="AR73" s="109">
        <v>237.9</v>
      </c>
      <c r="AS73" s="109">
        <v>238.34299999999999</v>
      </c>
      <c r="AT73" s="109">
        <v>238.25</v>
      </c>
      <c r="AU73" s="109">
        <v>237.852</v>
      </c>
      <c r="AV73" s="109">
        <v>238.03100000000001</v>
      </c>
      <c r="AW73" s="109">
        <v>237.43299999999999</v>
      </c>
      <c r="AX73" s="109">
        <v>236.15100000000001</v>
      </c>
      <c r="AY73" s="109">
        <v>234.81200000000001</v>
      </c>
      <c r="AZ73" s="109">
        <v>233.70699999999999</v>
      </c>
      <c r="BA73" s="109">
        <v>234.72200000000001</v>
      </c>
      <c r="BB73" s="109">
        <v>236.119</v>
      </c>
      <c r="BC73" s="109">
        <v>236.59899999999999</v>
      </c>
      <c r="BD73" s="109">
        <v>237.80500000000001</v>
      </c>
      <c r="BE73" s="109">
        <v>238.63800000000001</v>
      </c>
      <c r="BF73" s="109">
        <v>238.654</v>
      </c>
      <c r="BG73" s="109">
        <v>238.316</v>
      </c>
      <c r="BH73" s="109">
        <v>237.94499999999999</v>
      </c>
      <c r="BI73" s="109">
        <v>237.83799999999999</v>
      </c>
      <c r="BJ73" s="109">
        <v>237.33600000000001</v>
      </c>
      <c r="BK73" s="109">
        <v>236.52500000000001</v>
      </c>
      <c r="BL73" s="109">
        <v>236.916</v>
      </c>
      <c r="BM73" s="109">
        <v>237.11099999999999</v>
      </c>
      <c r="BN73" s="109">
        <v>238.13200000000001</v>
      </c>
      <c r="BO73" s="109">
        <v>239.261</v>
      </c>
      <c r="BP73" s="109">
        <v>240.23599999999999</v>
      </c>
      <c r="BQ73" s="109">
        <v>241.03800000000001</v>
      </c>
      <c r="BR73" s="109">
        <v>240.64699999999999</v>
      </c>
      <c r="BS73" s="109">
        <v>240.85300000000001</v>
      </c>
      <c r="BT73" s="109">
        <v>241.428</v>
      </c>
      <c r="BU73" s="109">
        <v>241.72900000000001</v>
      </c>
      <c r="BV73" s="109">
        <v>241.35300000000001</v>
      </c>
      <c r="BW73" s="109">
        <v>241.43199999999999</v>
      </c>
      <c r="BX73" s="109">
        <v>242.839</v>
      </c>
      <c r="BY73" s="109">
        <v>243.60300000000001</v>
      </c>
      <c r="BZ73" s="109">
        <v>243.80099999999999</v>
      </c>
      <c r="CA73" s="109">
        <v>244.524</v>
      </c>
      <c r="CB73" s="109">
        <v>244.733</v>
      </c>
      <c r="CC73" s="109">
        <v>244.95500000000001</v>
      </c>
      <c r="CD73" s="109">
        <v>244.786</v>
      </c>
      <c r="CE73" s="109">
        <v>245.51900000000001</v>
      </c>
      <c r="CF73" s="109">
        <v>246.81899999999999</v>
      </c>
      <c r="CG73" s="109">
        <v>246.66300000000001</v>
      </c>
      <c r="CH73" s="109">
        <v>246.66900000000001</v>
      </c>
      <c r="CI73" s="109">
        <v>246.524</v>
      </c>
      <c r="CJ73" s="109">
        <v>247.86699999999999</v>
      </c>
      <c r="CK73" s="109">
        <v>248.99100000000001</v>
      </c>
      <c r="CL73" s="109">
        <v>249.554</v>
      </c>
      <c r="CM73" s="109">
        <v>250.54599999999999</v>
      </c>
      <c r="CN73" s="109">
        <v>251.58799999999999</v>
      </c>
      <c r="CO73" s="109">
        <v>251.989</v>
      </c>
      <c r="CP73" s="109">
        <v>252.006</v>
      </c>
      <c r="CQ73" s="109">
        <v>252.14599999999999</v>
      </c>
      <c r="CR73" s="109">
        <v>252.43899999999999</v>
      </c>
      <c r="CS73" s="109">
        <v>252.88499999999999</v>
      </c>
      <c r="CT73" s="109">
        <v>252.03800000000001</v>
      </c>
      <c r="CU73" s="109">
        <v>251.233</v>
      </c>
      <c r="CV73" s="109">
        <v>251.71199999999999</v>
      </c>
      <c r="CW73" s="109">
        <v>252.77600000000001</v>
      </c>
      <c r="CX73" s="109">
        <v>254.202</v>
      </c>
      <c r="CY73" s="109">
        <v>255.548</v>
      </c>
      <c r="CZ73" s="109">
        <v>256.09199999999998</v>
      </c>
      <c r="DA73" s="109">
        <v>256.14299999999997</v>
      </c>
      <c r="DB73" s="109">
        <v>256.57100000000003</v>
      </c>
      <c r="DW73" s="109">
        <v>267.05</v>
      </c>
      <c r="DX73" s="109">
        <v>269.2</v>
      </c>
      <c r="DY73" s="109">
        <v>271.7</v>
      </c>
      <c r="DZ73" s="109">
        <v>273</v>
      </c>
      <c r="EA73" s="109">
        <v>273.57</v>
      </c>
      <c r="EB73" s="109">
        <v>274.31</v>
      </c>
      <c r="EC73" s="109">
        <v>276.58999999999997</v>
      </c>
      <c r="ED73" s="109">
        <v>277.95</v>
      </c>
      <c r="EE73" s="109">
        <v>278.8</v>
      </c>
      <c r="EF73" s="109">
        <v>281.14999999999998</v>
      </c>
      <c r="EG73" s="109">
        <v>283.72000000000003</v>
      </c>
      <c r="EH73" s="109">
        <v>287.5</v>
      </c>
      <c r="EI73" s="109">
        <v>289.11</v>
      </c>
      <c r="EJ73" s="109">
        <v>292.3</v>
      </c>
      <c r="EK73" s="109">
        <v>296.31</v>
      </c>
      <c r="EL73" s="109">
        <v>296.27999999999997</v>
      </c>
      <c r="EM73" s="109">
        <v>296.17</v>
      </c>
      <c r="EN73" s="109">
        <v>296.81</v>
      </c>
      <c r="EO73" s="109">
        <v>298.01</v>
      </c>
      <c r="EP73" s="109">
        <v>297.70999999999998</v>
      </c>
      <c r="EQ73" s="109">
        <v>296.8</v>
      </c>
      <c r="ER73" s="109">
        <v>299.17</v>
      </c>
      <c r="ES73" s="109">
        <v>300.83999999999997</v>
      </c>
      <c r="ET73" s="109">
        <v>301.83999999999997</v>
      </c>
      <c r="EU73" s="109">
        <v>303.36</v>
      </c>
      <c r="EV73" s="109">
        <v>304.10000000000002</v>
      </c>
      <c r="EW73" s="109">
        <v>305.2</v>
      </c>
      <c r="EX73" s="109">
        <v>305.7</v>
      </c>
      <c r="EY73" s="149">
        <v>307</v>
      </c>
      <c r="EZ73" s="149">
        <v>307.8</v>
      </c>
      <c r="FA73" s="149">
        <v>307.7</v>
      </c>
      <c r="FB73" s="149">
        <v>307.10000000000002</v>
      </c>
      <c r="FC73" s="149">
        <v>306.74</v>
      </c>
      <c r="FD73" s="149">
        <v>308.41000000000003</v>
      </c>
      <c r="FE73" s="149">
        <v>310.32</v>
      </c>
      <c r="FF73" s="109">
        <v>312.32</v>
      </c>
      <c r="FG73" s="109">
        <v>313.55</v>
      </c>
      <c r="FH73" s="109">
        <v>314.07</v>
      </c>
      <c r="FI73" s="109">
        <v>314.18</v>
      </c>
      <c r="FJ73" s="109">
        <v>314.54000000000002</v>
      </c>
      <c r="FK73" s="109">
        <v>314.8</v>
      </c>
      <c r="FL73" s="109">
        <v>315.3</v>
      </c>
      <c r="FM73" s="109">
        <v>315.66000000000003</v>
      </c>
      <c r="FN73" s="109">
        <v>315.49</v>
      </c>
      <c r="FO73" s="109">
        <v>315.61</v>
      </c>
      <c r="FP73" s="109">
        <v>317.67</v>
      </c>
      <c r="FQ73" s="109">
        <v>319.10000000000002</v>
      </c>
      <c r="FR73" s="109">
        <v>319.79000000000002</v>
      </c>
      <c r="FS73" s="192">
        <v>320.79000000000002</v>
      </c>
      <c r="FT73" s="192"/>
    </row>
    <row r="74" spans="1:176" s="109" customFormat="1" x14ac:dyDescent="0.25">
      <c r="A74" s="194" t="s">
        <v>262</v>
      </c>
      <c r="B74" s="31" t="s">
        <v>72</v>
      </c>
      <c r="C74" s="72" t="s">
        <v>263</v>
      </c>
      <c r="D74" s="109">
        <v>115.6</v>
      </c>
      <c r="E74" s="109">
        <v>116.7</v>
      </c>
      <c r="F74" s="109">
        <v>118.3</v>
      </c>
      <c r="G74" s="109">
        <v>117.7</v>
      </c>
      <c r="H74" s="109">
        <v>118.7</v>
      </c>
      <c r="I74" s="109">
        <v>119.9</v>
      </c>
      <c r="J74" s="109">
        <v>120.3</v>
      </c>
      <c r="K74" s="109">
        <v>122.3</v>
      </c>
      <c r="L74" s="109">
        <v>124</v>
      </c>
      <c r="M74" s="109">
        <v>124.6</v>
      </c>
      <c r="N74" s="109">
        <v>124.7</v>
      </c>
      <c r="O74" s="109">
        <v>126</v>
      </c>
      <c r="P74" s="109">
        <v>130.19999999999999</v>
      </c>
      <c r="Q74" s="109">
        <v>130.5</v>
      </c>
      <c r="R74" s="109">
        <v>132.6</v>
      </c>
      <c r="S74" s="109">
        <v>132.80000000000001</v>
      </c>
      <c r="T74" s="109">
        <v>133.80000000000001</v>
      </c>
      <c r="U74" s="109">
        <v>135.30000000000001</v>
      </c>
      <c r="V74" s="109">
        <v>135.69999999999999</v>
      </c>
      <c r="W74" s="109">
        <v>136.6</v>
      </c>
      <c r="X74" s="109">
        <v>138</v>
      </c>
      <c r="Y74" s="109">
        <v>139.19999999999999</v>
      </c>
      <c r="Z74" s="109">
        <v>140</v>
      </c>
      <c r="AA74" s="109">
        <v>141.19999999999999</v>
      </c>
      <c r="AB74" s="109">
        <v>141.9</v>
      </c>
      <c r="AC74" s="109">
        <v>143</v>
      </c>
      <c r="AD74" s="109">
        <v>144</v>
      </c>
      <c r="AE74" s="109">
        <v>144.80000000000001</v>
      </c>
      <c r="AF74" s="109">
        <v>145.80000000000001</v>
      </c>
      <c r="AG74" s="109">
        <v>146.6</v>
      </c>
      <c r="AH74" s="109">
        <v>147.4</v>
      </c>
      <c r="AI74" s="109">
        <v>147.80000000000001</v>
      </c>
      <c r="AJ74" s="109">
        <v>148.90850000000003</v>
      </c>
      <c r="AK74" s="109">
        <v>150</v>
      </c>
      <c r="AL74" s="109">
        <v>151.1</v>
      </c>
      <c r="AM74" s="109">
        <v>152.30000000000001</v>
      </c>
      <c r="AN74" s="109">
        <v>153.30000000000001</v>
      </c>
      <c r="AO74" s="109">
        <v>154</v>
      </c>
      <c r="AP74" s="109">
        <v>155.19999999999999</v>
      </c>
      <c r="AQ74" s="109">
        <v>156.19999999999999</v>
      </c>
      <c r="AR74" s="109">
        <v>157.4</v>
      </c>
      <c r="AS74" s="109">
        <v>158.6</v>
      </c>
      <c r="AT74" s="109">
        <v>159.69999999999999</v>
      </c>
      <c r="AU74" s="109">
        <v>160.4</v>
      </c>
      <c r="AV74" s="109">
        <v>161.30000000000001</v>
      </c>
      <c r="AW74" s="109">
        <v>162.1</v>
      </c>
      <c r="AX74" s="109">
        <v>163.1</v>
      </c>
      <c r="AY74" s="109">
        <v>164.4</v>
      </c>
      <c r="AZ74" s="109">
        <v>165.76640124921758</v>
      </c>
      <c r="BA74" s="109">
        <v>166.901129082572</v>
      </c>
      <c r="BB74" s="109">
        <v>168.41986231233099</v>
      </c>
      <c r="BC74" s="109">
        <v>169.70818437657499</v>
      </c>
      <c r="BD74" s="109">
        <v>171.57735565776201</v>
      </c>
      <c r="BE74" s="109">
        <v>173.16578467426601</v>
      </c>
      <c r="BF74" s="109">
        <v>174.36741071215195</v>
      </c>
      <c r="BG74" s="109">
        <v>175.399354897905</v>
      </c>
      <c r="BH74" s="109">
        <v>176.46129071508099</v>
      </c>
      <c r="BI74" s="109">
        <v>177.20070684553821</v>
      </c>
      <c r="BJ74" s="109">
        <v>178.37088002796099</v>
      </c>
      <c r="BK74" s="109">
        <v>180.14536694823201</v>
      </c>
      <c r="BL74" s="109">
        <v>181.70766619327526</v>
      </c>
      <c r="BM74" s="109">
        <v>185.89287684069549</v>
      </c>
      <c r="BN74" s="109">
        <v>189.93501093282194</v>
      </c>
      <c r="BO74" s="109">
        <v>192.99391978523843</v>
      </c>
      <c r="BP74" s="109">
        <v>198.30441521333407</v>
      </c>
      <c r="BQ74" s="109">
        <v>201.70378740537373</v>
      </c>
      <c r="BR74" s="109">
        <v>204.23072924860281</v>
      </c>
      <c r="BS74" s="109">
        <v>206.2859888822054</v>
      </c>
      <c r="BT74" s="109">
        <v>207.963228351157</v>
      </c>
      <c r="BU74" s="109">
        <v>209.68099241244283</v>
      </c>
      <c r="BV74" s="109">
        <v>211.32697763747194</v>
      </c>
      <c r="BW74" s="109">
        <v>213.55686290408624</v>
      </c>
      <c r="BX74" s="109">
        <v>215.72123489309226</v>
      </c>
      <c r="BY74" s="109">
        <v>218.94537805712932</v>
      </c>
      <c r="BZ74" s="109">
        <v>222.70933114132129</v>
      </c>
      <c r="CA74" s="109">
        <v>226.27459961675038</v>
      </c>
      <c r="CB74" s="109">
        <v>230.53162702560988</v>
      </c>
      <c r="CC74" s="109">
        <v>234.17486502637016</v>
      </c>
      <c r="CD74" s="109">
        <v>237.01570360511272</v>
      </c>
      <c r="CE74" s="109">
        <v>239.31547329535923</v>
      </c>
      <c r="CF74" s="109">
        <v>241.19367322882204</v>
      </c>
      <c r="CG74" s="109">
        <v>243.03124944763937</v>
      </c>
      <c r="CH74" s="109">
        <v>244.93089946343028</v>
      </c>
      <c r="CI74" s="109">
        <v>246.38399653542567</v>
      </c>
      <c r="CJ74" s="109">
        <v>248.35283031764737</v>
      </c>
      <c r="CK74" s="109">
        <v>250.31940419591601</v>
      </c>
      <c r="CL74" s="109">
        <v>252.41246722004092</v>
      </c>
      <c r="CM74" s="109">
        <v>254.51896318281376</v>
      </c>
      <c r="CN74" s="109">
        <v>257.29136415807073</v>
      </c>
      <c r="CO74" s="109">
        <v>260.47459160597731</v>
      </c>
      <c r="CP74" s="109">
        <v>263.42359387672201</v>
      </c>
      <c r="CQ74" s="109">
        <v>266.18446411039935</v>
      </c>
      <c r="CR74" s="109">
        <v>268.410499925762</v>
      </c>
      <c r="CS74" s="109">
        <v>270.39488319983968</v>
      </c>
      <c r="CT74" s="109">
        <v>272.56078866015395</v>
      </c>
      <c r="CU74" s="109">
        <v>274.57474400131753</v>
      </c>
      <c r="CV74" s="109">
        <v>276.60000000000002</v>
      </c>
      <c r="CW74" s="109">
        <v>278.60000000000002</v>
      </c>
      <c r="CX74" s="109">
        <v>280.8</v>
      </c>
      <c r="CY74" s="109">
        <v>283.5</v>
      </c>
      <c r="CZ74" s="109">
        <v>286.60000000000002</v>
      </c>
      <c r="DA74" s="109">
        <v>289.7</v>
      </c>
      <c r="DB74" s="109">
        <v>292.60000000000002</v>
      </c>
      <c r="DC74" s="109">
        <v>295.5</v>
      </c>
      <c r="DD74" s="109">
        <v>298.60000000000002</v>
      </c>
      <c r="DE74" s="109">
        <v>301.8</v>
      </c>
      <c r="DF74" s="109">
        <v>304.89999999999998</v>
      </c>
      <c r="DG74" s="109">
        <v>307.5</v>
      </c>
      <c r="DH74" s="109">
        <v>310.2</v>
      </c>
      <c r="DI74" s="109">
        <v>312.60000000000002</v>
      </c>
      <c r="DJ74" s="109">
        <v>315.2</v>
      </c>
      <c r="DK74" s="109">
        <v>318.39999999999998</v>
      </c>
      <c r="DL74" s="109">
        <v>322.2</v>
      </c>
      <c r="DM74" s="109">
        <v>326.10000000000002</v>
      </c>
      <c r="DN74" s="109">
        <v>330.1</v>
      </c>
      <c r="DO74" s="109">
        <v>334.6</v>
      </c>
      <c r="DP74" s="109">
        <v>339.5</v>
      </c>
      <c r="DQ74" s="109">
        <v>344.7</v>
      </c>
      <c r="DR74" s="109">
        <v>350.3</v>
      </c>
      <c r="DS74" s="109">
        <v>355.9</v>
      </c>
      <c r="DT74" s="109">
        <v>361.2</v>
      </c>
      <c r="DU74" s="109">
        <v>366.8</v>
      </c>
      <c r="DV74" s="109">
        <v>372.5</v>
      </c>
      <c r="DW74" s="109">
        <v>376.1</v>
      </c>
      <c r="DX74" s="109">
        <v>379.9</v>
      </c>
      <c r="DY74" s="109">
        <v>384</v>
      </c>
      <c r="DZ74" s="109">
        <v>387.5</v>
      </c>
      <c r="EA74" s="109">
        <v>391.5</v>
      </c>
      <c r="EB74" s="109">
        <v>396</v>
      </c>
      <c r="EC74" s="109">
        <v>399.9</v>
      </c>
      <c r="ED74" s="109">
        <v>404.2</v>
      </c>
      <c r="EE74" s="109">
        <v>411.5</v>
      </c>
      <c r="EF74" s="109">
        <v>417.6</v>
      </c>
      <c r="EG74" s="109">
        <v>424.4</v>
      </c>
      <c r="EH74" s="109">
        <v>431.8</v>
      </c>
      <c r="EJ74" s="109">
        <v>447.2</v>
      </c>
      <c r="EK74" s="109">
        <v>455.4</v>
      </c>
      <c r="EL74" s="109">
        <v>463.6</v>
      </c>
      <c r="EM74" s="109">
        <v>471.8</v>
      </c>
      <c r="EN74" s="109">
        <v>478.2</v>
      </c>
      <c r="EO74" s="109">
        <v>484.2</v>
      </c>
      <c r="EP74" s="109">
        <v>490.9</v>
      </c>
      <c r="EQ74" s="109">
        <v>499.4</v>
      </c>
      <c r="ER74" s="109">
        <v>508.7</v>
      </c>
      <c r="ES74" s="109">
        <v>517.70000000000005</v>
      </c>
      <c r="ET74" s="109">
        <v>527</v>
      </c>
      <c r="EU74" s="109">
        <v>537</v>
      </c>
      <c r="EV74" s="109">
        <v>547.5</v>
      </c>
      <c r="EW74" s="109">
        <v>559.1</v>
      </c>
      <c r="EX74" s="109">
        <v>575.29999999999995</v>
      </c>
      <c r="EY74" s="148">
        <v>593.6</v>
      </c>
      <c r="EZ74" s="148">
        <v>606</v>
      </c>
      <c r="FA74" s="148">
        <v>616.5</v>
      </c>
      <c r="FB74" s="148">
        <v>629.4</v>
      </c>
      <c r="FC74" s="150">
        <v>643.82648000000006</v>
      </c>
      <c r="FD74" s="150">
        <v>660.80129999999997</v>
      </c>
      <c r="FE74" s="150">
        <v>681.81090000000006</v>
      </c>
      <c r="FF74" s="112">
        <v>701.96400000000006</v>
      </c>
      <c r="FG74" s="109">
        <v>718</v>
      </c>
      <c r="FH74" s="109">
        <v>733.4</v>
      </c>
      <c r="FI74" s="109">
        <v>750.3</v>
      </c>
      <c r="FJ74" s="109">
        <v>767.4</v>
      </c>
      <c r="FK74" s="109">
        <v>784.4</v>
      </c>
      <c r="FL74" s="109">
        <v>804.1</v>
      </c>
      <c r="FM74" s="109">
        <v>825.4</v>
      </c>
      <c r="FP74" s="109">
        <v>110.68</v>
      </c>
      <c r="FQ74" s="109">
        <v>112.93922999999999</v>
      </c>
      <c r="FR74" s="109">
        <v>117.338528</v>
      </c>
      <c r="FS74" s="192">
        <v>119.52</v>
      </c>
      <c r="FT74" s="192"/>
    </row>
    <row r="75" spans="1:176" s="192" customFormat="1" x14ac:dyDescent="0.25">
      <c r="A75" s="193" t="s">
        <v>250</v>
      </c>
      <c r="B75" s="190" t="s">
        <v>73</v>
      </c>
      <c r="C75" s="191" t="s">
        <v>204</v>
      </c>
      <c r="AZ75" s="192">
        <v>125.67</v>
      </c>
      <c r="BA75" s="192">
        <v>125.29</v>
      </c>
      <c r="BB75" s="192">
        <v>125.35</v>
      </c>
      <c r="BC75" s="192">
        <v>125.42</v>
      </c>
      <c r="BD75" s="192">
        <v>125.5</v>
      </c>
      <c r="BE75" s="192">
        <v>125.56</v>
      </c>
      <c r="BF75" s="192">
        <v>125.63</v>
      </c>
      <c r="BG75" s="192">
        <v>125.73</v>
      </c>
      <c r="BH75" s="192">
        <v>125.81</v>
      </c>
      <c r="BI75" s="192">
        <v>125.89</v>
      </c>
      <c r="BJ75" s="192">
        <v>126.01</v>
      </c>
      <c r="BK75" s="192">
        <v>126.11</v>
      </c>
      <c r="BL75" s="192">
        <v>126.26</v>
      </c>
      <c r="BM75" s="192">
        <v>126.36</v>
      </c>
      <c r="BN75" s="192">
        <v>126.48</v>
      </c>
      <c r="BO75" s="192">
        <v>126.69</v>
      </c>
      <c r="BP75" s="192">
        <v>126.88</v>
      </c>
      <c r="BQ75" s="192">
        <v>127.05</v>
      </c>
      <c r="BR75" s="192">
        <v>127.67</v>
      </c>
      <c r="BS75" s="192">
        <v>128.38999999999999</v>
      </c>
      <c r="BT75" s="192">
        <v>129.12</v>
      </c>
      <c r="BU75" s="192">
        <v>130.47</v>
      </c>
      <c r="BV75" s="192">
        <v>132.38999999999999</v>
      </c>
      <c r="BW75" s="192">
        <v>134.80000000000001</v>
      </c>
      <c r="BX75" s="192">
        <v>140.44999999999999</v>
      </c>
      <c r="BY75" s="192">
        <v>142.59</v>
      </c>
      <c r="BZ75" s="192">
        <v>145.25</v>
      </c>
      <c r="CA75" s="192">
        <v>148.72999999999999</v>
      </c>
      <c r="CB75" s="192">
        <v>153.33000000000001</v>
      </c>
      <c r="CC75" s="192">
        <v>157.93</v>
      </c>
      <c r="CD75" s="192">
        <v>169.62</v>
      </c>
      <c r="CE75" s="192">
        <v>183.32</v>
      </c>
      <c r="CF75" s="192">
        <v>188.39</v>
      </c>
      <c r="CG75" s="192">
        <v>193.47</v>
      </c>
      <c r="CH75" s="192">
        <v>201.47</v>
      </c>
      <c r="CI75" s="192">
        <v>211.64</v>
      </c>
      <c r="CJ75" s="192">
        <v>217.29</v>
      </c>
      <c r="CK75" s="192">
        <v>220.28</v>
      </c>
      <c r="CL75" s="192">
        <v>221.85</v>
      </c>
      <c r="CM75" s="192">
        <v>223.7</v>
      </c>
      <c r="CN75" s="192">
        <v>225.34</v>
      </c>
      <c r="CO75" s="192">
        <v>228.03</v>
      </c>
      <c r="CP75" s="192">
        <v>228.6</v>
      </c>
      <c r="CQ75" s="192">
        <v>228.92</v>
      </c>
      <c r="CR75" s="192">
        <v>229.32</v>
      </c>
      <c r="CS75" s="192">
        <v>229.79</v>
      </c>
      <c r="CT75" s="192">
        <v>230.75</v>
      </c>
      <c r="CU75" s="192">
        <v>231.85</v>
      </c>
      <c r="CV75" s="192">
        <v>232.99</v>
      </c>
      <c r="CW75" s="192">
        <v>233.62</v>
      </c>
      <c r="CX75" s="192">
        <v>234.64</v>
      </c>
      <c r="CY75" s="192">
        <v>235.28</v>
      </c>
      <c r="CZ75" s="192">
        <v>236.15</v>
      </c>
      <c r="DA75" s="192">
        <v>237.05</v>
      </c>
      <c r="DB75" s="192">
        <v>237.88</v>
      </c>
      <c r="DH75" s="192">
        <v>250.119601867288</v>
      </c>
      <c r="DI75" s="192">
        <v>250.83373711455201</v>
      </c>
      <c r="DJ75" s="192">
        <v>251.54787236181599</v>
      </c>
      <c r="DK75" s="192">
        <v>252.262007609081</v>
      </c>
      <c r="DL75" s="192">
        <v>252.97614285634501</v>
      </c>
      <c r="DM75" s="192">
        <v>253.69027810361001</v>
      </c>
      <c r="DN75" s="192">
        <v>254.40441335087399</v>
      </c>
      <c r="DO75" s="192">
        <v>255.118548598139</v>
      </c>
      <c r="DP75" s="192">
        <v>255.83268384540301</v>
      </c>
      <c r="DQ75" s="192">
        <v>256.54681909266702</v>
      </c>
      <c r="DR75" s="192">
        <v>257.26095433993203</v>
      </c>
      <c r="DS75" s="192">
        <v>257.97508958719601</v>
      </c>
      <c r="DT75" s="192">
        <v>258.68922483446102</v>
      </c>
      <c r="DU75" s="192">
        <v>259.403360081725</v>
      </c>
      <c r="DV75" s="192">
        <v>260.11749532899</v>
      </c>
      <c r="DW75" s="192">
        <v>260.83163057625399</v>
      </c>
      <c r="DX75" s="192">
        <v>261.54576582351899</v>
      </c>
      <c r="DY75" s="192">
        <v>262.25990107078297</v>
      </c>
      <c r="DZ75" s="192">
        <v>262.97403631804701</v>
      </c>
      <c r="EA75" s="192">
        <v>263.68817156531202</v>
      </c>
      <c r="EB75" s="192">
        <v>264.402306812576</v>
      </c>
      <c r="EC75" s="192">
        <v>265.11644205984101</v>
      </c>
      <c r="ED75" s="192">
        <v>265.83057730710601</v>
      </c>
      <c r="EE75" s="192">
        <v>266.544712554368</v>
      </c>
      <c r="EF75" s="192">
        <v>267.25884780163199</v>
      </c>
      <c r="EG75" s="192">
        <v>267.97298304889603</v>
      </c>
      <c r="EH75" s="192">
        <v>268.68711829616001</v>
      </c>
      <c r="EI75" s="192">
        <v>269.40125354342399</v>
      </c>
      <c r="EJ75" s="192">
        <v>270.11538879068797</v>
      </c>
      <c r="EW75" s="192">
        <v>112.2</v>
      </c>
      <c r="EX75" s="192">
        <v>112.6</v>
      </c>
      <c r="EY75" s="192">
        <v>112.7</v>
      </c>
      <c r="EZ75" s="192">
        <v>112.3</v>
      </c>
      <c r="FA75" s="192">
        <v>112.1</v>
      </c>
      <c r="FB75" s="192">
        <v>112.8</v>
      </c>
      <c r="FC75" s="192">
        <v>113.4</v>
      </c>
      <c r="FF75" s="109"/>
      <c r="FH75" s="192">
        <v>115.1</v>
      </c>
      <c r="FI75" s="192">
        <v>116.2</v>
      </c>
      <c r="FJ75" s="192">
        <v>116.7</v>
      </c>
      <c r="FK75" s="192">
        <v>115.9</v>
      </c>
      <c r="FL75" s="192">
        <v>115.1</v>
      </c>
      <c r="FM75" s="192">
        <v>114.5</v>
      </c>
      <c r="FN75" s="192">
        <v>115.6</v>
      </c>
      <c r="FO75" s="192">
        <v>120.6</v>
      </c>
      <c r="FP75" s="192">
        <v>118.8</v>
      </c>
      <c r="FQ75" s="192">
        <v>118.6</v>
      </c>
      <c r="FR75" s="192">
        <v>119.7</v>
      </c>
    </row>
    <row r="76" spans="1:176" s="112" customFormat="1" x14ac:dyDescent="0.25">
      <c r="A76" s="194" t="s">
        <v>251</v>
      </c>
      <c r="B76" s="31" t="s">
        <v>223</v>
      </c>
      <c r="C76" s="107" t="s">
        <v>249</v>
      </c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>
        <v>107.5</v>
      </c>
      <c r="AD76" s="111">
        <v>108</v>
      </c>
      <c r="AE76" s="111">
        <v>109.7</v>
      </c>
      <c r="AF76" s="111">
        <v>110.5</v>
      </c>
      <c r="AG76" s="111">
        <v>112.2</v>
      </c>
      <c r="AH76" s="111">
        <v>113.6</v>
      </c>
      <c r="AI76" s="111">
        <v>112.8</v>
      </c>
      <c r="AJ76" s="111">
        <v>112</v>
      </c>
      <c r="AK76" s="111">
        <v>114.5</v>
      </c>
      <c r="AL76" s="111">
        <v>115.4</v>
      </c>
      <c r="AM76" s="111">
        <v>116.6</v>
      </c>
      <c r="AN76" s="111">
        <v>121.2</v>
      </c>
      <c r="AO76" s="111">
        <v>122.6</v>
      </c>
      <c r="AP76" s="111">
        <v>123.7</v>
      </c>
      <c r="AQ76" s="111">
        <v>125.8</v>
      </c>
      <c r="AR76" s="111">
        <v>126.9</v>
      </c>
      <c r="AS76" s="111">
        <v>129</v>
      </c>
      <c r="AT76" s="111">
        <v>131</v>
      </c>
      <c r="AU76" s="111">
        <v>130.69999999999999</v>
      </c>
      <c r="AV76" s="111">
        <v>130.5</v>
      </c>
      <c r="AW76" s="111">
        <v>133.9</v>
      </c>
      <c r="AX76" s="111">
        <v>135.1</v>
      </c>
      <c r="AY76" s="111">
        <v>136.4</v>
      </c>
      <c r="AZ76" s="111">
        <v>141.1</v>
      </c>
      <c r="BA76" s="111">
        <v>142.80000000000001</v>
      </c>
      <c r="BB76" s="111">
        <v>144.30000000000001</v>
      </c>
      <c r="BC76" s="111">
        <v>146.9</v>
      </c>
      <c r="BD76" s="111">
        <v>148.4</v>
      </c>
      <c r="BE76" s="111">
        <v>151</v>
      </c>
      <c r="BF76" s="111">
        <v>154.5</v>
      </c>
      <c r="BG76" s="111">
        <v>153.30000000000001</v>
      </c>
      <c r="BH76" s="111">
        <v>153.1</v>
      </c>
      <c r="BI76" s="111">
        <v>157.19999999999999</v>
      </c>
      <c r="BJ76" s="111">
        <v>158.9</v>
      </c>
      <c r="BK76" s="111">
        <v>160.6</v>
      </c>
      <c r="BL76" s="111">
        <v>168</v>
      </c>
      <c r="BM76" s="111">
        <v>169.2</v>
      </c>
      <c r="BN76" s="111">
        <v>172</v>
      </c>
      <c r="BO76" s="111">
        <v>174.4</v>
      </c>
      <c r="BP76" s="111">
        <v>176.4</v>
      </c>
      <c r="BQ76" s="111">
        <v>178.8</v>
      </c>
      <c r="BR76" s="111">
        <v>180.3</v>
      </c>
      <c r="BS76" s="111">
        <v>179.2</v>
      </c>
      <c r="BT76" s="111">
        <v>179.5</v>
      </c>
      <c r="BU76" s="111">
        <v>182</v>
      </c>
      <c r="BV76" s="111">
        <v>183.5</v>
      </c>
      <c r="BW76" s="111">
        <v>185.3</v>
      </c>
      <c r="BX76" s="111">
        <v>190.4</v>
      </c>
      <c r="BY76" s="111">
        <v>191.6</v>
      </c>
      <c r="BZ76" s="111">
        <v>194</v>
      </c>
      <c r="CA76" s="111">
        <v>197.2</v>
      </c>
      <c r="CB76" s="111">
        <v>198.6</v>
      </c>
      <c r="CC76" s="111">
        <v>200.4</v>
      </c>
      <c r="CD76" s="111">
        <v>201.7</v>
      </c>
      <c r="CE76" s="111">
        <v>201.3</v>
      </c>
      <c r="CF76" s="111">
        <v>201.3</v>
      </c>
      <c r="CG76" s="111">
        <v>203.2</v>
      </c>
      <c r="CH76" s="111">
        <v>205.1</v>
      </c>
      <c r="CI76" s="111">
        <v>207.2</v>
      </c>
      <c r="CJ76" s="111">
        <v>210.1</v>
      </c>
      <c r="CK76" s="111">
        <v>211.9</v>
      </c>
      <c r="CL76" s="111">
        <v>214.1</v>
      </c>
      <c r="CM76" s="111">
        <v>216</v>
      </c>
      <c r="CN76" s="111">
        <v>2018.1</v>
      </c>
      <c r="CO76" s="111">
        <v>220.4</v>
      </c>
      <c r="CP76" s="111">
        <v>221.1</v>
      </c>
      <c r="CQ76" s="111">
        <v>221.1</v>
      </c>
      <c r="CR76" s="111">
        <v>221</v>
      </c>
      <c r="CS76" s="111">
        <v>222.6</v>
      </c>
      <c r="CT76" s="111">
        <v>224.2</v>
      </c>
      <c r="CU76" s="111">
        <v>226.7</v>
      </c>
      <c r="CV76" s="111">
        <v>229</v>
      </c>
      <c r="CW76" s="111"/>
      <c r="CX76" s="111"/>
      <c r="CY76" s="111"/>
      <c r="CZ76" s="111"/>
      <c r="DA76" s="111"/>
      <c r="DB76" s="111"/>
      <c r="DC76" s="111"/>
      <c r="DD76" s="111"/>
      <c r="DE76" s="111"/>
      <c r="DF76" s="111"/>
      <c r="DG76" s="111"/>
      <c r="DH76" s="111"/>
      <c r="DI76" s="111"/>
      <c r="DJ76" s="111"/>
      <c r="DK76" s="111"/>
      <c r="DL76" s="111"/>
      <c r="DM76" s="111"/>
      <c r="DN76" s="111"/>
      <c r="DO76" s="111"/>
      <c r="DP76" s="111"/>
      <c r="DQ76" s="111"/>
      <c r="DR76" s="111"/>
      <c r="DS76" s="111"/>
      <c r="DT76" s="111"/>
      <c r="DU76" s="111"/>
      <c r="DV76" s="111"/>
      <c r="DW76" s="111"/>
      <c r="DX76" s="111"/>
      <c r="DY76" s="111"/>
      <c r="DZ76" s="111"/>
      <c r="EA76" s="111"/>
      <c r="EB76" s="111"/>
      <c r="EC76" s="111"/>
      <c r="ED76" s="111"/>
      <c r="EE76" s="111"/>
      <c r="EF76" s="111"/>
      <c r="EG76" s="111"/>
      <c r="EH76" s="111"/>
      <c r="EI76" s="111">
        <v>120.76</v>
      </c>
      <c r="EJ76" s="111">
        <v>125.66</v>
      </c>
      <c r="EK76" s="111">
        <v>129.41999999999999</v>
      </c>
      <c r="EL76" s="111">
        <v>133.49</v>
      </c>
      <c r="EM76" s="111">
        <v>136.05000000000001</v>
      </c>
      <c r="EN76" s="111">
        <v>140.6</v>
      </c>
      <c r="EO76" s="111">
        <v>144.4</v>
      </c>
      <c r="EP76" s="111">
        <v>156.80000000000001</v>
      </c>
      <c r="EQ76" s="111">
        <v>162.79</v>
      </c>
      <c r="ER76" s="112">
        <v>165.6</v>
      </c>
      <c r="ES76" s="112">
        <v>168.7</v>
      </c>
      <c r="ET76" s="112">
        <v>166.6</v>
      </c>
      <c r="EU76" s="112">
        <v>170.5</v>
      </c>
      <c r="EV76" s="112">
        <v>178.6</v>
      </c>
      <c r="EW76" s="112">
        <v>184.4</v>
      </c>
      <c r="EX76" s="112">
        <v>191</v>
      </c>
      <c r="EY76" s="150">
        <v>190.6</v>
      </c>
      <c r="EZ76" s="150">
        <v>194.1</v>
      </c>
      <c r="FA76" s="150">
        <v>195.2</v>
      </c>
      <c r="FB76" s="150">
        <v>198.2</v>
      </c>
      <c r="FC76" s="150">
        <v>200.5</v>
      </c>
      <c r="FD76" s="150">
        <v>204.5</v>
      </c>
      <c r="FE76" s="150">
        <v>207.8</v>
      </c>
      <c r="FF76" s="112">
        <v>209.6</v>
      </c>
      <c r="FG76" s="112">
        <v>213.3</v>
      </c>
      <c r="FH76" s="112">
        <v>220</v>
      </c>
      <c r="FI76" s="112">
        <v>226.4</v>
      </c>
      <c r="FJ76" s="112">
        <v>231</v>
      </c>
      <c r="FK76" s="112">
        <v>229.4</v>
      </c>
      <c r="FL76" s="112">
        <v>235.8</v>
      </c>
      <c r="FM76" s="112">
        <v>237.8</v>
      </c>
      <c r="FN76" s="112">
        <v>243.9</v>
      </c>
      <c r="FO76" s="112">
        <v>248.3</v>
      </c>
      <c r="FP76" s="112">
        <v>252.6</v>
      </c>
      <c r="FQ76" s="112">
        <v>255.89</v>
      </c>
      <c r="FR76" s="112">
        <v>256.5</v>
      </c>
      <c r="FS76" s="189">
        <v>258.60000000000002</v>
      </c>
      <c r="FT76" s="189"/>
    </row>
    <row r="77" spans="1:176" s="42" customFormat="1" x14ac:dyDescent="0.25">
      <c r="A77" s="194" t="s">
        <v>252</v>
      </c>
      <c r="B77" s="106" t="s">
        <v>239</v>
      </c>
      <c r="DH77" s="20">
        <v>106.51</v>
      </c>
      <c r="DI77" s="20">
        <v>107.17</v>
      </c>
      <c r="DJ77" s="20">
        <v>107.47</v>
      </c>
      <c r="DK77" s="20">
        <v>108.49</v>
      </c>
      <c r="DL77" s="20">
        <v>108.6</v>
      </c>
      <c r="DM77" s="20">
        <v>108.27</v>
      </c>
      <c r="DN77" s="20">
        <v>108.35</v>
      </c>
      <c r="DO77" s="20">
        <v>108.57</v>
      </c>
      <c r="DP77" s="20">
        <v>108.57</v>
      </c>
      <c r="DQ77" s="20">
        <v>109.6</v>
      </c>
      <c r="DR77" s="20">
        <v>110.78</v>
      </c>
      <c r="DS77" s="20">
        <v>111.87</v>
      </c>
      <c r="DT77" s="20">
        <v>112.58</v>
      </c>
      <c r="DU77" s="20">
        <v>113.36</v>
      </c>
      <c r="DV77" s="20">
        <v>113.81</v>
      </c>
      <c r="DW77" s="109">
        <v>114.75</v>
      </c>
      <c r="DX77" s="109">
        <v>114.98</v>
      </c>
      <c r="DY77" s="109">
        <v>115.11</v>
      </c>
      <c r="DZ77" s="109">
        <v>115.45</v>
      </c>
      <c r="EA77" s="109">
        <v>115.71</v>
      </c>
      <c r="EB77" s="109">
        <v>116.07</v>
      </c>
      <c r="EC77" s="109">
        <v>116.67</v>
      </c>
      <c r="ED77" s="109">
        <v>117.2</v>
      </c>
      <c r="EE77" s="109">
        <v>118.3</v>
      </c>
      <c r="EF77" s="109">
        <v>118.6</v>
      </c>
      <c r="EJ77" s="109">
        <v>123.12</v>
      </c>
      <c r="EK77" s="109">
        <v>124.22</v>
      </c>
      <c r="EL77" s="109">
        <v>125.05</v>
      </c>
      <c r="EM77" s="109">
        <v>125.58</v>
      </c>
      <c r="EN77" s="109">
        <v>126.73</v>
      </c>
      <c r="EO77" s="109">
        <v>127.86</v>
      </c>
      <c r="EP77" s="109">
        <v>128.31</v>
      </c>
      <c r="EQ77" s="109">
        <v>128.99</v>
      </c>
      <c r="ER77" s="109">
        <v>129.29</v>
      </c>
      <c r="ES77" s="109">
        <v>130.13</v>
      </c>
      <c r="ET77" s="109">
        <v>131.18</v>
      </c>
      <c r="EU77" s="109">
        <v>131.19999999999999</v>
      </c>
      <c r="EV77" s="109">
        <v>133</v>
      </c>
      <c r="EW77" s="109">
        <v>134</v>
      </c>
      <c r="EX77" s="109">
        <v>134.19999999999999</v>
      </c>
      <c r="EY77" s="151">
        <v>134</v>
      </c>
      <c r="EZ77" s="151">
        <v>135.30000000000001</v>
      </c>
      <c r="FA77" s="151">
        <v>136.80000000000001</v>
      </c>
      <c r="FB77" s="151">
        <v>137</v>
      </c>
      <c r="FC77" s="151">
        <v>138.15</v>
      </c>
      <c r="FD77" s="151">
        <v>138.15</v>
      </c>
      <c r="FE77" s="151">
        <v>138.34</v>
      </c>
      <c r="FF77" s="196">
        <v>138.66</v>
      </c>
      <c r="FG77" s="151">
        <v>138.4</v>
      </c>
      <c r="FH77" s="151">
        <v>139.63999999999999</v>
      </c>
      <c r="FI77" s="151">
        <v>140.22999999999999</v>
      </c>
      <c r="FJ77" s="151">
        <v>139.94</v>
      </c>
      <c r="FK77" s="151">
        <v>139.87</v>
      </c>
      <c r="FL77" s="151">
        <v>140.13</v>
      </c>
      <c r="FM77" s="151">
        <v>140.44</v>
      </c>
      <c r="FN77" s="151">
        <v>140.81</v>
      </c>
      <c r="FO77" s="151">
        <v>141.66</v>
      </c>
      <c r="FP77" s="151">
        <v>142.68</v>
      </c>
      <c r="FQ77" s="151">
        <v>143.12</v>
      </c>
      <c r="FR77" s="151">
        <v>143.69</v>
      </c>
      <c r="FS77" s="218">
        <v>144.09</v>
      </c>
      <c r="FT77" s="218">
        <v>144.94999999999999</v>
      </c>
    </row>
    <row r="78" spans="1:176" s="42" customFormat="1" x14ac:dyDescent="0.25">
      <c r="A78" s="194" t="s">
        <v>253</v>
      </c>
      <c r="B78" s="106" t="s">
        <v>240</v>
      </c>
      <c r="EF78" s="109">
        <v>131</v>
      </c>
      <c r="EG78" s="109">
        <v>131.1</v>
      </c>
      <c r="EH78" s="109">
        <v>134.4</v>
      </c>
      <c r="EI78" s="143">
        <v>136.6</v>
      </c>
      <c r="EJ78" s="109">
        <v>137.80000000000001</v>
      </c>
      <c r="EK78" s="109">
        <v>140.1</v>
      </c>
      <c r="EL78" s="109">
        <v>141.6</v>
      </c>
      <c r="EM78" s="109">
        <v>142.19999999999999</v>
      </c>
      <c r="EN78" s="109">
        <v>138.9</v>
      </c>
      <c r="EO78" s="109">
        <v>139.80000000000001</v>
      </c>
      <c r="EP78" s="109">
        <v>139.69999999999999</v>
      </c>
      <c r="EQ78" s="109">
        <v>139.6</v>
      </c>
      <c r="ER78" s="109">
        <v>140.1</v>
      </c>
      <c r="ES78" s="109">
        <v>141</v>
      </c>
      <c r="ET78" s="109">
        <v>142</v>
      </c>
      <c r="EU78" s="109">
        <f>+(ET78+EV78)/2</f>
        <v>142.75</v>
      </c>
      <c r="EV78" s="109">
        <v>143.5</v>
      </c>
      <c r="EW78" s="109">
        <v>144</v>
      </c>
      <c r="EX78" s="109">
        <v>145.1</v>
      </c>
      <c r="EY78" s="151">
        <v>145.4</v>
      </c>
      <c r="EZ78" s="151">
        <v>149.69999999999999</v>
      </c>
      <c r="FA78" s="151">
        <v>150.19999999999999</v>
      </c>
      <c r="FB78" s="151">
        <v>150.9</v>
      </c>
      <c r="FC78" s="151">
        <v>148.69999999999999</v>
      </c>
      <c r="FD78" s="151">
        <v>149.4</v>
      </c>
      <c r="FE78" s="151">
        <v>149.69999999999999</v>
      </c>
      <c r="FF78" s="196">
        <v>150.19999999999999</v>
      </c>
      <c r="FG78" s="151">
        <v>150.9</v>
      </c>
      <c r="FH78" s="151">
        <v>151.30000000000001</v>
      </c>
      <c r="FI78" s="151">
        <v>151.6</v>
      </c>
      <c r="FJ78" s="151">
        <v>152</v>
      </c>
      <c r="FK78" s="151">
        <v>152.19999999999999</v>
      </c>
      <c r="FL78" s="151">
        <v>152.4</v>
      </c>
      <c r="FM78" s="151">
        <v>152.5</v>
      </c>
      <c r="FN78" s="151">
        <v>153.1</v>
      </c>
      <c r="FO78" s="151">
        <v>153.30000000000001</v>
      </c>
      <c r="FP78" s="151">
        <v>153.4</v>
      </c>
      <c r="FQ78" s="151">
        <v>153.69999999999999</v>
      </c>
      <c r="FR78" s="151">
        <v>153.9</v>
      </c>
      <c r="FS78" s="218">
        <v>154.19999999999999</v>
      </c>
      <c r="FT78" s="218"/>
    </row>
    <row r="79" spans="1:176" s="112" customFormat="1" ht="10.199999999999999" x14ac:dyDescent="0.2">
      <c r="A79" s="31"/>
      <c r="B79" s="31" t="s">
        <v>224</v>
      </c>
      <c r="C79" s="107" t="s">
        <v>208</v>
      </c>
      <c r="D79" s="111">
        <v>120.28</v>
      </c>
      <c r="E79" s="111">
        <v>120.56</v>
      </c>
      <c r="F79" s="111">
        <v>121.01</v>
      </c>
      <c r="G79" s="111">
        <v>121.6</v>
      </c>
      <c r="H79" s="111">
        <v>122.08</v>
      </c>
      <c r="I79" s="111">
        <v>122.43</v>
      </c>
      <c r="J79" s="111">
        <v>123.45</v>
      </c>
      <c r="K79" s="111">
        <v>123.98</v>
      </c>
      <c r="L79" s="111">
        <v>124.64</v>
      </c>
      <c r="M79" s="111">
        <v>125.01</v>
      </c>
      <c r="N79" s="111">
        <v>125.43</v>
      </c>
      <c r="O79" s="111">
        <v>125.77</v>
      </c>
      <c r="P79" s="111">
        <v>128.74</v>
      </c>
      <c r="Q79" s="111">
        <v>129</v>
      </c>
      <c r="R79" s="111">
        <v>129.31</v>
      </c>
      <c r="S79" s="111">
        <v>129.63</v>
      </c>
      <c r="T79" s="111">
        <v>130.49</v>
      </c>
      <c r="U79" s="111">
        <v>130.84</v>
      </c>
      <c r="V79" s="111">
        <v>131.5</v>
      </c>
      <c r="W79" s="111">
        <v>131.77000000000001</v>
      </c>
      <c r="X79" s="111">
        <v>132.37</v>
      </c>
      <c r="Y79" s="111">
        <v>132.88999999999999</v>
      </c>
      <c r="Z79" s="111">
        <v>133.38</v>
      </c>
      <c r="AA79" s="111">
        <v>133.58000000000001</v>
      </c>
      <c r="AB79" s="111">
        <v>135.81</v>
      </c>
      <c r="AC79" s="111">
        <v>136.13999999999999</v>
      </c>
      <c r="AD79" s="111">
        <v>136.44</v>
      </c>
      <c r="AE79" s="111">
        <v>137.02000000000001</v>
      </c>
      <c r="AF79" s="111">
        <v>137.6</v>
      </c>
      <c r="AG79" s="111">
        <v>137.96</v>
      </c>
      <c r="AH79" s="111">
        <v>138.99</v>
      </c>
      <c r="AI79" s="111">
        <v>139.27000000000001</v>
      </c>
      <c r="AJ79" s="111">
        <v>139.66</v>
      </c>
      <c r="AK79" s="111">
        <v>140.16999999999999</v>
      </c>
      <c r="AL79" s="111">
        <v>140.51</v>
      </c>
      <c r="AM79" s="111">
        <v>140.76</v>
      </c>
      <c r="AN79" s="111">
        <v>142.51</v>
      </c>
      <c r="AO79" s="111">
        <v>143</v>
      </c>
      <c r="AP79" s="111">
        <v>143.16</v>
      </c>
      <c r="AQ79" s="111">
        <v>143.58000000000001</v>
      </c>
      <c r="AR79" s="111">
        <v>143.85</v>
      </c>
      <c r="AS79" s="111">
        <v>144.13</v>
      </c>
      <c r="AT79" s="111">
        <v>144.52000000000001</v>
      </c>
      <c r="AU79" s="111">
        <v>145.93</v>
      </c>
      <c r="AV79" s="111">
        <v>146.24</v>
      </c>
      <c r="AW79" s="111">
        <v>146.47999999999999</v>
      </c>
      <c r="AX79" s="111">
        <v>146.80000000000001</v>
      </c>
      <c r="AY79" s="111">
        <v>147.26</v>
      </c>
      <c r="AZ79" s="111">
        <v>148.94</v>
      </c>
      <c r="BA79" s="111">
        <v>149.47</v>
      </c>
      <c r="BB79" s="111">
        <v>151.28</v>
      </c>
      <c r="BC79" s="111">
        <v>151.81</v>
      </c>
      <c r="BD79" s="111">
        <v>153.41</v>
      </c>
      <c r="BE79" s="111">
        <v>154.01</v>
      </c>
      <c r="BF79" s="111">
        <v>154.33000000000001</v>
      </c>
      <c r="BG79" s="111">
        <v>156.97999999999999</v>
      </c>
      <c r="BH79" s="111">
        <v>157.34</v>
      </c>
      <c r="BI79" s="111">
        <v>158.04</v>
      </c>
      <c r="BJ79" s="111">
        <v>158.55000000000001</v>
      </c>
      <c r="BK79" s="111">
        <v>159.6</v>
      </c>
      <c r="BL79" s="111">
        <v>161.46</v>
      </c>
      <c r="BM79" s="111">
        <v>162.44</v>
      </c>
      <c r="BN79" s="111">
        <v>163.16</v>
      </c>
      <c r="BO79" s="111">
        <v>164.99</v>
      </c>
      <c r="BP79" s="111">
        <v>167.12</v>
      </c>
      <c r="BQ79" s="111">
        <v>168.58</v>
      </c>
      <c r="BR79" s="111">
        <v>171.11</v>
      </c>
      <c r="BS79" s="111">
        <v>173.5</v>
      </c>
      <c r="BT79" s="111">
        <v>175.13</v>
      </c>
      <c r="BU79" s="111">
        <v>177.89</v>
      </c>
      <c r="BV79" s="111">
        <v>182.74</v>
      </c>
      <c r="BW79" s="111">
        <v>187.39</v>
      </c>
      <c r="BX79" s="111">
        <v>191.59</v>
      </c>
      <c r="BY79" s="111">
        <v>194.63</v>
      </c>
      <c r="BZ79" s="111">
        <v>196.15</v>
      </c>
      <c r="CA79" s="111">
        <v>197.66</v>
      </c>
      <c r="CB79" s="111">
        <v>198.72</v>
      </c>
      <c r="CC79" s="111">
        <v>200.85</v>
      </c>
      <c r="CD79" s="111">
        <v>202.87</v>
      </c>
      <c r="CE79" s="111">
        <v>204.75</v>
      </c>
      <c r="CF79" s="111">
        <v>206.35</v>
      </c>
      <c r="CG79" s="111">
        <v>207.88</v>
      </c>
      <c r="CH79" s="111">
        <v>212.46</v>
      </c>
      <c r="CI79" s="111">
        <v>216.11</v>
      </c>
      <c r="CJ79" s="111">
        <v>219.73</v>
      </c>
      <c r="CK79" s="111">
        <v>222.65</v>
      </c>
      <c r="CL79" s="111">
        <v>225.4</v>
      </c>
      <c r="CM79" s="111">
        <v>228.49</v>
      </c>
      <c r="CN79" s="111">
        <v>231.32</v>
      </c>
      <c r="CO79" s="111">
        <v>234.5</v>
      </c>
      <c r="CP79" s="111">
        <v>238.79</v>
      </c>
      <c r="CQ79" s="111">
        <v>242.05</v>
      </c>
      <c r="CR79" s="111">
        <v>246.03</v>
      </c>
      <c r="CS79" s="111">
        <v>247.99</v>
      </c>
      <c r="CT79" s="111">
        <v>251.01</v>
      </c>
      <c r="CU79" s="111">
        <v>253.85</v>
      </c>
      <c r="CV79" s="111">
        <v>257.25</v>
      </c>
      <c r="CW79" s="111">
        <v>260.93</v>
      </c>
      <c r="CX79" s="111">
        <v>264.75</v>
      </c>
      <c r="CY79" s="111"/>
      <c r="CZ79" s="111"/>
      <c r="DA79" s="111"/>
      <c r="DB79" s="111"/>
      <c r="DC79" s="111"/>
      <c r="DD79" s="111"/>
      <c r="DE79" s="111"/>
      <c r="DF79" s="111"/>
      <c r="DG79" s="111"/>
      <c r="DH79" s="111"/>
      <c r="DI79" s="111"/>
      <c r="DJ79" s="111"/>
      <c r="DK79" s="111"/>
      <c r="DL79" s="111"/>
      <c r="DM79" s="111"/>
      <c r="DN79" s="111"/>
      <c r="DO79" s="111"/>
      <c r="DP79" s="111"/>
      <c r="DQ79" s="111"/>
      <c r="DR79" s="111"/>
      <c r="DS79" s="111"/>
      <c r="DT79" s="111"/>
      <c r="DU79" s="111"/>
      <c r="DV79" s="111"/>
      <c r="DW79" s="111"/>
      <c r="DX79" s="111"/>
      <c r="DY79" s="111"/>
      <c r="DZ79" s="111"/>
      <c r="EA79" s="111"/>
      <c r="EB79" s="111"/>
      <c r="EC79" s="111"/>
      <c r="ED79" s="111"/>
      <c r="EE79" s="111"/>
      <c r="EF79" s="111"/>
      <c r="EG79" s="111"/>
      <c r="EH79" s="111">
        <v>345.13</v>
      </c>
      <c r="EI79" s="111">
        <v>355.65</v>
      </c>
      <c r="EJ79" s="111">
        <v>364.3</v>
      </c>
      <c r="EK79" s="111">
        <v>375.72</v>
      </c>
      <c r="EL79" s="111">
        <v>386.02</v>
      </c>
      <c r="EM79" s="111">
        <v>390.44</v>
      </c>
      <c r="EN79" s="111">
        <v>398.1</v>
      </c>
      <c r="EO79" s="111">
        <v>412.86</v>
      </c>
      <c r="EP79" s="111">
        <v>420.49</v>
      </c>
      <c r="EQ79" s="111">
        <v>435.91</v>
      </c>
      <c r="ER79" s="112">
        <v>446.31</v>
      </c>
      <c r="ES79" s="112">
        <v>470.54</v>
      </c>
      <c r="ET79" s="112">
        <v>488.34</v>
      </c>
      <c r="EU79" s="112">
        <v>508.7</v>
      </c>
      <c r="EV79" s="112">
        <v>526.20000000000005</v>
      </c>
      <c r="EW79" s="112">
        <v>544.1</v>
      </c>
      <c r="EX79" s="112">
        <v>559.6</v>
      </c>
      <c r="EY79" s="148">
        <v>589.29999999999995</v>
      </c>
      <c r="EZ79" s="148">
        <v>614.9</v>
      </c>
      <c r="FA79" s="148">
        <v>638.240274</v>
      </c>
      <c r="FB79" s="148">
        <v>648.39558</v>
      </c>
      <c r="FC79" s="148">
        <v>663.28065600000002</v>
      </c>
      <c r="FD79" s="148">
        <v>657.95020199999999</v>
      </c>
      <c r="FE79" s="148">
        <v>670.94298600000002</v>
      </c>
      <c r="FF79" s="109">
        <v>687.04554599999994</v>
      </c>
      <c r="FG79" s="189">
        <v>702.3</v>
      </c>
      <c r="FH79" s="189">
        <v>714.79</v>
      </c>
      <c r="FS79" s="189"/>
      <c r="FT79" s="189"/>
    </row>
    <row r="80" spans="1:176" s="42" customFormat="1" x14ac:dyDescent="0.25">
      <c r="A80" s="194" t="s">
        <v>254</v>
      </c>
      <c r="B80" s="106" t="s">
        <v>241</v>
      </c>
      <c r="EF80" s="20">
        <v>129.57</v>
      </c>
      <c r="EG80" s="20">
        <v>131.86000000000001</v>
      </c>
      <c r="EH80" s="20">
        <v>133.91999999999999</v>
      </c>
      <c r="EI80" s="20">
        <v>135.41999999999999</v>
      </c>
      <c r="EJ80" s="20">
        <v>136.66999999999999</v>
      </c>
      <c r="EK80" s="20">
        <v>137.82</v>
      </c>
      <c r="EL80" s="20">
        <v>138.94</v>
      </c>
      <c r="EM80" s="20">
        <v>140</v>
      </c>
      <c r="EN80" s="20">
        <v>141.11000000000001</v>
      </c>
      <c r="EO80" s="20">
        <v>142.21</v>
      </c>
      <c r="EP80" s="20">
        <v>143.38</v>
      </c>
      <c r="EQ80" s="20">
        <v>144.63999999999999</v>
      </c>
      <c r="ER80" s="20">
        <v>145.83000000000001</v>
      </c>
      <c r="ES80" s="20">
        <v>147.09</v>
      </c>
      <c r="ET80" s="20">
        <v>148.4</v>
      </c>
      <c r="EU80" s="20">
        <v>149.76</v>
      </c>
      <c r="EV80" s="20">
        <v>151.19999999999999</v>
      </c>
      <c r="EW80" s="20">
        <v>153.30000000000001</v>
      </c>
      <c r="EX80" s="20">
        <v>155.80000000000001</v>
      </c>
      <c r="EY80" s="151">
        <v>158.9</v>
      </c>
      <c r="EZ80" s="151">
        <v>162.30000000000001</v>
      </c>
      <c r="FA80" s="151">
        <v>165.8</v>
      </c>
      <c r="FB80" s="151">
        <v>169.4</v>
      </c>
      <c r="FC80" s="148">
        <v>137.57</v>
      </c>
      <c r="FD80" s="148">
        <v>177.89</v>
      </c>
      <c r="FE80" s="148">
        <v>182.48</v>
      </c>
      <c r="FF80" s="109">
        <v>187.11</v>
      </c>
      <c r="FG80" s="148">
        <v>191.99</v>
      </c>
      <c r="FH80" s="148">
        <v>196.78</v>
      </c>
      <c r="FI80" s="148">
        <v>200.85</v>
      </c>
      <c r="FJ80" s="148">
        <v>204.2</v>
      </c>
      <c r="FK80" s="148">
        <v>205.7</v>
      </c>
      <c r="FL80" s="148">
        <v>210.8</v>
      </c>
      <c r="FM80" s="148">
        <v>214.16</v>
      </c>
      <c r="FN80" s="148">
        <v>217.59</v>
      </c>
      <c r="FO80" s="148">
        <v>221.29</v>
      </c>
      <c r="FP80" s="148">
        <v>224.9</v>
      </c>
      <c r="FQ80" s="148">
        <v>228.58</v>
      </c>
      <c r="FR80" s="148">
        <v>231.74</v>
      </c>
      <c r="FS80" s="192">
        <v>234.84</v>
      </c>
      <c r="FT80" s="192"/>
    </row>
    <row r="81" spans="1:177" s="112" customFormat="1" x14ac:dyDescent="0.25">
      <c r="A81" s="194" t="s">
        <v>255</v>
      </c>
      <c r="B81" s="31" t="s">
        <v>245</v>
      </c>
      <c r="C81" s="107" t="s">
        <v>246</v>
      </c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  <c r="BJ81" s="111"/>
      <c r="BK81" s="111"/>
      <c r="BL81" s="111">
        <v>101.37</v>
      </c>
      <c r="BM81" s="111">
        <v>101.57</v>
      </c>
      <c r="BN81" s="111">
        <v>102.03</v>
      </c>
      <c r="BO81" s="111">
        <v>103.13</v>
      </c>
      <c r="BP81" s="111">
        <v>104.03</v>
      </c>
      <c r="BQ81" s="111">
        <v>103.01</v>
      </c>
      <c r="BR81" s="111">
        <v>102.37</v>
      </c>
      <c r="BS81" s="111">
        <v>101.23</v>
      </c>
      <c r="BT81" s="111">
        <v>100.9</v>
      </c>
      <c r="BU81" s="111">
        <v>101.01</v>
      </c>
      <c r="BV81" s="111">
        <v>101.41</v>
      </c>
      <c r="BW81" s="111">
        <v>101.53</v>
      </c>
      <c r="BX81" s="111">
        <v>101.87</v>
      </c>
      <c r="BY81" s="111">
        <v>102.2</v>
      </c>
      <c r="BZ81" s="111">
        <v>102.32</v>
      </c>
      <c r="CA81" s="111">
        <v>102.49</v>
      </c>
      <c r="CB81" s="111">
        <v>102.54</v>
      </c>
      <c r="CC81" s="111">
        <v>102.6</v>
      </c>
      <c r="CD81" s="111">
        <v>102.71</v>
      </c>
      <c r="CE81" s="111">
        <v>102.04</v>
      </c>
      <c r="CF81" s="111">
        <v>102.33</v>
      </c>
      <c r="CG81" s="111">
        <v>102.23</v>
      </c>
      <c r="CH81" s="111">
        <v>102.37</v>
      </c>
      <c r="CI81" s="111">
        <v>102.8</v>
      </c>
      <c r="CJ81" s="111">
        <v>102.45</v>
      </c>
      <c r="CK81" s="111">
        <v>102.67</v>
      </c>
      <c r="CL81" s="111">
        <v>102.66</v>
      </c>
      <c r="CM81" s="111">
        <v>102.93</v>
      </c>
      <c r="CN81" s="111">
        <v>103.27</v>
      </c>
      <c r="CO81" s="111">
        <v>103.37</v>
      </c>
      <c r="CP81" s="111">
        <v>103.13</v>
      </c>
      <c r="CQ81" s="111">
        <v>102.91</v>
      </c>
      <c r="CR81" s="111">
        <v>103</v>
      </c>
      <c r="CS81" s="111">
        <v>103.17</v>
      </c>
      <c r="CT81" s="111">
        <v>103.2</v>
      </c>
      <c r="CU81" s="111">
        <v>103.42</v>
      </c>
      <c r="CV81" s="111">
        <v>103.24</v>
      </c>
      <c r="CW81" s="111">
        <v>103.03</v>
      </c>
      <c r="CX81" s="111">
        <v>103.25</v>
      </c>
      <c r="CY81" s="111">
        <v>103.69</v>
      </c>
      <c r="CZ81" s="111">
        <v>104.14</v>
      </c>
      <c r="DA81" s="111">
        <v>104.65</v>
      </c>
      <c r="DB81" s="111">
        <v>104.34</v>
      </c>
      <c r="DC81" s="111">
        <v>103.32</v>
      </c>
      <c r="DD81" s="111">
        <v>103.52</v>
      </c>
      <c r="DE81" s="111">
        <v>103.45</v>
      </c>
      <c r="DF81" s="111">
        <v>104.49</v>
      </c>
      <c r="DG81" s="111">
        <v>105.04</v>
      </c>
      <c r="DH81" s="111">
        <v>105.3</v>
      </c>
      <c r="DI81" s="111">
        <v>105.68</v>
      </c>
      <c r="DJ81" s="111">
        <v>105.76</v>
      </c>
      <c r="DK81" s="111">
        <v>106.12</v>
      </c>
      <c r="DL81" s="111">
        <v>106.54</v>
      </c>
      <c r="DM81" s="111">
        <v>107.59</v>
      </c>
      <c r="DN81" s="111">
        <v>107.2</v>
      </c>
      <c r="DO81" s="111">
        <v>106.14</v>
      </c>
      <c r="DP81" s="111">
        <v>105.51</v>
      </c>
      <c r="DQ81" s="111">
        <v>106.61</v>
      </c>
      <c r="DR81" s="111">
        <v>106.31</v>
      </c>
      <c r="DS81" s="111">
        <v>107.47</v>
      </c>
      <c r="DT81" s="111">
        <v>107.71</v>
      </c>
      <c r="DU81" s="111">
        <v>109.09</v>
      </c>
      <c r="DV81" s="111">
        <v>109.29</v>
      </c>
      <c r="DW81" s="111">
        <v>110.26</v>
      </c>
      <c r="DX81" s="111">
        <v>110.99</v>
      </c>
      <c r="DY81" s="111">
        <v>111.4</v>
      </c>
      <c r="DZ81" s="111">
        <v>111.4</v>
      </c>
      <c r="EA81" s="111">
        <v>111.15</v>
      </c>
      <c r="EB81" s="111">
        <v>111.01</v>
      </c>
      <c r="EC81" s="111">
        <v>111.38</v>
      </c>
      <c r="ED81" s="111">
        <v>112.2</v>
      </c>
      <c r="EE81" s="111">
        <v>113.5</v>
      </c>
      <c r="EF81" s="111">
        <v>113.7</v>
      </c>
      <c r="EG81" s="111">
        <v>114.1</v>
      </c>
      <c r="EH81" s="111">
        <v>114.2</v>
      </c>
      <c r="EI81" s="111">
        <v>114.7</v>
      </c>
      <c r="EJ81" s="111">
        <v>114.9</v>
      </c>
      <c r="EK81" s="111">
        <v>117.4</v>
      </c>
      <c r="EL81" s="111">
        <v>117.4</v>
      </c>
      <c r="EM81" s="111">
        <v>118</v>
      </c>
      <c r="EN81" s="111">
        <v>118</v>
      </c>
      <c r="EO81" s="111">
        <v>118.3</v>
      </c>
      <c r="EP81" s="111">
        <v>118.6</v>
      </c>
      <c r="EQ81" s="111">
        <v>119.2</v>
      </c>
      <c r="ER81" s="112">
        <v>119.2</v>
      </c>
      <c r="ES81" s="112">
        <v>119.6</v>
      </c>
      <c r="ET81" s="112">
        <v>120.1</v>
      </c>
      <c r="EU81" s="112">
        <v>120.7</v>
      </c>
      <c r="EV81" s="112">
        <v>120.4</v>
      </c>
      <c r="EW81" s="112">
        <v>122.2</v>
      </c>
      <c r="EX81" s="112">
        <v>122.8</v>
      </c>
      <c r="EY81" s="150">
        <v>122.28</v>
      </c>
      <c r="EZ81" s="150">
        <v>122.97</v>
      </c>
      <c r="FA81" s="150">
        <v>122.67</v>
      </c>
      <c r="FB81" s="150">
        <v>122.94</v>
      </c>
      <c r="FC81" s="150">
        <v>123.99</v>
      </c>
      <c r="FD81" s="150">
        <v>122.86</v>
      </c>
      <c r="FE81" s="150">
        <v>123.86</v>
      </c>
      <c r="FF81" s="112">
        <v>124.67</v>
      </c>
      <c r="FG81" s="112">
        <v>125.09</v>
      </c>
      <c r="FH81" s="112">
        <v>126.3</v>
      </c>
      <c r="FI81" s="112">
        <v>127.2</v>
      </c>
      <c r="FJ81" s="112">
        <v>127.65</v>
      </c>
      <c r="FK81" s="112">
        <v>127.8</v>
      </c>
      <c r="FL81" s="112">
        <v>126.4</v>
      </c>
      <c r="FM81" s="112">
        <v>125.9</v>
      </c>
      <c r="FN81" s="112">
        <v>126.07</v>
      </c>
      <c r="FO81" s="112">
        <v>126.55</v>
      </c>
      <c r="FP81" s="112">
        <v>102.7</v>
      </c>
      <c r="FQ81" s="112">
        <v>102.5</v>
      </c>
      <c r="FS81" s="189"/>
      <c r="FT81" s="189"/>
    </row>
    <row r="82" spans="1:177" x14ac:dyDescent="0.25">
      <c r="DI82" s="141"/>
      <c r="FS82" s="219"/>
      <c r="FT82" s="219"/>
    </row>
    <row r="83" spans="1:177" x14ac:dyDescent="0.25">
      <c r="CJ83" s="220"/>
      <c r="CK83" s="220"/>
      <c r="CL83" s="220"/>
      <c r="CM83" s="220"/>
      <c r="CN83" s="220"/>
      <c r="CO83" s="220"/>
      <c r="CP83" s="220"/>
      <c r="CQ83" s="220"/>
      <c r="CR83" s="220"/>
      <c r="CS83" s="220"/>
      <c r="CT83" s="220"/>
      <c r="CU83" s="220"/>
      <c r="CV83" s="220"/>
      <c r="CW83" s="220"/>
      <c r="CX83" s="220"/>
      <c r="CY83" s="220"/>
      <c r="CZ83" s="220"/>
      <c r="DA83" s="220"/>
      <c r="DB83" s="220"/>
      <c r="DC83" s="220"/>
      <c r="DD83" s="220"/>
      <c r="DE83" s="220"/>
      <c r="DF83" s="220"/>
      <c r="DG83" s="220"/>
      <c r="DH83" s="220"/>
      <c r="DI83" s="220"/>
      <c r="DJ83" s="220"/>
      <c r="DK83" s="220"/>
      <c r="DL83" s="220"/>
      <c r="DM83" s="220"/>
      <c r="DN83" s="220"/>
      <c r="DO83" s="220"/>
      <c r="DP83" s="220"/>
      <c r="DQ83" s="220"/>
      <c r="DR83" s="220"/>
      <c r="DS83" s="220"/>
      <c r="DT83" s="220"/>
      <c r="DU83" s="220"/>
      <c r="DV83" s="220"/>
      <c r="DW83" s="220"/>
      <c r="DX83" s="220"/>
      <c r="DY83" s="220"/>
      <c r="DZ83" s="220"/>
      <c r="EA83" s="220"/>
      <c r="EB83" s="220"/>
      <c r="EC83" s="220"/>
      <c r="ED83" s="220"/>
      <c r="EE83" s="220"/>
      <c r="EF83" s="220"/>
      <c r="EG83" s="220"/>
      <c r="EH83" s="220"/>
      <c r="EI83" s="220"/>
      <c r="EJ83" s="220"/>
      <c r="EK83" s="220"/>
      <c r="EL83" s="220"/>
      <c r="EM83" s="220"/>
      <c r="EN83" s="220"/>
      <c r="EO83" s="220"/>
      <c r="EP83" s="220"/>
      <c r="EQ83" s="220"/>
      <c r="ER83" s="220"/>
      <c r="ES83" s="220"/>
      <c r="ET83" s="220"/>
      <c r="EU83" s="220"/>
      <c r="EV83" s="220"/>
      <c r="EW83" s="220"/>
      <c r="EX83" s="220"/>
      <c r="EY83" s="220"/>
      <c r="EZ83" s="220"/>
      <c r="FA83" s="220"/>
      <c r="FB83" s="220"/>
      <c r="FC83" s="220"/>
      <c r="FD83" s="220"/>
      <c r="FE83" s="220"/>
      <c r="FF83" s="220"/>
      <c r="FG83" s="220"/>
      <c r="FH83" s="220"/>
      <c r="FI83" s="220"/>
      <c r="FJ83" s="220"/>
      <c r="FK83" s="220"/>
      <c r="FL83" s="220"/>
      <c r="FM83" s="220"/>
      <c r="FN83" s="220"/>
      <c r="FO83" s="220"/>
      <c r="FP83" s="220"/>
      <c r="FQ83" s="220"/>
      <c r="FR83" s="220"/>
      <c r="FS83" s="220"/>
      <c r="FT83" s="220"/>
      <c r="FU83" s="220"/>
    </row>
    <row r="84" spans="1:177" x14ac:dyDescent="0.25">
      <c r="DI84" s="141"/>
      <c r="DR84" s="141"/>
    </row>
    <row r="85" spans="1:177" x14ac:dyDescent="0.25">
      <c r="DI85" s="141"/>
      <c r="DR85" s="141"/>
    </row>
    <row r="86" spans="1:177" x14ac:dyDescent="0.25">
      <c r="DI86" s="141"/>
      <c r="DR86" s="141"/>
      <c r="EG86" s="141"/>
    </row>
    <row r="87" spans="1:177" x14ac:dyDescent="0.25">
      <c r="DI87" s="141"/>
      <c r="DR87" s="141"/>
      <c r="EG87" s="141"/>
    </row>
    <row r="88" spans="1:177" x14ac:dyDescent="0.25">
      <c r="DR88" s="141"/>
      <c r="EG88" s="141"/>
    </row>
    <row r="89" spans="1:177" x14ac:dyDescent="0.25">
      <c r="DR89" s="141"/>
      <c r="EG89" s="141"/>
    </row>
    <row r="90" spans="1:177" x14ac:dyDescent="0.25">
      <c r="DR90" s="141"/>
      <c r="EG90" s="141"/>
    </row>
    <row r="91" spans="1:177" x14ac:dyDescent="0.25">
      <c r="DR91" s="141"/>
    </row>
    <row r="92" spans="1:177" x14ac:dyDescent="0.25">
      <c r="DR92" s="141"/>
    </row>
    <row r="93" spans="1:177" x14ac:dyDescent="0.25">
      <c r="DR93" s="141"/>
    </row>
    <row r="94" spans="1:177" x14ac:dyDescent="0.25">
      <c r="DR94" s="141"/>
    </row>
    <row r="95" spans="1:177" x14ac:dyDescent="0.25">
      <c r="DR95" s="141"/>
    </row>
  </sheetData>
  <phoneticPr fontId="2" type="noConversion"/>
  <hyperlinks>
    <hyperlink ref="A75" r:id="rId1"/>
    <hyperlink ref="A76" r:id="rId2" display="https://tradingeconomics.com/ghana/consumer-price-index-cpi"/>
    <hyperlink ref="A77" r:id="rId3" display="https://tradingeconomics.com/kenya/consumer-price-index-cpi"/>
    <hyperlink ref="A78" r:id="rId4" display="https://tradingeconomics.com/guinea/consumer-price-index-cpi"/>
    <hyperlink ref="A80" r:id="rId5" display="https://tradingeconomics.com/angola/consumer-price-index-cpi"/>
    <hyperlink ref="A70" r:id="rId6"/>
    <hyperlink ref="A81" r:id="rId7" display="https://edenpub.bceao.int/rapportPredefini.php"/>
    <hyperlink ref="A74" r:id="rId8" display="https://microdata.nigerianstat.gov.ng/index.php/catalog/154"/>
    <hyperlink ref="A73" r:id="rId9" display="https://tradingeconomics.com/united-states/consumer-price-index-cpi"/>
    <hyperlink ref="A72" r:id="rId10" display="https://tradingeconomics.com/france/consumer-price-index-cpi"/>
    <hyperlink ref="A71" r:id="rId11" display="https://tradingeconomics.com/euro-area/consumer-price-index-cpi"/>
  </hyperlinks>
  <pageMargins left="0.78740157499999996" right="0.78740157499999996" top="0.984251969" bottom="0.984251969" header="0.4921259845" footer="0.4921259845"/>
  <pageSetup paperSize="9" orientation="portrait" r:id="rId12"/>
  <headerFooter alignWithMargins="0"/>
  <legacy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81"/>
  <sheetViews>
    <sheetView zoomScaleNormal="100" workbookViewId="0">
      <pane xSplit="3" ySplit="4" topLeftCell="D5" activePane="bottomRight" state="frozen"/>
      <selection activeCell="C38" sqref="C38"/>
      <selection pane="topRight" activeCell="C38" sqref="C38"/>
      <selection pane="bottomLeft" activeCell="C38" sqref="C38"/>
      <selection pane="bottomRight" activeCell="C38" sqref="C38"/>
    </sheetView>
  </sheetViews>
  <sheetFormatPr baseColWidth="10" defaultColWidth="9.44140625" defaultRowHeight="13.2" x14ac:dyDescent="0.25"/>
  <cols>
    <col min="1" max="1" width="4.6640625" customWidth="1"/>
    <col min="2" max="2" width="32.44140625" customWidth="1"/>
    <col min="3" max="6" width="13.109375" customWidth="1"/>
    <col min="7" max="8" width="9.44140625" style="178"/>
    <col min="9" max="9" width="9.44140625" style="179"/>
    <col min="10" max="40" width="9.44140625" style="178"/>
  </cols>
  <sheetData>
    <row r="1" spans="1:51" s="1" customFormat="1" ht="10.8" thickBot="1" x14ac:dyDescent="0.25">
      <c r="G1" s="153"/>
      <c r="H1" s="153"/>
      <c r="I1" s="154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</row>
    <row r="2" spans="1:51" s="2" customFormat="1" ht="33" thickTop="1" thickBot="1" x14ac:dyDescent="0.55000000000000004">
      <c r="B2" s="2" t="s">
        <v>92</v>
      </c>
      <c r="G2" s="155"/>
      <c r="H2" s="155"/>
      <c r="I2" s="156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</row>
    <row r="3" spans="1:51" s="1" customFormat="1" ht="11.4" thickTop="1" thickBot="1" x14ac:dyDescent="0.25">
      <c r="G3" s="153"/>
      <c r="H3" s="153"/>
      <c r="I3" s="154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</row>
    <row r="4" spans="1:51" s="24" customFormat="1" ht="13.8" thickBot="1" x14ac:dyDescent="0.3">
      <c r="A4" s="24" t="s">
        <v>8</v>
      </c>
      <c r="B4" s="21" t="s">
        <v>0</v>
      </c>
      <c r="C4" s="22" t="s">
        <v>1</v>
      </c>
      <c r="D4" s="157">
        <v>45292</v>
      </c>
      <c r="E4" s="157">
        <v>45323</v>
      </c>
      <c r="F4" s="157">
        <v>45352</v>
      </c>
      <c r="G4" s="157">
        <v>45383</v>
      </c>
      <c r="H4" s="157">
        <v>45413</v>
      </c>
      <c r="I4" s="157">
        <v>45444</v>
      </c>
      <c r="J4" s="157">
        <v>45474</v>
      </c>
      <c r="K4" s="157">
        <v>45505</v>
      </c>
      <c r="L4" s="157">
        <v>45536</v>
      </c>
      <c r="M4" s="157">
        <v>45566</v>
      </c>
      <c r="N4" s="157">
        <v>45597</v>
      </c>
      <c r="O4" s="157">
        <v>45627</v>
      </c>
      <c r="P4" s="157">
        <v>45658</v>
      </c>
      <c r="Q4" s="157">
        <v>45689</v>
      </c>
      <c r="R4" s="157">
        <v>45717</v>
      </c>
      <c r="S4" s="157">
        <v>45748</v>
      </c>
      <c r="T4" s="157">
        <v>45778</v>
      </c>
      <c r="U4" s="157">
        <v>45809</v>
      </c>
      <c r="V4" s="157">
        <v>45839</v>
      </c>
      <c r="W4" s="157">
        <v>45870</v>
      </c>
      <c r="X4" s="157">
        <v>45901</v>
      </c>
      <c r="Y4" s="157">
        <v>45931</v>
      </c>
      <c r="Z4" s="157">
        <v>45962</v>
      </c>
      <c r="AA4" s="157">
        <v>45992</v>
      </c>
      <c r="AB4" s="157">
        <v>46023</v>
      </c>
      <c r="AC4" s="157">
        <v>46054</v>
      </c>
      <c r="AD4" s="157">
        <v>46082</v>
      </c>
      <c r="AE4" s="157">
        <v>46113</v>
      </c>
      <c r="AF4" s="157">
        <v>46143</v>
      </c>
      <c r="AG4" s="157">
        <v>46174</v>
      </c>
      <c r="AH4" s="157">
        <v>46204</v>
      </c>
      <c r="AI4" s="157">
        <v>46235</v>
      </c>
      <c r="AJ4" s="157">
        <v>46266</v>
      </c>
      <c r="AK4" s="157">
        <v>46296</v>
      </c>
      <c r="AL4" s="157">
        <v>46327</v>
      </c>
      <c r="AM4" s="157">
        <v>46357</v>
      </c>
      <c r="AN4" s="157">
        <v>46388</v>
      </c>
      <c r="AO4" s="157">
        <v>46419</v>
      </c>
      <c r="AP4" s="157">
        <v>46447</v>
      </c>
      <c r="AQ4" s="157">
        <v>46478</v>
      </c>
      <c r="AR4" s="157">
        <v>46508</v>
      </c>
      <c r="AS4" s="157">
        <v>46539</v>
      </c>
      <c r="AT4" s="157">
        <v>46569</v>
      </c>
      <c r="AU4" s="157">
        <v>46600</v>
      </c>
      <c r="AV4" s="157">
        <v>46631</v>
      </c>
      <c r="AW4" s="157">
        <v>46661</v>
      </c>
      <c r="AX4" s="157">
        <v>46692</v>
      </c>
      <c r="AY4" s="157">
        <v>46722</v>
      </c>
    </row>
    <row r="5" spans="1:51" s="1" customFormat="1" ht="10.199999999999999" x14ac:dyDescent="0.2">
      <c r="A5" s="11" t="s">
        <v>9</v>
      </c>
      <c r="B5" s="1" t="s">
        <v>10</v>
      </c>
      <c r="C5" s="70">
        <v>31.82</v>
      </c>
      <c r="D5" s="70">
        <f>IPC!FD5</f>
        <v>112.2</v>
      </c>
      <c r="E5" s="70">
        <f>IPC!FE5</f>
        <v>113</v>
      </c>
      <c r="F5" s="70">
        <f>IPC!FF5</f>
        <v>113.8</v>
      </c>
      <c r="G5" s="159"/>
      <c r="H5" s="159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</row>
    <row r="6" spans="1:51" s="1" customFormat="1" ht="10.199999999999999" x14ac:dyDescent="0.2">
      <c r="A6" s="11"/>
      <c r="B6" s="1" t="s">
        <v>97</v>
      </c>
      <c r="C6" s="70"/>
      <c r="D6" s="70"/>
      <c r="E6" s="70"/>
      <c r="F6" s="70"/>
      <c r="G6" s="153"/>
      <c r="H6" s="153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</row>
    <row r="7" spans="1:51" s="1" customFormat="1" ht="10.199999999999999" x14ac:dyDescent="0.2">
      <c r="A7" s="11"/>
      <c r="B7" s="1" t="s">
        <v>98</v>
      </c>
      <c r="C7" s="70"/>
      <c r="D7" s="70"/>
      <c r="E7" s="70"/>
      <c r="F7" s="70"/>
      <c r="G7" s="153"/>
      <c r="H7" s="153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4"/>
    </row>
    <row r="8" spans="1:51" s="1" customFormat="1" ht="10.199999999999999" x14ac:dyDescent="0.2">
      <c r="A8" s="11" t="s">
        <v>11</v>
      </c>
      <c r="B8" s="1" t="s">
        <v>12</v>
      </c>
      <c r="C8" s="70">
        <v>1.36</v>
      </c>
      <c r="D8" s="70">
        <f>IPC!FD8</f>
        <v>104.3</v>
      </c>
      <c r="E8" s="70">
        <f>IPC!FE8</f>
        <v>104.8</v>
      </c>
      <c r="F8" s="70">
        <f>IPC!FF8</f>
        <v>105</v>
      </c>
      <c r="G8" s="159"/>
      <c r="H8" s="159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</row>
    <row r="9" spans="1:51" s="1" customFormat="1" ht="10.199999999999999" x14ac:dyDescent="0.2">
      <c r="A9" s="11" t="s">
        <v>13</v>
      </c>
      <c r="B9" s="1" t="s">
        <v>14</v>
      </c>
      <c r="C9" s="70">
        <v>9.84</v>
      </c>
      <c r="D9" s="70">
        <f>IPC!FD9</f>
        <v>106.1</v>
      </c>
      <c r="E9" s="70">
        <f>IPC!FE9</f>
        <v>106.3</v>
      </c>
      <c r="F9" s="70">
        <f>IPC!FF9</f>
        <v>106.6</v>
      </c>
      <c r="G9" s="159"/>
      <c r="H9" s="159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</row>
    <row r="10" spans="1:51" s="1" customFormat="1" ht="10.199999999999999" x14ac:dyDescent="0.2">
      <c r="A10" s="11" t="s">
        <v>15</v>
      </c>
      <c r="B10" s="146" t="s">
        <v>79</v>
      </c>
      <c r="C10" s="70">
        <v>12.89</v>
      </c>
      <c r="D10" s="70">
        <f>IPC!FD10</f>
        <v>104.7</v>
      </c>
      <c r="E10" s="70">
        <f>IPC!FE10</f>
        <v>105.6</v>
      </c>
      <c r="F10" s="70">
        <f>IPC!FF10</f>
        <v>105.7</v>
      </c>
      <c r="G10" s="159"/>
      <c r="H10" s="159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</row>
    <row r="11" spans="1:51" s="1" customFormat="1" ht="10.199999999999999" x14ac:dyDescent="0.2">
      <c r="A11" s="11" t="s">
        <v>17</v>
      </c>
      <c r="B11" s="147" t="s">
        <v>78</v>
      </c>
      <c r="C11" s="70">
        <v>5.0999999999999996</v>
      </c>
      <c r="D11" s="70">
        <f>IPC!FD11</f>
        <v>108.2</v>
      </c>
      <c r="E11" s="70">
        <f>IPC!FE11</f>
        <v>108.6</v>
      </c>
      <c r="F11" s="70">
        <f>IPC!FF11</f>
        <v>108.7</v>
      </c>
      <c r="G11" s="159"/>
      <c r="H11" s="159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</row>
    <row r="12" spans="1:51" s="1" customFormat="1" ht="10.199999999999999" x14ac:dyDescent="0.2">
      <c r="A12" s="11" t="s">
        <v>19</v>
      </c>
      <c r="B12" s="1" t="s">
        <v>33</v>
      </c>
      <c r="C12" s="70">
        <v>4.78</v>
      </c>
      <c r="D12" s="70">
        <f>IPC!FD12</f>
        <v>101.1</v>
      </c>
      <c r="E12" s="70">
        <f>IPC!FE12</f>
        <v>101.2</v>
      </c>
      <c r="F12" s="70">
        <f>IPC!FF12</f>
        <v>101.4</v>
      </c>
      <c r="G12" s="159"/>
      <c r="H12" s="159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4"/>
      <c r="AY12" s="154"/>
    </row>
    <row r="13" spans="1:51" s="1" customFormat="1" ht="10.199999999999999" x14ac:dyDescent="0.2">
      <c r="A13" s="11" t="s">
        <v>21</v>
      </c>
      <c r="B13" s="1" t="s">
        <v>22</v>
      </c>
      <c r="C13" s="70">
        <v>11.27</v>
      </c>
      <c r="D13" s="70">
        <f>IPC!FD13</f>
        <v>118.2</v>
      </c>
      <c r="E13" s="70">
        <f>IPC!FE13</f>
        <v>125.8</v>
      </c>
      <c r="F13" s="70">
        <f>IPC!FF13</f>
        <v>128.30000000000001</v>
      </c>
      <c r="G13" s="159"/>
      <c r="H13" s="159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</row>
    <row r="14" spans="1:51" s="1" customFormat="1" ht="10.199999999999999" x14ac:dyDescent="0.2">
      <c r="A14" s="11" t="s">
        <v>23</v>
      </c>
      <c r="B14" s="1" t="s">
        <v>24</v>
      </c>
      <c r="C14" s="70">
        <v>4.59</v>
      </c>
      <c r="D14" s="70">
        <f>IPC!FD14</f>
        <v>100.3</v>
      </c>
      <c r="E14" s="70">
        <f>IPC!FE14</f>
        <v>100.4</v>
      </c>
      <c r="F14" s="70">
        <f>IPC!FF14</f>
        <v>100.5</v>
      </c>
      <c r="G14" s="159"/>
      <c r="H14" s="159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</row>
    <row r="15" spans="1:51" s="1" customFormat="1" ht="10.199999999999999" x14ac:dyDescent="0.2">
      <c r="A15" s="11" t="s">
        <v>25</v>
      </c>
      <c r="B15" s="1" t="s">
        <v>26</v>
      </c>
      <c r="C15" s="70">
        <v>3.35</v>
      </c>
      <c r="D15" s="70">
        <f>IPC!FD15</f>
        <v>102.6</v>
      </c>
      <c r="E15" s="70">
        <f>IPC!FE15</f>
        <v>102.6</v>
      </c>
      <c r="F15" s="70">
        <f>IPC!FF15</f>
        <v>102.6</v>
      </c>
      <c r="G15" s="159"/>
      <c r="H15" s="159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</row>
    <row r="16" spans="1:51" s="1" customFormat="1" ht="10.199999999999999" x14ac:dyDescent="0.2">
      <c r="A16" s="11">
        <v>10</v>
      </c>
      <c r="B16" s="1" t="s">
        <v>27</v>
      </c>
      <c r="C16" s="70">
        <v>3.07</v>
      </c>
      <c r="D16" s="70">
        <f>IPC!FD16</f>
        <v>104.5</v>
      </c>
      <c r="E16" s="70">
        <f>IPC!FE16</f>
        <v>104.5</v>
      </c>
      <c r="F16" s="70">
        <f>IPC!FF16</f>
        <v>104.5</v>
      </c>
      <c r="G16" s="159"/>
      <c r="H16" s="159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</row>
    <row r="17" spans="1:51" s="1" customFormat="1" ht="10.199999999999999" x14ac:dyDescent="0.2">
      <c r="A17" s="11">
        <v>11</v>
      </c>
      <c r="B17" s="1" t="s">
        <v>28</v>
      </c>
      <c r="C17" s="70">
        <v>6.69</v>
      </c>
      <c r="D17" s="70">
        <f>IPC!FD17</f>
        <v>106</v>
      </c>
      <c r="E17" s="70">
        <f>IPC!FE17</f>
        <v>106.3</v>
      </c>
      <c r="F17" s="70">
        <f>IPC!FF17</f>
        <v>106.4</v>
      </c>
      <c r="G17" s="159"/>
      <c r="H17" s="159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</row>
    <row r="18" spans="1:51" s="1" customFormat="1" ht="10.199999999999999" x14ac:dyDescent="0.2">
      <c r="A18" s="11">
        <v>12</v>
      </c>
      <c r="B18" s="1" t="s">
        <v>29</v>
      </c>
      <c r="C18" s="70">
        <v>5.24</v>
      </c>
      <c r="D18" s="70">
        <f>IPC!FD18</f>
        <v>106.6</v>
      </c>
      <c r="E18" s="70">
        <f>IPC!FE18</f>
        <v>107</v>
      </c>
      <c r="F18" s="70">
        <f>IPC!FF18</f>
        <v>107.2</v>
      </c>
      <c r="G18" s="159"/>
      <c r="H18" s="159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</row>
    <row r="19" spans="1:51" s="79" customFormat="1" x14ac:dyDescent="0.25">
      <c r="A19" s="66"/>
      <c r="B19" s="66" t="s">
        <v>233</v>
      </c>
      <c r="C19" s="77">
        <f>SUM(C8:C18,C5)</f>
        <v>100</v>
      </c>
      <c r="D19" s="77">
        <f>IPC!FD19</f>
        <v>108.8</v>
      </c>
      <c r="E19" s="77">
        <f>IPC!FE19</f>
        <v>110.2</v>
      </c>
      <c r="F19" s="77">
        <f>IPC!FF19</f>
        <v>110.9</v>
      </c>
      <c r="G19" s="188">
        <f>+SUMPRODUCT($C$5:$C$18,G5:G18)/100</f>
        <v>0</v>
      </c>
      <c r="H19" s="188">
        <f t="shared" ref="H19:AY19" si="0">+SUMPRODUCT($C$5:$C$18,H5:H18)/100</f>
        <v>0</v>
      </c>
      <c r="I19" s="188">
        <f t="shared" si="0"/>
        <v>0</v>
      </c>
      <c r="J19" s="188">
        <f t="shared" si="0"/>
        <v>0</v>
      </c>
      <c r="K19" s="188">
        <f t="shared" si="0"/>
        <v>0</v>
      </c>
      <c r="L19" s="188">
        <f t="shared" si="0"/>
        <v>0</v>
      </c>
      <c r="M19" s="188">
        <f t="shared" si="0"/>
        <v>0</v>
      </c>
      <c r="N19" s="188">
        <f t="shared" si="0"/>
        <v>0</v>
      </c>
      <c r="O19" s="188">
        <f t="shared" si="0"/>
        <v>0</v>
      </c>
      <c r="P19" s="188">
        <f t="shared" si="0"/>
        <v>0</v>
      </c>
      <c r="Q19" s="188">
        <f t="shared" si="0"/>
        <v>0</v>
      </c>
      <c r="R19" s="188">
        <f t="shared" si="0"/>
        <v>0</v>
      </c>
      <c r="S19" s="188">
        <f t="shared" si="0"/>
        <v>0</v>
      </c>
      <c r="T19" s="188">
        <f t="shared" si="0"/>
        <v>0</v>
      </c>
      <c r="U19" s="188">
        <f t="shared" si="0"/>
        <v>0</v>
      </c>
      <c r="V19" s="188">
        <f t="shared" si="0"/>
        <v>0</v>
      </c>
      <c r="W19" s="188">
        <f t="shared" si="0"/>
        <v>0</v>
      </c>
      <c r="X19" s="188">
        <f t="shared" si="0"/>
        <v>0</v>
      </c>
      <c r="Y19" s="188">
        <f t="shared" si="0"/>
        <v>0</v>
      </c>
      <c r="Z19" s="188">
        <f t="shared" si="0"/>
        <v>0</v>
      </c>
      <c r="AA19" s="188">
        <f t="shared" si="0"/>
        <v>0</v>
      </c>
      <c r="AB19" s="188">
        <f t="shared" si="0"/>
        <v>0</v>
      </c>
      <c r="AC19" s="188">
        <f t="shared" si="0"/>
        <v>0</v>
      </c>
      <c r="AD19" s="188">
        <f t="shared" si="0"/>
        <v>0</v>
      </c>
      <c r="AE19" s="188">
        <f t="shared" si="0"/>
        <v>0</v>
      </c>
      <c r="AF19" s="188">
        <f t="shared" si="0"/>
        <v>0</v>
      </c>
      <c r="AG19" s="188">
        <f t="shared" si="0"/>
        <v>0</v>
      </c>
      <c r="AH19" s="188">
        <f t="shared" si="0"/>
        <v>0</v>
      </c>
      <c r="AI19" s="188">
        <f t="shared" si="0"/>
        <v>0</v>
      </c>
      <c r="AJ19" s="188">
        <f t="shared" si="0"/>
        <v>0</v>
      </c>
      <c r="AK19" s="188">
        <f t="shared" si="0"/>
        <v>0</v>
      </c>
      <c r="AL19" s="188">
        <f t="shared" si="0"/>
        <v>0</v>
      </c>
      <c r="AM19" s="188">
        <f t="shared" si="0"/>
        <v>0</v>
      </c>
      <c r="AN19" s="188">
        <f t="shared" si="0"/>
        <v>0</v>
      </c>
      <c r="AO19" s="188">
        <f t="shared" si="0"/>
        <v>0</v>
      </c>
      <c r="AP19" s="188">
        <f t="shared" si="0"/>
        <v>0</v>
      </c>
      <c r="AQ19" s="188">
        <f t="shared" si="0"/>
        <v>0</v>
      </c>
      <c r="AR19" s="188">
        <f t="shared" si="0"/>
        <v>0</v>
      </c>
      <c r="AS19" s="188">
        <f t="shared" si="0"/>
        <v>0</v>
      </c>
      <c r="AT19" s="188">
        <f t="shared" si="0"/>
        <v>0</v>
      </c>
      <c r="AU19" s="188">
        <f t="shared" si="0"/>
        <v>0</v>
      </c>
      <c r="AV19" s="188">
        <f t="shared" si="0"/>
        <v>0</v>
      </c>
      <c r="AW19" s="188">
        <f t="shared" si="0"/>
        <v>0</v>
      </c>
      <c r="AX19" s="188">
        <f t="shared" si="0"/>
        <v>0</v>
      </c>
      <c r="AY19" s="188">
        <f t="shared" si="0"/>
        <v>0</v>
      </c>
    </row>
    <row r="20" spans="1:51" s="152" customFormat="1" ht="10.8" x14ac:dyDescent="0.25">
      <c r="C20" s="15"/>
      <c r="D20" s="15"/>
      <c r="E20" s="15"/>
      <c r="F20" s="15"/>
      <c r="G20" s="160"/>
      <c r="H20" s="160"/>
      <c r="I20" s="161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</row>
    <row r="21" spans="1:51" s="3" customFormat="1" ht="10.199999999999999" x14ac:dyDescent="0.2">
      <c r="B21" s="3" t="s">
        <v>3</v>
      </c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</row>
    <row r="22" spans="1:51" s="81" customFormat="1" ht="10.199999999999999" x14ac:dyDescent="0.2">
      <c r="B22" s="81" t="s">
        <v>4</v>
      </c>
      <c r="G22" s="164"/>
      <c r="H22" s="164"/>
      <c r="I22" s="165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</row>
    <row r="23" spans="1:51" s="74" customFormat="1" ht="10.199999999999999" x14ac:dyDescent="0.2">
      <c r="G23" s="166"/>
      <c r="H23" s="166"/>
      <c r="I23" s="167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</row>
    <row r="24" spans="1:51" s="3" customFormat="1" ht="10.199999999999999" x14ac:dyDescent="0.2">
      <c r="B24" s="3" t="s">
        <v>104</v>
      </c>
      <c r="G24" s="162"/>
      <c r="H24" s="162"/>
      <c r="I24" s="163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</row>
    <row r="25" spans="1:51" s="3" customFormat="1" ht="10.199999999999999" x14ac:dyDescent="0.2">
      <c r="B25" s="83" t="s">
        <v>105</v>
      </c>
      <c r="G25" s="162"/>
      <c r="H25" s="162"/>
      <c r="I25" s="163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</row>
    <row r="26" spans="1:51" s="3" customFormat="1" ht="10.199999999999999" x14ac:dyDescent="0.2">
      <c r="B26" s="3" t="s">
        <v>106</v>
      </c>
      <c r="G26" s="162"/>
      <c r="H26" s="162"/>
      <c r="I26" s="163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</row>
    <row r="27" spans="1:51" s="81" customFormat="1" ht="10.199999999999999" x14ac:dyDescent="0.2">
      <c r="B27" s="81" t="s">
        <v>107</v>
      </c>
      <c r="G27" s="164"/>
      <c r="H27" s="164"/>
      <c r="I27" s="165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</row>
    <row r="28" spans="1:51" s="74" customFormat="1" ht="10.199999999999999" x14ac:dyDescent="0.2">
      <c r="G28" s="166"/>
      <c r="H28" s="166"/>
      <c r="I28" s="167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</row>
    <row r="29" spans="1:51" s="3" customFormat="1" ht="10.199999999999999" x14ac:dyDescent="0.2">
      <c r="B29" s="3" t="s">
        <v>108</v>
      </c>
      <c r="G29" s="162"/>
      <c r="H29" s="162"/>
      <c r="I29" s="163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</row>
    <row r="30" spans="1:51" s="3" customFormat="1" ht="10.199999999999999" x14ac:dyDescent="0.2">
      <c r="B30" s="3" t="s">
        <v>109</v>
      </c>
      <c r="G30" s="162"/>
      <c r="H30" s="162"/>
      <c r="I30" s="163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</row>
    <row r="31" spans="1:51" s="81" customFormat="1" ht="10.199999999999999" x14ac:dyDescent="0.2">
      <c r="B31" s="81" t="s">
        <v>110</v>
      </c>
      <c r="G31" s="164"/>
      <c r="H31" s="164"/>
      <c r="I31" s="165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</row>
    <row r="32" spans="1:51" s="74" customFormat="1" ht="10.199999999999999" x14ac:dyDescent="0.2">
      <c r="G32" s="166"/>
      <c r="H32" s="166"/>
      <c r="I32" s="167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</row>
    <row r="33" spans="2:40" s="3" customFormat="1" ht="10.199999999999999" x14ac:dyDescent="0.2">
      <c r="B33" s="3" t="s">
        <v>111</v>
      </c>
      <c r="G33" s="162"/>
      <c r="H33" s="162"/>
      <c r="I33" s="163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</row>
    <row r="34" spans="2:40" s="3" customFormat="1" ht="10.199999999999999" x14ac:dyDescent="0.2">
      <c r="B34" s="3" t="s">
        <v>112</v>
      </c>
      <c r="G34" s="162"/>
      <c r="H34" s="162"/>
      <c r="I34" s="163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</row>
    <row r="35" spans="2:40" s="3" customFormat="1" ht="10.199999999999999" x14ac:dyDescent="0.2">
      <c r="B35" s="3" t="s">
        <v>113</v>
      </c>
      <c r="G35" s="162"/>
      <c r="H35" s="162"/>
      <c r="I35" s="163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</row>
    <row r="36" spans="2:40" s="81" customFormat="1" ht="10.199999999999999" x14ac:dyDescent="0.2">
      <c r="B36" s="81" t="s">
        <v>114</v>
      </c>
      <c r="G36" s="164"/>
      <c r="H36" s="164"/>
      <c r="I36" s="165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</row>
    <row r="37" spans="2:40" s="152" customFormat="1" ht="10.8" x14ac:dyDescent="0.25">
      <c r="C37" s="15"/>
      <c r="D37" s="15"/>
      <c r="E37" s="15"/>
      <c r="F37" s="15"/>
      <c r="G37" s="160"/>
      <c r="H37" s="160"/>
      <c r="I37" s="161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</row>
    <row r="38" spans="2:40" s="152" customFormat="1" ht="10.199999999999999" x14ac:dyDescent="0.2">
      <c r="B38" s="9" t="s">
        <v>5</v>
      </c>
      <c r="C38" s="9"/>
      <c r="D38" s="9"/>
      <c r="E38" s="9"/>
      <c r="F38" s="9"/>
      <c r="G38" s="168" t="str">
        <f t="shared" ref="G38:H38" si="1">IF(OR(G5="",G9="",G16=""),"",SUMPRODUCT(G8:G18,$C$8:$C$18)/SUM($C$8:$C$18))</f>
        <v/>
      </c>
      <c r="H38" s="168" t="str">
        <f t="shared" si="1"/>
        <v/>
      </c>
      <c r="I38" s="169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0"/>
      <c r="AN38" s="160"/>
    </row>
    <row r="39" spans="2:40" s="152" customFormat="1" ht="10.199999999999999" x14ac:dyDescent="0.2">
      <c r="B39" s="9" t="s">
        <v>6</v>
      </c>
      <c r="C39" s="9"/>
      <c r="D39" s="9"/>
      <c r="E39" s="9"/>
      <c r="F39" s="9"/>
      <c r="G39" s="168" t="str">
        <f t="shared" ref="G39:H39" si="2">IF(OR(G5="",G11="",G17=""),"",(G5*$C$5+SUMPRODUCT($C$8:$C$12,G8:G12)+SUMPRODUCT($C$14:$C$18,G14:G18))/SUM($C$5,$C$8:$C$12,$C$14:$C$18))</f>
        <v/>
      </c>
      <c r="H39" s="168" t="str">
        <f t="shared" si="2"/>
        <v/>
      </c>
      <c r="I39" s="169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60"/>
    </row>
    <row r="40" spans="2:40" s="152" customFormat="1" ht="10.199999999999999" x14ac:dyDescent="0.2">
      <c r="B40" s="9" t="s">
        <v>7</v>
      </c>
      <c r="C40" s="9"/>
      <c r="D40" s="9"/>
      <c r="E40" s="9"/>
      <c r="F40" s="9"/>
      <c r="G40" s="168" t="str">
        <f t="shared" ref="G40:H40" si="3">IF(OR(G5="",G10="",G16=""),"",(SUMPRODUCT($C$8:$C$12,G8:G12)+SUMPRODUCT($C$14:$C$18,G14:G18))/SUM($C$8:$C$12,$C$14:$C$18))</f>
        <v/>
      </c>
      <c r="H40" s="168" t="str">
        <f t="shared" si="3"/>
        <v/>
      </c>
      <c r="I40" s="169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</row>
    <row r="41" spans="2:40" s="152" customFormat="1" ht="10.199999999999999" x14ac:dyDescent="0.2">
      <c r="B41" s="9"/>
      <c r="C41" s="9"/>
      <c r="D41" s="9"/>
      <c r="E41" s="9"/>
      <c r="F41" s="9"/>
      <c r="G41" s="168"/>
      <c r="H41" s="168"/>
      <c r="I41" s="169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</row>
    <row r="42" spans="2:40" s="63" customFormat="1" ht="10.199999999999999" x14ac:dyDescent="0.2">
      <c r="B42" s="63" t="s">
        <v>80</v>
      </c>
      <c r="C42" s="64" t="e">
        <f>AVERAGE(#REF!)</f>
        <v>#REF!</v>
      </c>
      <c r="D42" s="64"/>
      <c r="E42" s="64"/>
      <c r="F42" s="64"/>
      <c r="G42" s="170" t="e">
        <f>G19*AVERAGE(#REF!)/100</f>
        <v>#REF!</v>
      </c>
      <c r="H42" s="170" t="e">
        <f>H19*AVERAGE(#REF!)/100</f>
        <v>#REF!</v>
      </c>
      <c r="I42" s="171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</row>
    <row r="43" spans="2:40" s="1" customFormat="1" ht="10.199999999999999" x14ac:dyDescent="0.2">
      <c r="G43" s="153"/>
      <c r="H43" s="153"/>
      <c r="I43" s="154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</row>
    <row r="44" spans="2:40" s="1" customFormat="1" ht="10.8" thickBot="1" x14ac:dyDescent="0.25">
      <c r="G44" s="153"/>
      <c r="H44" s="153"/>
      <c r="I44" s="154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  <c r="AH44" s="153"/>
      <c r="AI44" s="153"/>
      <c r="AJ44" s="153"/>
      <c r="AK44" s="153"/>
      <c r="AL44" s="153"/>
      <c r="AM44" s="153"/>
      <c r="AN44" s="153"/>
    </row>
    <row r="45" spans="2:40" s="2" customFormat="1" ht="33" thickTop="1" thickBot="1" x14ac:dyDescent="0.55000000000000004">
      <c r="B45" s="2" t="s">
        <v>93</v>
      </c>
      <c r="G45" s="155"/>
      <c r="H45" s="155"/>
      <c r="I45" s="156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  <c r="AL45" s="155"/>
      <c r="AM45" s="155"/>
      <c r="AN45" s="155"/>
    </row>
    <row r="46" spans="2:40" s="20" customFormat="1" ht="14.4" thickTop="1" thickBot="1" x14ac:dyDescent="0.3">
      <c r="G46" s="173"/>
      <c r="H46" s="173"/>
      <c r="I46" s="174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173"/>
      <c r="AI46" s="173"/>
      <c r="AJ46" s="173"/>
      <c r="AK46" s="173"/>
      <c r="AL46" s="173"/>
      <c r="AM46" s="173"/>
      <c r="AN46" s="173"/>
    </row>
    <row r="47" spans="2:40" s="24" customFormat="1" ht="13.8" thickBot="1" x14ac:dyDescent="0.3">
      <c r="B47" s="21" t="s">
        <v>34</v>
      </c>
      <c r="C47" s="22" t="s">
        <v>1</v>
      </c>
      <c r="D47" s="22"/>
      <c r="E47" s="22"/>
      <c r="F47" s="22"/>
      <c r="G47" s="158"/>
      <c r="H47" s="158"/>
      <c r="I47" s="175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</row>
    <row r="48" spans="2:40" s="20" customFormat="1" x14ac:dyDescent="0.25">
      <c r="B48" s="25" t="s">
        <v>35</v>
      </c>
      <c r="C48" s="26"/>
      <c r="D48" s="26"/>
      <c r="E48" s="26"/>
      <c r="F48" s="26"/>
      <c r="G48" s="173"/>
      <c r="H48" s="173"/>
      <c r="I48" s="174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</row>
    <row r="49" spans="1:40" s="20" customFormat="1" x14ac:dyDescent="0.25">
      <c r="B49" s="25" t="s">
        <v>36</v>
      </c>
      <c r="C49" s="26"/>
      <c r="D49" s="26"/>
      <c r="E49" s="26"/>
      <c r="F49" s="26"/>
      <c r="G49" s="173"/>
      <c r="H49" s="173"/>
      <c r="I49" s="174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</row>
    <row r="50" spans="1:40" s="20" customFormat="1" x14ac:dyDescent="0.25">
      <c r="B50" s="25" t="s">
        <v>82</v>
      </c>
      <c r="C50" s="26"/>
      <c r="D50" s="26"/>
      <c r="E50" s="26"/>
      <c r="F50" s="26"/>
      <c r="G50" s="173"/>
      <c r="H50" s="173"/>
      <c r="I50" s="174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3"/>
      <c r="AH50" s="173"/>
      <c r="AI50" s="173"/>
      <c r="AJ50" s="173"/>
      <c r="AK50" s="173"/>
      <c r="AL50" s="173"/>
      <c r="AM50" s="173"/>
      <c r="AN50" s="173"/>
    </row>
    <row r="51" spans="1:40" s="20" customFormat="1" x14ac:dyDescent="0.25">
      <c r="B51" s="25" t="s">
        <v>37</v>
      </c>
      <c r="C51" s="26"/>
      <c r="D51" s="26"/>
      <c r="E51" s="26"/>
      <c r="F51" s="26"/>
      <c r="G51" s="173"/>
      <c r="H51" s="173"/>
      <c r="I51" s="174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3"/>
      <c r="AH51" s="173"/>
      <c r="AI51" s="173"/>
      <c r="AJ51" s="173"/>
      <c r="AK51" s="173"/>
      <c r="AL51" s="173"/>
      <c r="AM51" s="173"/>
      <c r="AN51" s="173"/>
    </row>
    <row r="52" spans="1:40" s="20" customFormat="1" ht="12" customHeight="1" x14ac:dyDescent="0.25">
      <c r="B52" s="25" t="s">
        <v>85</v>
      </c>
      <c r="C52" s="26"/>
      <c r="D52" s="26"/>
      <c r="E52" s="26"/>
      <c r="F52" s="26"/>
      <c r="G52" s="173"/>
      <c r="H52" s="173"/>
      <c r="I52" s="174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3"/>
      <c r="AI52" s="173"/>
      <c r="AJ52" s="173"/>
      <c r="AK52" s="173"/>
      <c r="AL52" s="173"/>
      <c r="AM52" s="173"/>
      <c r="AN52" s="173"/>
    </row>
    <row r="53" spans="1:40" s="20" customFormat="1" x14ac:dyDescent="0.25">
      <c r="B53" s="25" t="s">
        <v>39</v>
      </c>
      <c r="C53" s="26"/>
      <c r="D53" s="26"/>
      <c r="E53" s="26"/>
      <c r="F53" s="26"/>
      <c r="G53" s="173"/>
      <c r="H53" s="173"/>
      <c r="I53" s="174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3"/>
      <c r="AI53" s="173"/>
      <c r="AJ53" s="173"/>
      <c r="AK53" s="173"/>
      <c r="AL53" s="173"/>
      <c r="AM53" s="173"/>
      <c r="AN53" s="173"/>
    </row>
    <row r="54" spans="1:40" s="20" customFormat="1" x14ac:dyDescent="0.25">
      <c r="B54" s="25" t="s">
        <v>86</v>
      </c>
      <c r="C54" s="26"/>
      <c r="D54" s="26"/>
      <c r="E54" s="26"/>
      <c r="F54" s="26"/>
      <c r="G54" s="173"/>
      <c r="H54" s="173"/>
      <c r="I54" s="174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3"/>
      <c r="AF54" s="173"/>
      <c r="AG54" s="173"/>
      <c r="AH54" s="173"/>
      <c r="AI54" s="173"/>
      <c r="AJ54" s="173"/>
      <c r="AK54" s="173"/>
      <c r="AL54" s="173"/>
      <c r="AM54" s="173"/>
      <c r="AN54" s="173"/>
    </row>
    <row r="55" spans="1:40" s="20" customFormat="1" x14ac:dyDescent="0.25">
      <c r="B55" s="25" t="s">
        <v>83</v>
      </c>
      <c r="C55" s="26"/>
      <c r="D55" s="26"/>
      <c r="E55" s="26"/>
      <c r="F55" s="26"/>
      <c r="G55" s="173"/>
      <c r="H55" s="173"/>
      <c r="I55" s="174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73"/>
      <c r="AH55" s="173"/>
      <c r="AI55" s="173"/>
      <c r="AJ55" s="173"/>
      <c r="AK55" s="173"/>
      <c r="AL55" s="173"/>
      <c r="AM55" s="173"/>
      <c r="AN55" s="173"/>
    </row>
    <row r="56" spans="1:40" s="20" customFormat="1" x14ac:dyDescent="0.25">
      <c r="B56" s="25" t="s">
        <v>84</v>
      </c>
      <c r="C56" s="26"/>
      <c r="D56" s="26"/>
      <c r="E56" s="26"/>
      <c r="F56" s="26"/>
      <c r="G56" s="173"/>
      <c r="H56" s="173"/>
      <c r="I56" s="174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  <c r="AE56" s="173"/>
      <c r="AF56" s="173"/>
      <c r="AG56" s="173"/>
      <c r="AH56" s="173"/>
      <c r="AI56" s="173"/>
      <c r="AJ56" s="173"/>
      <c r="AK56" s="173"/>
      <c r="AL56" s="173"/>
      <c r="AM56" s="173"/>
      <c r="AN56" s="173"/>
    </row>
    <row r="57" spans="1:40" s="20" customFormat="1" x14ac:dyDescent="0.25">
      <c r="B57" s="25" t="s">
        <v>38</v>
      </c>
      <c r="C57" s="26"/>
      <c r="D57" s="26"/>
      <c r="E57" s="26"/>
      <c r="F57" s="26"/>
      <c r="G57" s="173"/>
      <c r="H57" s="173"/>
      <c r="I57" s="174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3"/>
      <c r="AF57" s="173"/>
      <c r="AG57" s="173"/>
      <c r="AH57" s="173"/>
      <c r="AI57" s="173"/>
      <c r="AJ57" s="173"/>
      <c r="AK57" s="173"/>
      <c r="AL57" s="173"/>
      <c r="AM57" s="173"/>
      <c r="AN57" s="173"/>
    </row>
    <row r="58" spans="1:40" s="66" customFormat="1" x14ac:dyDescent="0.25">
      <c r="B58" s="67" t="s">
        <v>2</v>
      </c>
      <c r="C58" s="68">
        <v>10000</v>
      </c>
      <c r="D58" s="68"/>
      <c r="E58" s="68"/>
      <c r="F58" s="68"/>
      <c r="G58" s="176"/>
      <c r="H58" s="176"/>
      <c r="I58" s="177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</row>
    <row r="60" spans="1:40" ht="13.8" thickBot="1" x14ac:dyDescent="0.3"/>
    <row r="61" spans="1:40" s="2" customFormat="1" ht="33" thickTop="1" thickBot="1" x14ac:dyDescent="0.55000000000000004">
      <c r="B61" s="2" t="s">
        <v>94</v>
      </c>
      <c r="G61" s="155"/>
      <c r="H61" s="155"/>
      <c r="I61" s="156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</row>
    <row r="62" spans="1:40" ht="14.4" thickTop="1" thickBot="1" x14ac:dyDescent="0.3"/>
    <row r="63" spans="1:40" s="24" customFormat="1" ht="13.8" thickBot="1" x14ac:dyDescent="0.3">
      <c r="B63" s="21"/>
      <c r="C63" s="22" t="s">
        <v>95</v>
      </c>
      <c r="D63" s="22"/>
      <c r="E63" s="22"/>
      <c r="F63" s="22"/>
      <c r="G63" s="157">
        <v>45383</v>
      </c>
      <c r="H63" s="157">
        <v>45413</v>
      </c>
      <c r="I63" s="180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  <c r="AM63" s="158"/>
      <c r="AN63" s="158"/>
    </row>
    <row r="64" spans="1:40" s="109" customFormat="1" ht="10.199999999999999" x14ac:dyDescent="0.2">
      <c r="A64" s="30"/>
      <c r="B64" s="73" t="s">
        <v>41</v>
      </c>
      <c r="C64" s="71"/>
      <c r="D64" s="71"/>
      <c r="E64" s="71"/>
      <c r="F64" s="71"/>
      <c r="G64" s="181"/>
      <c r="H64" s="181"/>
      <c r="I64" s="154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81"/>
      <c r="AJ64" s="181"/>
      <c r="AK64" s="181"/>
      <c r="AL64" s="181"/>
      <c r="AM64" s="181"/>
      <c r="AN64" s="181"/>
    </row>
    <row r="65" spans="1:40" s="109" customFormat="1" ht="10.199999999999999" x14ac:dyDescent="0.2">
      <c r="A65" s="30"/>
      <c r="B65" s="73" t="s">
        <v>42</v>
      </c>
      <c r="C65" s="71"/>
      <c r="D65" s="71"/>
      <c r="E65" s="71"/>
      <c r="F65" s="71"/>
      <c r="G65" s="181"/>
      <c r="H65" s="181"/>
      <c r="I65" s="154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81"/>
      <c r="AJ65" s="181"/>
      <c r="AK65" s="181"/>
      <c r="AL65" s="181"/>
      <c r="AM65" s="181"/>
      <c r="AN65" s="181"/>
    </row>
    <row r="66" spans="1:40" s="109" customFormat="1" ht="10.199999999999999" x14ac:dyDescent="0.2">
      <c r="A66" s="30"/>
      <c r="B66" s="73" t="s">
        <v>43</v>
      </c>
      <c r="C66" s="71"/>
      <c r="D66" s="71"/>
      <c r="E66" s="71"/>
      <c r="F66" s="71"/>
      <c r="G66" s="181"/>
      <c r="H66" s="181"/>
      <c r="I66" s="154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81"/>
      <c r="AI66" s="181"/>
      <c r="AJ66" s="181"/>
      <c r="AK66" s="181"/>
      <c r="AL66" s="181"/>
      <c r="AM66" s="181"/>
      <c r="AN66" s="181"/>
    </row>
    <row r="67" spans="1:40" s="109" customFormat="1" ht="10.199999999999999" x14ac:dyDescent="0.2">
      <c r="A67" s="30"/>
      <c r="B67" s="73" t="s">
        <v>44</v>
      </c>
      <c r="C67" s="71"/>
      <c r="D67" s="71"/>
      <c r="E67" s="71"/>
      <c r="F67" s="71"/>
      <c r="G67" s="181"/>
      <c r="H67" s="181"/>
      <c r="I67" s="154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81"/>
      <c r="AL67" s="181"/>
      <c r="AM67" s="181"/>
      <c r="AN67" s="181"/>
    </row>
    <row r="68" spans="1:40" s="109" customFormat="1" ht="10.199999999999999" x14ac:dyDescent="0.2">
      <c r="A68" s="30"/>
      <c r="B68" s="73" t="s">
        <v>45</v>
      </c>
      <c r="C68" s="71"/>
      <c r="D68" s="71"/>
      <c r="E68" s="71"/>
      <c r="F68" s="71"/>
      <c r="G68" s="181"/>
      <c r="H68" s="181"/>
      <c r="I68" s="154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  <c r="AC68" s="181"/>
      <c r="AD68" s="181"/>
      <c r="AE68" s="181"/>
      <c r="AF68" s="181"/>
      <c r="AG68" s="181"/>
      <c r="AH68" s="181"/>
      <c r="AI68" s="181"/>
      <c r="AJ68" s="181"/>
      <c r="AK68" s="181"/>
      <c r="AL68" s="181"/>
      <c r="AM68" s="181"/>
      <c r="AN68" s="181"/>
    </row>
    <row r="69" spans="1:40" s="110" customFormat="1" x14ac:dyDescent="0.25">
      <c r="A69" s="66"/>
      <c r="B69" s="67" t="s">
        <v>46</v>
      </c>
      <c r="C69" s="68"/>
      <c r="D69" s="68"/>
      <c r="E69" s="68"/>
      <c r="F69" s="68"/>
      <c r="G69" s="182"/>
      <c r="H69" s="182"/>
      <c r="I69" s="177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  <c r="AM69" s="182"/>
      <c r="AN69" s="182"/>
    </row>
    <row r="70" spans="1:40" s="109" customFormat="1" ht="10.199999999999999" x14ac:dyDescent="0.2">
      <c r="A70" s="30"/>
      <c r="B70" s="30" t="s">
        <v>50</v>
      </c>
      <c r="C70" s="71"/>
      <c r="D70" s="71"/>
      <c r="E70" s="71"/>
      <c r="F70" s="71"/>
      <c r="G70" s="181">
        <v>124.28</v>
      </c>
      <c r="H70" s="181">
        <v>125.4</v>
      </c>
      <c r="I70" s="154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  <c r="AC70" s="181"/>
      <c r="AD70" s="181"/>
      <c r="AE70" s="181"/>
      <c r="AF70" s="181"/>
      <c r="AG70" s="181"/>
      <c r="AH70" s="181"/>
      <c r="AI70" s="181"/>
      <c r="AJ70" s="181"/>
      <c r="AK70" s="181"/>
      <c r="AL70" s="181"/>
      <c r="AM70" s="181"/>
      <c r="AN70" s="181"/>
    </row>
    <row r="71" spans="1:40" s="109" customFormat="1" ht="10.199999999999999" x14ac:dyDescent="0.2">
      <c r="A71" s="30"/>
      <c r="B71" s="30" t="s">
        <v>51</v>
      </c>
      <c r="C71" s="71"/>
      <c r="D71" s="71"/>
      <c r="E71" s="71"/>
      <c r="F71" s="71"/>
      <c r="G71" s="181">
        <v>127.77</v>
      </c>
      <c r="H71" s="181">
        <v>128.27000000000001</v>
      </c>
      <c r="I71" s="154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1"/>
      <c r="AI71" s="181"/>
      <c r="AJ71" s="181"/>
      <c r="AK71" s="181"/>
      <c r="AL71" s="181"/>
      <c r="AM71" s="181"/>
      <c r="AN71" s="181"/>
    </row>
    <row r="72" spans="1:40" s="109" customFormat="1" ht="10.199999999999999" x14ac:dyDescent="0.2">
      <c r="A72" s="30"/>
      <c r="B72" s="73" t="s">
        <v>52</v>
      </c>
      <c r="C72" s="71" t="s">
        <v>206</v>
      </c>
      <c r="D72" s="71"/>
      <c r="E72" s="71"/>
      <c r="F72" s="71"/>
      <c r="G72" s="181">
        <v>119.73</v>
      </c>
      <c r="H72" s="181">
        <v>119.71</v>
      </c>
      <c r="I72" s="154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I72" s="181"/>
      <c r="AJ72" s="181"/>
      <c r="AK72" s="181"/>
      <c r="AL72" s="181"/>
      <c r="AM72" s="181"/>
      <c r="AN72" s="181"/>
    </row>
    <row r="73" spans="1:40" s="109" customFormat="1" ht="10.199999999999999" x14ac:dyDescent="0.2">
      <c r="A73" s="32"/>
      <c r="B73" s="31" t="s">
        <v>53</v>
      </c>
      <c r="C73" s="71" t="s">
        <v>205</v>
      </c>
      <c r="D73" s="71"/>
      <c r="E73" s="71"/>
      <c r="F73" s="71"/>
      <c r="G73" s="181" t="e">
        <v>#REF!</v>
      </c>
      <c r="H73" s="181"/>
      <c r="I73" s="154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  <c r="AC73" s="181"/>
      <c r="AD73" s="181"/>
      <c r="AE73" s="181"/>
      <c r="AF73" s="181"/>
      <c r="AG73" s="181"/>
      <c r="AH73" s="181"/>
      <c r="AI73" s="181"/>
      <c r="AJ73" s="181"/>
      <c r="AK73" s="181"/>
      <c r="AL73" s="181"/>
      <c r="AM73" s="181"/>
      <c r="AN73" s="181"/>
    </row>
    <row r="74" spans="1:40" s="109" customFormat="1" ht="10.199999999999999" x14ac:dyDescent="0.2">
      <c r="A74" s="32"/>
      <c r="B74" s="31" t="s">
        <v>72</v>
      </c>
      <c r="C74" s="72" t="s">
        <v>96</v>
      </c>
      <c r="D74" s="72"/>
      <c r="E74" s="72"/>
      <c r="F74" s="72"/>
      <c r="G74" s="183">
        <v>717.9153</v>
      </c>
      <c r="H74" s="183">
        <v>733.37625000000003</v>
      </c>
      <c r="I74" s="184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81"/>
      <c r="AJ74" s="181"/>
      <c r="AK74" s="181"/>
      <c r="AL74" s="181"/>
      <c r="AM74" s="181"/>
      <c r="AN74" s="181"/>
    </row>
    <row r="75" spans="1:40" s="109" customFormat="1" ht="10.199999999999999" x14ac:dyDescent="0.2">
      <c r="A75" s="32"/>
      <c r="B75" s="31" t="s">
        <v>73</v>
      </c>
      <c r="C75" s="108" t="s">
        <v>204</v>
      </c>
      <c r="D75" s="108"/>
      <c r="E75" s="108"/>
      <c r="F75" s="108"/>
      <c r="G75" s="181"/>
      <c r="H75" s="181"/>
      <c r="I75" s="154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81"/>
      <c r="AJ75" s="181"/>
      <c r="AK75" s="181"/>
      <c r="AL75" s="181"/>
      <c r="AM75" s="181"/>
      <c r="AN75" s="181"/>
    </row>
    <row r="76" spans="1:40" s="112" customFormat="1" ht="10.199999999999999" x14ac:dyDescent="0.2">
      <c r="A76" s="31"/>
      <c r="B76" s="31" t="s">
        <v>223</v>
      </c>
      <c r="C76" s="107" t="s">
        <v>207</v>
      </c>
      <c r="D76" s="107"/>
      <c r="E76" s="107"/>
      <c r="F76" s="107"/>
      <c r="G76" s="183">
        <v>213.3</v>
      </c>
      <c r="H76" s="183">
        <v>220</v>
      </c>
      <c r="I76" s="184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</row>
    <row r="77" spans="1:40" s="42" customFormat="1" x14ac:dyDescent="0.25">
      <c r="B77" s="106" t="s">
        <v>239</v>
      </c>
      <c r="G77" s="185">
        <v>139.63999999999999</v>
      </c>
      <c r="H77" s="185">
        <v>140.22999999999999</v>
      </c>
      <c r="I77" s="186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78"/>
      <c r="AI77" s="178"/>
      <c r="AJ77" s="178"/>
      <c r="AK77" s="178"/>
      <c r="AL77" s="178"/>
      <c r="AM77" s="178"/>
      <c r="AN77" s="178"/>
    </row>
    <row r="78" spans="1:40" s="42" customFormat="1" x14ac:dyDescent="0.25">
      <c r="B78" s="106" t="s">
        <v>240</v>
      </c>
      <c r="G78" s="185">
        <v>150.9</v>
      </c>
      <c r="H78" s="178"/>
      <c r="I78" s="179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78"/>
      <c r="AI78" s="178"/>
      <c r="AJ78" s="178"/>
      <c r="AK78" s="178"/>
      <c r="AL78" s="178"/>
      <c r="AM78" s="178"/>
      <c r="AN78" s="178"/>
    </row>
    <row r="79" spans="1:40" s="112" customFormat="1" ht="10.199999999999999" x14ac:dyDescent="0.2">
      <c r="A79" s="31"/>
      <c r="B79" s="31" t="s">
        <v>224</v>
      </c>
      <c r="C79" s="107" t="s">
        <v>208</v>
      </c>
      <c r="D79" s="107"/>
      <c r="E79" s="107"/>
      <c r="F79" s="107"/>
      <c r="G79" s="181">
        <v>702.31122000000005</v>
      </c>
      <c r="H79" s="181">
        <v>714.7900800000001</v>
      </c>
      <c r="I79" s="154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</row>
    <row r="80" spans="1:40" s="42" customFormat="1" x14ac:dyDescent="0.25">
      <c r="B80" s="106" t="s">
        <v>241</v>
      </c>
      <c r="G80" s="181">
        <v>191.99</v>
      </c>
      <c r="H80" s="181">
        <v>196.78</v>
      </c>
      <c r="I80" s="154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78"/>
      <c r="AI80" s="178"/>
      <c r="AJ80" s="178"/>
      <c r="AK80" s="178"/>
      <c r="AL80" s="178"/>
      <c r="AM80" s="178"/>
      <c r="AN80" s="178"/>
    </row>
    <row r="81" spans="1:40" s="112" customFormat="1" ht="10.199999999999999" x14ac:dyDescent="0.2">
      <c r="A81" s="31"/>
      <c r="B81" s="31" t="s">
        <v>245</v>
      </c>
      <c r="C81" s="107" t="s">
        <v>246</v>
      </c>
      <c r="D81" s="107"/>
      <c r="E81" s="107"/>
      <c r="F81" s="107"/>
      <c r="G81" s="183">
        <v>125.1</v>
      </c>
      <c r="H81" s="183">
        <v>126.3</v>
      </c>
      <c r="I81" s="184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76"/>
  <sheetViews>
    <sheetView zoomScale="80" zoomScaleNormal="80" workbookViewId="0">
      <pane xSplit="3" ySplit="4" topLeftCell="CS5" activePane="bottomRight" state="frozen"/>
      <selection activeCell="C38" sqref="C38"/>
      <selection pane="topRight" activeCell="C38" sqref="C38"/>
      <selection pane="bottomLeft" activeCell="C38" sqref="C38"/>
      <selection pane="bottomRight" activeCell="C38" sqref="C38"/>
    </sheetView>
  </sheetViews>
  <sheetFormatPr baseColWidth="10" defaultColWidth="9.44140625" defaultRowHeight="13.2" x14ac:dyDescent="0.25"/>
  <cols>
    <col min="1" max="1" width="4.6640625" customWidth="1"/>
    <col min="2" max="2" width="48" customWidth="1"/>
    <col min="3" max="3" width="12.33203125" bestFit="1" customWidth="1"/>
    <col min="4" max="47" width="9.33203125" customWidth="1"/>
    <col min="94" max="104" width="9.44140625" customWidth="1"/>
  </cols>
  <sheetData>
    <row r="1" spans="1:104" s="1" customFormat="1" ht="10.8" thickBot="1" x14ac:dyDescent="0.25"/>
    <row r="2" spans="1:104" s="2" customFormat="1" ht="33" thickTop="1" thickBot="1" x14ac:dyDescent="0.55000000000000004">
      <c r="B2" s="2" t="s">
        <v>92</v>
      </c>
    </row>
    <row r="3" spans="1:104" s="1" customFormat="1" ht="11.4" thickTop="1" thickBot="1" x14ac:dyDescent="0.25"/>
    <row r="4" spans="1:104" s="102" customFormat="1" ht="13.8" thickBot="1" x14ac:dyDescent="0.3">
      <c r="A4" s="102" t="s">
        <v>8</v>
      </c>
      <c r="B4" s="103" t="s">
        <v>0</v>
      </c>
      <c r="C4" s="104" t="s">
        <v>1</v>
      </c>
      <c r="D4" s="101" t="s">
        <v>179</v>
      </c>
      <c r="E4" s="101" t="s">
        <v>180</v>
      </c>
      <c r="F4" s="104" t="s">
        <v>181</v>
      </c>
      <c r="G4" s="104" t="s">
        <v>182</v>
      </c>
      <c r="H4" s="104" t="s">
        <v>115</v>
      </c>
      <c r="I4" s="104" t="s">
        <v>116</v>
      </c>
      <c r="J4" s="104" t="s">
        <v>117</v>
      </c>
      <c r="K4" s="104" t="s">
        <v>118</v>
      </c>
      <c r="L4" s="104" t="s">
        <v>119</v>
      </c>
      <c r="M4" s="104" t="s">
        <v>120</v>
      </c>
      <c r="N4" s="104" t="s">
        <v>121</v>
      </c>
      <c r="O4" s="104" t="s">
        <v>122</v>
      </c>
      <c r="P4" s="104" t="s">
        <v>123</v>
      </c>
      <c r="Q4" s="104" t="s">
        <v>124</v>
      </c>
      <c r="R4" s="104" t="s">
        <v>125</v>
      </c>
      <c r="S4" s="104" t="s">
        <v>126</v>
      </c>
      <c r="T4" s="104" t="s">
        <v>127</v>
      </c>
      <c r="U4" s="104" t="s">
        <v>128</v>
      </c>
      <c r="V4" s="104" t="s">
        <v>129</v>
      </c>
      <c r="W4" s="104" t="s">
        <v>130</v>
      </c>
      <c r="X4" s="105" t="s">
        <v>131</v>
      </c>
      <c r="Y4" s="105" t="s">
        <v>132</v>
      </c>
      <c r="Z4" s="105" t="s">
        <v>133</v>
      </c>
      <c r="AA4" s="105" t="s">
        <v>134</v>
      </c>
      <c r="AB4" s="105" t="s">
        <v>135</v>
      </c>
      <c r="AC4" s="105" t="s">
        <v>136</v>
      </c>
      <c r="AD4" s="105" t="s">
        <v>137</v>
      </c>
      <c r="AE4" s="105" t="s">
        <v>138</v>
      </c>
      <c r="AF4" s="105" t="s">
        <v>139</v>
      </c>
      <c r="AG4" s="105" t="s">
        <v>140</v>
      </c>
      <c r="AH4" s="105" t="s">
        <v>141</v>
      </c>
      <c r="AI4" s="105" t="s">
        <v>142</v>
      </c>
      <c r="AJ4" s="105" t="s">
        <v>143</v>
      </c>
      <c r="AK4" s="105" t="s">
        <v>144</v>
      </c>
      <c r="AL4" s="105" t="s">
        <v>145</v>
      </c>
      <c r="AM4" s="105" t="s">
        <v>146</v>
      </c>
      <c r="AN4" s="105" t="s">
        <v>147</v>
      </c>
      <c r="AO4" s="105" t="s">
        <v>148</v>
      </c>
      <c r="AP4" s="105" t="s">
        <v>149</v>
      </c>
      <c r="AQ4" s="105" t="s">
        <v>150</v>
      </c>
      <c r="AR4" s="105" t="s">
        <v>151</v>
      </c>
      <c r="AS4" s="105" t="s">
        <v>152</v>
      </c>
      <c r="AT4" s="105" t="s">
        <v>153</v>
      </c>
      <c r="AU4" s="105" t="s">
        <v>154</v>
      </c>
      <c r="AV4" s="105" t="s">
        <v>155</v>
      </c>
      <c r="AW4" s="105" t="s">
        <v>156</v>
      </c>
      <c r="AX4" s="105" t="s">
        <v>157</v>
      </c>
      <c r="AY4" s="105" t="s">
        <v>158</v>
      </c>
      <c r="AZ4" s="105" t="s">
        <v>159</v>
      </c>
      <c r="BA4" s="105" t="s">
        <v>160</v>
      </c>
      <c r="BB4" s="105" t="s">
        <v>161</v>
      </c>
      <c r="BC4" s="105" t="s">
        <v>162</v>
      </c>
      <c r="BD4" s="105" t="s">
        <v>163</v>
      </c>
      <c r="BE4" s="105" t="s">
        <v>164</v>
      </c>
      <c r="BF4" s="105" t="s">
        <v>165</v>
      </c>
      <c r="BG4" s="105" t="s">
        <v>166</v>
      </c>
      <c r="BH4" s="105" t="s">
        <v>167</v>
      </c>
      <c r="BI4" s="105" t="s">
        <v>168</v>
      </c>
      <c r="BJ4" s="105" t="s">
        <v>169</v>
      </c>
      <c r="BK4" s="105" t="s">
        <v>170</v>
      </c>
      <c r="BL4" s="105" t="s">
        <v>171</v>
      </c>
      <c r="BM4" s="105" t="s">
        <v>172</v>
      </c>
      <c r="BN4" s="105" t="s">
        <v>173</v>
      </c>
      <c r="BO4" s="105" t="s">
        <v>174</v>
      </c>
      <c r="BP4" s="105" t="s">
        <v>175</v>
      </c>
      <c r="BQ4" s="105" t="s">
        <v>176</v>
      </c>
      <c r="BR4" s="105" t="s">
        <v>177</v>
      </c>
      <c r="BS4" s="105" t="s">
        <v>178</v>
      </c>
      <c r="BT4" s="105" t="s">
        <v>183</v>
      </c>
      <c r="BU4" s="105" t="s">
        <v>184</v>
      </c>
      <c r="BV4" s="105" t="s">
        <v>185</v>
      </c>
      <c r="BW4" s="105" t="s">
        <v>187</v>
      </c>
      <c r="BX4" s="105" t="s">
        <v>188</v>
      </c>
      <c r="BY4" s="105" t="s">
        <v>189</v>
      </c>
      <c r="BZ4" s="105" t="s">
        <v>190</v>
      </c>
      <c r="CA4" s="105" t="s">
        <v>191</v>
      </c>
      <c r="CB4" s="105" t="s">
        <v>192</v>
      </c>
      <c r="CC4" s="105" t="s">
        <v>193</v>
      </c>
      <c r="CD4" s="105" t="s">
        <v>194</v>
      </c>
      <c r="CE4" s="105" t="s">
        <v>195</v>
      </c>
      <c r="CF4" s="105" t="s">
        <v>196</v>
      </c>
      <c r="CG4" s="105" t="s">
        <v>197</v>
      </c>
      <c r="CH4" s="105" t="s">
        <v>198</v>
      </c>
      <c r="CI4" s="105" t="s">
        <v>199</v>
      </c>
      <c r="CJ4" s="105" t="s">
        <v>226</v>
      </c>
      <c r="CK4" s="105" t="s">
        <v>227</v>
      </c>
      <c r="CL4" s="105" t="s">
        <v>228</v>
      </c>
      <c r="CM4" s="105" t="s">
        <v>225</v>
      </c>
      <c r="CN4" s="105" t="s">
        <v>229</v>
      </c>
      <c r="CO4" s="105" t="s">
        <v>230</v>
      </c>
      <c r="CP4" s="105" t="s">
        <v>231</v>
      </c>
      <c r="CQ4" s="105" t="s">
        <v>232</v>
      </c>
      <c r="CR4" s="105" t="s">
        <v>242</v>
      </c>
      <c r="CS4" s="105" t="s">
        <v>243</v>
      </c>
      <c r="CT4" s="105" t="s">
        <v>244</v>
      </c>
      <c r="CU4" s="105" t="s">
        <v>247</v>
      </c>
      <c r="CV4" s="105" t="s">
        <v>264</v>
      </c>
      <c r="CW4" s="105" t="s">
        <v>265</v>
      </c>
      <c r="CX4" s="105" t="s">
        <v>266</v>
      </c>
      <c r="CY4" s="105" t="s">
        <v>267</v>
      </c>
      <c r="CZ4" s="105" t="s">
        <v>268</v>
      </c>
    </row>
    <row r="5" spans="1:104" s="1" customFormat="1" ht="10.199999999999999" x14ac:dyDescent="0.2">
      <c r="A5" s="11" t="s">
        <v>9</v>
      </c>
      <c r="B5" s="1" t="s">
        <v>10</v>
      </c>
      <c r="C5" s="70">
        <v>31.82</v>
      </c>
      <c r="AV5" s="1" t="str">
        <f>IF(OR(IPC!F5="",IPC!E5="",IPC!D5=""),"",AVERAGE(IPC!D5:F5))</f>
        <v/>
      </c>
      <c r="AW5" s="1" t="str">
        <f>IF(OR(IPC!I5="",IPC!H5="",IPC!G5=""),"",AVERAGE(IPC!G5:I5))</f>
        <v/>
      </c>
      <c r="AX5" s="1" t="str">
        <f>IF(OR(IPC!L5="",IPC!K5="",IPC!J5=""),"",AVERAGE(IPC!J5:L5))</f>
        <v/>
      </c>
      <c r="AY5" s="1" t="str">
        <f>IF(OR(IPC!O5="",IPC!N5="",IPC!M5=""),"",AVERAGE(IPC!M5:O5))</f>
        <v/>
      </c>
      <c r="AZ5" s="7">
        <f>IF(OR(IPC!R5="",IPC!Q5="",IPC!P5=""),"",AVERAGE(IPC!P5:R5))</f>
        <v>71.919689252968013</v>
      </c>
      <c r="BA5" s="7">
        <f>IF(OR(IPC!U5="",IPC!T5="",IPC!S5=""),"",AVERAGE(IPC!S5:U5))</f>
        <v>73.003038013234459</v>
      </c>
      <c r="BB5" s="7">
        <f>IF(OR(IPC!X5="",IPC!W5="",IPC!V5=""),"",AVERAGE(IPC!V5:X5))</f>
        <v>73.991101245466822</v>
      </c>
      <c r="BC5" s="7">
        <f>IF(OR(IPC!AA5="",IPC!Z5="",IPC!Y5=""),"",AVERAGE(IPC!Y5:AA5))</f>
        <v>75.085903356116233</v>
      </c>
      <c r="BD5" s="7">
        <f>IF(OR(IPC!AD5="",IPC!AC5="",IPC!AB5=""),"",AVERAGE(IPC!AB5:AD5))</f>
        <v>74.999587842978158</v>
      </c>
      <c r="BE5" s="7">
        <f>IF(OR(IPC!AG5="",IPC!AF5="",IPC!AE5=""),"",AVERAGE(IPC!AE5:AG5))</f>
        <v>75.12196184563112</v>
      </c>
      <c r="BF5" s="7">
        <f>IF(OR(IPC!AJ5="",IPC!AI5="",IPC!AH5=""),"",AVERAGE(IPC!AH5:AJ5))</f>
        <v>76.023496256818703</v>
      </c>
      <c r="BG5" s="7">
        <f>IF(OR(IPC!AM5="",IPC!AL5="",IPC!AK5=""),"",AVERAGE(IPC!AK5:AM5))</f>
        <v>77.425027777481134</v>
      </c>
      <c r="BH5" s="7">
        <f>IF(OR(IPC!AP5="",IPC!AO5="",IPC!AN5=""),"",AVERAGE(IPC!AN5:AP5))</f>
        <v>76.063511085529441</v>
      </c>
      <c r="BI5" s="7">
        <f>IF(OR(IPC!AS5="",IPC!AR5="",IPC!AQ5=""),"",AVERAGE(IPC!AQ5:AS5))</f>
        <v>75.814276121878592</v>
      </c>
      <c r="BJ5" s="7">
        <f>IF(OR(IPC!AV5="",IPC!AU5="",IPC!AT5=""),"",AVERAGE(IPC!AT5:AV5))</f>
        <v>76.697714711099295</v>
      </c>
      <c r="BK5" s="7">
        <f>IF(OR(IPC!AY5="",IPC!AX5="",IPC!AW5=""),"",AVERAGE(IPC!AW5:AY5))</f>
        <v>77.292910847314431</v>
      </c>
      <c r="BL5" s="7">
        <f>IF(OR(IPC!BB5="",IPC!BA5="",IPC!AZ5=""),"",AVERAGE(IPC!AZ5:BB5))</f>
        <v>76.813871082541823</v>
      </c>
      <c r="BM5" s="7">
        <f>IF(OR(IPC!BE5="",IPC!BD5="",IPC!BC5=""),"",AVERAGE(IPC!BC5:BE5))</f>
        <v>77.691842853891558</v>
      </c>
      <c r="BN5" s="7">
        <f>IF(OR(IPC!BH5="",IPC!BG5="",IPC!BF5=""),"",AVERAGE(IPC!BF5:BH5))</f>
        <v>78.659079036168535</v>
      </c>
      <c r="BO5" s="7">
        <f>IF(OR(IPC!BK5="",IPC!BJ5="",IPC!BI5=""),"",AVERAGE(IPC!BI5:BK5))</f>
        <v>78.934683819878018</v>
      </c>
      <c r="BP5" s="7">
        <f>IF(OR(IPC!BN5="",IPC!BM5="",IPC!BL5=""),"",AVERAGE(IPC!BL5:BN5))</f>
        <v>78.309198837202317</v>
      </c>
      <c r="BQ5" s="7">
        <f>IF(OR(IPC!BQ5="",IPC!BP5="",IPC!BO5=""),"",AVERAGE(IPC!BO5:BQ5))</f>
        <v>79.135466569084713</v>
      </c>
      <c r="BR5" s="7">
        <f>IF(OR(IPC!BT5="",IPC!BS5="",IPC!BR5=""),"",AVERAGE(IPC!BR5:BT5))</f>
        <v>79.346521610894527</v>
      </c>
      <c r="BS5" s="7">
        <f>IF(OR(IPC!BW5="",IPC!BV5="",IPC!BU5=""),"",AVERAGE(IPC!BU5:BW5))</f>
        <v>78.676345697631334</v>
      </c>
      <c r="BT5" s="7">
        <f>IF(OR(IPC!BZ5="",IPC!BY5="",IPC!BX5=""),"",AVERAGE(IPC!BX5:BZ5))</f>
        <v>77.764146629019891</v>
      </c>
      <c r="BU5" s="7">
        <f>IF(OR(IPC!CC5="",IPC!CB5="",IPC!CA5=""),"",AVERAGE(IPC!CA5:CC5))</f>
        <v>78.803752903012466</v>
      </c>
      <c r="BV5" s="7">
        <f>IF(OR(IPC!CF5="",IPC!CE5="",IPC!CD5=""),"",AVERAGE(IPC!CD5:CF5))</f>
        <v>79.462177315241604</v>
      </c>
      <c r="BW5" s="7">
        <f>IF(OR(IPC!CI5="",IPC!CH5="",IPC!CG5=""),"",AVERAGE(IPC!CG5:CI5))</f>
        <v>79.487607164680057</v>
      </c>
      <c r="BX5" s="7">
        <f>IF(OR(IPC!CL5="",IPC!CK5="",IPC!CJ5=""),"",AVERAGE(IPC!CJ5:CL5))</f>
        <v>78.8897616559792</v>
      </c>
      <c r="BY5" s="7">
        <f>IF(OR(IPC!CO5="",IPC!CN5="",IPC!CM5=""),"",AVERAGE(IPC!CM5:CO5))</f>
        <v>79.697540941046839</v>
      </c>
      <c r="BZ5" s="7">
        <f>IF(OR(IPC!CR5="",IPC!CQ5="",IPC!CP5=""),"",AVERAGE(IPC!CP5:CR5))</f>
        <v>79.651250381481304</v>
      </c>
      <c r="CA5" s="7">
        <f>IF(OR(IPC!CU5="",IPC!CT5="",IPC!CS5=""),"",AVERAGE(IPC!CS5:CU5))</f>
        <v>81.110841265539321</v>
      </c>
      <c r="CB5" s="7">
        <f>IF(OR(IPC!CX5="",IPC!CW5="",IPC!CV5=""),"",AVERAGE(IPC!CV5:CX5))</f>
        <v>80.972155560145168</v>
      </c>
      <c r="CC5" s="7">
        <f>IF(OR(IPC!DA5="",IPC!CZ5="",IPC!CY5=""),"",AVERAGE(IPC!CY5:DA5))</f>
        <v>81.870520284416585</v>
      </c>
      <c r="CD5" s="7">
        <f>IF(OR(IPC!DB5="",IPC!DA5="",IPC!CZ5=""),"",AVERAGE(IPC!CZ5:DB5))</f>
        <v>82.079649254920881</v>
      </c>
      <c r="CE5" s="7">
        <f>IF(OR(IPC!DC5="",IPC!DB5="",IPC!DA5=""),"",AVERAGE(IPC!DA5:DC5))</f>
        <v>82.312762892993092</v>
      </c>
      <c r="CF5" s="7">
        <f>IF(OR(IPC!DD5="",IPC!DC5="",IPC!DB5=""),"",AVERAGE(IPC!DB5:DD5))</f>
        <v>82.551567027628963</v>
      </c>
      <c r="CG5" s="7">
        <f>IF(OR(IPC!DM5="",IPC!DL5="",IPC!DK5=""),"",AVERAGE(IPC!DK5:DM5))</f>
        <v>84.28594343679417</v>
      </c>
      <c r="CH5" s="7">
        <f>IF(OR(IPC!DP5="",IPC!DO5="",IPC!DN5=""),"",AVERAGE(IPC!DN5:DP5))</f>
        <v>85.833584160523699</v>
      </c>
      <c r="CI5" s="7">
        <f>IF(OR(IPC!DS5="",IPC!DR5="",IPC!DQ5=""),"",AVERAGE(IPC!DQ5:DS5))</f>
        <v>86.308698379323729</v>
      </c>
      <c r="CJ5" s="7">
        <f>IF(OR(IPC!DV5="",IPC!DU5="",IPC!DT5=""),"",AVERAGE(IPC!DT5:DV5))</f>
        <v>86.216635815370338</v>
      </c>
      <c r="CK5" s="7">
        <f>IF(OR(IPC!DY5="",IPC!DX5="",IPC!DW5=""),"",AVERAGE(IPC!DW5:DY5))</f>
        <v>87.937967559301114</v>
      </c>
      <c r="CL5" s="7">
        <f>IF(OR(IPC!EB5="",IPC!EA5="",IPC!DZ5=""),"",AVERAGE(IPC!DZ5:EB5))</f>
        <v>89.609760273477789</v>
      </c>
      <c r="CM5" s="7">
        <f>IF(OR(IPC!EE5="",IPC!ED5="",IPC!EC5=""),"",AVERAGE(IPC!EC5:EE5))</f>
        <v>91.007382832734663</v>
      </c>
      <c r="CN5" s="7">
        <f>IF(OR(IPC!EH5="",IPC!EG5="",IPC!EF5=""),"",AVERAGE(IPC!EF5:EH5))</f>
        <v>94.453853721770528</v>
      </c>
      <c r="CO5" s="7">
        <f>IF(OR(IPC!EK5="",IPC!EJ5="",IPC!EI5=""),"",AVERAGE(IPC!EI5:EK5))</f>
        <v>98.48187038761121</v>
      </c>
      <c r="CP5" s="7">
        <f>IF(OR(IPC!EN5="",IPC!EM5="",IPC!EL5=""),"",AVERAGE(IPC!EL5:EN5))</f>
        <v>102.24218108025843</v>
      </c>
      <c r="CQ5" s="7">
        <f>IF(OR(IPC!EQ5="",IPC!EP5="",IPC!EO5=""),"",AVERAGE(IPC!EO5:EQ5))</f>
        <v>104.82209481035984</v>
      </c>
      <c r="CR5" s="7">
        <f>IF(OR(IPC!ET5="",IPC!ES5="",IPC!ER5=""),"",AVERAGE(IPC!ER5:ET5))</f>
        <v>107.03090856211843</v>
      </c>
      <c r="CS5" s="7">
        <f>IF(OR(IPC!EW5="",IPC!EV5="",IPC!EU5=""),"",AVERAGE(IPC!EU5:EW5))</f>
        <v>109.82207862492074</v>
      </c>
      <c r="CT5" s="7">
        <f>IF(OR(IPC!EZ5="",IPC!EY5="",IPC!EX5=""),"",AVERAGE(IPC!EX5:EZ5))</f>
        <v>112.89409351003754</v>
      </c>
      <c r="CU5" s="7">
        <f>IF(OR(IPC!FC5="",IPC!FB5="",IPC!FA5=""),"",AVERAGE(IPC!FA5:FC5))</f>
        <v>113.56796150544665</v>
      </c>
      <c r="CV5" s="7">
        <f>IF(OR(IPC!FF5="",IPC!FE5="",IPC!FD5=""),"",AVERAGE(IPC!FD5:FF5))</f>
        <v>113</v>
      </c>
      <c r="CW5" s="7">
        <f>IF(OR(IPC!FI5="",IPC!FH5="",IPC!FG5=""),"",AVERAGE(IPC!FG5:FI5))</f>
        <v>115.76666666666665</v>
      </c>
      <c r="CX5" s="7">
        <f>IF(OR(IPC!FL5="",IPC!FK5="",IPC!FJ5=""),"",AVERAGE(IPC!FJ5:FL5))</f>
        <v>118.20465200133037</v>
      </c>
      <c r="CY5" s="7">
        <f>IF(OR(IPC!FO5="",IPC!FN5="",IPC!FM5=""),"",AVERAGE(IPC!FM5:FO5))</f>
        <v>120.76847162462393</v>
      </c>
      <c r="CZ5" s="7">
        <f>IF(OR(IPC!FR5="",IPC!FQ5="",IPC!FP5=""),"",AVERAGE(IPC!FP5:FR5))</f>
        <v>121.43333333333334</v>
      </c>
    </row>
    <row r="6" spans="1:104" s="1" customFormat="1" ht="10.199999999999999" x14ac:dyDescent="0.2">
      <c r="A6" s="11"/>
      <c r="B6" s="1" t="s">
        <v>97</v>
      </c>
      <c r="C6" s="70"/>
      <c r="AV6" s="1" t="str">
        <f>IF(OR(IPC!F6="",IPC!E6="",IPC!D6=""),"",AVERAGE(IPC!D6:F6))</f>
        <v/>
      </c>
      <c r="AW6" s="1" t="str">
        <f>IF(OR(IPC!I6="",IPC!H6="",IPC!G6=""),"",AVERAGE(IPC!G6:I6))</f>
        <v/>
      </c>
      <c r="AX6" s="1" t="str">
        <f>IF(OR(IPC!L6="",IPC!K6="",IPC!J6=""),"",AVERAGE(IPC!J6:L6))</f>
        <v/>
      </c>
      <c r="AY6" s="1" t="str">
        <f>IF(OR(IPC!O6="",IPC!N6="",IPC!M6=""),"",AVERAGE(IPC!M6:O6))</f>
        <v/>
      </c>
      <c r="AZ6" s="7">
        <f>IF(OR(IPC!R6="",IPC!Q6="",IPC!P6=""),"",AVERAGE(IPC!P6:R6))</f>
        <v>71.725957760738709</v>
      </c>
      <c r="BA6" s="7">
        <f>IF(OR(IPC!U6="",IPC!T6="",IPC!S6=""),"",AVERAGE(IPC!S6:U6))</f>
        <v>72.829603892441583</v>
      </c>
      <c r="BB6" s="7">
        <f>IF(OR(IPC!X6="",IPC!W6="",IPC!V6=""),"",AVERAGE(IPC!V6:X6))</f>
        <v>73.835400856900662</v>
      </c>
      <c r="BC6" s="7">
        <f>IF(OR(IPC!AA6="",IPC!Z6="",IPC!Y6=""),"",AVERAGE(IPC!Y6:AA6))</f>
        <v>74.935372564395081</v>
      </c>
      <c r="BD6" s="7">
        <f>IF(OR(IPC!AD6="",IPC!AC6="",IPC!AB6=""),"",AVERAGE(IPC!AB6:AD6))</f>
        <v>74.828147499892793</v>
      </c>
      <c r="BE6" s="7">
        <f>IF(OR(IPC!AG6="",IPC!AF6="",IPC!AE6=""),"",AVERAGE(IPC!AE6:AG6))</f>
        <v>74.948144511133989</v>
      </c>
      <c r="BF6" s="7">
        <f>IF(OR(IPC!AJ6="",IPC!AI6="",IPC!AH6=""),"",AVERAGE(IPC!AH6:AJ6))</f>
        <v>75.878980467424441</v>
      </c>
      <c r="BG6" s="7">
        <f>IF(OR(IPC!AM6="",IPC!AL6="",IPC!AK6=""),"",AVERAGE(IPC!AK6:AM6))</f>
        <v>77.309949604691809</v>
      </c>
      <c r="BH6" s="7">
        <f>IF(OR(IPC!AP6="",IPC!AO6="",IPC!AN6=""),"",AVERAGE(IPC!AN6:AP6))</f>
        <v>75.920427414956933</v>
      </c>
      <c r="BI6" s="7">
        <f>IF(OR(IPC!AS6="",IPC!AR6="",IPC!AQ6=""),"",AVERAGE(IPC!AQ6:AS6))</f>
        <v>75.66621575439072</v>
      </c>
      <c r="BJ6" s="7">
        <f>IF(OR(IPC!AV6="",IPC!AU6="",IPC!AT6=""),"",AVERAGE(IPC!AT6:AV6))</f>
        <v>76.553657808043397</v>
      </c>
      <c r="BK6" s="7">
        <f>IF(OR(IPC!AY6="",IPC!AX6="",IPC!AW6=""),"",AVERAGE(IPC!AW6:AY6))</f>
        <v>77.155395425002538</v>
      </c>
      <c r="BL6" s="7">
        <f>IF(OR(IPC!BB6="",IPC!BA6="",IPC!AZ6=""),"",AVERAGE(IPC!AZ6:BB6))</f>
        <v>76.649776102110138</v>
      </c>
      <c r="BM6" s="7">
        <f>IF(OR(IPC!BE6="",IPC!BD6="",IPC!BC6=""),"",AVERAGE(IPC!BC6:BE6))</f>
        <v>77.510259082857871</v>
      </c>
      <c r="BN6" s="7">
        <f>IF(OR(IPC!BH6="",IPC!BG6="",IPC!BF6=""),"",AVERAGE(IPC!BF6:BH6))</f>
        <v>78.485365248637109</v>
      </c>
      <c r="BO6" s="7">
        <f>IF(OR(IPC!BK6="",IPC!BJ6="",IPC!BI6=""),"",AVERAGE(IPC!BI6:BK6))</f>
        <v>78.769262720151303</v>
      </c>
      <c r="BP6" s="7">
        <f>IF(OR(IPC!BN6="",IPC!BM6="",IPC!BL6=""),"",AVERAGE(IPC!BL6:BN6))</f>
        <v>78.129135317740676</v>
      </c>
      <c r="BQ6" s="7">
        <f>IF(OR(IPC!BQ6="",IPC!BP6="",IPC!BO6=""),"",AVERAGE(IPC!BO6:BQ6))</f>
        <v>78.985249023223957</v>
      </c>
      <c r="BR6" s="7">
        <f>IF(OR(IPC!BT6="",IPC!BS6="",IPC!BR6=""),"",AVERAGE(IPC!BR6:BT6))</f>
        <v>79.196075868478374</v>
      </c>
      <c r="BS6" s="7">
        <f>IF(OR(IPC!BW6="",IPC!BV6="",IPC!BU6=""),"",AVERAGE(IPC!BU6:BW6))</f>
        <v>78.512395453683112</v>
      </c>
      <c r="BT6" s="7">
        <f>IF(OR(IPC!BZ6="",IPC!BY6="",IPC!BX6=""),"",AVERAGE(IPC!BX6:BZ6))</f>
        <v>77.577215909364313</v>
      </c>
      <c r="BU6" s="7">
        <f>IF(OR(IPC!CC6="",IPC!CB6="",IPC!CA6=""),"",AVERAGE(IPC!CA6:CC6))</f>
        <v>78.638472949965433</v>
      </c>
      <c r="BV6" s="7">
        <f>IF(OR(IPC!CF6="",IPC!CE6="",IPC!CD6=""),"",AVERAGE(IPC!CD6:CF6))</f>
        <v>79.302247954296107</v>
      </c>
      <c r="BW6" s="7">
        <f>IF(OR(IPC!CI6="",IPC!CH6="",IPC!CG6=""),"",AVERAGE(IPC!CG6:CI6))</f>
        <v>79.330683189996151</v>
      </c>
      <c r="BX6" s="7">
        <f>IF(OR(IPC!CL6="",IPC!CK6="",IPC!CJ6=""),"",AVERAGE(IPC!CJ6:CL6))</f>
        <v>78.718235328118439</v>
      </c>
      <c r="BY6" s="7">
        <f>IF(OR(IPC!CO6="",IPC!CN6="",IPC!CM6=""),"",AVERAGE(IPC!CM6:CO6))</f>
        <v>79.531763284608928</v>
      </c>
      <c r="BZ6" s="7">
        <f>IF(OR(IPC!CR6="",IPC!CQ6="",IPC!CP6=""),"",AVERAGE(IPC!CP6:CR6))</f>
        <v>79.480219385434495</v>
      </c>
      <c r="CA6" s="7">
        <f>IF(OR(IPC!CU6="",IPC!CT6="",IPC!CS6=""),"",AVERAGE(IPC!CS6:CU6))</f>
        <v>80.956975988331834</v>
      </c>
      <c r="CB6" s="7">
        <f>IF(OR(IPC!CX6="",IPC!CW6="",IPC!CV6=""),"",AVERAGE(IPC!CV6:CX6))</f>
        <v>80.801219900121239</v>
      </c>
      <c r="CC6" s="7">
        <f>IF(OR(IPC!DA6="",IPC!CZ6="",IPC!CY6=""),"",AVERAGE(IPC!CY6:DA6))</f>
        <v>81.684573761515637</v>
      </c>
      <c r="CD6" s="7">
        <f>IF(OR(IPC!DB6="",IPC!DA6="",IPC!CZ6=""),"",AVERAGE(IPC!CZ6:DB6))</f>
        <v>81.897429877885926</v>
      </c>
      <c r="CE6" s="7">
        <f>IF(OR(IPC!DC6="",IPC!DB6="",IPC!DA6=""),"",AVERAGE(IPC!DA6:DC6))</f>
        <v>82.132476211294659</v>
      </c>
      <c r="CF6" s="7">
        <f>IF(OR(IPC!DD6="",IPC!DC6="",IPC!DB6=""),"",AVERAGE(IPC!DB6:DD6))</f>
        <v>82.373155319835362</v>
      </c>
      <c r="CG6" s="7">
        <f>IF(OR(IPC!DM6="",IPC!DL6="",IPC!DK6=""),"",AVERAGE(IPC!DK6:DM6))</f>
        <v>84.110684023240765</v>
      </c>
      <c r="CH6" s="7">
        <f>IF(OR(IPC!DP6="",IPC!DO6="",IPC!DN6=""),"",AVERAGE(IPC!DN6:DP6))</f>
        <v>85.675787189883195</v>
      </c>
      <c r="CI6" s="7">
        <f>IF(OR(IPC!DS6="",IPC!DR6="",IPC!DQ6=""),"",AVERAGE(IPC!DQ6:DS6))</f>
        <v>86.149579258686046</v>
      </c>
      <c r="CJ6" s="7">
        <f>IF(OR(IPC!DV6="",IPC!DU6="",IPC!DT6=""),"",AVERAGE(IPC!DT6:DV6))</f>
        <v>86.053437136953789</v>
      </c>
      <c r="CK6" s="7">
        <f>IF(OR(IPC!DY6="",IPC!DX6="",IPC!DW6=""),"",AVERAGE(IPC!DW6:DY6))</f>
        <v>87.798352546559272</v>
      </c>
      <c r="CL6" s="7">
        <f>IF(OR(IPC!EB6="",IPC!EA6="",IPC!DZ6=""),"",AVERAGE(IPC!DZ6:EB6))</f>
        <v>89.484586236358211</v>
      </c>
      <c r="CM6" s="7">
        <f>IF(OR(IPC!EE6="",IPC!ED6="",IPC!EC6=""),"",AVERAGE(IPC!EC6:EE6))</f>
        <v>90.897691169152665</v>
      </c>
      <c r="CN6" s="7">
        <f>IF(OR(IPC!EH6="",IPC!EG6="",IPC!EF6=""),"",AVERAGE(IPC!EF6:EH6))</f>
        <v>94.382182503177532</v>
      </c>
      <c r="CO6" s="7">
        <f>IF(OR(IPC!EK6="",IPC!EJ6="",IPC!EI6=""),"",AVERAGE(IPC!EI6:EK6))</f>
        <v>98.462294506090203</v>
      </c>
      <c r="CP6" s="7">
        <f>IF(OR(IPC!EN6="",IPC!EM6="",IPC!EL6=""),"",AVERAGE(IPC!EL6:EN6))</f>
        <v>102.27027724281565</v>
      </c>
      <c r="CQ6" s="7">
        <f>IF(OR(IPC!EQ6="",IPC!EP6="",IPC!EO6=""),"",AVERAGE(IPC!EO6:EQ6))</f>
        <v>104.88524574791654</v>
      </c>
      <c r="CR6" s="7">
        <f>IF(OR(IPC!ET6="",IPC!ES6="",IPC!ER6=""),"",AVERAGE(IPC!ER6:ET6))</f>
        <v>107.2</v>
      </c>
      <c r="CS6" s="7">
        <f>IF(OR(IPC!EW6="",IPC!EV6="",IPC!EU6=""),"",AVERAGE(IPC!EU6:EW6))</f>
        <v>110.03333333333335</v>
      </c>
      <c r="CT6" s="7">
        <f>IF(OR(IPC!EZ6="",IPC!EY6="",IPC!EX6=""),"",AVERAGE(IPC!EX6:EZ6))</f>
        <v>113.23333333333335</v>
      </c>
      <c r="CU6" s="7">
        <f>IF(OR(IPC!FC6="",IPC!FB6="",IPC!FA6=""),"",AVERAGE(IPC!FA6:FC6))</f>
        <v>114</v>
      </c>
      <c r="CV6" s="7">
        <f>IF(OR(IPC!FF6="",IPC!FE6="",IPC!FD6=""),"",AVERAGE(IPC!FD6:FF6))</f>
        <v>113.33333333333333</v>
      </c>
      <c r="CW6" s="7">
        <f>IF(OR(IPC!FI6="",IPC!FH6="",IPC!FG6=""),"",AVERAGE(IPC!FG6:FI6))</f>
        <v>116.16666666666667</v>
      </c>
      <c r="CX6" s="7">
        <f>IF(OR(IPC!FL6="",IPC!FK6="",IPC!FJ6=""),"",AVERAGE(IPC!FJ6:FL6))</f>
        <v>118.69999999999999</v>
      </c>
      <c r="CY6" s="7">
        <f>IF(OR(IPC!FO6="",IPC!FN6="",IPC!FM6=""),"",AVERAGE(IPC!FM6:FO6))</f>
        <v>121.3</v>
      </c>
      <c r="CZ6" s="7">
        <f>IF(OR(IPC!FR6="",IPC!FQ6="",IPC!FP6=""),"",AVERAGE(IPC!FP6:FR6))</f>
        <v>121.96666666666665</v>
      </c>
    </row>
    <row r="7" spans="1:104" s="1" customFormat="1" ht="10.199999999999999" x14ac:dyDescent="0.2">
      <c r="A7" s="11"/>
      <c r="B7" s="1" t="s">
        <v>98</v>
      </c>
      <c r="C7" s="70"/>
      <c r="AV7" s="1" t="str">
        <f>IF(OR(IPC!F7="",IPC!E7="",IPC!D7=""),"",AVERAGE(IPC!D7:F7))</f>
        <v/>
      </c>
      <c r="AW7" s="1" t="str">
        <f>IF(OR(IPC!I7="",IPC!H7="",IPC!G7=""),"",AVERAGE(IPC!G7:I7))</f>
        <v/>
      </c>
      <c r="AX7" s="1" t="str">
        <f>IF(OR(IPC!L7="",IPC!K7="",IPC!J7=""),"",AVERAGE(IPC!J7:L7))</f>
        <v/>
      </c>
      <c r="AY7" s="1" t="str">
        <f>IF(OR(IPC!O7="",IPC!N7="",IPC!M7=""),"",AVERAGE(IPC!M7:O7))</f>
        <v/>
      </c>
      <c r="AZ7" s="7">
        <f>IF(OR(IPC!R7="",IPC!Q7="",IPC!P7=""),"",AVERAGE(IPC!P7:R7))</f>
        <v>81.979871155845345</v>
      </c>
      <c r="BA7" s="7">
        <f>IF(OR(IPC!U7="",IPC!T7="",IPC!S7=""),"",AVERAGE(IPC!S7:U7))</f>
        <v>81.980770802087349</v>
      </c>
      <c r="BB7" s="7">
        <f>IF(OR(IPC!X7="",IPC!W7="",IPC!V7=""),"",AVERAGE(IPC!V7:X7))</f>
        <v>81.926894374350752</v>
      </c>
      <c r="BC7" s="7">
        <f>IF(OR(IPC!AA7="",IPC!Z7="",IPC!Y7=""),"",AVERAGE(IPC!Y7:AA7))</f>
        <v>82.79221157283888</v>
      </c>
      <c r="BD7" s="7">
        <f>IF(OR(IPC!AD7="",IPC!AC7="",IPC!AB7=""),"",AVERAGE(IPC!AB7:AD7))</f>
        <v>83.904477536506249</v>
      </c>
      <c r="BE7" s="7">
        <f>IF(OR(IPC!AG7="",IPC!AF7="",IPC!AE7=""),"",AVERAGE(IPC!AE7:AG7))</f>
        <v>84.145446315477628</v>
      </c>
      <c r="BF7" s="7">
        <f>IF(OR(IPC!AJ7="",IPC!AI7="",IPC!AH7=""),"",AVERAGE(IPC!AH7:AJ7))</f>
        <v>83.457362421300886</v>
      </c>
      <c r="BG7" s="7">
        <f>IF(OR(IPC!AM7="",IPC!AL7="",IPC!AK7=""),"",AVERAGE(IPC!AK7:AM7))</f>
        <v>83.402590656258099</v>
      </c>
      <c r="BH7" s="7">
        <f>IF(OR(IPC!AP7="",IPC!AO7="",IPC!AN7=""),"",AVERAGE(IPC!AN7:AP7))</f>
        <v>83.534601282706959</v>
      </c>
      <c r="BI7" s="7">
        <f>IF(OR(IPC!AS7="",IPC!AR7="",IPC!AQ7=""),"",AVERAGE(IPC!AQ7:AS7))</f>
        <v>83.554381714966937</v>
      </c>
      <c r="BJ7" s="7">
        <f>IF(OR(IPC!AV7="",IPC!AU7="",IPC!AT7=""),"",AVERAGE(IPC!AT7:AV7))</f>
        <v>84.26541012653577</v>
      </c>
      <c r="BK7" s="7">
        <f>IF(OR(IPC!AY7="",IPC!AX7="",IPC!AW7=""),"",AVERAGE(IPC!AW7:AY7))</f>
        <v>84.41363686344026</v>
      </c>
      <c r="BL7" s="7">
        <f>IF(OR(IPC!BB7="",IPC!BA7="",IPC!AZ7=""),"",AVERAGE(IPC!AZ7:BB7))</f>
        <v>85.440512431582121</v>
      </c>
      <c r="BM7" s="7">
        <f>IF(OR(IPC!BE7="",IPC!BD7="",IPC!BC7=""),"",AVERAGE(IPC!BC7:BE7))</f>
        <v>87.173703429792909</v>
      </c>
      <c r="BN7" s="7">
        <f>IF(OR(IPC!BH7="",IPC!BG7="",IPC!BF7=""),"",AVERAGE(IPC!BF7:BH7))</f>
        <v>87.670155155923382</v>
      </c>
      <c r="BO7" s="7">
        <f>IF(OR(IPC!BK7="",IPC!BJ7="",IPC!BI7=""),"",AVERAGE(IPC!BI7:BK7))</f>
        <v>87.513938545278904</v>
      </c>
      <c r="BP7" s="7">
        <f>IF(OR(IPC!BN7="",IPC!BM7="",IPC!BL7=""),"",AVERAGE(IPC!BL7:BN7))</f>
        <v>87.723847481302599</v>
      </c>
      <c r="BQ7" s="7">
        <f>IF(OR(IPC!BQ7="",IPC!BP7="",IPC!BO7=""),"",AVERAGE(IPC!BO7:BQ7))</f>
        <v>87.073579416068029</v>
      </c>
      <c r="BR7" s="7">
        <f>IF(OR(IPC!BT7="",IPC!BS7="",IPC!BR7=""),"",AVERAGE(IPC!BR7:BT7))</f>
        <v>87.205751484613188</v>
      </c>
      <c r="BS7" s="7">
        <f>IF(OR(IPC!BW7="",IPC!BV7="",IPC!BU7=""),"",AVERAGE(IPC!BU7:BW7))</f>
        <v>87.374007122562787</v>
      </c>
      <c r="BT7" s="7">
        <f>IF(OR(IPC!BZ7="",IPC!BY7="",IPC!BX7=""),"",AVERAGE(IPC!BX7:BZ7))</f>
        <v>87.75875997262419</v>
      </c>
      <c r="BU7" s="7">
        <f>IF(OR(IPC!CC7="",IPC!CB7="",IPC!CA7=""),"",AVERAGE(IPC!CA7:CC7))</f>
        <v>87.67317882214472</v>
      </c>
      <c r="BV7" s="7">
        <f>IF(OR(IPC!CF7="",IPC!CE7="",IPC!CD7=""),"",AVERAGE(IPC!CD7:CF7))</f>
        <v>87.856868307916216</v>
      </c>
      <c r="BW7" s="7">
        <f>IF(OR(IPC!CI7="",IPC!CH7="",IPC!CG7=""),"",AVERAGE(IPC!CG7:CI7))</f>
        <v>87.716722968811894</v>
      </c>
      <c r="BX7" s="7">
        <f>IF(OR(IPC!CL7="",IPC!CK7="",IPC!CJ7=""),"",AVERAGE(IPC!CJ7:CL7))</f>
        <v>87.920039553633387</v>
      </c>
      <c r="BY7" s="7">
        <f>IF(OR(IPC!CO7="",IPC!CN7="",IPC!CM7=""),"",AVERAGE(IPC!CM7:CO7))</f>
        <v>88.505369770475625</v>
      </c>
      <c r="BZ7" s="7">
        <f>IF(OR(IPC!CR7="",IPC!CQ7="",IPC!CP7=""),"",AVERAGE(IPC!CP7:CR7))</f>
        <v>88.671096712816464</v>
      </c>
      <c r="CA7" s="7">
        <f>IF(OR(IPC!CU7="",IPC!CT7="",IPC!CS7=""),"",AVERAGE(IPC!CS7:CU7))</f>
        <v>89.322387670218987</v>
      </c>
      <c r="CB7" s="7">
        <f>IF(OR(IPC!CX7="",IPC!CW7="",IPC!CV7=""),"",AVERAGE(IPC!CV7:CX7))</f>
        <v>90.119283809468655</v>
      </c>
      <c r="CC7" s="7">
        <f>IF(OR(IPC!DA7="",IPC!CZ7="",IPC!CY7=""),"",AVERAGE(IPC!CY7:DA7))</f>
        <v>91.802173525411376</v>
      </c>
      <c r="CD7" s="7">
        <f>IF(OR(IPC!DB7="",IPC!DA7="",IPC!CZ7=""),"",AVERAGE(IPC!CZ7:DB7))</f>
        <v>91.803242782810585</v>
      </c>
      <c r="CE7" s="7">
        <f>IF(OR(IPC!DC7="",IPC!DB7="",IPC!DA7=""),"",AVERAGE(IPC!DA7:DC7))</f>
        <v>91.930057340787371</v>
      </c>
      <c r="CF7" s="7">
        <f>IF(OR(IPC!DD7="",IPC!DC7="",IPC!DB7=""),"",AVERAGE(IPC!DB7:DD7))</f>
        <v>92.063856211082836</v>
      </c>
      <c r="CG7" s="7">
        <f>IF(OR(IPC!DM7="",IPC!DL7="",IPC!DK7=""),"",AVERAGE(IPC!DK7:DM7))</f>
        <v>93.818175730394103</v>
      </c>
      <c r="CH7" s="7">
        <f>IF(OR(IPC!DP7="",IPC!DO7="",IPC!DN7=""),"",AVERAGE(IPC!DN7:DP7))</f>
        <v>94.376481471411736</v>
      </c>
      <c r="CI7" s="7">
        <f>IF(OR(IPC!DS7="",IPC!DR7="",IPC!DQ7=""),"",AVERAGE(IPC!DQ7:DS7))</f>
        <v>94.980441236052471</v>
      </c>
      <c r="CJ7" s="7">
        <f>IF(OR(IPC!DV7="",IPC!DU7="",IPC!DT7=""),"",AVERAGE(IPC!DT7:DV7))</f>
        <v>95.153635728466654</v>
      </c>
      <c r="CK7" s="7">
        <f>IF(OR(IPC!DY7="",IPC!DX7="",IPC!DW7=""),"",AVERAGE(IPC!DW7:DY7))</f>
        <v>95.534697590901658</v>
      </c>
      <c r="CL7" s="7">
        <f>IF(OR(IPC!EB7="",IPC!EA7="",IPC!DZ7=""),"",AVERAGE(IPC!DZ7:EB7))</f>
        <v>96.327802117102593</v>
      </c>
      <c r="CM7" s="7">
        <f>IF(OR(IPC!EE7="",IPC!ED7="",IPC!EC7=""),"",AVERAGE(IPC!EC7:EE7))</f>
        <v>96.881310715917948</v>
      </c>
      <c r="CN7" s="7">
        <f>IF(OR(IPC!EH7="",IPC!EG7="",IPC!EF7=""),"",AVERAGE(IPC!EF7:EH7))</f>
        <v>98.205764040870875</v>
      </c>
      <c r="CO7" s="7">
        <f>IF(OR(IPC!EK7="",IPC!EJ7="",IPC!EI7=""),"",AVERAGE(IPC!EI7:EK7))</f>
        <v>99.55718808287871</v>
      </c>
      <c r="CP7" s="7">
        <f>IF(OR(IPC!EN7="",IPC!EM7="",IPC!EL7=""),"",AVERAGE(IPC!EL7:EN7))</f>
        <v>100.74238535487594</v>
      </c>
      <c r="CQ7" s="7">
        <f>IF(OR(IPC!EQ7="",IPC!EP7="",IPC!EO7=""),"",AVERAGE(IPC!EO7:EQ7))</f>
        <v>101.49466252137449</v>
      </c>
      <c r="CR7" s="7">
        <f>IF(OR(IPC!ET7="",IPC!ES7="",IPC!ER7=""),"",AVERAGE(IPC!ER7:ET7))</f>
        <v>102.23333333333333</v>
      </c>
      <c r="CS7" s="7">
        <f>IF(OR(IPC!EW7="",IPC!EV7="",IPC!EU7=""),"",AVERAGE(IPC!EU7:EW7))</f>
        <v>102.73333333333333</v>
      </c>
      <c r="CT7" s="7">
        <f>IF(OR(IPC!EZ7="",IPC!EY7="",IPC!EX7=""),"",AVERAGE(IPC!EX7:EZ7))</f>
        <v>103</v>
      </c>
      <c r="CU7" s="7">
        <f>IF(OR(IPC!FC7="",IPC!FB7="",IPC!FA7=""),"",AVERAGE(IPC!FA7:FC7))</f>
        <v>103.09999999999998</v>
      </c>
      <c r="CV7" s="7">
        <f>IF(OR(IPC!FF7="",IPC!FE7="",IPC!FD7=""),"",AVERAGE(IPC!FD7:FF7))</f>
        <v>103.5</v>
      </c>
      <c r="CW7" s="7">
        <f>IF(OR(IPC!FI7="",IPC!FH7="",IPC!FG7=""),"",AVERAGE(IPC!FG7:FI7))</f>
        <v>103.83333333333333</v>
      </c>
      <c r="CX7" s="7">
        <f>IF(OR(IPC!FL7="",IPC!FK7="",IPC!FJ7=""),"",AVERAGE(IPC!FJ7:FL7))</f>
        <v>104.03333333333335</v>
      </c>
      <c r="CY7" s="7">
        <f>IF(OR(IPC!FO7="",IPC!FN7="",IPC!FM7=""),"",AVERAGE(IPC!FM7:FO7))</f>
        <v>104.26666666666667</v>
      </c>
      <c r="CZ7" s="7">
        <f>IF(OR(IPC!FR7="",IPC!FQ7="",IPC!FP7=""),"",AVERAGE(IPC!FP7:FR7))</f>
        <v>104.76666666666667</v>
      </c>
    </row>
    <row r="8" spans="1:104" s="1" customFormat="1" ht="10.199999999999999" x14ac:dyDescent="0.2">
      <c r="A8" s="11" t="s">
        <v>11</v>
      </c>
      <c r="B8" s="1" t="s">
        <v>12</v>
      </c>
      <c r="C8" s="70">
        <v>1.36</v>
      </c>
      <c r="AV8" s="1" t="str">
        <f>IF(OR(IPC!F8="",IPC!E8="",IPC!D8=""),"",AVERAGE(IPC!D8:F8))</f>
        <v/>
      </c>
      <c r="AW8" s="1" t="str">
        <f>IF(OR(IPC!I8="",IPC!H8="",IPC!G8=""),"",AVERAGE(IPC!G8:I8))</f>
        <v/>
      </c>
      <c r="AX8" s="1" t="str">
        <f>IF(OR(IPC!L8="",IPC!K8="",IPC!J8=""),"",AVERAGE(IPC!J8:L8))</f>
        <v/>
      </c>
      <c r="AY8" s="1" t="str">
        <f>IF(OR(IPC!O8="",IPC!N8="",IPC!M8=""),"",AVERAGE(IPC!M8:O8))</f>
        <v/>
      </c>
      <c r="AZ8" s="7">
        <f>IF(OR(IPC!R8="",IPC!Q8="",IPC!P8=""),"",AVERAGE(IPC!P8:R8))</f>
        <v>71.848038890099986</v>
      </c>
      <c r="BA8" s="7">
        <f>IF(OR(IPC!U8="",IPC!T8="",IPC!S8=""),"",AVERAGE(IPC!S8:U8))</f>
        <v>72.394886586074321</v>
      </c>
      <c r="BB8" s="7">
        <f>IF(OR(IPC!X8="",IPC!W8="",IPC!V8=""),"",AVERAGE(IPC!V8:X8))</f>
        <v>72.306463085452634</v>
      </c>
      <c r="BC8" s="7">
        <f>IF(OR(IPC!AA8="",IPC!Z8="",IPC!Y8=""),"",AVERAGE(IPC!Y8:AA8))</f>
        <v>72.604805080167381</v>
      </c>
      <c r="BD8" s="7">
        <f>IF(OR(IPC!AD8="",IPC!AC8="",IPC!AB8=""),"",AVERAGE(IPC!AB8:AD8))</f>
        <v>73.122226463863285</v>
      </c>
      <c r="BE8" s="7">
        <f>IF(OR(IPC!AG8="",IPC!AF8="",IPC!AE8=""),"",AVERAGE(IPC!AE8:AG8))</f>
        <v>74.545537166821319</v>
      </c>
      <c r="BF8" s="7">
        <f>IF(OR(IPC!AJ8="",IPC!AI8="",IPC!AH8=""),"",AVERAGE(IPC!AH8:AJ8))</f>
        <v>74.908593605866159</v>
      </c>
      <c r="BG8" s="7">
        <f>IF(OR(IPC!AM8="",IPC!AL8="",IPC!AK8=""),"",AVERAGE(IPC!AK8:AM8))</f>
        <v>75.273028970272193</v>
      </c>
      <c r="BH8" s="7">
        <f>IF(OR(IPC!AP8="",IPC!AO8="",IPC!AN8=""),"",AVERAGE(IPC!AN8:AP8))</f>
        <v>75.206309672133798</v>
      </c>
      <c r="BI8" s="7">
        <f>IF(OR(IPC!AS8="",IPC!AR8="",IPC!AQ8=""),"",AVERAGE(IPC!AQ8:AS8))</f>
        <v>75.481703914185559</v>
      </c>
      <c r="BJ8" s="7">
        <f>IF(OR(IPC!AV8="",IPC!AU8="",IPC!AT8=""),"",AVERAGE(IPC!AT8:AV8))</f>
        <v>75.42269803911482</v>
      </c>
      <c r="BK8" s="7">
        <f>IF(OR(IPC!AY8="",IPC!AX8="",IPC!AW8=""),"",AVERAGE(IPC!AW8:AY8))</f>
        <v>75.852502398737542</v>
      </c>
      <c r="BL8" s="7">
        <f>IF(OR(IPC!BB8="",IPC!BA8="",IPC!AZ8=""),"",AVERAGE(IPC!AZ8:BB8))</f>
        <v>78.977375078302643</v>
      </c>
      <c r="BM8" s="7">
        <f>IF(OR(IPC!BE8="",IPC!BD8="",IPC!BC8=""),"",AVERAGE(IPC!BC8:BE8))</f>
        <v>82.884747165246992</v>
      </c>
      <c r="BN8" s="7">
        <f>IF(OR(IPC!BH8="",IPC!BG8="",IPC!BF8=""),"",AVERAGE(IPC!BF8:BH8))</f>
        <v>83.049222717210966</v>
      </c>
      <c r="BO8" s="7">
        <f>IF(OR(IPC!BK8="",IPC!BJ8="",IPC!BI8=""),"",AVERAGE(IPC!BI8:BK8))</f>
        <v>84.04804947428525</v>
      </c>
      <c r="BP8" s="7">
        <f>IF(OR(IPC!BN8="",IPC!BM8="",IPC!BL8=""),"",AVERAGE(IPC!BL8:BN8))</f>
        <v>84.416396703129863</v>
      </c>
      <c r="BQ8" s="7">
        <f>IF(OR(IPC!BQ8="",IPC!BP8="",IPC!BO8=""),"",AVERAGE(IPC!BO8:BQ8))</f>
        <v>84.789176964022644</v>
      </c>
      <c r="BR8" s="7">
        <f>IF(OR(IPC!BT8="",IPC!BS8="",IPC!BR8=""),"",AVERAGE(IPC!BR8:BT8))</f>
        <v>84.716110482936742</v>
      </c>
      <c r="BS8" s="7">
        <f>IF(OR(IPC!BW8="",IPC!BV8="",IPC!BU8=""),"",AVERAGE(IPC!BU8:BW8))</f>
        <v>84.901247100504705</v>
      </c>
      <c r="BT8" s="7">
        <f>IF(OR(IPC!BZ8="",IPC!BY8="",IPC!BX8=""),"",AVERAGE(IPC!BX8:BZ8))</f>
        <v>85.828342997483659</v>
      </c>
      <c r="BU8" s="7">
        <f>IF(OR(IPC!CC8="",IPC!CB8="",IPC!CA8=""),"",AVERAGE(IPC!CA8:CC8))</f>
        <v>85.629318426796502</v>
      </c>
      <c r="BV8" s="7">
        <f>IF(OR(IPC!CF8="",IPC!CE8="",IPC!CD8=""),"",AVERAGE(IPC!CD8:CF8))</f>
        <v>85.972044675301035</v>
      </c>
      <c r="BW8" s="7">
        <f>IF(OR(IPC!CI8="",IPC!CH8="",IPC!CG8=""),"",AVERAGE(IPC!CG8:CI8))</f>
        <v>86.246381592714201</v>
      </c>
      <c r="BX8" s="7">
        <f>IF(OR(IPC!CL8="",IPC!CK8="",IPC!CJ8=""),"",AVERAGE(IPC!CJ8:CL8))</f>
        <v>86.298598241739271</v>
      </c>
      <c r="BY8" s="7">
        <f>IF(OR(IPC!CO8="",IPC!CN8="",IPC!CM8=""),"",AVERAGE(IPC!CM8:CO8))</f>
        <v>86.794856186545715</v>
      </c>
      <c r="BZ8" s="7">
        <f>IF(OR(IPC!CR8="",IPC!CQ8="",IPC!CP8=""),"",AVERAGE(IPC!CP8:CR8))</f>
        <v>87.601163032789415</v>
      </c>
      <c r="CA8" s="7">
        <f>IF(OR(IPC!CU8="",IPC!CT8="",IPC!CS8=""),"",AVERAGE(IPC!CS8:CU8))</f>
        <v>88.037581689414139</v>
      </c>
      <c r="CB8" s="7">
        <f>IF(OR(IPC!CX8="",IPC!CW8="",IPC!CV8=""),"",AVERAGE(IPC!CV8:CX8))</f>
        <v>89.327303488323267</v>
      </c>
      <c r="CC8" s="7">
        <f>IF(OR(IPC!DA8="",IPC!CZ8="",IPC!CY8=""),"",AVERAGE(IPC!CY8:DA8))</f>
        <v>91.54670711231914</v>
      </c>
      <c r="CD8" s="7">
        <f>IF(OR(IPC!DB8="",IPC!DA8="",IPC!CZ8=""),"",AVERAGE(IPC!CZ8:DB8))</f>
        <v>91.764373994088942</v>
      </c>
      <c r="CE8" s="7">
        <f>IF(OR(IPC!DC8="",IPC!DB8="",IPC!DA8=""),"",AVERAGE(IPC!DA8:DC8))</f>
        <v>91.884191767237539</v>
      </c>
      <c r="CF8" s="7">
        <f>IF(OR(IPC!DD8="",IPC!DC8="",IPC!DB8=""),"",AVERAGE(IPC!DB8:DD8))</f>
        <v>91.973345914709043</v>
      </c>
      <c r="CG8" s="7">
        <f>IF(OR(IPC!DM8="",IPC!DL8="",IPC!DK8=""),"",AVERAGE(IPC!DK8:DM8))</f>
        <v>93.683844020234673</v>
      </c>
      <c r="CH8" s="7">
        <f>IF(OR(IPC!DP8="",IPC!DO8="",IPC!DN8=""),"",AVERAGE(IPC!DN8:DP8))</f>
        <v>94.105961630156017</v>
      </c>
      <c r="CI8" s="7">
        <f>IF(OR(IPC!DS8="",IPC!DR8="",IPC!DQ8=""),"",AVERAGE(IPC!DQ8:DS8))</f>
        <v>95.154027747353879</v>
      </c>
      <c r="CJ8" s="7">
        <f>IF(OR(IPC!DV8="",IPC!DU8="",IPC!DT8=""),"",AVERAGE(IPC!DT8:DV8))</f>
        <v>95.148622822412605</v>
      </c>
      <c r="CK8" s="7">
        <f>IF(OR(IPC!DY8="",IPC!DX8="",IPC!DW8=""),"",AVERAGE(IPC!DW8:DY8))</f>
        <v>95.676663641925828</v>
      </c>
      <c r="CL8" s="7">
        <f>IF(OR(IPC!EB8="",IPC!EA8="",IPC!DZ8=""),"",AVERAGE(IPC!DZ8:EB8))</f>
        <v>96.154063123390941</v>
      </c>
      <c r="CM8" s="7">
        <f>IF(OR(IPC!EE8="",IPC!ED8="",IPC!EC8=""),"",AVERAGE(IPC!EC8:EE8))</f>
        <v>97.159482861491696</v>
      </c>
      <c r="CN8" s="7">
        <f>IF(OR(IPC!EH8="",IPC!EG8="",IPC!EF8=""),"",AVERAGE(IPC!EF8:EH8))</f>
        <v>98.364072702456824</v>
      </c>
      <c r="CO8" s="7">
        <f>IF(OR(IPC!EK8="",IPC!EJ8="",IPC!EI8=""),"",AVERAGE(IPC!EI8:EK8))</f>
        <v>99.361005200079305</v>
      </c>
      <c r="CP8" s="7">
        <f>IF(OR(IPC!EN8="",IPC!EM8="",IPC!EL8=""),"",AVERAGE(IPC!EL8:EN8))</f>
        <v>100.66235464546116</v>
      </c>
      <c r="CQ8" s="7">
        <f>IF(OR(IPC!EQ8="",IPC!EP8="",IPC!EO8=""),"",AVERAGE(IPC!EO8:EQ8))</f>
        <v>101.61256745200275</v>
      </c>
      <c r="CR8" s="7">
        <f>IF(OR(IPC!ET8="",IPC!ES8="",IPC!ER8=""),"",AVERAGE(IPC!ER8:ET8))</f>
        <v>101.89519688632295</v>
      </c>
      <c r="CS8" s="7">
        <f>IF(OR(IPC!EW8="",IPC!EV8="",IPC!EU8=""),"",AVERAGE(IPC!EU8:EW8))</f>
        <v>103.6830888982159</v>
      </c>
      <c r="CT8" s="7">
        <f>IF(OR(IPC!EZ8="",IPC!EY8="",IPC!EX8=""),"",AVERAGE(IPC!EX8:EZ8))</f>
        <v>104.00613995532471</v>
      </c>
      <c r="CU8" s="7">
        <f>IF(OR(IPC!FC8="",IPC!FB8="",IPC!FA8=""),"",AVERAGE(IPC!FA8:FC8))</f>
        <v>104.03238712721482</v>
      </c>
      <c r="CV8" s="7">
        <f>IF(OR(IPC!FF8="",IPC!FE8="",IPC!FD8=""),"",AVERAGE(IPC!FD8:FF8))</f>
        <v>104.7</v>
      </c>
      <c r="CW8" s="7">
        <f>IF(OR(IPC!FI8="",IPC!FH8="",IPC!FG8=""),"",AVERAGE(IPC!FG8:FI8))</f>
        <v>105.83333333333333</v>
      </c>
      <c r="CX8" s="7">
        <f>IF(OR(IPC!FL8="",IPC!FK8="",IPC!FJ8=""),"",AVERAGE(IPC!FJ8:FL8))</f>
        <v>106.14625793735479</v>
      </c>
      <c r="CY8" s="7">
        <f>IF(OR(IPC!FO8="",IPC!FN8="",IPC!FM8=""),"",AVERAGE(IPC!FM8:FO8))</f>
        <v>106.95562850080599</v>
      </c>
      <c r="CZ8" s="7">
        <f>IF(OR(IPC!FR8="",IPC!FQ8="",IPC!FP8=""),"",AVERAGE(IPC!FP8:FR8))</f>
        <v>108.76666666666667</v>
      </c>
    </row>
    <row r="9" spans="1:104" s="1" customFormat="1" ht="10.199999999999999" x14ac:dyDescent="0.2">
      <c r="A9" s="11" t="s">
        <v>13</v>
      </c>
      <c r="B9" s="1" t="s">
        <v>14</v>
      </c>
      <c r="C9" s="70">
        <v>9.84</v>
      </c>
      <c r="AV9" s="1" t="str">
        <f>IF(OR(IPC!F9="",IPC!E9="",IPC!D9=""),"",AVERAGE(IPC!D9:F9))</f>
        <v/>
      </c>
      <c r="AW9" s="1" t="str">
        <f>IF(OR(IPC!I9="",IPC!H9="",IPC!G9=""),"",AVERAGE(IPC!G9:I9))</f>
        <v/>
      </c>
      <c r="AX9" s="1" t="str">
        <f>IF(OR(IPC!L9="",IPC!K9="",IPC!J9=""),"",AVERAGE(IPC!J9:L9))</f>
        <v/>
      </c>
      <c r="AY9" s="1" t="str">
        <f>IF(OR(IPC!O9="",IPC!N9="",IPC!M9=""),"",AVERAGE(IPC!M9:O9))</f>
        <v/>
      </c>
      <c r="AZ9" s="7">
        <f>IF(OR(IPC!R9="",IPC!Q9="",IPC!P9=""),"",AVERAGE(IPC!P9:R9))</f>
        <v>83.806685940298323</v>
      </c>
      <c r="BA9" s="7">
        <f>IF(OR(IPC!U9="",IPC!T9="",IPC!S9=""),"",AVERAGE(IPC!S9:U9))</f>
        <v>84.205857676999429</v>
      </c>
      <c r="BB9" s="7">
        <f>IF(OR(IPC!X9="",IPC!W9="",IPC!V9=""),"",AVERAGE(IPC!V9:X9))</f>
        <v>84.482649079509358</v>
      </c>
      <c r="BC9" s="7">
        <f>IF(OR(IPC!AA9="",IPC!Z9="",IPC!Y9=""),"",AVERAGE(IPC!Y9:AA9))</f>
        <v>84.84881342514619</v>
      </c>
      <c r="BD9" s="7">
        <f>IF(OR(IPC!AD9="",IPC!AC9="",IPC!AB9=""),"",AVERAGE(IPC!AB9:AD9))</f>
        <v>84.961177073939567</v>
      </c>
      <c r="BE9" s="7">
        <f>IF(OR(IPC!AG9="",IPC!AF9="",IPC!AE9=""),"",AVERAGE(IPC!AE9:AG9))</f>
        <v>85.136589440902128</v>
      </c>
      <c r="BF9" s="7">
        <f>IF(OR(IPC!AJ9="",IPC!AI9="",IPC!AH9=""),"",AVERAGE(IPC!AH9:AJ9))</f>
        <v>85.413697574022763</v>
      </c>
      <c r="BG9" s="7">
        <f>IF(OR(IPC!AM9="",IPC!AL9="",IPC!AK9=""),"",AVERAGE(IPC!AK9:AM9))</f>
        <v>86.108054389127304</v>
      </c>
      <c r="BH9" s="7">
        <f>IF(OR(IPC!AP9="",IPC!AO9="",IPC!AN9=""),"",AVERAGE(IPC!AN9:AP9))</f>
        <v>85.987233166799982</v>
      </c>
      <c r="BI9" s="7">
        <f>IF(OR(IPC!AS9="",IPC!AR9="",IPC!AQ9=""),"",AVERAGE(IPC!AQ9:AS9))</f>
        <v>86.487919436827724</v>
      </c>
      <c r="BJ9" s="7">
        <f>IF(OR(IPC!AV9="",IPC!AU9="",IPC!AT9=""),"",AVERAGE(IPC!AT9:AV9))</f>
        <v>86.932133508226798</v>
      </c>
      <c r="BK9" s="7">
        <f>IF(OR(IPC!AY9="",IPC!AX9="",IPC!AW9=""),"",AVERAGE(IPC!AW9:AY9))</f>
        <v>87.525114331673194</v>
      </c>
      <c r="BL9" s="7">
        <f>IF(OR(IPC!BB9="",IPC!BA9="",IPC!AZ9=""),"",AVERAGE(IPC!AZ9:BB9))</f>
        <v>87.012535369596165</v>
      </c>
      <c r="BM9" s="7">
        <f>IF(OR(IPC!BE9="",IPC!BD9="",IPC!BC9=""),"",AVERAGE(IPC!BC9:BE9))</f>
        <v>86.740515587320189</v>
      </c>
      <c r="BN9" s="7">
        <f>IF(OR(IPC!BH9="",IPC!BG9="",IPC!BF9=""),"",AVERAGE(IPC!BF9:BH9))</f>
        <v>86.908908717916333</v>
      </c>
      <c r="BO9" s="7">
        <f>IF(OR(IPC!BK9="",IPC!BJ9="",IPC!BI9=""),"",AVERAGE(IPC!BI9:BK9))</f>
        <v>86.836353641628264</v>
      </c>
      <c r="BP9" s="7">
        <f>IF(OR(IPC!BN9="",IPC!BM9="",IPC!BL9=""),"",AVERAGE(IPC!BL9:BN9))</f>
        <v>86.691856084665233</v>
      </c>
      <c r="BQ9" s="7">
        <f>IF(OR(IPC!BQ9="",IPC!BP9="",IPC!BO9=""),"",AVERAGE(IPC!BO9:BQ9))</f>
        <v>86.47681323768029</v>
      </c>
      <c r="BR9" s="7">
        <f>IF(OR(IPC!BT9="",IPC!BS9="",IPC!BR9=""),"",AVERAGE(IPC!BR9:BT9))</f>
        <v>87.255283266319751</v>
      </c>
      <c r="BS9" s="7">
        <f>IF(OR(IPC!BW9="",IPC!BV9="",IPC!BU9=""),"",AVERAGE(IPC!BU9:BW9))</f>
        <v>87.320247881550813</v>
      </c>
      <c r="BT9" s="7">
        <f>IF(OR(IPC!BZ9="",IPC!BY9="",IPC!BX9=""),"",AVERAGE(IPC!BX9:BZ9))</f>
        <v>87.640306347441495</v>
      </c>
      <c r="BU9" s="7">
        <f>IF(OR(IPC!CC9="",IPC!CB9="",IPC!CA9=""),"",AVERAGE(IPC!CA9:CC9))</f>
        <v>87.610180369010195</v>
      </c>
      <c r="BV9" s="7">
        <f>IF(OR(IPC!CF9="",IPC!CE9="",IPC!CD9=""),"",AVERAGE(IPC!CD9:CF9))</f>
        <v>87.843969087135179</v>
      </c>
      <c r="BW9" s="7">
        <f>IF(OR(IPC!CI9="",IPC!CH9="",IPC!CG9=""),"",AVERAGE(IPC!CG9:CI9))</f>
        <v>87.980195820377432</v>
      </c>
      <c r="BX9" s="7">
        <f>IF(OR(IPC!CL9="",IPC!CK9="",IPC!CJ9=""),"",AVERAGE(IPC!CJ9:CL9))</f>
        <v>88.516790398095807</v>
      </c>
      <c r="BY9" s="7">
        <f>IF(OR(IPC!CO9="",IPC!CN9="",IPC!CM9=""),"",AVERAGE(IPC!CM9:CO9))</f>
        <v>89.120381109802608</v>
      </c>
      <c r="BZ9" s="7">
        <f>IF(OR(IPC!CR9="",IPC!CQ9="",IPC!CP9=""),"",AVERAGE(IPC!CP9:CR9))</f>
        <v>89.58827004691193</v>
      </c>
      <c r="CA9" s="7">
        <f>IF(OR(IPC!CU9="",IPC!CT9="",IPC!CS9=""),"",AVERAGE(IPC!CS9:CU9))</f>
        <v>90.487011952367254</v>
      </c>
      <c r="CB9" s="7">
        <f>IF(OR(IPC!CX9="",IPC!CW9="",IPC!CV9=""),"",AVERAGE(IPC!CV9:CX9))</f>
        <v>90.942441394438234</v>
      </c>
      <c r="CC9" s="7">
        <f>IF(OR(IPC!DA9="",IPC!CZ9="",IPC!CY9=""),"",AVERAGE(IPC!CY9:DA9))</f>
        <v>91.63893837866874</v>
      </c>
      <c r="CD9" s="7">
        <f>IF(OR(IPC!DB9="",IPC!DA9="",IPC!CZ9=""),"",AVERAGE(IPC!CZ9:DB9))</f>
        <v>91.845499950151904</v>
      </c>
      <c r="CE9" s="7">
        <f>IF(OR(IPC!DC9="",IPC!DB9="",IPC!DA9=""),"",AVERAGE(IPC!DA9:DC9))</f>
        <v>92.036327690033502</v>
      </c>
      <c r="CF9" s="7">
        <f>IF(OR(IPC!DD9="",IPC!DC9="",IPC!DB9=""),"",AVERAGE(IPC!DB9:DD9))</f>
        <v>92.161244962472495</v>
      </c>
      <c r="CG9" s="7">
        <f>IF(OR(IPC!DM9="",IPC!DL9="",IPC!DK9=""),"",AVERAGE(IPC!DK9:DM9))</f>
        <v>93.944959089698557</v>
      </c>
      <c r="CH9" s="7">
        <f>IF(OR(IPC!DP9="",IPC!DO9="",IPC!DN9=""),"",AVERAGE(IPC!DN9:DP9))</f>
        <v>94.339116103961587</v>
      </c>
      <c r="CI9" s="7">
        <f>IF(OR(IPC!DS9="",IPC!DR9="",IPC!DQ9=""),"",AVERAGE(IPC!DQ9:DS9))</f>
        <v>94.921129059736145</v>
      </c>
      <c r="CJ9" s="7">
        <f>IF(OR(IPC!DV9="",IPC!DU9="",IPC!DT9=""),"",AVERAGE(IPC!DT9:DV9))</f>
        <v>95.42845154264397</v>
      </c>
      <c r="CK9" s="7">
        <f>IF(OR(IPC!DY9="",IPC!DX9="",IPC!DW9=""),"",AVERAGE(IPC!DW9:DY9))</f>
        <v>95.823540904309937</v>
      </c>
      <c r="CL9" s="7">
        <f>IF(OR(IPC!EB9="",IPC!EA9="",IPC!DZ9=""),"",AVERAGE(IPC!DZ9:EB9))</f>
        <v>96.451048861167408</v>
      </c>
      <c r="CM9" s="7">
        <f>IF(OR(IPC!EE9="",IPC!ED9="",IPC!EC9=""),"",AVERAGE(IPC!EC9:EE9))</f>
        <v>97.070399208216443</v>
      </c>
      <c r="CN9" s="7">
        <f>IF(OR(IPC!EH9="",IPC!EG9="",IPC!EF9=""),"",AVERAGE(IPC!EF9:EH9))</f>
        <v>98.126295697506137</v>
      </c>
      <c r="CO9" s="7">
        <f>IF(OR(IPC!EK9="",IPC!EJ9="",IPC!EI9=""),"",AVERAGE(IPC!EI9:EK9))</f>
        <v>99.927248148581143</v>
      </c>
      <c r="CP9" s="7">
        <f>IF(OR(IPC!EN9="",IPC!EM9="",IPC!EL9=""),"",AVERAGE(IPC!EL9:EN9))</f>
        <v>100.52425978119784</v>
      </c>
      <c r="CQ9" s="7">
        <f>IF(OR(IPC!EQ9="",IPC!EP9="",IPC!EO9=""),"",AVERAGE(IPC!EO9:EQ9))</f>
        <v>101.42219637271489</v>
      </c>
      <c r="CR9" s="7">
        <f>IF(OR(IPC!ET9="",IPC!ES9="",IPC!ER9=""),"",AVERAGE(IPC!ER9:ET9))</f>
        <v>102.54734845796405</v>
      </c>
      <c r="CS9" s="7">
        <f>IF(OR(IPC!EW9="",IPC!EV9="",IPC!EU9=""),"",AVERAGE(IPC!EU9:EW9))</f>
        <v>104.21640747951649</v>
      </c>
      <c r="CT9" s="7">
        <f>IF(OR(IPC!EZ9="",IPC!EY9="",IPC!EX9=""),"",AVERAGE(IPC!EX9:EZ9))</f>
        <v>104.9369135046732</v>
      </c>
      <c r="CU9" s="7">
        <f>IF(OR(IPC!FC9="",IPC!FB9="",IPC!FA9=""),"",AVERAGE(IPC!FA9:FC9))</f>
        <v>105.67344276250964</v>
      </c>
      <c r="CV9" s="7">
        <f>IF(OR(IPC!FF9="",IPC!FE9="",IPC!FD9=""),"",AVERAGE(IPC!FD9:FF9))</f>
        <v>106.33333333333333</v>
      </c>
      <c r="CW9" s="7">
        <f>IF(OR(IPC!FI9="",IPC!FH9="",IPC!FG9=""),"",AVERAGE(IPC!FG9:FI9))</f>
        <v>106.66666666666667</v>
      </c>
      <c r="CX9" s="7">
        <f>IF(OR(IPC!FL9="",IPC!FK9="",IPC!FJ9=""),"",AVERAGE(IPC!FJ9:FL9))</f>
        <v>106.9630281835415</v>
      </c>
      <c r="CY9" s="7">
        <f>IF(OR(IPC!FO9="",IPC!FN9="",IPC!FM9=""),"",AVERAGE(IPC!FM9:FO9))</f>
        <v>107.88107526684426</v>
      </c>
      <c r="CZ9" s="7">
        <f>IF(OR(IPC!FR9="",IPC!FQ9="",IPC!FP9=""),"",AVERAGE(IPC!FP9:FR9))</f>
        <v>108.66666666666667</v>
      </c>
    </row>
    <row r="10" spans="1:104" s="1" customFormat="1" ht="10.199999999999999" x14ac:dyDescent="0.2">
      <c r="A10" s="11" t="s">
        <v>15</v>
      </c>
      <c r="B10" s="12" t="s">
        <v>79</v>
      </c>
      <c r="C10" s="70">
        <v>12.89</v>
      </c>
      <c r="AV10" s="1" t="str">
        <f>IF(OR(IPC!F10="",IPC!E10="",IPC!D10=""),"",AVERAGE(IPC!D10:F10))</f>
        <v/>
      </c>
      <c r="AW10" s="1" t="str">
        <f>IF(OR(IPC!I10="",IPC!H10="",IPC!G10=""),"",AVERAGE(IPC!G10:I10))</f>
        <v/>
      </c>
      <c r="AX10" s="1" t="str">
        <f>IF(OR(IPC!L10="",IPC!K10="",IPC!J10=""),"",AVERAGE(IPC!J10:L10))</f>
        <v/>
      </c>
      <c r="AY10" s="1" t="str">
        <f>IF(OR(IPC!O10="",IPC!N10="",IPC!M10=""),"",AVERAGE(IPC!M10:O10))</f>
        <v/>
      </c>
      <c r="AZ10" s="7">
        <f>IF(OR(IPC!R10="",IPC!Q10="",IPC!P10=""),"",AVERAGE(IPC!P10:R10))</f>
        <v>81.65387886724983</v>
      </c>
      <c r="BA10" s="7">
        <f>IF(OR(IPC!U10="",IPC!T10="",IPC!S10=""),"",AVERAGE(IPC!S10:U10))</f>
        <v>82.738972323276087</v>
      </c>
      <c r="BB10" s="7">
        <f>IF(OR(IPC!X10="",IPC!W10="",IPC!V10=""),"",AVERAGE(IPC!V10:X10))</f>
        <v>83.205984381630643</v>
      </c>
      <c r="BC10" s="7">
        <f>IF(OR(IPC!AA10="",IPC!Z10="",IPC!Y10=""),"",AVERAGE(IPC!Y10:AA10))</f>
        <v>83.565155846816523</v>
      </c>
      <c r="BD10" s="7">
        <f>IF(OR(IPC!AD10="",IPC!AC10="",IPC!AB10=""),"",AVERAGE(IPC!AB10:AD10))</f>
        <v>84.403691877183022</v>
      </c>
      <c r="BE10" s="7">
        <f>IF(OR(IPC!AG10="",IPC!AF10="",IPC!AE10=""),"",AVERAGE(IPC!AE10:AG10))</f>
        <v>84.387179851381191</v>
      </c>
      <c r="BF10" s="7">
        <f>IF(OR(IPC!AJ10="",IPC!AI10="",IPC!AH10=""),"",AVERAGE(IPC!AH10:AJ10))</f>
        <v>85.245453821091331</v>
      </c>
      <c r="BG10" s="7">
        <f>IF(OR(IPC!AM10="",IPC!AL10="",IPC!AK10=""),"",AVERAGE(IPC!AK10:AM10))</f>
        <v>86.242744391498562</v>
      </c>
      <c r="BH10" s="7">
        <f>IF(OR(IPC!AP10="",IPC!AO10="",IPC!AN10=""),"",AVERAGE(IPC!AN10:AP10))</f>
        <v>86.616928786019187</v>
      </c>
      <c r="BI10" s="7">
        <f>IF(OR(IPC!AS10="",IPC!AR10="",IPC!AQ10=""),"",AVERAGE(IPC!AQ10:AS10))</f>
        <v>85.51477231470254</v>
      </c>
      <c r="BJ10" s="7">
        <f>IF(OR(IPC!AV10="",IPC!AU10="",IPC!AT10=""),"",AVERAGE(IPC!AT10:AV10))</f>
        <v>86.782453984602697</v>
      </c>
      <c r="BK10" s="7">
        <f>IF(OR(IPC!AY10="",IPC!AX10="",IPC!AW10=""),"",AVERAGE(IPC!AW10:AY10))</f>
        <v>88.18700257874751</v>
      </c>
      <c r="BL10" s="7">
        <f>IF(OR(IPC!BB10="",IPC!BA10="",IPC!AZ10=""),"",AVERAGE(IPC!AZ10:BB10))</f>
        <v>88.260036678758027</v>
      </c>
      <c r="BM10" s="7">
        <f>IF(OR(IPC!BE10="",IPC!BD10="",IPC!BC10=""),"",AVERAGE(IPC!BC10:BE10))</f>
        <v>89.253137080613826</v>
      </c>
      <c r="BN10" s="7">
        <f>IF(OR(IPC!BH10="",IPC!BG10="",IPC!BF10=""),"",AVERAGE(IPC!BF10:BH10))</f>
        <v>89.943343601293478</v>
      </c>
      <c r="BO10" s="7">
        <f>IF(OR(IPC!BK10="",IPC!BJ10="",IPC!BI10=""),"",AVERAGE(IPC!BI10:BK10))</f>
        <v>89.825400182878184</v>
      </c>
      <c r="BP10" s="7">
        <f>IF(OR(IPC!BN10="",IPC!BM10="",IPC!BL10=""),"",AVERAGE(IPC!BL10:BN10))</f>
        <v>90.049080067143791</v>
      </c>
      <c r="BQ10" s="7">
        <f>IF(OR(IPC!BQ10="",IPC!BP10="",IPC!BO10=""),"",AVERAGE(IPC!BO10:BQ10))</f>
        <v>90.576386038010398</v>
      </c>
      <c r="BR10" s="7">
        <f>IF(OR(IPC!BT10="",IPC!BS10="",IPC!BR10=""),"",AVERAGE(IPC!BR10:BT10))</f>
        <v>90.727696761570215</v>
      </c>
      <c r="BS10" s="7">
        <f>IF(OR(IPC!BW10="",IPC!BV10="",IPC!BU10=""),"",AVERAGE(IPC!BU10:BW10))</f>
        <v>91.067571610074822</v>
      </c>
      <c r="BT10" s="7">
        <f>IF(OR(IPC!BZ10="",IPC!BY10="",IPC!BX10=""),"",AVERAGE(IPC!BX10:BZ10))</f>
        <v>91.142983464012275</v>
      </c>
      <c r="BU10" s="7">
        <f>IF(OR(IPC!CC10="",IPC!CB10="",IPC!CA10=""),"",AVERAGE(IPC!CA10:CC10))</f>
        <v>91.631315472473815</v>
      </c>
      <c r="BV10" s="7">
        <f>IF(OR(IPC!CF10="",IPC!CE10="",IPC!CD10=""),"",AVERAGE(IPC!CD10:CF10))</f>
        <v>91.847044194773545</v>
      </c>
      <c r="BW10" s="7">
        <f>IF(OR(IPC!CI10="",IPC!CH10="",IPC!CG10=""),"",AVERAGE(IPC!CG10:CI10))</f>
        <v>92.111851186793388</v>
      </c>
      <c r="BX10" s="7">
        <f>IF(OR(IPC!CL10="",IPC!CK10="",IPC!CJ10=""),"",AVERAGE(IPC!CJ10:CL10))</f>
        <v>91.685892712883685</v>
      </c>
      <c r="BY10" s="7">
        <f>IF(OR(IPC!CO10="",IPC!CN10="",IPC!CM10=""),"",AVERAGE(IPC!CM10:CO10))</f>
        <v>91.839497994136494</v>
      </c>
      <c r="BZ10" s="7">
        <f>IF(OR(IPC!CR10="",IPC!CQ10="",IPC!CP10=""),"",AVERAGE(IPC!CP10:CR10))</f>
        <v>91.996978890570873</v>
      </c>
      <c r="CA10" s="7">
        <f>IF(OR(IPC!CU10="",IPC!CT10="",IPC!CS10=""),"",AVERAGE(IPC!CS10:CU10))</f>
        <v>92.693386967871263</v>
      </c>
      <c r="CB10" s="7">
        <f>IF(OR(IPC!CX10="",IPC!CW10="",IPC!CV10=""),"",AVERAGE(IPC!CV10:CX10))</f>
        <v>92.70304749844145</v>
      </c>
      <c r="CC10" s="7">
        <f>IF(OR(IPC!DA10="",IPC!CZ10="",IPC!CY10=""),"",AVERAGE(IPC!CY10:DA10))</f>
        <v>92.644075618943234</v>
      </c>
      <c r="CD10" s="7">
        <f>IF(OR(IPC!DB10="",IPC!DA10="",IPC!CZ10=""),"",AVERAGE(IPC!CZ10:DB10))</f>
        <v>92.696134278100885</v>
      </c>
      <c r="CE10" s="7">
        <f>IF(OR(IPC!DC10="",IPC!DB10="",IPC!DA10=""),"",AVERAGE(IPC!DA10:DC10))</f>
        <v>93.044877521633154</v>
      </c>
      <c r="CF10" s="7">
        <f>IF(OR(IPC!DD10="",IPC!DC10="",IPC!DB10=""),"",AVERAGE(IPC!DB10:DD10))</f>
        <v>93.427194047555886</v>
      </c>
      <c r="CG10" s="7">
        <f>IF(OR(IPC!DM10="",IPC!DL10="",IPC!DK10=""),"",AVERAGE(IPC!DK10:DM10))</f>
        <v>96.347768241046992</v>
      </c>
      <c r="CH10" s="7">
        <f>IF(OR(IPC!DP10="",IPC!DO10="",IPC!DN10=""),"",AVERAGE(IPC!DN10:DP10))</f>
        <v>96.249312577989414</v>
      </c>
      <c r="CI10" s="7">
        <f>IF(OR(IPC!DS10="",IPC!DR10="",IPC!DQ10=""),"",AVERAGE(IPC!DQ10:DS10))</f>
        <v>97.040573194927973</v>
      </c>
      <c r="CJ10" s="7">
        <f>IF(OR(IPC!DV10="",IPC!DU10="",IPC!DT10=""),"",AVERAGE(IPC!DT10:DV10))</f>
        <v>97.60349391321256</v>
      </c>
      <c r="CK10" s="7">
        <f>IF(OR(IPC!DY10="",IPC!DX10="",IPC!DW10=""),"",AVERAGE(IPC!DW10:DY10))</f>
        <v>98.221858415996465</v>
      </c>
      <c r="CL10" s="7">
        <f>IF(OR(IPC!EB10="",IPC!EA10="",IPC!DZ10=""),"",AVERAGE(IPC!DZ10:EB10))</f>
        <v>98.459174484848333</v>
      </c>
      <c r="CM10" s="7">
        <f>IF(OR(IPC!EE10="",IPC!ED10="",IPC!EC10=""),"",AVERAGE(IPC!EC10:EE10))</f>
        <v>98.427437196337351</v>
      </c>
      <c r="CN10" s="7">
        <f>IF(OR(IPC!EH10="",IPC!EG10="",IPC!EF10=""),"",AVERAGE(IPC!EF10:EH10))</f>
        <v>99.309921411447647</v>
      </c>
      <c r="CO10" s="7">
        <f>IF(OR(IPC!EK10="",IPC!EJ10="",IPC!EI10=""),"",AVERAGE(IPC!EI10:EK10))</f>
        <v>99.806023933222605</v>
      </c>
      <c r="CP10" s="7">
        <f>IF(OR(IPC!EN10="",IPC!EM10="",IPC!EL10=""),"",AVERAGE(IPC!EL10:EN10))</f>
        <v>99.621584031155535</v>
      </c>
      <c r="CQ10" s="7">
        <f>IF(OR(IPC!EQ10="",IPC!EP10="",IPC!EO10=""),"",AVERAGE(IPC!EO10:EQ10))</f>
        <v>101.26247062417418</v>
      </c>
      <c r="CR10" s="7">
        <f>IF(OR(IPC!ET10="",IPC!ES10="",IPC!ER10=""),"",AVERAGE(IPC!ER10:ET10))</f>
        <v>102.22321110683242</v>
      </c>
      <c r="CS10" s="7">
        <f>IF(OR(IPC!EW10="",IPC!EV10="",IPC!EU10=""),"",AVERAGE(IPC!EU10:EW10))</f>
        <v>103.0601963529388</v>
      </c>
      <c r="CT10" s="7">
        <f>IF(OR(IPC!EZ10="",IPC!EY10="",IPC!EX10=""),"",AVERAGE(IPC!EX10:EZ10))</f>
        <v>103.92369783826075</v>
      </c>
      <c r="CU10" s="7">
        <f>IF(OR(IPC!FC10="",IPC!FB10="",IPC!FA10=""),"",AVERAGE(IPC!FA10:FC10))</f>
        <v>104.47502799776932</v>
      </c>
      <c r="CV10" s="7">
        <f>IF(OR(IPC!FF10="",IPC!FE10="",IPC!FD10=""),"",AVERAGE(IPC!FD10:FF10))</f>
        <v>105.33333333333333</v>
      </c>
      <c r="CW10" s="7">
        <f>IF(OR(IPC!FI10="",IPC!FH10="",IPC!FG10=""),"",AVERAGE(IPC!FG10:FI10))</f>
        <v>106.56666666666668</v>
      </c>
      <c r="CX10" s="7">
        <f>IF(OR(IPC!FL10="",IPC!FK10="",IPC!FJ10=""),"",AVERAGE(IPC!FJ10:FL10))</f>
        <v>107.29010192162174</v>
      </c>
      <c r="CY10" s="7">
        <f>IF(OR(IPC!FO10="",IPC!FN10="",IPC!FM10=""),"",AVERAGE(IPC!FM10:FO10))</f>
        <v>108.05202799050069</v>
      </c>
      <c r="CZ10" s="7">
        <f>IF(OR(IPC!FR10="",IPC!FQ10="",IPC!FP10=""),"",AVERAGE(IPC!FP10:FR10))</f>
        <v>108.83333333333333</v>
      </c>
    </row>
    <row r="11" spans="1:104" s="1" customFormat="1" ht="10.199999999999999" x14ac:dyDescent="0.2">
      <c r="A11" s="11" t="s">
        <v>17</v>
      </c>
      <c r="B11" s="13" t="s">
        <v>78</v>
      </c>
      <c r="C11" s="70">
        <v>5.0999999999999996</v>
      </c>
      <c r="AV11" s="1" t="str">
        <f>IF(OR(IPC!F11="",IPC!E11="",IPC!D11=""),"",AVERAGE(IPC!D11:F11))</f>
        <v/>
      </c>
      <c r="AW11" s="1" t="str">
        <f>IF(OR(IPC!I11="",IPC!H11="",IPC!G11=""),"",AVERAGE(IPC!G11:I11))</f>
        <v/>
      </c>
      <c r="AX11" s="1" t="str">
        <f>IF(OR(IPC!L11="",IPC!K11="",IPC!J11=""),"",AVERAGE(IPC!J11:L11))</f>
        <v/>
      </c>
      <c r="AY11" s="1" t="str">
        <f>IF(OR(IPC!O11="",IPC!N11="",IPC!M11=""),"",AVERAGE(IPC!M11:O11))</f>
        <v/>
      </c>
      <c r="AZ11" s="7">
        <f>IF(OR(IPC!R11="",IPC!Q11="",IPC!P11=""),"",AVERAGE(IPC!P11:R11))</f>
        <v>85.278882974389788</v>
      </c>
      <c r="BA11" s="7">
        <f>IF(OR(IPC!U11="",IPC!T11="",IPC!S11=""),"",AVERAGE(IPC!S11:U11))</f>
        <v>85.119905549689648</v>
      </c>
      <c r="BB11" s="7">
        <f>IF(OR(IPC!X11="",IPC!W11="",IPC!V11=""),"",AVERAGE(IPC!V11:X11))</f>
        <v>85.03834030495112</v>
      </c>
      <c r="BC11" s="7">
        <f>IF(OR(IPC!AA11="",IPC!Z11="",IPC!Y11=""),"",AVERAGE(IPC!Y11:AA11))</f>
        <v>85.478832560359749</v>
      </c>
      <c r="BD11" s="7">
        <f>IF(OR(IPC!AD11="",IPC!AC11="",IPC!AB11=""),"",AVERAGE(IPC!AB11:AD11))</f>
        <v>86.64703405456801</v>
      </c>
      <c r="BE11" s="7">
        <f>IF(OR(IPC!AG11="",IPC!AF11="",IPC!AE11=""),"",AVERAGE(IPC!AE11:AG11))</f>
        <v>86.677437707537322</v>
      </c>
      <c r="BF11" s="7">
        <f>IF(OR(IPC!AJ11="",IPC!AI11="",IPC!AH11=""),"",AVERAGE(IPC!AH11:AJ11))</f>
        <v>87.303190925108012</v>
      </c>
      <c r="BG11" s="7">
        <f>IF(OR(IPC!AM11="",IPC!AL11="",IPC!AK11=""),"",AVERAGE(IPC!AK11:AM11))</f>
        <v>87.359286243847393</v>
      </c>
      <c r="BH11" s="7">
        <f>IF(OR(IPC!AP11="",IPC!AO11="",IPC!AN11=""),"",AVERAGE(IPC!AN11:AP11))</f>
        <v>87.202644618512068</v>
      </c>
      <c r="BI11" s="7">
        <f>IF(OR(IPC!AS11="",IPC!AR11="",IPC!AQ11=""),"",AVERAGE(IPC!AQ11:AS11))</f>
        <v>87.082580304112753</v>
      </c>
      <c r="BJ11" s="7">
        <f>IF(OR(IPC!AV11="",IPC!AU11="",IPC!AT11=""),"",AVERAGE(IPC!AT11:AV11))</f>
        <v>87.613228595144733</v>
      </c>
      <c r="BK11" s="7">
        <f>IF(OR(IPC!AY11="",IPC!AX11="",IPC!AW11=""),"",AVERAGE(IPC!AW11:AY11))</f>
        <v>87.451924357063149</v>
      </c>
      <c r="BL11" s="7">
        <f>IF(OR(IPC!BB11="",IPC!BA11="",IPC!AZ11=""),"",AVERAGE(IPC!AZ11:BB11))</f>
        <v>87.936076249650611</v>
      </c>
      <c r="BM11" s="7">
        <f>IF(OR(IPC!BE11="",IPC!BD11="",IPC!BC11=""),"",AVERAGE(IPC!BC11:BE11))</f>
        <v>88.544664786335829</v>
      </c>
      <c r="BN11" s="7">
        <f>IF(OR(IPC!BH11="",IPC!BG11="",IPC!BF11=""),"",AVERAGE(IPC!BF11:BH11))</f>
        <v>89.052883325922537</v>
      </c>
      <c r="BO11" s="7">
        <f>IF(OR(IPC!BK11="",IPC!BJ11="",IPC!BI11=""),"",AVERAGE(IPC!BI11:BK11))</f>
        <v>88.909516908684793</v>
      </c>
      <c r="BP11" s="7">
        <f>IF(OR(IPC!BN11="",IPC!BM11="",IPC!BL11=""),"",AVERAGE(IPC!BL11:BN11))</f>
        <v>89.101617431466025</v>
      </c>
      <c r="BQ11" s="7">
        <f>IF(OR(IPC!BQ11="",IPC!BP11="",IPC!BO11=""),"",AVERAGE(IPC!BO11:BQ11))</f>
        <v>89.130082329051064</v>
      </c>
      <c r="BR11" s="7">
        <f>IF(OR(IPC!BT11="",IPC!BS11="",IPC!BR11=""),"",AVERAGE(IPC!BR11:BT11))</f>
        <v>88.932189747276269</v>
      </c>
      <c r="BS11" s="7">
        <f>IF(OR(IPC!BW11="",IPC!BV11="",IPC!BU11=""),"",AVERAGE(IPC!BU11:BW11))</f>
        <v>89.511503964066563</v>
      </c>
      <c r="BT11" s="7">
        <f>IF(OR(IPC!BZ11="",IPC!BY11="",IPC!BX11=""),"",AVERAGE(IPC!BX11:BZ11))</f>
        <v>89.470767189975092</v>
      </c>
      <c r="BU11" s="7">
        <f>IF(OR(IPC!CC11="",IPC!CB11="",IPC!CA11=""),"",AVERAGE(IPC!CA11:CC11))</f>
        <v>89.232360359279255</v>
      </c>
      <c r="BV11" s="7">
        <f>IF(OR(IPC!CF11="",IPC!CE11="",IPC!CD11=""),"",AVERAGE(IPC!CD11:CF11))</f>
        <v>89.437346143037757</v>
      </c>
      <c r="BW11" s="7">
        <f>IF(OR(IPC!CI11="",IPC!CH11="",IPC!CG11=""),"",AVERAGE(IPC!CG11:CI11))</f>
        <v>89.604113493759314</v>
      </c>
      <c r="BX11" s="7">
        <f>IF(OR(IPC!CL11="",IPC!CK11="",IPC!CJ11=""),"",AVERAGE(IPC!CJ11:CL11))</f>
        <v>89.60565517187986</v>
      </c>
      <c r="BY11" s="7">
        <f>IF(OR(IPC!CO11="",IPC!CN11="",IPC!CM11=""),"",AVERAGE(IPC!CM11:CO11))</f>
        <v>90.087102453939693</v>
      </c>
      <c r="BZ11" s="7">
        <f>IF(OR(IPC!CR11="",IPC!CQ11="",IPC!CP11=""),"",AVERAGE(IPC!CP11:CR11))</f>
        <v>90.402950120529638</v>
      </c>
      <c r="CA11" s="7">
        <f>IF(OR(IPC!CU11="",IPC!CT11="",IPC!CS11=""),"",AVERAGE(IPC!CS11:CU11))</f>
        <v>90.839925424516011</v>
      </c>
      <c r="CB11" s="7">
        <f>IF(OR(IPC!CX11="",IPC!CW11="",IPC!CV11=""),"",AVERAGE(IPC!CV11:CX11))</f>
        <v>91.34846185412529</v>
      </c>
      <c r="CC11" s="7">
        <f>IF(OR(IPC!DA11="",IPC!CZ11="",IPC!CY11=""),"",AVERAGE(IPC!CY11:DA11))</f>
        <v>91.905481166125483</v>
      </c>
      <c r="CD11" s="7">
        <f>IF(OR(IPC!DB11="",IPC!DA11="",IPC!CZ11=""),"",AVERAGE(IPC!CZ11:DB11))</f>
        <v>91.946855176859586</v>
      </c>
      <c r="CE11" s="7">
        <f>IF(OR(IPC!DC11="",IPC!DB11="",IPC!DA11=""),"",AVERAGE(IPC!DA11:DC11))</f>
        <v>91.98149918863281</v>
      </c>
      <c r="CF11" s="7">
        <f>IF(OR(IPC!DD11="",IPC!DC11="",IPC!DB11=""),"",AVERAGE(IPC!DB11:DD11))</f>
        <v>92.055737670913445</v>
      </c>
      <c r="CG11" s="7">
        <f>IF(OR(IPC!DM11="",IPC!DL11="",IPC!DK11=""),"",AVERAGE(IPC!DK11:DM11))</f>
        <v>93.133068167640332</v>
      </c>
      <c r="CH11" s="7">
        <f>IF(OR(IPC!DP11="",IPC!DO11="",IPC!DN11=""),"",AVERAGE(IPC!DN11:DP11))</f>
        <v>93.5326857733628</v>
      </c>
      <c r="CI11" s="7">
        <f>IF(OR(IPC!DS11="",IPC!DR11="",IPC!DQ11=""),"",AVERAGE(IPC!DQ11:DS11))</f>
        <v>94.060658179137022</v>
      </c>
      <c r="CJ11" s="7">
        <f>IF(OR(IPC!DV11="",IPC!DU11="",IPC!DT11=""),"",AVERAGE(IPC!DT11:DV11))</f>
        <v>94.316707698053122</v>
      </c>
      <c r="CK11" s="7">
        <f>IF(OR(IPC!DY11="",IPC!DX11="",IPC!DW11=""),"",AVERAGE(IPC!DW11:DY11))</f>
        <v>94.5096447375618</v>
      </c>
      <c r="CL11" s="7">
        <f>IF(OR(IPC!EB11="",IPC!EA11="",IPC!DZ11=""),"",AVERAGE(IPC!DZ11:EB11))</f>
        <v>94.77101771474095</v>
      </c>
      <c r="CM11" s="7">
        <f>IF(OR(IPC!EE11="",IPC!ED11="",IPC!EC11=""),"",AVERAGE(IPC!EC11:EE11))</f>
        <v>95.045750652824964</v>
      </c>
      <c r="CN11" s="7">
        <f>IF(OR(IPC!EH11="",IPC!EG11="",IPC!EF11=""),"",AVERAGE(IPC!EF11:EH11))</f>
        <v>96.164147722376569</v>
      </c>
      <c r="CO11" s="7">
        <f>IF(OR(IPC!EK11="",IPC!EJ11="",IPC!EI11=""),"",AVERAGE(IPC!EI11:EK11))</f>
        <v>98.859142484849926</v>
      </c>
      <c r="CP11" s="7">
        <f>IF(OR(IPC!EN11="",IPC!EM11="",IPC!EL11=""),"",AVERAGE(IPC!EL11:EN11))</f>
        <v>101.35163984968115</v>
      </c>
      <c r="CQ11" s="7">
        <f>IF(OR(IPC!EQ11="",IPC!EP11="",IPC!EO11=""),"",AVERAGE(IPC!EO11:EQ11))</f>
        <v>103.62506994309233</v>
      </c>
      <c r="CR11" s="7">
        <f>IF(OR(IPC!ET11="",IPC!ES11="",IPC!ER11=""),"",AVERAGE(IPC!ER11:ET11))</f>
        <v>105.77338734681496</v>
      </c>
      <c r="CS11" s="7">
        <f>IF(OR(IPC!EW11="",IPC!EV11="",IPC!EU11=""),"",AVERAGE(IPC!EU11:EW11))</f>
        <v>107.26347551708152</v>
      </c>
      <c r="CT11" s="7">
        <f>IF(OR(IPC!EZ11="",IPC!EY11="",IPC!EX11=""),"",AVERAGE(IPC!EX11:EZ11))</f>
        <v>107.63051164531005</v>
      </c>
      <c r="CU11" s="7">
        <f>IF(OR(IPC!FC11="",IPC!FB11="",IPC!FA11=""),"",AVERAGE(IPC!FA11:FC11))</f>
        <v>108.04643753432642</v>
      </c>
      <c r="CV11" s="7">
        <f>IF(OR(IPC!FF11="",IPC!FE11="",IPC!FD11=""),"",AVERAGE(IPC!FD11:FF11))</f>
        <v>108.5</v>
      </c>
      <c r="CW11" s="7">
        <f>IF(OR(IPC!FI11="",IPC!FH11="",IPC!FG11=""),"",AVERAGE(IPC!FG11:FI11))</f>
        <v>109.16666666666667</v>
      </c>
      <c r="CX11" s="7">
        <f>IF(OR(IPC!FL11="",IPC!FK11="",IPC!FJ11=""),"",AVERAGE(IPC!FJ11:FL11))</f>
        <v>109.71471886022402</v>
      </c>
      <c r="CY11" s="7">
        <f>IF(OR(IPC!FO11="",IPC!FN11="",IPC!FM11=""),"",AVERAGE(IPC!FM11:FO11))</f>
        <v>109.79740548618518</v>
      </c>
      <c r="CZ11" s="7">
        <f>IF(OR(IPC!FR11="",IPC!FQ11="",IPC!FP11=""),"",AVERAGE(IPC!FP11:FR11))</f>
        <v>110.10000000000001</v>
      </c>
    </row>
    <row r="12" spans="1:104" s="1" customFormat="1" ht="10.199999999999999" x14ac:dyDescent="0.2">
      <c r="A12" s="11" t="s">
        <v>19</v>
      </c>
      <c r="B12" s="1" t="s">
        <v>33</v>
      </c>
      <c r="C12" s="70">
        <v>4.78</v>
      </c>
      <c r="AV12" s="1" t="str">
        <f>IF(OR(IPC!F12="",IPC!E12="",IPC!D12=""),"",AVERAGE(IPC!D12:F12))</f>
        <v/>
      </c>
      <c r="AW12" s="1" t="str">
        <f>IF(OR(IPC!I12="",IPC!H12="",IPC!G12=""),"",AVERAGE(IPC!G12:I12))</f>
        <v/>
      </c>
      <c r="AX12" s="1" t="str">
        <f>IF(OR(IPC!L12="",IPC!K12="",IPC!J12=""),"",AVERAGE(IPC!J12:L12))</f>
        <v/>
      </c>
      <c r="AY12" s="1" t="str">
        <f>IF(OR(IPC!O12="",IPC!N12="",IPC!M12=""),"",AVERAGE(IPC!M12:O12))</f>
        <v/>
      </c>
      <c r="AZ12" s="7">
        <f>IF(OR(IPC!R12="",IPC!Q12="",IPC!P12=""),"",AVERAGE(IPC!P12:R12))</f>
        <v>96.540246361466757</v>
      </c>
      <c r="BA12" s="7">
        <f>IF(OR(IPC!U12="",IPC!T12="",IPC!S12=""),"",AVERAGE(IPC!S12:U12))</f>
        <v>96.381031553039463</v>
      </c>
      <c r="BB12" s="7">
        <f>IF(OR(IPC!X12="",IPC!W12="",IPC!V12=""),"",AVERAGE(IPC!V12:X12))</f>
        <v>96.596933528470061</v>
      </c>
      <c r="BC12" s="7">
        <f>IF(OR(IPC!AA12="",IPC!Z12="",IPC!Y12=""),"",AVERAGE(IPC!Y12:AA12))</f>
        <v>96.505741902591282</v>
      </c>
      <c r="BD12" s="7">
        <f>IF(OR(IPC!AD12="",IPC!AC12="",IPC!AB12=""),"",AVERAGE(IPC!AB12:AD12))</f>
        <v>96.744767421602106</v>
      </c>
      <c r="BE12" s="7">
        <f>IF(OR(IPC!AG12="",IPC!AF12="",IPC!AE12=""),"",AVERAGE(IPC!AE12:AG12))</f>
        <v>96.953404910919517</v>
      </c>
      <c r="BF12" s="7">
        <f>IF(OR(IPC!AJ12="",IPC!AI12="",IPC!AH12=""),"",AVERAGE(IPC!AH12:AJ12))</f>
        <v>96.824111929189939</v>
      </c>
      <c r="BG12" s="7">
        <f>IF(OR(IPC!AM12="",IPC!AL12="",IPC!AK12=""),"",AVERAGE(IPC!AK12:AM12))</f>
        <v>97.635738923147414</v>
      </c>
      <c r="BH12" s="7">
        <f>IF(OR(IPC!AP12="",IPC!AO12="",IPC!AN12=""),"",AVERAGE(IPC!AN12:AP12))</f>
        <v>97.70643846124733</v>
      </c>
      <c r="BI12" s="7">
        <f>IF(OR(IPC!AS12="",IPC!AR12="",IPC!AQ12=""),"",AVERAGE(IPC!AQ12:AS12))</f>
        <v>97.718266303735746</v>
      </c>
      <c r="BJ12" s="7">
        <f>IF(OR(IPC!AV12="",IPC!AU12="",IPC!AT12=""),"",AVERAGE(IPC!AT12:AV12))</f>
        <v>97.835702232986023</v>
      </c>
      <c r="BK12" s="7">
        <f>IF(OR(IPC!AY12="",IPC!AX12="",IPC!AW12=""),"",AVERAGE(IPC!AW12:AY12))</f>
        <v>97.762290055317251</v>
      </c>
      <c r="BL12" s="7">
        <f>IF(OR(IPC!BB12="",IPC!BA12="",IPC!AZ12=""),"",AVERAGE(IPC!AZ12:BB12))</f>
        <v>98.226678263371511</v>
      </c>
      <c r="BM12" s="7">
        <f>IF(OR(IPC!BE12="",IPC!BD12="",IPC!BC12=""),"",AVERAGE(IPC!BC12:BE12))</f>
        <v>98.246066403617718</v>
      </c>
      <c r="BN12" s="7">
        <f>IF(OR(IPC!BH12="",IPC!BG12="",IPC!BF12=""),"",AVERAGE(IPC!BF12:BH12))</f>
        <v>98.005605162951113</v>
      </c>
      <c r="BO12" s="7">
        <f>IF(OR(IPC!BK12="",IPC!BJ12="",IPC!BI12=""),"",AVERAGE(IPC!BI12:BK12))</f>
        <v>98.402550208930919</v>
      </c>
      <c r="BP12" s="7">
        <f>IF(OR(IPC!BN12="",IPC!BM12="",IPC!BL12=""),"",AVERAGE(IPC!BL12:BN12))</f>
        <v>97.971636246261411</v>
      </c>
      <c r="BQ12" s="7">
        <f>IF(OR(IPC!BQ12="",IPC!BP12="",IPC!BO12=""),"",AVERAGE(IPC!BO12:BQ12))</f>
        <v>97.869105220392086</v>
      </c>
      <c r="BR12" s="7">
        <f>IF(OR(IPC!BT12="",IPC!BS12="",IPC!BR12=""),"",AVERAGE(IPC!BR12:BT12))</f>
        <v>97.752767061222016</v>
      </c>
      <c r="BS12" s="7">
        <f>IF(OR(IPC!BW12="",IPC!BV12="",IPC!BU12=""),"",AVERAGE(IPC!BU12:BW12))</f>
        <v>98.053023977570504</v>
      </c>
      <c r="BT12" s="7">
        <f>IF(OR(IPC!BZ12="",IPC!BY12="",IPC!BX12=""),"",AVERAGE(IPC!BX12:BZ12))</f>
        <v>98.119393707850818</v>
      </c>
      <c r="BU12" s="7">
        <f>IF(OR(IPC!CC12="",IPC!CB12="",IPC!CA12=""),"",AVERAGE(IPC!CA12:CC12))</f>
        <v>98.180050067175657</v>
      </c>
      <c r="BV12" s="7">
        <f>IF(OR(IPC!CF12="",IPC!CE12="",IPC!CD12=""),"",AVERAGE(IPC!CD12:CF12))</f>
        <v>98.221790606841935</v>
      </c>
      <c r="BW12" s="7">
        <f>IF(OR(IPC!CI12="",IPC!CH12="",IPC!CG12=""),"",AVERAGE(IPC!CG12:CI12))</f>
        <v>98.301131090853389</v>
      </c>
      <c r="BX12" s="7">
        <f>IF(OR(IPC!CL12="",IPC!CK12="",IPC!CJ12=""),"",AVERAGE(IPC!CJ12:CL12))</f>
        <v>98.220385858110134</v>
      </c>
      <c r="BY12" s="7">
        <f>IF(OR(IPC!CO12="",IPC!CN12="",IPC!CM12=""),"",AVERAGE(IPC!CM12:CO12))</f>
        <v>98.516169691188395</v>
      </c>
      <c r="BZ12" s="7">
        <f>IF(OR(IPC!CR12="",IPC!CQ12="",IPC!CP12=""),"",AVERAGE(IPC!CP12:CR12))</f>
        <v>98.916783074060675</v>
      </c>
      <c r="CA12" s="7">
        <f>IF(OR(IPC!CU12="",IPC!CT12="",IPC!CS12=""),"",AVERAGE(IPC!CS12:CU12))</f>
        <v>98.926291572783001</v>
      </c>
      <c r="CB12" s="7">
        <f>IF(OR(IPC!CX12="",IPC!CW12="",IPC!CV12=""),"",AVERAGE(IPC!CV12:CX12))</f>
        <v>99.009514857378562</v>
      </c>
      <c r="CC12" s="7">
        <f>IF(OR(IPC!DA12="",IPC!CZ12="",IPC!CY12=""),"",AVERAGE(IPC!CY12:DA12))</f>
        <v>99.225991169844107</v>
      </c>
      <c r="CD12" s="7">
        <f>IF(OR(IPC!DB12="",IPC!DA12="",IPC!CZ12=""),"",AVERAGE(IPC!CZ12:DB12))</f>
        <v>99.265807282122395</v>
      </c>
      <c r="CE12" s="7">
        <f>IF(OR(IPC!DC12="",IPC!DB12="",IPC!DA12=""),"",AVERAGE(IPC!DA12:DC12))</f>
        <v>99.270573166038162</v>
      </c>
      <c r="CF12" s="7">
        <f>IF(OR(IPC!DD12="",IPC!DC12="",IPC!DB12=""),"",AVERAGE(IPC!DB12:DD12))</f>
        <v>99.272190398125943</v>
      </c>
      <c r="CG12" s="7">
        <f>IF(OR(IPC!DM12="",IPC!DL12="",IPC!DK12=""),"",AVERAGE(IPC!DK12:DM12))</f>
        <v>99.418770423887437</v>
      </c>
      <c r="CH12" s="7">
        <f>IF(OR(IPC!DP12="",IPC!DO12="",IPC!DN12=""),"",AVERAGE(IPC!DN12:DP12))</f>
        <v>99.434838381935151</v>
      </c>
      <c r="CI12" s="7">
        <f>IF(OR(IPC!DS12="",IPC!DR12="",IPC!DQ12=""),"",AVERAGE(IPC!DQ12:DS12))</f>
        <v>99.534534064670652</v>
      </c>
      <c r="CJ12" s="7">
        <f>IF(OR(IPC!DV12="",IPC!DU12="",IPC!DT12=""),"",AVERAGE(IPC!DT12:DV12))</f>
        <v>99.517590338443952</v>
      </c>
      <c r="CK12" s="7">
        <f>IF(OR(IPC!DY12="",IPC!DX12="",IPC!DW12=""),"",AVERAGE(IPC!DW12:DY12))</f>
        <v>99.529577005353019</v>
      </c>
      <c r="CL12" s="7">
        <f>IF(OR(IPC!EB12="",IPC!EA12="",IPC!DZ12=""),"",AVERAGE(IPC!DZ12:EB12))</f>
        <v>99.601752808997503</v>
      </c>
      <c r="CM12" s="7">
        <f>IF(OR(IPC!EE12="",IPC!ED12="",IPC!EC12=""),"",AVERAGE(IPC!EC12:EE12))</f>
        <v>99.656390234836707</v>
      </c>
      <c r="CN12" s="7">
        <f>IF(OR(IPC!EH12="",IPC!EG12="",IPC!EF12=""),"",AVERAGE(IPC!EF12:EH12))</f>
        <v>99.735304116725004</v>
      </c>
      <c r="CO12" s="7">
        <f>IF(OR(IPC!EK12="",IPC!EJ12="",IPC!EI12=""),"",AVERAGE(IPC!EI12:EK12))</f>
        <v>99.949203402239917</v>
      </c>
      <c r="CP12" s="7">
        <f>IF(OR(IPC!EN12="",IPC!EM12="",IPC!EL12=""),"",AVERAGE(IPC!EL12:EN12))</f>
        <v>100.07419619240312</v>
      </c>
      <c r="CQ12" s="7">
        <f>IF(OR(IPC!EQ12="",IPC!EP12="",IPC!EO12=""),"",AVERAGE(IPC!EO12:EQ12))</f>
        <v>100.24129628863197</v>
      </c>
      <c r="CR12" s="7">
        <f>IF(OR(IPC!ET12="",IPC!ES12="",IPC!ER12=""),"",AVERAGE(IPC!ER12:ET12))</f>
        <v>100.59266173011916</v>
      </c>
      <c r="CS12" s="7">
        <f>IF(OR(IPC!EW12="",IPC!EV12="",IPC!EU12=""),"",AVERAGE(IPC!EU12:EW12))</f>
        <v>100.82270420564146</v>
      </c>
      <c r="CT12" s="7">
        <f>IF(OR(IPC!EZ12="",IPC!EY12="",IPC!EX12=""),"",AVERAGE(IPC!EX12:EZ12))</f>
        <v>100.95067684855923</v>
      </c>
      <c r="CU12" s="7">
        <f>IF(OR(IPC!FC12="",IPC!FB12="",IPC!FA12=""),"",AVERAGE(IPC!FA12:FC12))</f>
        <v>101.03142236536893</v>
      </c>
      <c r="CV12" s="7">
        <f>IF(OR(IPC!FF12="",IPC!FE12="",IPC!FD12=""),"",AVERAGE(IPC!FD12:FF12))</f>
        <v>101.23333333333335</v>
      </c>
      <c r="CW12" s="7">
        <f>IF(OR(IPC!FI12="",IPC!FH12="",IPC!FG12=""),"",AVERAGE(IPC!FG12:FI12))</f>
        <v>101.43333333333334</v>
      </c>
      <c r="CX12" s="7">
        <f>IF(OR(IPC!FL12="",IPC!FK12="",IPC!FJ12=""),"",AVERAGE(IPC!FJ12:FL12))</f>
        <v>101.56568523616561</v>
      </c>
      <c r="CY12" s="7">
        <f>IF(OR(IPC!FO12="",IPC!FN12="",IPC!FM12=""),"",AVERAGE(IPC!FM12:FO12))</f>
        <v>101.73556084789873</v>
      </c>
      <c r="CZ12" s="7">
        <f>IF(OR(IPC!FR12="",IPC!FQ12="",IPC!FP12=""),"",AVERAGE(IPC!FP12:FR12))</f>
        <v>101.86666666666667</v>
      </c>
    </row>
    <row r="13" spans="1:104" s="1" customFormat="1" ht="10.199999999999999" x14ac:dyDescent="0.2">
      <c r="A13" s="11" t="s">
        <v>21</v>
      </c>
      <c r="B13" s="1" t="s">
        <v>22</v>
      </c>
      <c r="C13" s="70">
        <v>11.27</v>
      </c>
      <c r="AV13" s="1" t="str">
        <f>IF(OR(IPC!F13="",IPC!E13="",IPC!D13=""),"",AVERAGE(IPC!D13:F13))</f>
        <v/>
      </c>
      <c r="AW13" s="1" t="str">
        <f>IF(OR(IPC!I13="",IPC!H13="",IPC!G13=""),"",AVERAGE(IPC!G13:I13))</f>
        <v/>
      </c>
      <c r="AX13" s="1" t="str">
        <f>IF(OR(IPC!L13="",IPC!K13="",IPC!J13=""),"",AVERAGE(IPC!J13:L13))</f>
        <v/>
      </c>
      <c r="AY13" s="1" t="str">
        <f>IF(OR(IPC!O13="",IPC!N13="",IPC!M13=""),"",AVERAGE(IPC!M13:O13))</f>
        <v/>
      </c>
      <c r="AZ13" s="7">
        <f>IF(OR(IPC!R13="",IPC!Q13="",IPC!P13=""),"",AVERAGE(IPC!P13:R13))</f>
        <v>76.945413283756963</v>
      </c>
      <c r="BA13" s="7">
        <f>IF(OR(IPC!U13="",IPC!T13="",IPC!S13=""),"",AVERAGE(IPC!S13:U13))</f>
        <v>77.44596223294613</v>
      </c>
      <c r="BB13" s="7">
        <f>IF(OR(IPC!X13="",IPC!W13="",IPC!V13=""),"",AVERAGE(IPC!V13:X13))</f>
        <v>78.955508897197475</v>
      </c>
      <c r="BC13" s="7">
        <f>IF(OR(IPC!AA13="",IPC!Z13="",IPC!Y13=""),"",AVERAGE(IPC!Y13:AA13))</f>
        <v>79.168449319925983</v>
      </c>
      <c r="BD13" s="7">
        <f>IF(OR(IPC!AD13="",IPC!AC13="",IPC!AB13=""),"",AVERAGE(IPC!AB13:AD13))</f>
        <v>79.230687729710937</v>
      </c>
      <c r="BE13" s="7">
        <f>IF(OR(IPC!AG13="",IPC!AF13="",IPC!AE13=""),"",AVERAGE(IPC!AE13:AG13))</f>
        <v>79.492234827212442</v>
      </c>
      <c r="BF13" s="7">
        <f>IF(OR(IPC!AJ13="",IPC!AI13="",IPC!AH13=""),"",AVERAGE(IPC!AH13:AJ13))</f>
        <v>79.682664758209938</v>
      </c>
      <c r="BG13" s="7">
        <f>IF(OR(IPC!AM13="",IPC!AL13="",IPC!AK13=""),"",AVERAGE(IPC!AK13:AM13))</f>
        <v>79.988849588633514</v>
      </c>
      <c r="BH13" s="7">
        <f>IF(OR(IPC!AP13="",IPC!AO13="",IPC!AN13=""),"",AVERAGE(IPC!AN13:AP13))</f>
        <v>80.233761333603766</v>
      </c>
      <c r="BI13" s="7">
        <f>IF(OR(IPC!AS13="",IPC!AR13="",IPC!AQ13=""),"",AVERAGE(IPC!AQ13:AS13))</f>
        <v>80.251898911373758</v>
      </c>
      <c r="BJ13" s="7">
        <f>IF(OR(IPC!AV13="",IPC!AU13="",IPC!AT13=""),"",AVERAGE(IPC!AT13:AV13))</f>
        <v>91.031939558430906</v>
      </c>
      <c r="BK13" s="7">
        <f>IF(OR(IPC!AY13="",IPC!AX13="",IPC!AW13=""),"",AVERAGE(IPC!AW13:AY13))</f>
        <v>91.444049546758492</v>
      </c>
      <c r="BL13" s="7">
        <f>IF(OR(IPC!BB13="",IPC!BA13="",IPC!AZ13=""),"",AVERAGE(IPC!AZ13:BB13))</f>
        <v>91.947863577822361</v>
      </c>
      <c r="BM13" s="7">
        <f>IF(OR(IPC!BE13="",IPC!BD13="",IPC!BC13=""),"",AVERAGE(IPC!BC13:BE13))</f>
        <v>92.266768485578226</v>
      </c>
      <c r="BN13" s="7">
        <f>IF(OR(IPC!BH13="",IPC!BG13="",IPC!BF13=""),"",AVERAGE(IPC!BF13:BH13))</f>
        <v>92.330570028759041</v>
      </c>
      <c r="BO13" s="7">
        <f>IF(OR(IPC!BK13="",IPC!BJ13="",IPC!BI13=""),"",AVERAGE(IPC!BI13:BK13))</f>
        <v>92.207468326198565</v>
      </c>
      <c r="BP13" s="7">
        <f>IF(OR(IPC!BN13="",IPC!BM13="",IPC!BL13=""),"",AVERAGE(IPC!BL13:BN13))</f>
        <v>91.371096602355465</v>
      </c>
      <c r="BQ13" s="7">
        <f>IF(OR(IPC!BQ13="",IPC!BP13="",IPC!BO13=""),"",AVERAGE(IPC!BO13:BQ13))</f>
        <v>91.54516026394424</v>
      </c>
      <c r="BR13" s="7">
        <f>IF(OR(IPC!BT13="",IPC!BS13="",IPC!BR13=""),"",AVERAGE(IPC!BR13:BT13))</f>
        <v>91.59594338178357</v>
      </c>
      <c r="BS13" s="7">
        <f>IF(OR(IPC!BW13="",IPC!BV13="",IPC!BU13=""),"",AVERAGE(IPC!BU13:BW13))</f>
        <v>91.639605997420304</v>
      </c>
      <c r="BT13" s="7">
        <f>IF(OR(IPC!BZ13="",IPC!BY13="",IPC!BX13=""),"",AVERAGE(IPC!BX13:BZ13))</f>
        <v>92.2073646197166</v>
      </c>
      <c r="BU13" s="7">
        <f>IF(OR(IPC!CC13="",IPC!CB13="",IPC!CA13=""),"",AVERAGE(IPC!CA13:CC13))</f>
        <v>92.389325165473124</v>
      </c>
      <c r="BV13" s="7">
        <f>IF(OR(IPC!CF13="",IPC!CE13="",IPC!CD13=""),"",AVERAGE(IPC!CD13:CF13))</f>
        <v>92.296159165643857</v>
      </c>
      <c r="BW13" s="7">
        <f>IF(OR(IPC!CI13="",IPC!CH13="",IPC!CG13=""),"",AVERAGE(IPC!CG13:CI13))</f>
        <v>92.134086049880764</v>
      </c>
      <c r="BX13" s="7">
        <f>IF(OR(IPC!CL13="",IPC!CK13="",IPC!CJ13=""),"",AVERAGE(IPC!CJ13:CL13))</f>
        <v>92.173992609880216</v>
      </c>
      <c r="BY13" s="7">
        <f>IF(OR(IPC!CO13="",IPC!CN13="",IPC!CM13=""),"",AVERAGE(IPC!CM13:CO13))</f>
        <v>92.327661478460655</v>
      </c>
      <c r="BZ13" s="7">
        <f>IF(OR(IPC!CR13="",IPC!CQ13="",IPC!CP13=""),"",AVERAGE(IPC!CP13:CR13))</f>
        <v>93.311700683264505</v>
      </c>
      <c r="CA13" s="7">
        <f>IF(OR(IPC!CU13="",IPC!CT13="",IPC!CS13=""),"",AVERAGE(IPC!CS13:CU13))</f>
        <v>93.745806423117003</v>
      </c>
      <c r="CB13" s="7">
        <f>IF(OR(IPC!CX13="",IPC!CW13="",IPC!CV13=""),"",AVERAGE(IPC!CV13:CX13))</f>
        <v>94.155186268430157</v>
      </c>
      <c r="CC13" s="7">
        <f>IF(OR(IPC!DA13="",IPC!CZ13="",IPC!CY13=""),"",AVERAGE(IPC!CY13:DA13))</f>
        <v>94.624469600671262</v>
      </c>
      <c r="CD13" s="7">
        <f>IF(OR(IPC!DB13="",IPC!DA13="",IPC!CZ13=""),"",AVERAGE(IPC!CZ13:DB13))</f>
        <v>94.682121136095489</v>
      </c>
      <c r="CE13" s="7">
        <f>IF(OR(IPC!DC13="",IPC!DB13="",IPC!DA13=""),"",AVERAGE(IPC!DA13:DC13))</f>
        <v>94.759244028679106</v>
      </c>
      <c r="CF13" s="7">
        <f>IF(OR(IPC!DD13="",IPC!DC13="",IPC!DB13=""),"",AVERAGE(IPC!DB13:DD13))</f>
        <v>94.837575073460883</v>
      </c>
      <c r="CG13" s="7">
        <f>IF(OR(IPC!DM13="",IPC!DL13="",IPC!DK13=""),"",AVERAGE(IPC!DK13:DM13))</f>
        <v>97.547751530797939</v>
      </c>
      <c r="CH13" s="7">
        <f>IF(OR(IPC!DP13="",IPC!DO13="",IPC!DN13=""),"",AVERAGE(IPC!DN13:DP13))</f>
        <v>96.389625075478591</v>
      </c>
      <c r="CI13" s="7">
        <f>IF(OR(IPC!DS13="",IPC!DR13="",IPC!DQ13=""),"",AVERAGE(IPC!DQ13:DS13))</f>
        <v>96.866915052920191</v>
      </c>
      <c r="CJ13" s="7">
        <f>IF(OR(IPC!DV13="",IPC!DU13="",IPC!DT13=""),"",AVERAGE(IPC!DT13:DV13))</f>
        <v>96.873492940224722</v>
      </c>
      <c r="CK13" s="7">
        <f>IF(OR(IPC!DY13="",IPC!DX13="",IPC!DW13=""),"",AVERAGE(IPC!DW13:DY13))</f>
        <v>97.079959695523939</v>
      </c>
      <c r="CL13" s="7">
        <f>IF(OR(IPC!EB13="",IPC!EA13="",IPC!DZ13=""),"",AVERAGE(IPC!DZ13:EB13))</f>
        <v>97.547396666046623</v>
      </c>
      <c r="CM13" s="7">
        <f>IF(OR(IPC!EE13="",IPC!ED13="",IPC!EC13=""),"",AVERAGE(IPC!EC13:EE13))</f>
        <v>98.051122402570968</v>
      </c>
      <c r="CN13" s="7">
        <f>IF(OR(IPC!EH13="",IPC!EG13="",IPC!EF13=""),"",AVERAGE(IPC!EF13:EH13))</f>
        <v>98.811962484521402</v>
      </c>
      <c r="CO13" s="7">
        <f>IF(OR(IPC!EK13="",IPC!EJ13="",IPC!EI13=""),"",AVERAGE(IPC!EI13:EK13))</f>
        <v>99.72197490683088</v>
      </c>
      <c r="CP13" s="7">
        <f>IF(OR(IPC!EN13="",IPC!EM13="",IPC!EL13=""),"",AVERAGE(IPC!EL13:EN13))</f>
        <v>100.57406697852637</v>
      </c>
      <c r="CQ13" s="7">
        <f>IF(OR(IPC!EQ13="",IPC!EP13="",IPC!EO13=""),"",AVERAGE(IPC!EO13:EQ13))</f>
        <v>100.89199563012134</v>
      </c>
      <c r="CR13" s="7">
        <f>IF(OR(IPC!ET13="",IPC!ES13="",IPC!ER13=""),"",AVERAGE(IPC!ER13:ET13))</f>
        <v>108.53566748801836</v>
      </c>
      <c r="CS13" s="7">
        <f>IF(OR(IPC!EW13="",IPC!EV13="",IPC!EU13=""),"",AVERAGE(IPC!EU13:EW13))</f>
        <v>116.00623792294819</v>
      </c>
      <c r="CT13" s="7">
        <f>IF(OR(IPC!EZ13="",IPC!EY13="",IPC!EX13=""),"",AVERAGE(IPC!EX13:EZ13))</f>
        <v>117.50411816226905</v>
      </c>
      <c r="CU13" s="7">
        <f>IF(OR(IPC!FC13="",IPC!FB13="",IPC!FA13=""),"",AVERAGE(IPC!FA13:FC13))</f>
        <v>117.98229265684603</v>
      </c>
      <c r="CV13" s="7">
        <f>IF(OR(IPC!FF13="",IPC!FE13="",IPC!FD13=""),"",AVERAGE(IPC!FD13:FF13))</f>
        <v>124.10000000000001</v>
      </c>
      <c r="CW13" s="7">
        <f>IF(OR(IPC!FI13="",IPC!FH13="",IPC!FG13=""),"",AVERAGE(IPC!FG13:FI13))</f>
        <v>129.99999999999997</v>
      </c>
      <c r="CX13" s="7">
        <f>IF(OR(IPC!FL13="",IPC!FK13="",IPC!FJ13=""),"",AVERAGE(IPC!FJ13:FL13))</f>
        <v>130.35962918962011</v>
      </c>
      <c r="CY13" s="7">
        <f>IF(OR(IPC!FO13="",IPC!FN13="",IPC!FM13=""),"",AVERAGE(IPC!FM13:FO13))</f>
        <v>131.89507267066537</v>
      </c>
      <c r="CZ13" s="7">
        <f>IF(OR(IPC!FR13="",IPC!FQ13="",IPC!FP13=""),"",AVERAGE(IPC!FP13:FR13))</f>
        <v>131.83333333333334</v>
      </c>
    </row>
    <row r="14" spans="1:104" s="1" customFormat="1" ht="10.199999999999999" x14ac:dyDescent="0.2">
      <c r="A14" s="11" t="s">
        <v>23</v>
      </c>
      <c r="B14" s="1" t="s">
        <v>24</v>
      </c>
      <c r="C14" s="70">
        <v>4.59</v>
      </c>
      <c r="AV14" s="1" t="str">
        <f>IF(OR(IPC!F14="",IPC!E14="",IPC!D14=""),"",AVERAGE(IPC!D14:F14))</f>
        <v/>
      </c>
      <c r="AW14" s="1" t="str">
        <f>IF(OR(IPC!I14="",IPC!H14="",IPC!G14=""),"",AVERAGE(IPC!G14:I14))</f>
        <v/>
      </c>
      <c r="AX14" s="1" t="str">
        <f>IF(OR(IPC!L14="",IPC!K14="",IPC!J14=""),"",AVERAGE(IPC!J14:L14))</f>
        <v/>
      </c>
      <c r="AY14" s="1" t="str">
        <f>IF(OR(IPC!O14="",IPC!N14="",IPC!M14=""),"",AVERAGE(IPC!M14:O14))</f>
        <v/>
      </c>
      <c r="AZ14" s="7">
        <f>IF(OR(IPC!R14="",IPC!Q14="",IPC!P14=""),"",AVERAGE(IPC!P14:R14))</f>
        <v>108.60414108275182</v>
      </c>
      <c r="BA14" s="7">
        <f>IF(OR(IPC!U14="",IPC!T14="",IPC!S14=""),"",AVERAGE(IPC!S14:U14))</f>
        <v>108.45134547550322</v>
      </c>
      <c r="BB14" s="7">
        <f>IF(OR(IPC!X14="",IPC!W14="",IPC!V14=""),"",AVERAGE(IPC!V14:X14))</f>
        <v>107.04522485717483</v>
      </c>
      <c r="BC14" s="7">
        <f>IF(OR(IPC!AA14="",IPC!Z14="",IPC!Y14=""),"",AVERAGE(IPC!Y14:AA14))</f>
        <v>106.73507199371052</v>
      </c>
      <c r="BD14" s="7">
        <f>IF(OR(IPC!AD14="",IPC!AC14="",IPC!AB14=""),"",AVERAGE(IPC!AB14:AD14))</f>
        <v>105.74226735081476</v>
      </c>
      <c r="BE14" s="7">
        <f>IF(OR(IPC!AG14="",IPC!AF14="",IPC!AE14=""),"",AVERAGE(IPC!AE14:AG14))</f>
        <v>105.5234169040905</v>
      </c>
      <c r="BF14" s="7">
        <f>IF(OR(IPC!AJ14="",IPC!AI14="",IPC!AH14=""),"",AVERAGE(IPC!AH14:AJ14))</f>
        <v>103.61071425526275</v>
      </c>
      <c r="BG14" s="7">
        <f>IF(OR(IPC!AM14="",IPC!AL14="",IPC!AK14=""),"",AVERAGE(IPC!AK14:AM14))</f>
        <v>103.48279822210372</v>
      </c>
      <c r="BH14" s="7">
        <f>IF(OR(IPC!AP14="",IPC!AO14="",IPC!AN14=""),"",AVERAGE(IPC!AN14:AP14))</f>
        <v>102.98553696428398</v>
      </c>
      <c r="BI14" s="7">
        <f>IF(OR(IPC!AS14="",IPC!AR14="",IPC!AQ14=""),"",AVERAGE(IPC!AQ14:AS14))</f>
        <v>102.37653500050949</v>
      </c>
      <c r="BJ14" s="7">
        <f>IF(OR(IPC!AV14="",IPC!AU14="",IPC!AT14=""),"",AVERAGE(IPC!AT14:AV14))</f>
        <v>101.63712914742581</v>
      </c>
      <c r="BK14" s="7">
        <f>IF(OR(IPC!AY14="",IPC!AX14="",IPC!AW14=""),"",AVERAGE(IPC!AW14:AY14))</f>
        <v>100.93939801847971</v>
      </c>
      <c r="BL14" s="7">
        <f>IF(OR(IPC!BB14="",IPC!BA14="",IPC!AZ14=""),"",AVERAGE(IPC!AZ14:BB14))</f>
        <v>99.794831665520917</v>
      </c>
      <c r="BM14" s="7">
        <f>IF(OR(IPC!BE14="",IPC!BD14="",IPC!BC14=""),"",AVERAGE(IPC!BC14:BE14))</f>
        <v>100.07519141355988</v>
      </c>
      <c r="BN14" s="7">
        <f>IF(OR(IPC!BH14="",IPC!BG14="",IPC!BF14=""),"",AVERAGE(IPC!BF14:BH14))</f>
        <v>99.221356586753473</v>
      </c>
      <c r="BO14" s="7">
        <f>IF(OR(IPC!BK14="",IPC!BJ14="",IPC!BI14=""),"",AVERAGE(IPC!BI14:BK14))</f>
        <v>97.715614086091136</v>
      </c>
      <c r="BP14" s="7">
        <f>IF(OR(IPC!BN14="",IPC!BM14="",IPC!BL14=""),"",AVERAGE(IPC!BL14:BN14))</f>
        <v>97.902166602387425</v>
      </c>
      <c r="BQ14" s="7">
        <f>IF(OR(IPC!BQ14="",IPC!BP14="",IPC!BO14=""),"",AVERAGE(IPC!BO14:BQ14))</f>
        <v>96.697068952698274</v>
      </c>
      <c r="BR14" s="7">
        <f>IF(OR(IPC!BT14="",IPC!BS14="",IPC!BR14=""),"",AVERAGE(IPC!BR14:BT14))</f>
        <v>96.549991261687708</v>
      </c>
      <c r="BS14" s="7">
        <f>IF(OR(IPC!BW14="",IPC!BV14="",IPC!BU14=""),"",AVERAGE(IPC!BU14:BW14))</f>
        <v>96.863218193670207</v>
      </c>
      <c r="BT14" s="7">
        <f>IF(OR(IPC!BZ14="",IPC!BY14="",IPC!BX14=""),"",AVERAGE(IPC!BX14:BZ14))</f>
        <v>97.6250810785873</v>
      </c>
      <c r="BU14" s="7">
        <f>IF(OR(IPC!CC14="",IPC!CB14="",IPC!CA14=""),"",AVERAGE(IPC!CA14:CC14))</f>
        <v>97.745668232624212</v>
      </c>
      <c r="BV14" s="7">
        <f>IF(OR(IPC!CF14="",IPC!CE14="",IPC!CD14=""),"",AVERAGE(IPC!CD14:CF14))</f>
        <v>97.699644996437357</v>
      </c>
      <c r="BW14" s="7">
        <f>IF(OR(IPC!CI14="",IPC!CH14="",IPC!CG14=""),"",AVERAGE(IPC!CG14:CI14))</f>
        <v>97.629293767769965</v>
      </c>
      <c r="BX14" s="7">
        <f>IF(OR(IPC!CL14="",IPC!CK14="",IPC!CJ14=""),"",AVERAGE(IPC!CJ14:CL14))</f>
        <v>97.780555205392105</v>
      </c>
      <c r="BY14" s="7">
        <f>IF(OR(IPC!CO14="",IPC!CN14="",IPC!CM14=""),"",AVERAGE(IPC!CM14:CO14))</f>
        <v>97.915002459019846</v>
      </c>
      <c r="BZ14" s="7">
        <f>IF(OR(IPC!CR14="",IPC!CQ14="",IPC!CP14=""),"",AVERAGE(IPC!CP14:CR14))</f>
        <v>97.907710082463652</v>
      </c>
      <c r="CA14" s="7">
        <f>IF(OR(IPC!CU14="",IPC!CT14="",IPC!CS14=""),"",AVERAGE(IPC!CS14:CU14))</f>
        <v>97.980090739147613</v>
      </c>
      <c r="CB14" s="7">
        <f>IF(OR(IPC!CX14="",IPC!CW14="",IPC!CV14=""),"",AVERAGE(IPC!CV14:CX14))</f>
        <v>97.962983844466365</v>
      </c>
      <c r="CC14" s="7">
        <f>IF(OR(IPC!DA14="",IPC!CZ14="",IPC!CY14=""),"",AVERAGE(IPC!CY14:DA14))</f>
        <v>98.121922545168218</v>
      </c>
      <c r="CD14" s="7">
        <f>IF(OR(IPC!DB14="",IPC!DA14="",IPC!CZ14=""),"",AVERAGE(IPC!CZ14:DB14))</f>
        <v>98.14591201914584</v>
      </c>
      <c r="CE14" s="7">
        <f>IF(OR(IPC!DC14="",IPC!DB14="",IPC!DA14=""),"",AVERAGE(IPC!DA14:DC14))</f>
        <v>98.136388052229435</v>
      </c>
      <c r="CF14" s="7">
        <f>IF(OR(IPC!DD14="",IPC!DC14="",IPC!DB14=""),"",AVERAGE(IPC!DB14:DD14))</f>
        <v>98.145902179897249</v>
      </c>
      <c r="CG14" s="7">
        <f>IF(OR(IPC!DM14="",IPC!DL14="",IPC!DK14=""),"",AVERAGE(IPC!DK14:DM14))</f>
        <v>98.788332010560566</v>
      </c>
      <c r="CH14" s="7">
        <f>IF(OR(IPC!DP14="",IPC!DO14="",IPC!DN14=""),"",AVERAGE(IPC!DN14:DP14))</f>
        <v>98.801222780221224</v>
      </c>
      <c r="CI14" s="7">
        <f>IF(OR(IPC!DS14="",IPC!DR14="",IPC!DQ14=""),"",AVERAGE(IPC!DQ14:DS14))</f>
        <v>99.028644582390015</v>
      </c>
      <c r="CJ14" s="7">
        <f>IF(OR(IPC!DV14="",IPC!DU14="",IPC!DT14=""),"",AVERAGE(IPC!DT14:DV14))</f>
        <v>99.12081573312031</v>
      </c>
      <c r="CK14" s="7">
        <f>IF(OR(IPC!DY14="",IPC!DX14="",IPC!DW14=""),"",AVERAGE(IPC!DW14:DY14))</f>
        <v>99.222408841707249</v>
      </c>
      <c r="CL14" s="7">
        <f>IF(OR(IPC!EB14="",IPC!EA14="",IPC!DZ14=""),"",AVERAGE(IPC!DZ14:EB14))</f>
        <v>99.294280565312761</v>
      </c>
      <c r="CM14" s="7">
        <f>IF(OR(IPC!EE14="",IPC!ED14="",IPC!EC14=""),"",AVERAGE(IPC!EC14:EE14))</f>
        <v>99.36584231289514</v>
      </c>
      <c r="CN14" s="7">
        <f>IF(OR(IPC!EH14="",IPC!EG14="",IPC!EF14=""),"",AVERAGE(IPC!EF14:EH14))</f>
        <v>99.437619431833426</v>
      </c>
      <c r="CO14" s="7">
        <f>IF(OR(IPC!EK14="",IPC!EJ14="",IPC!EI14=""),"",AVERAGE(IPC!EI14:EK14))</f>
        <v>99.822759947376696</v>
      </c>
      <c r="CP14" s="7">
        <f>IF(OR(IPC!EN14="",IPC!EM14="",IPC!EL14=""),"",AVERAGE(IPC!EL14:EN14))</f>
        <v>100.31995048381607</v>
      </c>
      <c r="CQ14" s="7">
        <f>IF(OR(IPC!EQ14="",IPC!EP14="",IPC!EO14=""),"",AVERAGE(IPC!EO14:EQ14))</f>
        <v>100.41967013697381</v>
      </c>
      <c r="CR14" s="7">
        <f>IF(OR(IPC!ET14="",IPC!ES14="",IPC!ER14=""),"",AVERAGE(IPC!ER14:ET14))</f>
        <v>100.36788000445996</v>
      </c>
      <c r="CS14" s="7">
        <f>IF(OR(IPC!EW14="",IPC!EV14="",IPC!EU14=""),"",AVERAGE(IPC!EU14:EW14))</f>
        <v>100.40711733418918</v>
      </c>
      <c r="CT14" s="7">
        <f>IF(OR(IPC!EZ14="",IPC!EY14="",IPC!EX14=""),"",AVERAGE(IPC!EX14:EZ14))</f>
        <v>100.35983280461021</v>
      </c>
      <c r="CU14" s="7">
        <f>IF(OR(IPC!FC14="",IPC!FB14="",IPC!FA14=""),"",AVERAGE(IPC!FA14:FC14))</f>
        <v>100.35830172838757</v>
      </c>
      <c r="CV14" s="7">
        <f>IF(OR(IPC!FF14="",IPC!FE14="",IPC!FD14=""),"",AVERAGE(IPC!FD14:FF14))</f>
        <v>100.39999999999999</v>
      </c>
      <c r="CW14" s="7">
        <f>IF(OR(IPC!FI14="",IPC!FH14="",IPC!FG14=""),"",AVERAGE(IPC!FG14:FI14))</f>
        <v>100.5</v>
      </c>
      <c r="CX14" s="7">
        <f>IF(OR(IPC!FL14="",IPC!FK14="",IPC!FJ14=""),"",AVERAGE(IPC!FJ14:FL14))</f>
        <v>100.47233409652995</v>
      </c>
      <c r="CY14" s="7">
        <f>IF(OR(IPC!FO14="",IPC!FN14="",IPC!FM14=""),"",AVERAGE(IPC!FM14:FO14))</f>
        <v>100.24919338108056</v>
      </c>
      <c r="CZ14" s="7">
        <f>IF(OR(IPC!FR14="",IPC!FQ14="",IPC!FP14=""),"",AVERAGE(IPC!FP14:FR14))</f>
        <v>100.16666666666667</v>
      </c>
    </row>
    <row r="15" spans="1:104" s="1" customFormat="1" ht="10.199999999999999" x14ac:dyDescent="0.2">
      <c r="A15" s="11" t="s">
        <v>25</v>
      </c>
      <c r="B15" s="1" t="s">
        <v>26</v>
      </c>
      <c r="C15" s="70">
        <v>3.35</v>
      </c>
      <c r="AV15" s="1" t="str">
        <f>IF(OR(IPC!F15="",IPC!E15="",IPC!D15=""),"",AVERAGE(IPC!D15:F15))</f>
        <v/>
      </c>
      <c r="AW15" s="1" t="str">
        <f>IF(OR(IPC!I15="",IPC!H15="",IPC!G15=""),"",AVERAGE(IPC!G15:I15))</f>
        <v/>
      </c>
      <c r="AX15" s="1" t="str">
        <f>IF(OR(IPC!L15="",IPC!K15="",IPC!J15=""),"",AVERAGE(IPC!J15:L15))</f>
        <v/>
      </c>
      <c r="AY15" s="1" t="str">
        <f>IF(OR(IPC!O15="",IPC!N15="",IPC!M15=""),"",AVERAGE(IPC!M15:O15))</f>
        <v/>
      </c>
      <c r="AZ15" s="7">
        <f>IF(OR(IPC!R15="",IPC!Q15="",IPC!P15=""),"",AVERAGE(IPC!P15:R15))</f>
        <v>90.520670994655063</v>
      </c>
      <c r="BA15" s="7">
        <f>IF(OR(IPC!U15="",IPC!T15="",IPC!S15=""),"",AVERAGE(IPC!S15:U15))</f>
        <v>90.340321222533888</v>
      </c>
      <c r="BB15" s="7">
        <f>IF(OR(IPC!X15="",IPC!W15="",IPC!V15=""),"",AVERAGE(IPC!V15:X15))</f>
        <v>90.717690432961192</v>
      </c>
      <c r="BC15" s="7">
        <f>IF(OR(IPC!AA15="",IPC!Z15="",IPC!Y15=""),"",AVERAGE(IPC!Y15:AA15))</f>
        <v>91.264911943425389</v>
      </c>
      <c r="BD15" s="7">
        <f>IF(OR(IPC!AD15="",IPC!AC15="",IPC!AB15=""),"",AVERAGE(IPC!AB15:AD15))</f>
        <v>90.813482705077305</v>
      </c>
      <c r="BE15" s="7">
        <f>IF(OR(IPC!AG15="",IPC!AF15="",IPC!AE15=""),"",AVERAGE(IPC!AE15:AG15))</f>
        <v>90.93636909932188</v>
      </c>
      <c r="BF15" s="7">
        <f>IF(OR(IPC!AJ15="",IPC!AI15="",IPC!AH15=""),"",AVERAGE(IPC!AH15:AJ15))</f>
        <v>90.695872575187039</v>
      </c>
      <c r="BG15" s="7">
        <f>IF(OR(IPC!AM15="",IPC!AL15="",IPC!AK15=""),"",AVERAGE(IPC!AK15:AM15))</f>
        <v>91.259756026425464</v>
      </c>
      <c r="BH15" s="7">
        <f>IF(OR(IPC!AP15="",IPC!AO15="",IPC!AN15=""),"",AVERAGE(IPC!AN15:AP15))</f>
        <v>91.044620963686569</v>
      </c>
      <c r="BI15" s="7">
        <f>IF(OR(IPC!AS15="",IPC!AR15="",IPC!AQ15=""),"",AVERAGE(IPC!AQ15:AS15))</f>
        <v>91.697814658960411</v>
      </c>
      <c r="BJ15" s="7">
        <f>IF(OR(IPC!AV15="",IPC!AU15="",IPC!AT15=""),"",AVERAGE(IPC!AT15:AV15))</f>
        <v>91.752686450793092</v>
      </c>
      <c r="BK15" s="7">
        <f>IF(OR(IPC!AY15="",IPC!AX15="",IPC!AW15=""),"",AVERAGE(IPC!AW15:AY15))</f>
        <v>91.79906920589417</v>
      </c>
      <c r="BL15" s="7">
        <f>IF(OR(IPC!BB15="",IPC!BA15="",IPC!AZ15=""),"",AVERAGE(IPC!AZ15:BB15))</f>
        <v>91.087156564751481</v>
      </c>
      <c r="BM15" s="7">
        <f>IF(OR(IPC!BE15="",IPC!BD15="",IPC!BC15=""),"",AVERAGE(IPC!BC15:BE15))</f>
        <v>91.22681908955137</v>
      </c>
      <c r="BN15" s="7">
        <f>IF(OR(IPC!BH15="",IPC!BG15="",IPC!BF15=""),"",AVERAGE(IPC!BF15:BH15))</f>
        <v>92.344831816370103</v>
      </c>
      <c r="BO15" s="7">
        <f>IF(OR(IPC!BK15="",IPC!BJ15="",IPC!BI15=""),"",AVERAGE(IPC!BI15:BK15))</f>
        <v>93.181913117020542</v>
      </c>
      <c r="BP15" s="7">
        <f>IF(OR(IPC!BN15="",IPC!BM15="",IPC!BL15=""),"",AVERAGE(IPC!BL15:BN15))</f>
        <v>92.962126296783708</v>
      </c>
      <c r="BQ15" s="7">
        <f>IF(OR(IPC!BQ15="",IPC!BP15="",IPC!BO15=""),"",AVERAGE(IPC!BO15:BQ15))</f>
        <v>93.213849802987781</v>
      </c>
      <c r="BR15" s="7">
        <f>IF(OR(IPC!BT15="",IPC!BS15="",IPC!BR15=""),"",AVERAGE(IPC!BR15:BT15))</f>
        <v>93.311614152567088</v>
      </c>
      <c r="BS15" s="7">
        <f>IF(OR(IPC!BW15="",IPC!BV15="",IPC!BU15=""),"",AVERAGE(IPC!BU15:BW15))</f>
        <v>93.714194260411674</v>
      </c>
      <c r="BT15" s="7">
        <f>IF(OR(IPC!BZ15="",IPC!BY15="",IPC!BX15=""),"",AVERAGE(IPC!BX15:BZ15))</f>
        <v>93.609351949664926</v>
      </c>
      <c r="BU15" s="7">
        <f>IF(OR(IPC!CC15="",IPC!CB15="",IPC!CA15=""),"",AVERAGE(IPC!CA15:CC15))</f>
        <v>93.777817324734016</v>
      </c>
      <c r="BV15" s="7">
        <f>IF(OR(IPC!CF15="",IPC!CE15="",IPC!CD15=""),"",AVERAGE(IPC!CD15:CF15))</f>
        <v>93.995722354022178</v>
      </c>
      <c r="BW15" s="7">
        <f>IF(OR(IPC!CI15="",IPC!CH15="",IPC!CG15=""),"",AVERAGE(IPC!CG15:CI15))</f>
        <v>94.200971092141842</v>
      </c>
      <c r="BX15" s="7">
        <f>IF(OR(IPC!CL15="",IPC!CK15="",IPC!CJ15=""),"",AVERAGE(IPC!CJ15:CL15))</f>
        <v>94.18089524549498</v>
      </c>
      <c r="BY15" s="7">
        <f>IF(OR(IPC!CO15="",IPC!CN15="",IPC!CM15=""),"",AVERAGE(IPC!CM15:CO15))</f>
        <v>94.546604326756309</v>
      </c>
      <c r="BZ15" s="7">
        <f>IF(OR(IPC!CR15="",IPC!CQ15="",IPC!CP15=""),"",AVERAGE(IPC!CP15:CR15))</f>
        <v>95.003771208086775</v>
      </c>
      <c r="CA15" s="7">
        <f>IF(OR(IPC!CU15="",IPC!CT15="",IPC!CS15=""),"",AVERAGE(IPC!CS15:CU15))</f>
        <v>94.995343559584228</v>
      </c>
      <c r="CB15" s="7">
        <f>IF(OR(IPC!CX15="",IPC!CW15="",IPC!CV15=""),"",AVERAGE(IPC!CV15:CX15))</f>
        <v>95.082528026963118</v>
      </c>
      <c r="CC15" s="7">
        <f>IF(OR(IPC!DA15="",IPC!CZ15="",IPC!CY15=""),"",AVERAGE(IPC!CY15:DA15))</f>
        <v>95.857280974923597</v>
      </c>
      <c r="CD15" s="7">
        <f>IF(OR(IPC!DB15="",IPC!DA15="",IPC!CZ15=""),"",AVERAGE(IPC!CZ15:DB15))</f>
        <v>95.968871915382536</v>
      </c>
      <c r="CE15" s="7">
        <f>IF(OR(IPC!DC15="",IPC!DB15="",IPC!DA15=""),"",AVERAGE(IPC!DA15:DC15))</f>
        <v>96.088933029990812</v>
      </c>
      <c r="CF15" s="7">
        <f>IF(OR(IPC!DD15="",IPC!DC15="",IPC!DB15=""),"",AVERAGE(IPC!DB15:DD15))</f>
        <v>96.206117950566579</v>
      </c>
      <c r="CG15" s="7">
        <f>IF(OR(IPC!DM15="",IPC!DL15="",IPC!DK15=""),"",AVERAGE(IPC!DK15:DM15))</f>
        <v>97.562679676473905</v>
      </c>
      <c r="CH15" s="7">
        <f>IF(OR(IPC!DP15="",IPC!DO15="",IPC!DN15=""),"",AVERAGE(IPC!DN15:DP15))</f>
        <v>97.587154767607913</v>
      </c>
      <c r="CI15" s="7">
        <f>IF(OR(IPC!DS15="",IPC!DR15="",IPC!DQ15=""),"",AVERAGE(IPC!DQ15:DS15))</f>
        <v>97.924342124810082</v>
      </c>
      <c r="CJ15" s="7">
        <f>IF(OR(IPC!DV15="",IPC!DU15="",IPC!DT15=""),"",AVERAGE(IPC!DT15:DV15))</f>
        <v>98.004307856083003</v>
      </c>
      <c r="CK15" s="7">
        <f>IF(OR(IPC!DY15="",IPC!DX15="",IPC!DW15=""),"",AVERAGE(IPC!DW15:DY15))</f>
        <v>98.027784028018232</v>
      </c>
      <c r="CL15" s="7">
        <f>IF(OR(IPC!EB15="",IPC!EA15="",IPC!DZ15=""),"",AVERAGE(IPC!DZ15:EB15))</f>
        <v>98.421630116251933</v>
      </c>
      <c r="CM15" s="7">
        <f>IF(OR(IPC!EE15="",IPC!ED15="",IPC!EC15=""),"",AVERAGE(IPC!EC15:EE15))</f>
        <v>98.872753211545614</v>
      </c>
      <c r="CN15" s="7">
        <f>IF(OR(IPC!EH15="",IPC!EG15="",IPC!EF15=""),"",AVERAGE(IPC!EF15:EH15))</f>
        <v>99.361832758700132</v>
      </c>
      <c r="CO15" s="7">
        <f>IF(OR(IPC!EK15="",IPC!EJ15="",IPC!EI15=""),"",AVERAGE(IPC!EI15:EK15))</f>
        <v>99.871162355836546</v>
      </c>
      <c r="CP15" s="7">
        <f>IF(OR(IPC!EN15="",IPC!EM15="",IPC!EL15=""),"",AVERAGE(IPC!EL15:EN15))</f>
        <v>100.16454747327066</v>
      </c>
      <c r="CQ15" s="7">
        <f>IF(OR(IPC!EQ15="",IPC!EP15="",IPC!EO15=""),"",AVERAGE(IPC!EO15:EQ15))</f>
        <v>100.60245741219269</v>
      </c>
      <c r="CR15" s="7">
        <f>IF(OR(IPC!ET15="",IPC!ES15="",IPC!ER15=""),"",AVERAGE(IPC!ER15:ET15))</f>
        <v>101.22614758221113</v>
      </c>
      <c r="CS15" s="7">
        <f>IF(OR(IPC!EW15="",IPC!EV15="",IPC!EU15=""),"",AVERAGE(IPC!EU15:EW15))</f>
        <v>101.48161333756529</v>
      </c>
      <c r="CT15" s="7">
        <f>IF(OR(IPC!EZ15="",IPC!EY15="",IPC!EX15=""),"",AVERAGE(IPC!EX15:EZ15))</f>
        <v>102.19935939980292</v>
      </c>
      <c r="CU15" s="7">
        <f>IF(OR(IPC!FC15="",IPC!FB15="",IPC!FA15=""),"",AVERAGE(IPC!FA15:FC15))</f>
        <v>102.58372553910039</v>
      </c>
      <c r="CV15" s="7">
        <f>IF(OR(IPC!FF15="",IPC!FE15="",IPC!FD15=""),"",AVERAGE(IPC!FD15:FF15))</f>
        <v>102.59999999999998</v>
      </c>
      <c r="CW15" s="7">
        <f>IF(OR(IPC!FI15="",IPC!FH15="",IPC!FG15=""),"",AVERAGE(IPC!FG15:FI15))</f>
        <v>102.53333333333335</v>
      </c>
      <c r="CX15" s="7">
        <f>IF(OR(IPC!FL15="",IPC!FK15="",IPC!FJ15=""),"",AVERAGE(IPC!FJ15:FL15))</f>
        <v>102.75601851007241</v>
      </c>
      <c r="CY15" s="7">
        <f>IF(OR(IPC!FO15="",IPC!FN15="",IPC!FM15=""),"",AVERAGE(IPC!FM15:FO15))</f>
        <v>103.02219369569644</v>
      </c>
      <c r="CZ15" s="7">
        <f>IF(OR(IPC!FR15="",IPC!FQ15="",IPC!FP15=""),"",AVERAGE(IPC!FP15:FR15))</f>
        <v>103</v>
      </c>
    </row>
    <row r="16" spans="1:104" s="1" customFormat="1" ht="10.199999999999999" x14ac:dyDescent="0.2">
      <c r="A16" s="11">
        <v>10</v>
      </c>
      <c r="B16" s="1" t="s">
        <v>27</v>
      </c>
      <c r="C16" s="70">
        <v>3.07</v>
      </c>
      <c r="AV16" s="1" t="str">
        <f>IF(OR(IPC!F16="",IPC!E16="",IPC!D16=""),"",AVERAGE(IPC!D16:F16))</f>
        <v/>
      </c>
      <c r="AW16" s="1" t="str">
        <f>IF(OR(IPC!I16="",IPC!H16="",IPC!G16=""),"",AVERAGE(IPC!G16:I16))</f>
        <v/>
      </c>
      <c r="AX16" s="1" t="str">
        <f>IF(OR(IPC!L16="",IPC!K16="",IPC!J16=""),"",AVERAGE(IPC!J16:L16))</f>
        <v/>
      </c>
      <c r="AY16" s="1" t="str">
        <f>IF(OR(IPC!O16="",IPC!N16="",IPC!M16=""),"",AVERAGE(IPC!M16:O16))</f>
        <v/>
      </c>
      <c r="AZ16" s="7">
        <f>IF(OR(IPC!R16="",IPC!Q16="",IPC!P16=""),"",AVERAGE(IPC!P16:R16))</f>
        <v>83.117391760008005</v>
      </c>
      <c r="BA16" s="7">
        <f>IF(OR(IPC!U16="",IPC!T16="",IPC!S16=""),"",AVERAGE(IPC!S16:U16))</f>
        <v>83.292743718998196</v>
      </c>
      <c r="BB16" s="7">
        <f>IF(OR(IPC!X16="",IPC!W16="",IPC!V16=""),"",AVERAGE(IPC!V16:X16))</f>
        <v>85.438882066049544</v>
      </c>
      <c r="BC16" s="7">
        <f>IF(OR(IPC!AA16="",IPC!Z16="",IPC!Y16=""),"",AVERAGE(IPC!Y16:AA16))</f>
        <v>87.14317640033228</v>
      </c>
      <c r="BD16" s="7">
        <f>IF(OR(IPC!AD16="",IPC!AC16="",IPC!AB16=""),"",AVERAGE(IPC!AB16:AD16))</f>
        <v>87.078581390029854</v>
      </c>
      <c r="BE16" s="7">
        <f>IF(OR(IPC!AG16="",IPC!AF16="",IPC!AE16=""),"",AVERAGE(IPC!AE16:AG16))</f>
        <v>87.075778755418966</v>
      </c>
      <c r="BF16" s="7">
        <f>IF(OR(IPC!AJ16="",IPC!AI16="",IPC!AH16=""),"",AVERAGE(IPC!AH16:AJ16))</f>
        <v>87.276801983870328</v>
      </c>
      <c r="BG16" s="7">
        <f>IF(OR(IPC!AM16="",IPC!AL16="",IPC!AK16=""),"",AVERAGE(IPC!AK16:AM16))</f>
        <v>87.766974146385635</v>
      </c>
      <c r="BH16" s="7">
        <f>IF(OR(IPC!AP16="",IPC!AO16="",IPC!AN16=""),"",AVERAGE(IPC!AN16:AP16))</f>
        <v>87.642146355487853</v>
      </c>
      <c r="BI16" s="7">
        <f>IF(OR(IPC!AS16="",IPC!AR16="",IPC!AQ16=""),"",AVERAGE(IPC!AQ16:AS16))</f>
        <v>87.696894943014399</v>
      </c>
      <c r="BJ16" s="7">
        <f>IF(OR(IPC!AV16="",IPC!AU16="",IPC!AT16=""),"",AVERAGE(IPC!AT16:AV16))</f>
        <v>88.458255510328783</v>
      </c>
      <c r="BK16" s="7">
        <f>IF(OR(IPC!AY16="",IPC!AX16="",IPC!AW16=""),"",AVERAGE(IPC!AW16:AY16))</f>
        <v>89.107171358150424</v>
      </c>
      <c r="BL16" s="7">
        <f>IF(OR(IPC!BB16="",IPC!BA16="",IPC!AZ16=""),"",AVERAGE(IPC!AZ16:BB16))</f>
        <v>89.155803006121459</v>
      </c>
      <c r="BM16" s="7">
        <f>IF(OR(IPC!BE16="",IPC!BD16="",IPC!BC16=""),"",AVERAGE(IPC!BC16:BE16))</f>
        <v>89.142759556871127</v>
      </c>
      <c r="BN16" s="7">
        <f>IF(OR(IPC!BH16="",IPC!BG16="",IPC!BF16=""),"",AVERAGE(IPC!BF16:BH16))</f>
        <v>90.409158998152989</v>
      </c>
      <c r="BO16" s="7">
        <f>IF(OR(IPC!BK16="",IPC!BJ16="",IPC!BI16=""),"",AVERAGE(IPC!BI16:BK16))</f>
        <v>92.015884022489033</v>
      </c>
      <c r="BP16" s="7">
        <f>IF(OR(IPC!BN16="",IPC!BM16="",IPC!BL16=""),"",AVERAGE(IPC!BL16:BN16))</f>
        <v>92.064153206956007</v>
      </c>
      <c r="BQ16" s="7">
        <f>IF(OR(IPC!BQ16="",IPC!BP16="",IPC!BO16=""),"",AVERAGE(IPC!BO16:BQ16))</f>
        <v>92.29297792324013</v>
      </c>
      <c r="BR16" s="7">
        <f>IF(OR(IPC!BT16="",IPC!BS16="",IPC!BR16=""),"",AVERAGE(IPC!BR16:BT16))</f>
        <v>92.958230834207754</v>
      </c>
      <c r="BS16" s="7">
        <f>IF(OR(IPC!BW16="",IPC!BV16="",IPC!BU16=""),"",AVERAGE(IPC!BU16:BW16))</f>
        <v>92.806880807364962</v>
      </c>
      <c r="BT16" s="7">
        <f>IF(OR(IPC!BZ16="",IPC!BY16="",IPC!BX16=""),"",AVERAGE(IPC!BX16:BZ16))</f>
        <v>93.024383654237525</v>
      </c>
      <c r="BU16" s="7">
        <f>IF(OR(IPC!CC16="",IPC!CB16="",IPC!CA16=""),"",AVERAGE(IPC!CA16:CC16))</f>
        <v>93.227484052739101</v>
      </c>
      <c r="BV16" s="7">
        <f>IF(OR(IPC!CF16="",IPC!CE16="",IPC!CD16=""),"",AVERAGE(IPC!CD16:CF16))</f>
        <v>93.555730576448425</v>
      </c>
      <c r="BW16" s="7">
        <f>IF(OR(IPC!CI16="",IPC!CH16="",IPC!CG16=""),"",AVERAGE(IPC!CG16:CI16))</f>
        <v>94.001898354511368</v>
      </c>
      <c r="BX16" s="7">
        <f>IF(OR(IPC!CL16="",IPC!CK16="",IPC!CJ16=""),"",AVERAGE(IPC!CJ16:CL16))</f>
        <v>94.103838053301047</v>
      </c>
      <c r="BY16" s="7">
        <f>IF(OR(IPC!CO16="",IPC!CN16="",IPC!CM16=""),"",AVERAGE(IPC!CM16:CO16))</f>
        <v>94.18131843252884</v>
      </c>
      <c r="BZ16" s="7">
        <f>IF(OR(IPC!CR16="",IPC!CQ16="",IPC!CP16=""),"",AVERAGE(IPC!CP16:CR16))</f>
        <v>94.686600335186583</v>
      </c>
      <c r="CA16" s="7">
        <f>IF(OR(IPC!CU16="",IPC!CT16="",IPC!CS16=""),"",AVERAGE(IPC!CS16:CU16))</f>
        <v>95.414616322983491</v>
      </c>
      <c r="CB16" s="7">
        <f>IF(OR(IPC!CX16="",IPC!CW16="",IPC!CV16=""),"",AVERAGE(IPC!CV16:CX16))</f>
        <v>95.537219969630527</v>
      </c>
      <c r="CC16" s="7">
        <f>IF(OR(IPC!DA16="",IPC!CZ16="",IPC!CY16=""),"",AVERAGE(IPC!CY16:DA16))</f>
        <v>95.606058072979991</v>
      </c>
      <c r="CD16" s="7">
        <f>IF(OR(IPC!DD16="",IPC!DC16="",IPC!DB16=""),"",AVERAGE(IPC!DB16:DD16))</f>
        <v>95.80756323611314</v>
      </c>
      <c r="CE16" s="7">
        <f>IF(OR(IPC!DG16="",IPC!DF16="",IPC!DE16=""),"",AVERAGE(IPC!DE16:DG16))</f>
        <v>96.103274580857217</v>
      </c>
      <c r="CF16" s="7">
        <f>IF(OR(IPC!DJ16="",IPC!DI16="",IPC!DH16=""),"",AVERAGE(IPC!DH16:DJ16))</f>
        <v>96.084129271565715</v>
      </c>
      <c r="CG16" s="7">
        <f>IF(OR(IPC!DM16="",IPC!DL16="",IPC!DK16=""),"",AVERAGE(IPC!DK16:DM16))</f>
        <v>96.174244708891976</v>
      </c>
      <c r="CH16" s="7">
        <f>IF(OR(IPC!DP16="",IPC!DO16="",IPC!DN16=""),"",AVERAGE(IPC!DN16:DP16))</f>
        <v>96.387044926472257</v>
      </c>
      <c r="CI16" s="7">
        <f>IF(OR(IPC!DS16="",IPC!DR16="",IPC!DQ16=""),"",AVERAGE(IPC!DQ16:DS16))</f>
        <v>96.90430137551914</v>
      </c>
      <c r="CJ16" s="7">
        <f>IF(OR(IPC!DV16="",IPC!DU16="",IPC!DT16=""),"",AVERAGE(IPC!DT16:DV16))</f>
        <v>97.025817733330669</v>
      </c>
      <c r="CK16" s="7">
        <f>IF(OR(IPC!DY16="",IPC!DX16="",IPC!DW16=""),"",AVERAGE(IPC!DW16:DY16))</f>
        <v>97.026275852689594</v>
      </c>
      <c r="CL16" s="7">
        <f>IF(OR(IPC!EB16="",IPC!EA16="",IPC!DZ16=""),"",AVERAGE(IPC!DZ16:EB16))</f>
        <v>97.70437149562089</v>
      </c>
      <c r="CM16" s="7">
        <f>IF(OR(IPC!EE16="",IPC!ED16="",IPC!EC16=""),"",AVERAGE(IPC!EC16:EE16))</f>
        <v>98.39756147850153</v>
      </c>
      <c r="CN16" s="7">
        <f>IF(OR(IPC!EH16="",IPC!EG16="",IPC!EF16=""),"",AVERAGE(IPC!EF16:EH16))</f>
        <v>98.605691783968368</v>
      </c>
      <c r="CO16" s="7">
        <f>IF(OR(IPC!EK16="",IPC!EJ16="",IPC!EI16=""),"",AVERAGE(IPC!EI16:EK16))</f>
        <v>98.666162317019385</v>
      </c>
      <c r="CP16" s="7">
        <f>IF(OR(IPC!EN16="",IPC!EM16="",IPC!EL16=""),"",AVERAGE(IPC!EL16:EN16))</f>
        <v>100.70598789814944</v>
      </c>
      <c r="CQ16" s="7">
        <f>IF(OR(IPC!EQ16="",IPC!EP16="",IPC!EO16=""),"",AVERAGE(IPC!EO16:EQ16))</f>
        <v>102.0221580008628</v>
      </c>
      <c r="CR16" s="7">
        <f>IF(OR(IPC!ET16="",IPC!ES16="",IPC!ER16=""),"",AVERAGE(IPC!ER16:ET16))</f>
        <v>102.27582754762841</v>
      </c>
      <c r="CS16" s="7">
        <f>IF(OR(IPC!EW16="",IPC!EV16="",IPC!EU16=""),"",AVERAGE(IPC!EU16:EW16))</f>
        <v>102.30410401645845</v>
      </c>
      <c r="CT16" s="7">
        <f>IF(OR(IPC!EZ16="",IPC!EY16="",IPC!EX16=""),"",AVERAGE(IPC!EX16:EZ16))</f>
        <v>103.56954337125596</v>
      </c>
      <c r="CU16" s="7">
        <f>IF(OR(IPC!FC16="",IPC!FB16="",IPC!FA16=""),"",AVERAGE(IPC!FA16:FC16))</f>
        <v>104.4877417551112</v>
      </c>
      <c r="CV16" s="7">
        <f>IF(OR(IPC!FF16="",IPC!FE16="",IPC!FD16=""),"",AVERAGE(IPC!FD16:FF16))</f>
        <v>104.5</v>
      </c>
      <c r="CW16" s="7">
        <f>IF(OR(IPC!FI16="",IPC!FH16="",IPC!FG16=""),"",AVERAGE(IPC!FG16:FI16))</f>
        <v>104.53333333333335</v>
      </c>
      <c r="CX16" s="7">
        <f>IF(OR(IPC!FL16="",IPC!FK16="",IPC!FJ16=""),"",AVERAGE(IPC!FJ16:FL16))</f>
        <v>105.52095319659774</v>
      </c>
      <c r="CY16" s="7">
        <f>IF(OR(IPC!FO16="",IPC!FN16="",IPC!FM16=""),"",AVERAGE(IPC!FM16:FO16))</f>
        <v>106.08089476877564</v>
      </c>
      <c r="CZ16" s="7">
        <f>IF(OR(IPC!FR16="",IPC!FQ16="",IPC!FP16=""),"",AVERAGE(IPC!FP16:FR16))</f>
        <v>106.2</v>
      </c>
    </row>
    <row r="17" spans="1:104" s="1" customFormat="1" ht="10.199999999999999" x14ac:dyDescent="0.2">
      <c r="A17" s="11">
        <v>11</v>
      </c>
      <c r="B17" s="1" t="s">
        <v>28</v>
      </c>
      <c r="C17" s="70">
        <v>6.69</v>
      </c>
      <c r="AV17" s="1" t="str">
        <f>IF(OR(IPC!F17="",IPC!E17="",IPC!D17=""),"",AVERAGE(IPC!D17:F17))</f>
        <v/>
      </c>
      <c r="AW17" s="1" t="str">
        <f>IF(OR(IPC!I17="",IPC!H17="",IPC!G17=""),"",AVERAGE(IPC!G17:I17))</f>
        <v/>
      </c>
      <c r="AX17" s="1" t="str">
        <f>IF(OR(IPC!L17="",IPC!K17="",IPC!J17=""),"",AVERAGE(IPC!J17:L17))</f>
        <v/>
      </c>
      <c r="AY17" s="1" t="str">
        <f>IF(OR(IPC!O17="",IPC!N17="",IPC!M17=""),"",AVERAGE(IPC!M17:O17))</f>
        <v/>
      </c>
      <c r="AZ17" s="7">
        <f>IF(OR(IPC!R17="",IPC!Q17="",IPC!P17=""),"",AVERAGE(IPC!P17:R17))</f>
        <v>71.533712457212502</v>
      </c>
      <c r="BA17" s="7">
        <f>IF(OR(IPC!U17="",IPC!T17="",IPC!S17=""),"",AVERAGE(IPC!S17:U17))</f>
        <v>72.227871763851525</v>
      </c>
      <c r="BB17" s="7">
        <f>IF(OR(IPC!X17="",IPC!W17="",IPC!V17=""),"",AVERAGE(IPC!V17:X17))</f>
        <v>72.248481643470754</v>
      </c>
      <c r="BC17" s="7">
        <f>IF(OR(IPC!AA17="",IPC!Z17="",IPC!Y17=""),"",AVERAGE(IPC!Y17:AA17))</f>
        <v>72.650285932129634</v>
      </c>
      <c r="BD17" s="7">
        <f>IF(OR(IPC!AD17="",IPC!AC17="",IPC!AB17=""),"",AVERAGE(IPC!AB17:AD17))</f>
        <v>72.736795870935126</v>
      </c>
      <c r="BE17" s="7">
        <f>IF(OR(IPC!AG17="",IPC!AF17="",IPC!AE17=""),"",AVERAGE(IPC!AE17:AG17))</f>
        <v>73.031156756365405</v>
      </c>
      <c r="BF17" s="7">
        <f>IF(OR(IPC!AJ17="",IPC!AI17="",IPC!AH17=""),"",AVERAGE(IPC!AH17:AJ17))</f>
        <v>73.990342616220246</v>
      </c>
      <c r="BG17" s="7">
        <f>IF(OR(IPC!AM17="",IPC!AL17="",IPC!AK17=""),"",AVERAGE(IPC!AK17:AM17))</f>
        <v>74.362353072322946</v>
      </c>
      <c r="BH17" s="7">
        <f>IF(OR(IPC!AP17="",IPC!AO17="",IPC!AN17=""),"",AVERAGE(IPC!AN17:AP17))</f>
        <v>74.641392259445553</v>
      </c>
      <c r="BI17" s="7">
        <f>IF(OR(IPC!AS17="",IPC!AR17="",IPC!AQ17=""),"",AVERAGE(IPC!AQ17:AS17))</f>
        <v>75.398318368264839</v>
      </c>
      <c r="BJ17" s="7">
        <f>IF(OR(IPC!AV17="",IPC!AU17="",IPC!AT17=""),"",AVERAGE(IPC!AT17:AV17))</f>
        <v>77.033088232182379</v>
      </c>
      <c r="BK17" s="7">
        <f>IF(OR(IPC!AY17="",IPC!AX17="",IPC!AW17=""),"",AVERAGE(IPC!AW17:AY17))</f>
        <v>77.499352314431306</v>
      </c>
      <c r="BL17" s="7">
        <f>IF(OR(IPC!BB17="",IPC!BA17="",IPC!AZ17=""),"",AVERAGE(IPC!AZ17:BB17))</f>
        <v>78.635600002225928</v>
      </c>
      <c r="BM17" s="7">
        <f>IF(OR(IPC!BE17="",IPC!BD17="",IPC!BC17=""),"",AVERAGE(IPC!BC17:BE17))</f>
        <v>80.73715450887353</v>
      </c>
      <c r="BN17" s="7">
        <f>IF(OR(IPC!BH17="",IPC!BG17="",IPC!BF17=""),"",AVERAGE(IPC!BF17:BH17))</f>
        <v>81.439934814349201</v>
      </c>
      <c r="BO17" s="7">
        <f>IF(OR(IPC!BK17="",IPC!BJ17="",IPC!BI17=""),"",AVERAGE(IPC!BI17:BK17))</f>
        <v>81.584344094133243</v>
      </c>
      <c r="BP17" s="7">
        <f>IF(OR(IPC!BN17="",IPC!BM17="",IPC!BL17=""),"",AVERAGE(IPC!BL17:BN17))</f>
        <v>82.988537429738443</v>
      </c>
      <c r="BQ17" s="7">
        <f>IF(OR(IPC!BQ17="",IPC!BP17="",IPC!BO17=""),"",AVERAGE(IPC!BO17:BQ17))</f>
        <v>83.319374920999394</v>
      </c>
      <c r="BR17" s="7">
        <f>IF(OR(IPC!BT17="",IPC!BS17="",IPC!BR17=""),"",AVERAGE(IPC!BR17:BT17))</f>
        <v>83.534239716603608</v>
      </c>
      <c r="BS17" s="7">
        <f>IF(OR(IPC!BW17="",IPC!BV17="",IPC!BU17=""),"",AVERAGE(IPC!BU17:BW17))</f>
        <v>83.682426112100089</v>
      </c>
      <c r="BT17" s="7">
        <f>IF(OR(IPC!BZ17="",IPC!BY17="",IPC!BX17=""),"",AVERAGE(IPC!BX17:BZ17))</f>
        <v>84.177816022015421</v>
      </c>
      <c r="BU17" s="7">
        <f>IF(OR(IPC!CC17="",IPC!CB17="",IPC!CA17=""),"",AVERAGE(IPC!CA17:CC17))</f>
        <v>84.23041824280655</v>
      </c>
      <c r="BV17" s="7">
        <f>IF(OR(IPC!CF17="",IPC!CE17="",IPC!CD17=""),"",AVERAGE(IPC!CD17:CF17))</f>
        <v>84.160161246504529</v>
      </c>
      <c r="BW17" s="7">
        <f>IF(OR(IPC!CI17="",IPC!CH17="",IPC!CG17=""),"",AVERAGE(IPC!CG17:CI17))</f>
        <v>84.066774976166911</v>
      </c>
      <c r="BX17" s="7">
        <f>IF(OR(IPC!CL17="",IPC!CK17="",IPC!CJ17=""),"",AVERAGE(IPC!CJ17:CL17))</f>
        <v>84.619350655467642</v>
      </c>
      <c r="BY17" s="7">
        <f>IF(OR(IPC!CO17="",IPC!CN17="",IPC!CM17=""),"",AVERAGE(IPC!CM17:CO17))</f>
        <v>84.816016598916363</v>
      </c>
      <c r="BZ17" s="7">
        <f>IF(OR(IPC!CR17="",IPC!CQ17="",IPC!CP17=""),"",AVERAGE(IPC!CP17:CR17))</f>
        <v>86.159480886037386</v>
      </c>
      <c r="CA17" s="7">
        <f>IF(OR(IPC!CU17="",IPC!CT17="",IPC!CS17=""),"",AVERAGE(IPC!CS17:CU17))</f>
        <v>86.925297579747522</v>
      </c>
      <c r="CB17" s="7">
        <f>IF(OR(IPC!CX17="",IPC!CW17="",IPC!CV17=""),"",AVERAGE(IPC!CV17:CX17))</f>
        <v>88.817278835395541</v>
      </c>
      <c r="CC17" s="7">
        <f>IF(OR(IPC!DA17="",IPC!CZ17="",IPC!CY17=""),"",AVERAGE(IPC!CY17:DA17))</f>
        <v>90.828253077212892</v>
      </c>
      <c r="CD17" s="7">
        <f>IF(OR(IPC!DD17="",IPC!DC17="",IPC!DB17=""),"",AVERAGE(IPC!DB17:DD17))</f>
        <v>91.084473183110845</v>
      </c>
      <c r="CE17" s="7">
        <f>IF(OR(IPC!DG17="",IPC!DF17="",IPC!DE17=""),"",AVERAGE(IPC!DE17:DG17))</f>
        <v>91.432167098486829</v>
      </c>
      <c r="CF17" s="7">
        <f>IF(OR(IPC!DJ17="",IPC!DI17="",IPC!DH17=""),"",AVERAGE(IPC!DH17:DJ17))</f>
        <v>92.041587561651355</v>
      </c>
      <c r="CG17" s="7">
        <f>IF(OR(IPC!DM17="",IPC!DL17="",IPC!DK17=""),"",AVERAGE(IPC!DK17:DM17))</f>
        <v>92.333197316231278</v>
      </c>
      <c r="CH17" s="7">
        <f>IF(OR(IPC!DP17="",IPC!DO17="",IPC!DN17=""),"",AVERAGE(IPC!DN17:DP17))</f>
        <v>92.900918206960725</v>
      </c>
      <c r="CI17" s="7">
        <f>IF(OR(IPC!DS17="",IPC!DR17="",IPC!DQ17=""),"",AVERAGE(IPC!DQ17:DS17))</f>
        <v>93.203957259162351</v>
      </c>
      <c r="CJ17" s="7">
        <f>IF(OR(IPC!DV17="",IPC!DU17="",IPC!DT17=""),"",AVERAGE(IPC!DT17:DV17))</f>
        <v>93.405046794604516</v>
      </c>
      <c r="CK17" s="7">
        <f>IF(OR(IPC!DY17="",IPC!DX17="",IPC!DW17=""),"",AVERAGE(IPC!DW17:DY17))</f>
        <v>93.788448275716746</v>
      </c>
      <c r="CL17" s="7">
        <f>IF(OR(IPC!EB17="",IPC!EA17="",IPC!DZ17=""),"",AVERAGE(IPC!DZ17:EB17))</f>
        <v>94.037048726770038</v>
      </c>
      <c r="CM17" s="7">
        <f>IF(OR(IPC!EE17="",IPC!ED17="",IPC!EC17=""),"",AVERAGE(IPC!EC17:EE17))</f>
        <v>94.987357451541513</v>
      </c>
      <c r="CN17" s="7">
        <f>IF(OR(IPC!EH17="",IPC!EG17="",IPC!EF17=""),"",AVERAGE(IPC!EF17:EH17))</f>
        <v>96.617804253018605</v>
      </c>
      <c r="CO17" s="7">
        <f>IF(OR(IPC!EK17="",IPC!EJ17="",IPC!EI17=""),"",AVERAGE(IPC!EI17:EK17))</f>
        <v>99.215698200862349</v>
      </c>
      <c r="CP17" s="7">
        <f>IF(OR(IPC!EN17="",IPC!EM17="",IPC!EL17=""),"",AVERAGE(IPC!EL17:EN17))</f>
        <v>101.4607144410103</v>
      </c>
      <c r="CQ17" s="7">
        <f>IF(OR(IPC!EQ17="",IPC!EP17="",IPC!EO17=""),"",AVERAGE(IPC!EO17:EQ17))</f>
        <v>102.70578310510871</v>
      </c>
      <c r="CR17" s="7">
        <f>IF(OR(IPC!ET17="",IPC!ES17="",IPC!ER17=""),"",AVERAGE(IPC!ER17:ET17))</f>
        <v>103.87994599771302</v>
      </c>
      <c r="CS17" s="7">
        <f>IF(OR(IPC!EW17="",IPC!EV17="",IPC!EU17=""),"",AVERAGE(IPC!EU17:EW17))</f>
        <v>104.86440056749662</v>
      </c>
      <c r="CT17" s="7">
        <f>IF(OR(IPC!EZ17="",IPC!EY17="",IPC!EX17=""),"",AVERAGE(IPC!EX17:EZ17))</f>
        <v>105.27891655307717</v>
      </c>
      <c r="CU17" s="7">
        <f>IF(OR(IPC!FC17="",IPC!FB17="",IPC!FA17=""),"",AVERAGE(IPC!FA17:FC17))</f>
        <v>105.78022741737352</v>
      </c>
      <c r="CV17" s="7">
        <f>IF(OR(IPC!FF17="",IPC!FE17="",IPC!FD17=""),"",AVERAGE(IPC!FD17:FF17))</f>
        <v>106.23333333333335</v>
      </c>
      <c r="CW17" s="7">
        <f>IF(OR(IPC!FI17="",IPC!FH17="",IPC!FG17=""),"",AVERAGE(IPC!FG17:FI17))</f>
        <v>106.66666666666667</v>
      </c>
      <c r="CX17" s="7">
        <f>IF(OR(IPC!FL17="",IPC!FK17="",IPC!FJ17=""),"",AVERAGE(IPC!FJ17:FL17))</f>
        <v>107.13214783491121</v>
      </c>
      <c r="CY17" s="7">
        <f>IF(OR(IPC!FO17="",IPC!FN17="",IPC!FM17=""),"",AVERAGE(IPC!FM17:FO17))</f>
        <v>107.78568175638839</v>
      </c>
      <c r="CZ17" s="7">
        <f>IF(OR(IPC!FR17="",IPC!FQ17="",IPC!FP17=""),"",AVERAGE(IPC!FP17:FR17))</f>
        <v>108.63333333333334</v>
      </c>
    </row>
    <row r="18" spans="1:104" s="1" customFormat="1" ht="10.199999999999999" x14ac:dyDescent="0.2">
      <c r="A18" s="11">
        <v>12</v>
      </c>
      <c r="B18" s="1" t="s">
        <v>29</v>
      </c>
      <c r="C18" s="70">
        <v>5.24</v>
      </c>
      <c r="AV18" s="1" t="str">
        <f>IF(OR(IPC!F18="",IPC!E18="",IPC!D18=""),"",AVERAGE(IPC!D18:F18))</f>
        <v/>
      </c>
      <c r="AW18" s="1" t="str">
        <f>IF(OR(IPC!I18="",IPC!H18="",IPC!G18=""),"",AVERAGE(IPC!G18:I18))</f>
        <v/>
      </c>
      <c r="AX18" s="1" t="str">
        <f>IF(OR(IPC!L18="",IPC!K18="",IPC!J18=""),"",AVERAGE(IPC!J18:L18))</f>
        <v/>
      </c>
      <c r="AY18" s="1" t="str">
        <f>IF(OR(IPC!O18="",IPC!N18="",IPC!M18=""),"",AVERAGE(IPC!M18:O18))</f>
        <v/>
      </c>
      <c r="AZ18" s="7">
        <f>IF(OR(IPC!R18="",IPC!Q18="",IPC!P18=""),"",AVERAGE(IPC!P18:R18))</f>
        <v>82.082231967461823</v>
      </c>
      <c r="BA18" s="7">
        <f>IF(OR(IPC!U18="",IPC!T18="",IPC!S18=""),"",AVERAGE(IPC!S18:U18))</f>
        <v>82.61666898187768</v>
      </c>
      <c r="BB18" s="7">
        <f>IF(OR(IPC!X18="",IPC!W18="",IPC!V18=""),"",AVERAGE(IPC!V18:X18))</f>
        <v>82.931022435722824</v>
      </c>
      <c r="BC18" s="7">
        <f>IF(OR(IPC!AA18="",IPC!Z18="",IPC!Y18=""),"",AVERAGE(IPC!Y18:AA18))</f>
        <v>83.421599660711422</v>
      </c>
      <c r="BD18" s="7">
        <f>IF(OR(IPC!AD18="",IPC!AC18="",IPC!AB18=""),"",AVERAGE(IPC!AB18:AD18))</f>
        <v>83.56997251818126</v>
      </c>
      <c r="BE18" s="7">
        <f>IF(OR(IPC!AG18="",IPC!AF18="",IPC!AE18=""),"",AVERAGE(IPC!AE18:AG18))</f>
        <v>83.853933553517834</v>
      </c>
      <c r="BF18" s="7">
        <f>IF(OR(IPC!AJ18="",IPC!AI18="",IPC!AH18=""),"",AVERAGE(IPC!AH18:AJ18))</f>
        <v>84.097253527753296</v>
      </c>
      <c r="BG18" s="7">
        <f>IF(OR(IPC!AM18="",IPC!AL18="",IPC!AK18=""),"",AVERAGE(IPC!AK18:AM18))</f>
        <v>84.195942972855008</v>
      </c>
      <c r="BH18" s="7">
        <f>IF(OR(IPC!AP18="",IPC!AO18="",IPC!AN18=""),"",AVERAGE(IPC!AN18:AP18))</f>
        <v>84.143138272216007</v>
      </c>
      <c r="BI18" s="7">
        <f>IF(OR(IPC!AS18="",IPC!AR18="",IPC!AQ18=""),"",AVERAGE(IPC!AQ18:AS18))</f>
        <v>84.501450006287641</v>
      </c>
      <c r="BJ18" s="7">
        <f>IF(OR(IPC!AV18="",IPC!AU18="",IPC!AT18=""),"",AVERAGE(IPC!AT18:AV18))</f>
        <v>84.773315540364436</v>
      </c>
      <c r="BK18" s="7">
        <f>IF(OR(IPC!AY18="",IPC!AX18="",IPC!AW18=""),"",AVERAGE(IPC!AW18:AY18))</f>
        <v>85.379696052828777</v>
      </c>
      <c r="BL18" s="7">
        <f>IF(OR(IPC!BB18="",IPC!BA18="",IPC!AZ18=""),"",AVERAGE(IPC!AZ18:BB18))</f>
        <v>86.158361452707325</v>
      </c>
      <c r="BM18" s="7">
        <f>IF(OR(IPC!BE18="",IPC!BD18="",IPC!BC18=""),"",AVERAGE(IPC!BC18:BE18))</f>
        <v>86.701783998502478</v>
      </c>
      <c r="BN18" s="7">
        <f>IF(OR(IPC!BH18="",IPC!BG18="",IPC!BF18=""),"",AVERAGE(IPC!BF18:BH18))</f>
        <v>87.039646469775178</v>
      </c>
      <c r="BO18" s="7">
        <f>IF(OR(IPC!BK18="",IPC!BJ18="",IPC!BI18=""),"",AVERAGE(IPC!BI18:BK18))</f>
        <v>87.92458636848778</v>
      </c>
      <c r="BP18" s="7">
        <f>IF(OR(IPC!BN18="",IPC!BM18="",IPC!BL18=""),"",AVERAGE(IPC!BL18:BN18))</f>
        <v>87.847789040703233</v>
      </c>
      <c r="BQ18" s="7">
        <f>IF(OR(IPC!BQ18="",IPC!BP18="",IPC!BO18=""),"",AVERAGE(IPC!BO18:BQ18))</f>
        <v>88.179892868210104</v>
      </c>
      <c r="BR18" s="7">
        <f>IF(OR(IPC!BT18="",IPC!BS18="",IPC!BR18=""),"",AVERAGE(IPC!BR18:BT18))</f>
        <v>88.761812280087213</v>
      </c>
      <c r="BS18" s="7">
        <f>IF(OR(IPC!BW18="",IPC!BV18="",IPC!BU18=""),"",AVERAGE(IPC!BU18:BW18))</f>
        <v>89.180927095067901</v>
      </c>
      <c r="BT18" s="7">
        <f>IF(OR(IPC!BZ18="",IPC!BY18="",IPC!BX18=""),"",AVERAGE(IPC!BX18:BZ18))</f>
        <v>89.416949123472833</v>
      </c>
      <c r="BU18" s="7">
        <f>IF(OR(IPC!CC18="",IPC!CB18="",IPC!CA18=""),"",AVERAGE(IPC!CA18:CC18))</f>
        <v>89.942939225903658</v>
      </c>
      <c r="BV18" s="7">
        <f>IF(OR(IPC!CF18="",IPC!CE18="",IPC!CD18=""),"",AVERAGE(IPC!CD18:CF18))</f>
        <v>90.575349566085194</v>
      </c>
      <c r="BW18" s="7">
        <f>IF(OR(IPC!CI18="",IPC!CH18="",IPC!CG18=""),"",AVERAGE(IPC!CG18:CI18))</f>
        <v>90.683730525659541</v>
      </c>
      <c r="BX18" s="7">
        <f>IF(OR(IPC!CL18="",IPC!CK18="",IPC!CJ18=""),"",AVERAGE(IPC!CJ18:CL18))</f>
        <v>90.709712374096043</v>
      </c>
      <c r="BY18" s="7">
        <f>IF(OR(IPC!CO18="",IPC!CN18="",IPC!CM18=""),"",AVERAGE(IPC!CM18:CO18))</f>
        <v>91.135389868168104</v>
      </c>
      <c r="BZ18" s="7">
        <f>IF(OR(IPC!CR18="",IPC!CQ18="",IPC!CP18=""),"",AVERAGE(IPC!CP18:CR18))</f>
        <v>91.840351568207211</v>
      </c>
      <c r="CA18" s="7">
        <f>IF(OR(IPC!CU18="",IPC!CT18="",IPC!CS18=""),"",AVERAGE(IPC!CS18:CU18))</f>
        <v>92.36303736612706</v>
      </c>
      <c r="CB18" s="7">
        <f>IF(OR(IPC!CX18="",IPC!CW18="",IPC!CV18=""),"",AVERAGE(IPC!CV18:CX18))</f>
        <v>93.033672767562834</v>
      </c>
      <c r="CC18" s="7">
        <f>IF(OR(IPC!DA18="",IPC!CZ18="",IPC!CY18=""),"",AVERAGE(IPC!CY18:DA18))</f>
        <v>93.720044130541666</v>
      </c>
      <c r="CD18" s="7">
        <f>IF(OR(IPC!DD18="",IPC!DC18="",IPC!DB18=""),"",AVERAGE(IPC!DB18:DD18))</f>
        <v>94.212555954243612</v>
      </c>
      <c r="CE18" s="7">
        <f>IF(OR(IPC!DG18="",IPC!DF18="",IPC!DE18=""),"",AVERAGE(IPC!DE18:DG18))</f>
        <v>94.422797036972824</v>
      </c>
      <c r="CF18" s="7">
        <f>IF(OR(IPC!DJ18="",IPC!DI18="",IPC!DH18=""),"",AVERAGE(IPC!DH18:DJ18))</f>
        <v>94.538334184636128</v>
      </c>
      <c r="CG18" s="7">
        <f>IF(OR(IPC!DM18="",IPC!DL18="",IPC!DK18=""),"",AVERAGE(IPC!DK18:DM18))</f>
        <v>94.853315856337701</v>
      </c>
      <c r="CH18" s="7">
        <f>IF(OR(IPC!DP18="",IPC!DO18="",IPC!DN18=""),"",AVERAGE(IPC!DN18:DP18))</f>
        <v>95.358686095966405</v>
      </c>
      <c r="CI18" s="7">
        <f>IF(OR(IPC!DS18="",IPC!DR18="",IPC!DQ18=""),"",AVERAGE(IPC!DQ18:DS18))</f>
        <v>95.681007491934636</v>
      </c>
      <c r="CJ18" s="7">
        <f>IF(OR(IPC!DV18="",IPC!DU18="",IPC!DT18=""),"",AVERAGE(IPC!DT18:DV18))</f>
        <v>95.813052459433777</v>
      </c>
      <c r="CK18" s="7">
        <f>IF(OR(IPC!DY18="",IPC!DX18="",IPC!DW18=""),"",AVERAGE(IPC!DW18:DY18))</f>
        <v>95.925196009572275</v>
      </c>
      <c r="CL18" s="7">
        <f>IF(OR(IPC!EB18="",IPC!EA18="",IPC!DZ18=""),"",AVERAGE(IPC!DZ18:EB18))</f>
        <v>96.259084017771542</v>
      </c>
      <c r="CM18" s="7">
        <f>IF(OR(IPC!EE18="",IPC!ED18="",IPC!EC18=""),"",AVERAGE(IPC!EC18:EE18))</f>
        <v>96.533175308086584</v>
      </c>
      <c r="CN18" s="7">
        <f>IF(OR(IPC!EH18="",IPC!EG18="",IPC!EF18=""),"",AVERAGE(IPC!EF18:EH18))</f>
        <v>97.494678513848498</v>
      </c>
      <c r="CO18" s="7">
        <f>IF(OR(IPC!EK18="",IPC!EJ18="",IPC!EI18=""),"",AVERAGE(IPC!EI18:EK18))</f>
        <v>99.093035199909522</v>
      </c>
      <c r="CP18" s="7">
        <f>IF(OR(IPC!EN18="",IPC!EM18="",IPC!EL18=""),"",AVERAGE(IPC!EL18:EN18))</f>
        <v>100.97929799225965</v>
      </c>
      <c r="CQ18" s="7">
        <f>IF(OR(IPC!EQ18="",IPC!EP18="",IPC!EO18=""),"",AVERAGE(IPC!EO18:EQ18))</f>
        <v>102.43298829398236</v>
      </c>
      <c r="CR18" s="7">
        <f>IF(OR(IPC!ET18="",IPC!ES18="",IPC!ER18=""),"",AVERAGE(IPC!ER18:ET18))</f>
        <v>104.03425358002579</v>
      </c>
      <c r="CS18" s="7">
        <f>IF(OR(IPC!EW18="",IPC!EV18="",IPC!EU18=""),"",AVERAGE(IPC!EU18:EW18))</f>
        <v>105.10711301357595</v>
      </c>
      <c r="CT18" s="7">
        <f>IF(OR(IPC!EZ18="",IPC!EY18="",IPC!EX18=""),"",AVERAGE(IPC!EX18:EZ18))</f>
        <v>105.6996380541017</v>
      </c>
      <c r="CU18" s="7">
        <f>IF(OR(IPC!FC18="",IPC!FB18="",IPC!FA18=""),"",AVERAGE(IPC!FA18:FC18))</f>
        <v>106.32119681001971</v>
      </c>
      <c r="CV18" s="7">
        <f>IF(OR(IPC!FF18="",IPC!FE18="",IPC!FD18=""),"",AVERAGE(IPC!FD18:FF18))</f>
        <v>106.93333333333334</v>
      </c>
      <c r="CW18" s="7">
        <f>IF(OR(IPC!FI18="",IPC!FH18="",IPC!FG18=""),"",AVERAGE(IPC!FG18:FI18))</f>
        <v>107.5</v>
      </c>
      <c r="CX18" s="7">
        <f>IF(OR(IPC!FL18="",IPC!FK18="",IPC!FJ18=""),"",AVERAGE(IPC!FJ18:FL18))</f>
        <v>107.99346625032717</v>
      </c>
      <c r="CY18" s="7">
        <f>IF(OR(IPC!FO18="",IPC!FN18="",IPC!FM18=""),"",AVERAGE(IPC!FM18:FO18))</f>
        <v>108.50713566413999</v>
      </c>
      <c r="CZ18" s="7">
        <f>IF(OR(IPC!FR18="",IPC!FQ18="",IPC!FP18=""),"",AVERAGE(IPC!FP18:FR18))</f>
        <v>108.83333333333333</v>
      </c>
    </row>
    <row r="19" spans="1:104" s="79" customFormat="1" x14ac:dyDescent="0.25">
      <c r="A19" s="66"/>
      <c r="B19" s="66" t="s">
        <v>81</v>
      </c>
      <c r="C19" s="77">
        <f>SUM(C8:C18,C5)</f>
        <v>100</v>
      </c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>
        <f>IF(OR(IPC!F19="",IPC!E19="",IPC!D19=""),"",AVERAGE(IPC!D19:F19))</f>
        <v>99.084359051335966</v>
      </c>
      <c r="AW19" s="78">
        <f>IF(OR(IPC!I19="",IPC!H19="",IPC!G19=""),"",AVERAGE(IPC!G19:I19))</f>
        <v>99.144401080756552</v>
      </c>
      <c r="AX19" s="78">
        <f>IF(OR(IPC!L19="",IPC!K19="",IPC!J19=""),"",AVERAGE(IPC!J19:L19))</f>
        <v>100.48033623536476</v>
      </c>
      <c r="AY19" s="78">
        <f>IF(OR(IPC!O19="",IPC!N19="",IPC!M19=""),"",AVERAGE(IPC!M19:O19))</f>
        <v>101.29090363254279</v>
      </c>
      <c r="AZ19" s="78">
        <f>IF(OR(IPC!R19="",IPC!Q19="",IPC!P19=""),"",AVERAGE(IPC!P19:R19))</f>
        <v>79.089694814139037</v>
      </c>
      <c r="BA19" s="78">
        <f>IF(OR(IPC!U19="",IPC!T19="",IPC!S19=""),"",AVERAGE(IPC!S19:U19))</f>
        <v>79.760316611554728</v>
      </c>
      <c r="BB19" s="78">
        <f>IF(OR(IPC!X19="",IPC!W19="",IPC!V19=""),"",AVERAGE(IPC!V19:X19))</f>
        <v>80.41267404863919</v>
      </c>
      <c r="BC19" s="78">
        <f>IF(OR(IPC!AA19="",IPC!Z19="",IPC!Y19=""),"",AVERAGE(IPC!Y19:AA19))</f>
        <v>81.024524597584715</v>
      </c>
      <c r="BD19" s="78">
        <f>IF(OR(IPC!AD19="",IPC!AC19="",IPC!AB19=""),"",AVERAGE(IPC!AB19:AD19))</f>
        <v>81.144751823036074</v>
      </c>
      <c r="BE19" s="78">
        <f>IF(OR(IPC!AG19="",IPC!AF19="",IPC!AE19=""),"",AVERAGE(IPC!AE19:AG19))</f>
        <v>81.292803948171638</v>
      </c>
      <c r="BF19" s="78">
        <f>IF(OR(IPC!AJ19="",IPC!AI19="",IPC!AH19=""),"",AVERAGE(IPC!AH19:AJ19))</f>
        <v>81.807740457923742</v>
      </c>
      <c r="BG19" s="78">
        <f>IF(OR(IPC!AM19="",IPC!AL19="",IPC!AK19=""),"",AVERAGE(IPC!AK19:AM19))</f>
        <v>82.608913622452448</v>
      </c>
      <c r="BH19" s="78">
        <f>IF(OR(IPC!AP19="",IPC!AO19="",IPC!AN19=""),"",AVERAGE(IPC!AN19:AP19))</f>
        <v>82.191631532477331</v>
      </c>
      <c r="BI19" s="78">
        <f>IF(OR(IPC!AS19="",IPC!AR19="",IPC!AQ19=""),"",AVERAGE(IPC!AQ19:AS19))</f>
        <v>82.094118658063209</v>
      </c>
      <c r="BJ19" s="78">
        <f>IF(OR(IPC!AV19="",IPC!AU19="",IPC!AT19=""),"",AVERAGE(IPC!AT19:AV19))</f>
        <v>84.042413116147529</v>
      </c>
      <c r="BK19" s="78">
        <f>IF(OR(IPC!AY19="",IPC!AX19="",IPC!AW19=""),"",AVERAGE(IPC!AW19:AY19))</f>
        <v>84.588860392608126</v>
      </c>
      <c r="BL19" s="78">
        <f>IF(OR(IPC!BB19="",IPC!BA19="",IPC!AZ19=""),"",AVERAGE(IPC!AZ19:BB19))</f>
        <v>84.587502141763437</v>
      </c>
      <c r="BM19" s="78">
        <f>IF(OR(IPC!BE19="",IPC!BD19="",IPC!BC19=""),"",AVERAGE(IPC!BC19:BE19))</f>
        <v>85.314125586094136</v>
      </c>
      <c r="BN19" s="78">
        <f>IF(OR(IPC!BH19="",IPC!BG19="",IPC!BF19=""),"",AVERAGE(IPC!BF19:BH19))</f>
        <v>85.889023270723783</v>
      </c>
      <c r="BO19" s="78">
        <f>IF(OR(IPC!BK19="",IPC!BJ19="",IPC!BI19=""),"",AVERAGE(IPC!BI19:BK19))</f>
        <v>86.043352579882708</v>
      </c>
      <c r="BP19" s="78">
        <f>IF(OR(IPC!BN19="",IPC!BM19="",IPC!BL19=""),"",AVERAGE(IPC!BL19:BN19))</f>
        <v>85.840905721669628</v>
      </c>
      <c r="BQ19" s="78">
        <f>IF(OR(IPC!BQ19="",IPC!BP19="",IPC!BO19=""),"",AVERAGE(IPC!BO19:BQ19))</f>
        <v>86.205991722345161</v>
      </c>
      <c r="BR19" s="78">
        <f>IF(OR(IPC!BT19="",IPC!BS19="",IPC!BR19=""),"",AVERAGE(IPC!BR19:BT19))</f>
        <v>86.429849639162413</v>
      </c>
      <c r="BS19" s="78">
        <f>IF(OR(IPC!BW19="",IPC!BV19="",IPC!BU19=""),"",AVERAGE(IPC!BU19:BW19))</f>
        <v>86.340771666775865</v>
      </c>
      <c r="BT19" s="78">
        <f>IF(OR(IPC!BZ19="",IPC!BY19="",IPC!BX19=""),"",AVERAGE(IPC!BX19:BZ19))</f>
        <v>86.223825821830943</v>
      </c>
      <c r="BU19" s="78">
        <f>IF(OR(IPC!CC19="",IPC!CB19="",IPC!CA19=""),"",AVERAGE(IPC!CA19:CC19))</f>
        <v>86.692591393250765</v>
      </c>
      <c r="BV19" s="78">
        <f>IF(OR(IPC!CF19="",IPC!CE19="",IPC!CD19=""),"",AVERAGE(IPC!CD19:CF19))</f>
        <v>87.022054168979096</v>
      </c>
      <c r="BW19" s="78">
        <f>IF(OR(IPC!CI19="",IPC!CH19="",IPC!CG19=""),"",AVERAGE(IPC!CG19:CI19))</f>
        <v>87.08837747991997</v>
      </c>
      <c r="BX19" s="78">
        <f>IF(OR(IPC!CL19="",IPC!CK19="",IPC!CJ19=""),"",AVERAGE(IPC!CJ19:CL19))</f>
        <v>86.93141882584564</v>
      </c>
      <c r="BY19" s="78">
        <f>IF(OR(IPC!CO19="",IPC!CN19="",IPC!CM19=""),"",AVERAGE(IPC!CM19:CO19))</f>
        <v>87.394817064581048</v>
      </c>
      <c r="BZ19" s="78">
        <f>IF(OR(IPC!CR19="",IPC!CQ19="",IPC!CP19=""),"",AVERAGE(IPC!CP19:CR19))</f>
        <v>87.770638226338974</v>
      </c>
      <c r="CA19" s="78">
        <f>IF(OR(IPC!CU19="",IPC!CT19="",IPC!CS19=""),"",AVERAGE(IPC!CS19:CU19))</f>
        <v>88.621618568334952</v>
      </c>
      <c r="CB19" s="78">
        <f>IF(OR(IPC!CX19="",IPC!CW19="",IPC!CV19=""),"",AVERAGE(IPC!CV19:CX19))</f>
        <v>88.888811310801387</v>
      </c>
      <c r="CC19" s="78">
        <f>IF(OR(IPC!DA19="",IPC!CZ19="",IPC!CY19=""),"",AVERAGE(IPC!CY19:DA19))</f>
        <v>89.590641794996486</v>
      </c>
      <c r="CD19" s="78">
        <f>IF(OR(IPC!DD19="",IPC!DC19="",IPC!DB19=""),"",AVERAGE(IPC!DB19:DD19))</f>
        <v>90.073334530761372</v>
      </c>
      <c r="CE19" s="78">
        <f>IF(OR(IPC!DG19="",IPC!DF19="",IPC!DE19=""),"",AVERAGE(IPC!DE19:DG19))</f>
        <v>90.78050682899692</v>
      </c>
      <c r="CF19" s="78">
        <f>IF(OR(IPC!DJ19="",IPC!DI19="",IPC!DH19=""),"",AVERAGE(IPC!DH19:DJ19))</f>
        <v>91.215245302344059</v>
      </c>
      <c r="CG19" s="78">
        <f>IF(OR(IPC!DM19="",IPC!DL19="",IPC!DK19=""),"",AVERAGE(IPC!DK19:DM19))</f>
        <v>91.795801803936442</v>
      </c>
      <c r="CH19" s="78">
        <f>IF(OR(IPC!DP19="",IPC!DO19="",IPC!DN19=""),"",AVERAGE(IPC!DN19:DP19))</f>
        <v>92.320211463122334</v>
      </c>
      <c r="CI19" s="78">
        <f>IF(OR(IPC!DS19="",IPC!DR19="",IPC!DQ19=""),"",AVERAGE(IPC!DQ19:DS19))</f>
        <v>92.807595160047313</v>
      </c>
      <c r="CJ19" s="78">
        <f>IF(OR(IPC!DV19="",IPC!DU19="",IPC!DT19=""),"",AVERAGE(IPC!DT19:DV19))</f>
        <v>92.934096199334249</v>
      </c>
      <c r="CK19" s="78">
        <f>IF(OR(IPC!DY19="",IPC!DX19="",IPC!DW19=""),"",AVERAGE(IPC!DW19:DY19))</f>
        <v>93.722773197324386</v>
      </c>
      <c r="CL19" s="78">
        <f>IF(OR(IPC!EB19="",IPC!EA19="",IPC!DZ19=""),"",AVERAGE(IPC!DZ19:EB19))</f>
        <v>94.532508710288312</v>
      </c>
      <c r="CM19" s="78">
        <f>IF(OR(IPC!EE19="",IPC!ED19="",IPC!EC19=""),"",AVERAGE(IPC!EC19:EE19))</f>
        <v>95.276615060053572</v>
      </c>
      <c r="CN19" s="78">
        <f>IF(OR(IPC!EH19="",IPC!EG19="",IPC!EF19=""),"",AVERAGE(IPC!EF19:EH19))</f>
        <v>97.025311621596373</v>
      </c>
      <c r="CO19" s="78">
        <f>IF(OR(IPC!EK19="",IPC!EJ19="",IPC!EI19=""),"",AVERAGE(IPC!EI19:EK19))</f>
        <v>99.190723064710767</v>
      </c>
      <c r="CP19" s="78">
        <f>IF(OR(IPC!EN19="",IPC!EM19="",IPC!EL19=""),"",AVERAGE(IPC!EL19:EN19))</f>
        <v>101.11017108816013</v>
      </c>
      <c r="CQ19" s="78">
        <f>IF(OR(IPC!EQ19="",IPC!EP19="",IPC!EO19=""),"",AVERAGE(IPC!EO19:EQ19))</f>
        <v>102.67379422553273</v>
      </c>
      <c r="CR19" s="78">
        <f>IF(OR(IPC!ET19="",IPC!ES19="",IPC!ER19=""),"",AVERAGE(IPC!ER19:ET19))</f>
        <v>104.75126578053516</v>
      </c>
      <c r="CS19" s="78">
        <f>IF(OR(IPC!EW19="",IPC!EV19="",IPC!EU19=""),"",AVERAGE(IPC!EU19:EW19))</f>
        <v>107.07350892291659</v>
      </c>
      <c r="CT19" s="78">
        <f>IF(OR(IPC!EZ19="",IPC!EY19="",IPC!EX19=""),"",AVERAGE(IPC!EX19:EZ19))</f>
        <v>108.54488220684021</v>
      </c>
      <c r="CU19" s="78">
        <f>IF(OR(IPC!FC19="",IPC!FB19="",IPC!FA19=""),"",AVERAGE(IPC!FA19:FC19))</f>
        <v>109.08360739525097</v>
      </c>
      <c r="CV19" s="78">
        <f>IF(OR(IPC!FF19="",IPC!FE19="",IPC!FD19=""),"",AVERAGE(IPC!FD19:FF19))</f>
        <v>109.96666666666665</v>
      </c>
      <c r="CW19" s="78">
        <f>IF(OR(IPC!FI19="",IPC!FH19="",IPC!FG19=""),"",AVERAGE(IPC!FG19:FI19))</f>
        <v>111.83333333333333</v>
      </c>
      <c r="CX19" s="78">
        <f>IF(OR(IPC!FL19="",IPC!FK19="",IPC!FJ19=""),"",AVERAGE(IPC!FJ19:FL19))</f>
        <v>112.92074541173628</v>
      </c>
      <c r="CY19" s="78">
        <f>IF(OR(IPC!FO19="",IPC!FN19="",IPC!FM19=""),"",AVERAGE(IPC!FM19:FO19))</f>
        <v>114.21159942120983</v>
      </c>
      <c r="CZ19" s="78">
        <f>IF(OR(IPC!FR19="",IPC!FQ19="",IPC!FP19=""),"",AVERAGE(IPC!FP19:FR19))</f>
        <v>114.7</v>
      </c>
    </row>
    <row r="20" spans="1:104" s="14" customFormat="1" ht="10.8" x14ac:dyDescent="0.25">
      <c r="C20" s="15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</row>
    <row r="21" spans="1:104" s="3" customFormat="1" ht="10.199999999999999" x14ac:dyDescent="0.2">
      <c r="B21" s="3" t="s">
        <v>3</v>
      </c>
      <c r="AV21" s="3" t="str">
        <f>IF(OR(IPC!F21="",IPC!E21="",IPC!D21=""),"",AVERAGE(IPC!D21:F21))</f>
        <v/>
      </c>
      <c r="AW21" s="3" t="str">
        <f>IF(OR(IPC!I21="",IPC!H21="",IPC!G21=""),"",AVERAGE(IPC!G21:I21))</f>
        <v/>
      </c>
      <c r="AX21" s="3" t="str">
        <f>IF(OR(IPC!L21="",IPC!K21="",IPC!J21=""),"",AVERAGE(IPC!J21:L21))</f>
        <v/>
      </c>
      <c r="AY21" s="3" t="str">
        <f>IF(OR(IPC!O21="",IPC!N21="",IPC!M21=""),"",AVERAGE(IPC!M21:O21))</f>
        <v/>
      </c>
      <c r="AZ21" s="80">
        <f>IF(OR(IPC!R21="",IPC!Q21="",IPC!P21=""),"",AVERAGE(IPC!P21:R21))</f>
        <v>77.892855684584234</v>
      </c>
      <c r="BA21" s="80">
        <f>IF(OR(IPC!U21="",IPC!T21="",IPC!S21=""),"",AVERAGE(IPC!S21:U21))</f>
        <v>78.652163429192839</v>
      </c>
      <c r="BB21" s="80">
        <f>IF(OR(IPC!X21="",IPC!W21="",IPC!V21=""),"",AVERAGE(IPC!V21:X21))</f>
        <v>79.684530417065659</v>
      </c>
      <c r="BC21" s="80">
        <f>IF(OR(IPC!AA21="",IPC!Z21="",IPC!Y21=""),"",AVERAGE(IPC!Y21:AA21))</f>
        <v>80.300823077385161</v>
      </c>
      <c r="BD21" s="80">
        <f>IF(OR(IPC!AD21="",IPC!AC21="",IPC!AB21=""),"",AVERAGE(IPC!AB21:AD21))</f>
        <v>80.285950668406542</v>
      </c>
      <c r="BE21" s="80">
        <f>IF(OR(IPC!AG21="",IPC!AF21="",IPC!AE21=""),"",AVERAGE(IPC!AE21:AG21))</f>
        <v>80.244773171842454</v>
      </c>
      <c r="BF21" s="80">
        <f>IF(OR(IPC!AJ21="",IPC!AI21="",IPC!AH21=""),"",AVERAGE(IPC!AH21:AJ21))</f>
        <v>80.962151008656249</v>
      </c>
      <c r="BG21" s="80">
        <f>IF(OR(IPC!AM21="",IPC!AL21="",IPC!AK21=""),"",AVERAGE(IPC!AK21:AM21))</f>
        <v>81.795318142561953</v>
      </c>
      <c r="BH21" s="80">
        <f>IF(OR(IPC!AP21="",IPC!AO21="",IPC!AN21=""),"",AVERAGE(IPC!AN21:AP21))</f>
        <v>81.305984803380554</v>
      </c>
      <c r="BI21" s="80">
        <f>IF(OR(IPC!AS21="",IPC!AR21="",IPC!AQ21=""),"",AVERAGE(IPC!AQ21:AS21))</f>
        <v>81.141575215070546</v>
      </c>
      <c r="BJ21" s="80">
        <f>IF(OR(IPC!AV21="",IPC!AU21="",IPC!AT21=""),"",AVERAGE(IPC!AT21:AV21))</f>
        <v>83.337495790450774</v>
      </c>
      <c r="BK21" s="80">
        <f>IF(OR(IPC!AY21="",IPC!AX21="",IPC!AW21=""),"",AVERAGE(IPC!AW21:AY21))</f>
        <v>84.141936773131249</v>
      </c>
      <c r="BL21" s="80">
        <f>IF(OR(IPC!BB21="",IPC!BA21="",IPC!AZ21=""),"",AVERAGE(IPC!AZ21:BB21))</f>
        <v>83.989310706193223</v>
      </c>
      <c r="BM21" s="80">
        <f>IF(OR(IPC!BE21="",IPC!BD21="",IPC!BC21=""),"",AVERAGE(IPC!BC21:BE21))</f>
        <v>84.81332084822634</v>
      </c>
      <c r="BN21" s="80">
        <f>IF(OR(IPC!BH21="",IPC!BG21="",IPC!BF21=""),"",AVERAGE(IPC!BF21:BH21))</f>
        <v>85.770799374981223</v>
      </c>
      <c r="BO21" s="80">
        <f>IF(OR(IPC!BK21="",IPC!BJ21="",IPC!BI21=""),"",AVERAGE(IPC!BI21:BK21))</f>
        <v>86.103232382232093</v>
      </c>
      <c r="BP21" s="80">
        <f>IF(OR(IPC!BN21="",IPC!BM21="",IPC!BL21=""),"",AVERAGE(IPC!BL21:BN21))</f>
        <v>85.771980137985182</v>
      </c>
      <c r="BQ21" s="80">
        <f>IF(OR(IPC!BQ21="",IPC!BP21="",IPC!BO21=""),"",AVERAGE(IPC!BO21:BQ21))</f>
        <v>86.295275716334515</v>
      </c>
      <c r="BR21" s="80">
        <f>IF(OR(IPC!BT21="",IPC!BS21="",IPC!BR21=""),"",AVERAGE(IPC!BR21:BT21))</f>
        <v>86.600320965115372</v>
      </c>
      <c r="BS21" s="80">
        <f>IF(OR(IPC!BW21="",IPC!BV21="",IPC!BU21=""),"",AVERAGE(IPC!BU21:BW21))</f>
        <v>86.409961659801738</v>
      </c>
      <c r="BT21" s="80">
        <f>IF(OR(IPC!BZ21="",IPC!BY21="",IPC!BX21=""),"",AVERAGE(IPC!BX21:BZ21))</f>
        <v>86.265778713582407</v>
      </c>
      <c r="BU21" s="80">
        <f>IF(OR(IPC!CC21="",IPC!CB21="",IPC!CA21=""),"",AVERAGE(IPC!CA21:CC21))</f>
        <v>86.677161218536682</v>
      </c>
      <c r="BV21" s="80">
        <f>IF(OR(IPC!CF21="",IPC!CE21="",IPC!CD21=""),"",AVERAGE(IPC!CD21:CF21))</f>
        <v>87.144360527046658</v>
      </c>
      <c r="BW21" s="80">
        <f>IF(OR(IPC!CI21="",IPC!CH21="",IPC!CG21=""),"",AVERAGE(IPC!CG21:CI21))</f>
        <v>87.034327765655405</v>
      </c>
      <c r="BX21" s="80">
        <f>IF(OR(IPC!CL21="",IPC!CK21="",IPC!CJ21=""),"",AVERAGE(IPC!CJ21:CL21))</f>
        <v>86.665478204679914</v>
      </c>
      <c r="BY21" s="80">
        <f>IF(OR(IPC!CO21="",IPC!CN21="",IPC!CM21=""),"",AVERAGE(IPC!CM21:CO21))</f>
        <v>86.891013918562564</v>
      </c>
      <c r="BZ21" s="80">
        <f>IF(OR(IPC!CR21="",IPC!CQ21="",IPC!CP21=""),"",AVERAGE(IPC!CP21:CR21))</f>
        <v>87.422759783661874</v>
      </c>
      <c r="CA21" s="80">
        <f>IF(OR(IPC!CU21="",IPC!CT21="",IPC!CS21=""),"",AVERAGE(IPC!CS21:CU21))</f>
        <v>88.494301201950393</v>
      </c>
      <c r="CB21" s="80">
        <f>IF(OR(IPC!CX21="",IPC!CW21="",IPC!CV21=""),"",AVERAGE(IPC!CV21:CX21))</f>
        <v>88.652014046592726</v>
      </c>
      <c r="CC21" s="80">
        <f>IF(OR(IPC!DA21="",IPC!CZ21="",IPC!CY21=""),"",AVERAGE(IPC!CY21:DA21))</f>
        <v>89.269512758297594</v>
      </c>
      <c r="CD21" s="80">
        <f>IF(OR(IPC!DD21="",IPC!DC21="",IPC!DB21=""),"",AVERAGE(IPC!DB21:DD21))</f>
        <v>89.83366007110611</v>
      </c>
      <c r="CE21" s="80">
        <f>IF(OR(IPC!DG21="",IPC!DF21="",IPC!DE21=""),"",AVERAGE(IPC!DE21:DG21))</f>
        <v>90.65624657846729</v>
      </c>
      <c r="CF21" s="80">
        <f>IF(OR(IPC!DJ21="",IPC!DI21="",IPC!DH21=""),"",AVERAGE(IPC!DH21:DJ21))</f>
        <v>91.142845073341789</v>
      </c>
      <c r="CG21" s="80">
        <f>IF(OR(IPC!DM21="",IPC!DL21="",IPC!DK21=""),"",AVERAGE(IPC!DK21:DM21))</f>
        <v>91.672953756119227</v>
      </c>
      <c r="CH21" s="80">
        <f>IF(OR(IPC!DP21="",IPC!DO21="",IPC!DN21=""),"",AVERAGE(IPC!DN21:DP21))</f>
        <v>92.261431754977366</v>
      </c>
      <c r="CI21" s="80">
        <f>IF(OR(IPC!DS21="",IPC!DR21="",IPC!DQ21=""),"",AVERAGE(IPC!DQ21:DS21))</f>
        <v>92.790626057583793</v>
      </c>
      <c r="CJ21" s="80">
        <f>IF(OR(IPC!DV21="",IPC!DU21="",IPC!DT21=""),"",AVERAGE(IPC!DT21:DV21))</f>
        <v>92.834477023282332</v>
      </c>
      <c r="CK21" s="80">
        <f>IF(OR(IPC!DY21="",IPC!DX21="",IPC!DW21=""),"",AVERAGE(IPC!DW21:DY21))</f>
        <v>93.689439027619798</v>
      </c>
      <c r="CL21" s="80">
        <f>IF(OR(IPC!EB21="",IPC!EA21="",IPC!DZ21=""),"",AVERAGE(IPC!DZ21:EB21))</f>
        <v>94.579835323251686</v>
      </c>
      <c r="CM21" s="80">
        <f>IF(OR(IPC!EE21="",IPC!ED21="",IPC!EC21=""),"",AVERAGE(IPC!EC21:EE21))</f>
        <v>94.982163534920758</v>
      </c>
      <c r="CN21" s="80">
        <f>IF(OR(IPC!EH21="",IPC!EG21="",IPC!EF21=""),"",AVERAGE(IPC!EF21:EH21))</f>
        <v>96.841577623665117</v>
      </c>
      <c r="CO21" s="80">
        <f>IF(OR(IPC!EK21="",IPC!EJ21="",IPC!EI21=""),"",AVERAGE(IPC!EI21:EK21))</f>
        <v>99.040539488311524</v>
      </c>
      <c r="CP21" s="80">
        <f>IF(OR(IPC!EN21="",IPC!EM21="",IPC!EL21=""),"",AVERAGE(IPC!EL21:EN21))</f>
        <v>101.2436546488308</v>
      </c>
      <c r="CQ21" s="80">
        <f>IF(OR(IPC!EQ21="",IPC!EP21="",IPC!EO21=""),"",AVERAGE(IPC!EO21:EQ21))</f>
        <v>102.87422823919256</v>
      </c>
      <c r="CR21" s="80">
        <f>IF(OR(IPC!ET21="",IPC!ES21="",IPC!ER21=""),"",AVERAGE(IPC!ER21:ET21))</f>
        <v>105.26666666666667</v>
      </c>
      <c r="CS21" s="80">
        <f>IF(OR(IPC!EW21="",IPC!EV21="",IPC!EU21=""),"",AVERAGE(IPC!EU21:EW21))</f>
        <v>107.86666666666667</v>
      </c>
      <c r="CT21" s="80">
        <f>IF(OR(IPC!EZ21="",IPC!EY21="",IPC!EX21=""),"",AVERAGE(IPC!EX21:EZ21))</f>
        <v>109.43333333333334</v>
      </c>
      <c r="CU21" s="80">
        <f>IF(OR(IPC!FC21="",IPC!FB21="",IPC!FA21=""),"",AVERAGE(IPC!FA21:FC21))</f>
        <v>110.03333333333335</v>
      </c>
      <c r="CV21" s="80">
        <f>IF(OR(IPC!FF21="",IPC!FE21="",IPC!FD21=""),"",AVERAGE(IPC!FD21:FF21))</f>
        <v>110.66666666666667</v>
      </c>
      <c r="CW21" s="80">
        <f>IF(OR(IPC!FI21="",IPC!FH21="",IPC!FG21=""),"",AVERAGE(IPC!FG21:FI21))</f>
        <v>112.76666666666667</v>
      </c>
      <c r="CX21" s="80">
        <f>IF(OR(IPC!FL21="",IPC!FK21="",IPC!FJ21=""),"",AVERAGE(IPC!FJ21:FL21))</f>
        <v>113.96666666666665</v>
      </c>
      <c r="CY21" s="80">
        <f>IF(OR(IPC!FO21="",IPC!FN21="",IPC!FM21=""),"",AVERAGE(IPC!FM21:FO21))</f>
        <v>115.3</v>
      </c>
      <c r="CZ21" s="80">
        <f>IF(OR(IPC!FR21="",IPC!FQ21="",IPC!FP21=""),"",AVERAGE(IPC!FP21:FR21))</f>
        <v>115.86666666666666</v>
      </c>
    </row>
    <row r="22" spans="1:104" s="81" customFormat="1" ht="10.199999999999999" x14ac:dyDescent="0.2">
      <c r="B22" s="81" t="s">
        <v>4</v>
      </c>
      <c r="AV22" s="81" t="str">
        <f>IF(OR(IPC!F22="",IPC!E22="",IPC!D22=""),"",AVERAGE(IPC!D22:F22))</f>
        <v/>
      </c>
      <c r="AW22" s="81" t="str">
        <f>IF(OR(IPC!I22="",IPC!H22="",IPC!G22=""),"",AVERAGE(IPC!G22:I22))</f>
        <v/>
      </c>
      <c r="AX22" s="81" t="str">
        <f>IF(OR(IPC!L22="",IPC!K22="",IPC!J22=""),"",AVERAGE(IPC!J22:L22))</f>
        <v/>
      </c>
      <c r="AY22" s="81" t="str">
        <f>IF(OR(IPC!O22="",IPC!N22="",IPC!M22=""),"",AVERAGE(IPC!M22:O22))</f>
        <v/>
      </c>
      <c r="AZ22" s="82">
        <f>IF(OR(IPC!R22="",IPC!Q22="",IPC!P22=""),"",AVERAGE(IPC!P22:R22))</f>
        <v>82.987130134099516</v>
      </c>
      <c r="BA22" s="82">
        <f>IF(OR(IPC!U22="",IPC!T22="",IPC!S22=""),"",AVERAGE(IPC!S22:U22))</f>
        <v>83.507583709892927</v>
      </c>
      <c r="BB22" s="82">
        <f>IF(OR(IPC!X22="",IPC!W22="",IPC!V22=""),"",AVERAGE(IPC!V22:X22))</f>
        <v>83.521062909100038</v>
      </c>
      <c r="BC22" s="82">
        <f>IF(OR(IPC!AA22="",IPC!Z22="",IPC!Y22=""),"",AVERAGE(IPC!Y22:AA22))</f>
        <v>83.865167482975323</v>
      </c>
      <c r="BD22" s="82">
        <f>IF(OR(IPC!AD22="",IPC!AC22="",IPC!AB22=""),"",AVERAGE(IPC!AB22:AD22))</f>
        <v>84.691556742529045</v>
      </c>
      <c r="BE22" s="82">
        <f>IF(OR(IPC!AG22="",IPC!AF22="",IPC!AE22=""),"",AVERAGE(IPC!AE22:AG22))</f>
        <v>84.921570735734591</v>
      </c>
      <c r="BF22" s="82">
        <f>IF(OR(IPC!AJ22="",IPC!AI22="",IPC!AH22=""),"",AVERAGE(IPC!AH22:AJ22))</f>
        <v>84.90217884478777</v>
      </c>
      <c r="BG22" s="82">
        <f>IF(OR(IPC!AM22="",IPC!AL22="",IPC!AK22=""),"",AVERAGE(IPC!AK22:AM22))</f>
        <v>85.3131088163274</v>
      </c>
      <c r="BH22" s="82">
        <f>IF(OR(IPC!AP22="",IPC!AO22="",IPC!AN22=""),"",AVERAGE(IPC!AN22:AP22))</f>
        <v>85.449992075115873</v>
      </c>
      <c r="BI22" s="82">
        <f>IF(OR(IPC!AS22="",IPC!AR22="",IPC!AQ22=""),"",AVERAGE(IPC!AQ22:AS22))</f>
        <v>85.525226247412022</v>
      </c>
      <c r="BJ22" s="82">
        <f>IF(OR(IPC!AV22="",IPC!AU22="",IPC!AT22=""),"",AVERAGE(IPC!AT22:AV22))</f>
        <v>86.692363216940862</v>
      </c>
      <c r="BK22" s="82">
        <f>IF(OR(IPC!AY22="",IPC!AX22="",IPC!AW22=""),"",AVERAGE(IPC!AW22:AY22))</f>
        <v>86.525668762309223</v>
      </c>
      <c r="BL22" s="82">
        <f>IF(OR(IPC!BB22="",IPC!BA22="",IPC!AZ22=""),"",AVERAGE(IPC!AZ22:BB22))</f>
        <v>86.529060751945977</v>
      </c>
      <c r="BM22" s="82">
        <f>IF(OR(IPC!BE22="",IPC!BD22="",IPC!BC22=""),"",AVERAGE(IPC!BC22:BE22))</f>
        <v>86.910629279956126</v>
      </c>
      <c r="BN22" s="82">
        <f>IF(OR(IPC!BH22="",IPC!BG22="",IPC!BF22=""),"",AVERAGE(IPC!BF22:BH22))</f>
        <v>86.767931987848854</v>
      </c>
      <c r="BO22" s="82">
        <f>IF(OR(IPC!BK22="",IPC!BJ22="",IPC!BI22=""),"",AVERAGE(IPC!BI22:BK22))</f>
        <v>86.886871872263441</v>
      </c>
      <c r="BP22" s="82">
        <f>IF(OR(IPC!BN22="",IPC!BM22="",IPC!BL22=""),"",AVERAGE(IPC!BL22:BN22))</f>
        <v>86.448391197700232</v>
      </c>
      <c r="BQ22" s="82">
        <f>IF(OR(IPC!BQ22="",IPC!BP22="",IPC!BO22=""),"",AVERAGE(IPC!BO22:BQ22))</f>
        <v>86.255517857436516</v>
      </c>
      <c r="BR22" s="82">
        <f>IF(OR(IPC!BT22="",IPC!BS22="",IPC!BR22=""),"",AVERAGE(IPC!BR22:BT22))</f>
        <v>86.110631933031712</v>
      </c>
      <c r="BS22" s="82">
        <f>IF(OR(IPC!BW22="",IPC!BV22="",IPC!BU22=""),"",AVERAGE(IPC!BU22:BW22))</f>
        <v>86.20174430182756</v>
      </c>
      <c r="BT22" s="82">
        <f>IF(OR(IPC!BZ22="",IPC!BY22="",IPC!BX22=""),"",AVERAGE(IPC!BX22:BZ22))</f>
        <v>86.138696901790809</v>
      </c>
      <c r="BU22" s="82">
        <f>IF(OR(IPC!CC22="",IPC!CB22="",IPC!CA22=""),"",AVERAGE(IPC!CA22:CC22))</f>
        <v>86.416519992216323</v>
      </c>
      <c r="BV22" s="82">
        <f>IF(OR(IPC!CF22="",IPC!CE22="",IPC!CD22=""),"",AVERAGE(IPC!CD22:CF22))</f>
        <v>86.801749778373434</v>
      </c>
      <c r="BW22" s="82">
        <f>IF(OR(IPC!CI22="",IPC!CH22="",IPC!CG22=""),"",AVERAGE(IPC!CG22:CI22))</f>
        <v>87.101735848979843</v>
      </c>
      <c r="BX22" s="82">
        <f>IF(OR(IPC!CL22="",IPC!CK22="",IPC!CJ22=""),"",AVERAGE(IPC!CJ22:CL22))</f>
        <v>87.4241564868084</v>
      </c>
      <c r="BY22" s="82">
        <f>IF(OR(IPC!CO22="",IPC!CN22="",IPC!CM22=""),"",AVERAGE(IPC!CM22:CO22))</f>
        <v>88.148409867003807</v>
      </c>
      <c r="BZ22" s="82">
        <f>IF(OR(IPC!CR22="",IPC!CQ22="",IPC!CP22=""),"",AVERAGE(IPC!CP22:CR22))</f>
        <v>88.691848164007482</v>
      </c>
      <c r="CA22" s="82">
        <f>IF(OR(IPC!CU22="",IPC!CT22="",IPC!CS22=""),"",AVERAGE(IPC!CS22:CU22))</f>
        <v>89.141594112093614</v>
      </c>
      <c r="CB22" s="82">
        <f>IF(OR(IPC!CX22="",IPC!CW22="",IPC!CV22=""),"",AVERAGE(IPC!CV22:CX22))</f>
        <v>89.725485220056271</v>
      </c>
      <c r="CC22" s="82">
        <f>IF(OR(IPC!DA22="",IPC!CZ22="",IPC!CY22=""),"",AVERAGE(IPC!CY22:DA22))</f>
        <v>90.25963502298039</v>
      </c>
      <c r="CD22" s="82">
        <f>IF(OR(IPC!DD22="",IPC!DC22="",IPC!DB22=""),"",AVERAGE(IPC!DB22:DD22))</f>
        <v>90.272438401242979</v>
      </c>
      <c r="CE22" s="82">
        <f>IF(OR(IPC!DG22="",IPC!DF22="",IPC!DE22=""),"",AVERAGE(IPC!DE22:DG22))</f>
        <v>90.854338124169757</v>
      </c>
      <c r="CF22" s="82">
        <f>IF(OR(IPC!DJ22="",IPC!DI22="",IPC!DH22=""),"",AVERAGE(IPC!DH22:DJ22))</f>
        <v>91.22969562567198</v>
      </c>
      <c r="CG22" s="82">
        <f>IF(OR(IPC!DM22="",IPC!DL22="",IPC!DK22=""),"",AVERAGE(IPC!DK22:DM22))</f>
        <v>92.291472842888652</v>
      </c>
      <c r="CH22" s="82">
        <f>IF(OR(IPC!DP22="",IPC!DO22="",IPC!DN22=""),"",AVERAGE(IPC!DN22:DP22))</f>
        <v>92.670106830956115</v>
      </c>
      <c r="CI22" s="82">
        <f>IF(OR(IPC!DS22="",IPC!DR22="",IPC!DQ22=""),"",AVERAGE(IPC!DQ22:DS22))</f>
        <v>93.444933978006148</v>
      </c>
      <c r="CJ22" s="82">
        <f>IF(OR(IPC!DV22="",IPC!DU22="",IPC!DT22=""),"",AVERAGE(IPC!DT22:DV22))</f>
        <v>94.31713476820471</v>
      </c>
      <c r="CK22" s="82">
        <f>IF(OR(IPC!DY22="",IPC!DX22="",IPC!DW22=""),"",AVERAGE(IPC!DW22:DY22))</f>
        <v>95.012665256812554</v>
      </c>
      <c r="CL22" s="82">
        <f>IF(OR(IPC!EB22="",IPC!EA22="",IPC!DZ22=""),"",AVERAGE(IPC!DZ22:EB22))</f>
        <v>95.375347064722689</v>
      </c>
      <c r="CM22" s="82">
        <f>IF(OR(IPC!EE22="",IPC!ED22="",IPC!EC22=""),"",AVERAGE(IPC!EC22:EE22))</f>
        <v>96.181670382804938</v>
      </c>
      <c r="CN22" s="82">
        <f>IF(OR(IPC!EH22="",IPC!EG22="",IPC!EF22=""),"",AVERAGE(IPC!EF22:EH22))</f>
        <v>97.593592390509528</v>
      </c>
      <c r="CO22" s="82">
        <f>IF(OR(IPC!EK22="",IPC!EJ22="",IPC!EI22=""),"",AVERAGE(IPC!EI22:EK22))</f>
        <v>99.659656199185406</v>
      </c>
      <c r="CP22" s="82">
        <f>IF(OR(IPC!EN22="",IPC!EM22="",IPC!EL22=""),"",AVERAGE(IPC!EL22:EN22))</f>
        <v>100.69025176419768</v>
      </c>
      <c r="CQ22" s="82">
        <f>IF(OR(IPC!EQ22="",IPC!EP22="",IPC!EO22=""),"",AVERAGE(IPC!EO22:EQ22))</f>
        <v>102.05649964610735</v>
      </c>
      <c r="CR22" s="82">
        <f>IF(OR(IPC!ET22="",IPC!ES22="",IPC!ER22=""),"",AVERAGE(IPC!ER22:ET22))</f>
        <v>103.76666666666667</v>
      </c>
      <c r="CS22" s="82">
        <f>IF(OR(IPC!EW22="",IPC!EV22="",IPC!EU22=""),"",AVERAGE(IPC!EU22:EW22))</f>
        <v>105.53333333333335</v>
      </c>
      <c r="CT22" s="82">
        <f>IF(OR(IPC!EZ22="",IPC!EY22="",IPC!EX22=""),"",AVERAGE(IPC!EX22:EZ22))</f>
        <v>106.3</v>
      </c>
      <c r="CU22" s="82">
        <f>IF(OR(IPC!FC22="",IPC!FB22="",IPC!FA22=""),"",AVERAGE(IPC!FA22:FC22))</f>
        <v>106.73333333333335</v>
      </c>
      <c r="CV22" s="82">
        <f>IF(OR(IPC!FF22="",IPC!FE22="",IPC!FD22=""),"",AVERAGE(IPC!FD22:FF22))</f>
        <v>108.03333333333335</v>
      </c>
      <c r="CW22" s="82">
        <f>IF(OR(IPC!FI22="",IPC!FH22="",IPC!FG22=""),"",AVERAGE(IPC!FG22:FI22))</f>
        <v>109.53333333333335</v>
      </c>
      <c r="CX22" s="82">
        <f>IF(OR(IPC!FL22="",IPC!FK22="",IPC!FJ22=""),"",AVERAGE(IPC!FJ22:FL22))</f>
        <v>110.26666666666667</v>
      </c>
      <c r="CY22" s="82">
        <f>IF(OR(IPC!FO22="",IPC!FN22="",IPC!FM22=""),"",AVERAGE(IPC!FM22:FO22))</f>
        <v>111.39999999999999</v>
      </c>
      <c r="CZ22" s="82">
        <f>IF(OR(IPC!FR22="",IPC!FQ22="",IPC!FP22=""),"",AVERAGE(IPC!FP22:FR22))</f>
        <v>111.7</v>
      </c>
    </row>
    <row r="23" spans="1:104" s="74" customFormat="1" ht="10.199999999999999" x14ac:dyDescent="0.2">
      <c r="AV23" s="74" t="str">
        <f>IF(OR(IPC!F23="",IPC!E23="",IPC!D23=""),"",AVERAGE(IPC!D23:F23))</f>
        <v/>
      </c>
      <c r="AW23" s="74" t="str">
        <f>IF(OR(IPC!I23="",IPC!H23="",IPC!G23=""),"",AVERAGE(IPC!G23:I23))</f>
        <v/>
      </c>
      <c r="AX23" s="74" t="str">
        <f>IF(OR(IPC!L23="",IPC!K23="",IPC!J23=""),"",AVERAGE(IPC!J23:L23))</f>
        <v/>
      </c>
      <c r="AY23" s="74" t="str">
        <f>IF(OR(IPC!O23="",IPC!N23="",IPC!M23=""),"",AVERAGE(IPC!M23:O23))</f>
        <v/>
      </c>
      <c r="AZ23" s="76" t="str">
        <f>IF(OR(IPC!R23="",IPC!Q23="",IPC!P23=""),"",AVERAGE(IPC!P23:R23))</f>
        <v/>
      </c>
      <c r="BA23" s="76" t="str">
        <f>IF(OR(IPC!U23="",IPC!T23="",IPC!S23=""),"",AVERAGE(IPC!S23:U23))</f>
        <v/>
      </c>
      <c r="BB23" s="76" t="str">
        <f>IF(OR(IPC!X23="",IPC!W23="",IPC!V23=""),"",AVERAGE(IPC!V23:X23))</f>
        <v/>
      </c>
      <c r="BC23" s="76" t="str">
        <f>IF(OR(IPC!AA23="",IPC!Z23="",IPC!Y23=""),"",AVERAGE(IPC!Y23:AA23))</f>
        <v/>
      </c>
      <c r="BD23" s="76" t="str">
        <f>IF(OR(IPC!AD23="",IPC!AC23="",IPC!AB23=""),"",AVERAGE(IPC!AB23:AD23))</f>
        <v/>
      </c>
      <c r="BE23" s="76" t="str">
        <f>IF(OR(IPC!AG23="",IPC!AF23="",IPC!AE23=""),"",AVERAGE(IPC!AE23:AG23))</f>
        <v/>
      </c>
      <c r="BF23" s="76" t="str">
        <f>IF(OR(IPC!AJ23="",IPC!AI23="",IPC!AH23=""),"",AVERAGE(IPC!AH23:AJ23))</f>
        <v/>
      </c>
      <c r="BG23" s="76" t="str">
        <f>IF(OR(IPC!AM23="",IPC!AL23="",IPC!AK23=""),"",AVERAGE(IPC!AK23:AM23))</f>
        <v/>
      </c>
      <c r="BH23" s="76" t="str">
        <f>IF(OR(IPC!AP23="",IPC!AO23="",IPC!AN23=""),"",AVERAGE(IPC!AN23:AP23))</f>
        <v/>
      </c>
      <c r="BI23" s="76" t="str">
        <f>IF(OR(IPC!AS23="",IPC!AR23="",IPC!AQ23=""),"",AVERAGE(IPC!AQ23:AS23))</f>
        <v/>
      </c>
      <c r="BJ23" s="76" t="str">
        <f>IF(OR(IPC!AV23="",IPC!AU23="",IPC!AT23=""),"",AVERAGE(IPC!AT23:AV23))</f>
        <v/>
      </c>
      <c r="BK23" s="76" t="str">
        <f>IF(OR(IPC!AY23="",IPC!AX23="",IPC!AW23=""),"",AVERAGE(IPC!AW23:AY23))</f>
        <v/>
      </c>
      <c r="BL23" s="76" t="str">
        <f>IF(OR(IPC!BB23="",IPC!BA23="",IPC!AZ23=""),"",AVERAGE(IPC!AZ23:BB23))</f>
        <v/>
      </c>
      <c r="BM23" s="76" t="str">
        <f>IF(OR(IPC!BE23="",IPC!BD23="",IPC!BC23=""),"",AVERAGE(IPC!BC23:BE23))</f>
        <v/>
      </c>
      <c r="BN23" s="76" t="str">
        <f>IF(OR(IPC!BH23="",IPC!BG23="",IPC!BF23=""),"",AVERAGE(IPC!BF23:BH23))</f>
        <v/>
      </c>
      <c r="BO23" s="76" t="str">
        <f>IF(OR(IPC!BK23="",IPC!BJ23="",IPC!BI23=""),"",AVERAGE(IPC!BI23:BK23))</f>
        <v/>
      </c>
      <c r="BP23" s="76" t="str">
        <f>IF(OR(IPC!BN23="",IPC!BM23="",IPC!BL23=""),"",AVERAGE(IPC!BL23:BN23))</f>
        <v/>
      </c>
      <c r="BQ23" s="76" t="str">
        <f>IF(OR(IPC!BQ23="",IPC!BP23="",IPC!BO23=""),"",AVERAGE(IPC!BO23:BQ23))</f>
        <v/>
      </c>
      <c r="BR23" s="76" t="str">
        <f>IF(OR(IPC!BT23="",IPC!BS23="",IPC!BR23=""),"",AVERAGE(IPC!BR23:BT23))</f>
        <v/>
      </c>
      <c r="BS23" s="76" t="str">
        <f>IF(OR(IPC!BW23="",IPC!BV23="",IPC!BU23=""),"",AVERAGE(IPC!BU23:BW23))</f>
        <v/>
      </c>
      <c r="BT23" s="76" t="str">
        <f>IF(OR(IPC!BZ23="",IPC!BY23="",IPC!BX23=""),"",AVERAGE(IPC!BX23:BZ23))</f>
        <v/>
      </c>
      <c r="BU23" s="76" t="str">
        <f>IF(OR(IPC!CC23="",IPC!CB23="",IPC!CA23=""),"",AVERAGE(IPC!CA23:CC23))</f>
        <v/>
      </c>
      <c r="BV23" s="76" t="str">
        <f>IF(OR(IPC!CF23="",IPC!CE23="",IPC!CD23=""),"",AVERAGE(IPC!CD23:CF23))</f>
        <v/>
      </c>
      <c r="BW23" s="76" t="str">
        <f>IF(OR(IPC!CI23="",IPC!CH23="",IPC!CG23=""),"",AVERAGE(IPC!CG23:CI23))</f>
        <v/>
      </c>
      <c r="BX23" s="76" t="str">
        <f>IF(OR(IPC!CL23="",IPC!CK23="",IPC!CJ23=""),"",AVERAGE(IPC!CJ23:CL23))</f>
        <v/>
      </c>
      <c r="BY23" s="76" t="str">
        <f>IF(OR(IPC!CO23="",IPC!CN23="",IPC!CM23=""),"",AVERAGE(IPC!CM23:CO23))</f>
        <v/>
      </c>
      <c r="BZ23" s="76" t="str">
        <f>IF(OR(IPC!CR23="",IPC!CQ23="",IPC!CP23=""),"",AVERAGE(IPC!CP23:CR23))</f>
        <v/>
      </c>
      <c r="CA23" s="76" t="str">
        <f>IF(OR(IPC!CU23="",IPC!CT23="",IPC!CS23=""),"",AVERAGE(IPC!CS23:CU23))</f>
        <v/>
      </c>
      <c r="CB23" s="76" t="str">
        <f>IF(OR(IPC!CX23="",IPC!CW23="",IPC!CV23=""),"",AVERAGE(IPC!CV23:CX23))</f>
        <v/>
      </c>
      <c r="CC23" s="76" t="str">
        <f>IF(OR(IPC!DA23="",IPC!CZ23="",IPC!CY23=""),"",AVERAGE(IPC!CY23:DA23))</f>
        <v/>
      </c>
      <c r="CD23" s="76" t="str">
        <f>IF(OR(IPC!DD23="",IPC!DC23="",IPC!DB23=""),"",AVERAGE(IPC!DB23:DD23))</f>
        <v/>
      </c>
      <c r="CE23" s="76" t="str">
        <f>IF(OR(IPC!DG23="",IPC!DF23="",IPC!DE23=""),"",AVERAGE(IPC!DE23:DG23))</f>
        <v/>
      </c>
      <c r="CF23" s="76" t="str">
        <f>IF(OR(IPC!DJ23="",IPC!DI23="",IPC!DH23=""),"",AVERAGE(IPC!DH23:DJ23))</f>
        <v/>
      </c>
      <c r="CG23" s="76" t="str">
        <f>IF(OR(IPC!DM23="",IPC!DL23="",IPC!DK23=""),"",AVERAGE(IPC!DK23:DM23))</f>
        <v/>
      </c>
      <c r="CH23" s="76" t="str">
        <f>IF(OR(IPC!DP23="",IPC!DO23="",IPC!DN23=""),"",AVERAGE(IPC!DN23:DP23))</f>
        <v/>
      </c>
      <c r="CI23" s="76" t="str">
        <f>IF(OR(IPC!DS23="",IPC!DR23="",IPC!DQ23=""),"",AVERAGE(IPC!DQ23:DS23))</f>
        <v/>
      </c>
      <c r="CJ23" s="76" t="str">
        <f>IF(OR(IPC!DV23="",IPC!DU23="",IPC!DT23=""),"",AVERAGE(IPC!DT23:DV23))</f>
        <v/>
      </c>
      <c r="CK23" s="76" t="str">
        <f>IF(OR(IPC!DY23="",IPC!DX23="",IPC!DW23=""),"",AVERAGE(IPC!DW23:DY23))</f>
        <v/>
      </c>
      <c r="CL23" s="76" t="str">
        <f>IF(OR(IPC!EB23="",IPC!EA23="",IPC!DZ23=""),"",AVERAGE(IPC!DZ23:EB23))</f>
        <v/>
      </c>
      <c r="CM23" s="76" t="str">
        <f>IF(OR(IPC!EE23="",IPC!ED23="",IPC!EC23=""),"",AVERAGE(IPC!EC23:EE23))</f>
        <v/>
      </c>
      <c r="CN23" s="76" t="str">
        <f>IF(OR(IPC!EH23="",IPC!EG23="",IPC!EF23=""),"",AVERAGE(IPC!EF23:EH23))</f>
        <v/>
      </c>
      <c r="CO23" s="76" t="str">
        <f>IF(OR(IPC!EK23="",IPC!EJ23="",IPC!EI23=""),"",AVERAGE(IPC!EI23:EK23))</f>
        <v/>
      </c>
      <c r="CP23" s="76" t="str">
        <f>IF(OR(IPC!EN23="",IPC!EM23="",IPC!EL23=""),"",AVERAGE(IPC!EL23:EN23))</f>
        <v/>
      </c>
      <c r="CQ23" s="76" t="str">
        <f>IF(OR(IPC!EQ23="",IPC!EP23="",IPC!EO23=""),"",AVERAGE(IPC!EO23:EQ23))</f>
        <v/>
      </c>
      <c r="CR23" s="76" t="str">
        <f>IF(OR(IPC!ET23="",IPC!ES23="",IPC!ER23=""),"",AVERAGE(IPC!ER23:ET23))</f>
        <v/>
      </c>
      <c r="CS23" s="76" t="str">
        <f>IF(OR(IPC!EW23="",IPC!EV23="",IPC!EU23=""),"",AVERAGE(IPC!EU23:EW23))</f>
        <v/>
      </c>
      <c r="CT23" s="76" t="str">
        <f>IF(OR(IPC!EZ23="",IPC!EY23="",IPC!EX23=""),"",AVERAGE(IPC!EX23:EZ23))</f>
        <v/>
      </c>
      <c r="CU23" s="76" t="str">
        <f>IF(OR(IPC!FC23="",IPC!FB23="",IPC!FA23=""),"",AVERAGE(IPC!FA23:FC23))</f>
        <v/>
      </c>
      <c r="CV23" s="76" t="str">
        <f>IF(OR(IPC!FF23="",IPC!FE23="",IPC!FD23=""),"",AVERAGE(IPC!FD23:FF23))</f>
        <v/>
      </c>
      <c r="CW23" s="76" t="str">
        <f>IF(OR(IPC!FI23="",IPC!FH23="",IPC!FG23=""),"",AVERAGE(IPC!FG23:FI23))</f>
        <v/>
      </c>
      <c r="CX23" s="76" t="str">
        <f>IF(OR(IPC!FL23="",IPC!FK23="",IPC!FJ23=""),"",AVERAGE(IPC!FJ23:FL23))</f>
        <v/>
      </c>
      <c r="CY23" s="76" t="str">
        <f>IF(OR(IPC!FO23="",IPC!FN23="",IPC!FM23=""),"",AVERAGE(IPC!FM23:FO23))</f>
        <v/>
      </c>
      <c r="CZ23" s="76" t="str">
        <f>IF(OR(IPC!FR23="",IPC!FQ23="",IPC!FP23=""),"",AVERAGE(IPC!FP23:FR23))</f>
        <v/>
      </c>
    </row>
    <row r="24" spans="1:104" s="3" customFormat="1" ht="10.199999999999999" x14ac:dyDescent="0.2">
      <c r="B24" s="3" t="s">
        <v>104</v>
      </c>
      <c r="AV24" s="3" t="str">
        <f>IF(OR(IPC!F24="",IPC!E24="",IPC!D24=""),"",AVERAGE(IPC!D24:F24))</f>
        <v/>
      </c>
      <c r="AW24" s="3" t="str">
        <f>IF(OR(IPC!I24="",IPC!H24="",IPC!G24=""),"",AVERAGE(IPC!G24:I24))</f>
        <v/>
      </c>
      <c r="AX24" s="3" t="str">
        <f>IF(OR(IPC!L24="",IPC!K24="",IPC!J24=""),"",AVERAGE(IPC!J24:L24))</f>
        <v/>
      </c>
      <c r="AY24" s="3" t="str">
        <f>IF(OR(IPC!O24="",IPC!N24="",IPC!M24=""),"",AVERAGE(IPC!M24:O24))</f>
        <v/>
      </c>
      <c r="AZ24" s="80">
        <f>IF(OR(IPC!R24="",IPC!Q24="",IPC!P24=""),"",AVERAGE(IPC!P24:R24))</f>
        <v>94.408917823890931</v>
      </c>
      <c r="BA24" s="80">
        <f>IF(OR(IPC!U24="",IPC!T24="",IPC!S24=""),"",AVERAGE(IPC!S24:U24))</f>
        <v>95.177411173966661</v>
      </c>
      <c r="BB24" s="80">
        <f>IF(OR(IPC!X24="",IPC!W24="",IPC!V24=""),"",AVERAGE(IPC!V24:X24))</f>
        <v>96.451573748695907</v>
      </c>
      <c r="BC24" s="80">
        <f>IF(OR(IPC!AA24="",IPC!Z24="",IPC!Y24=""),"",AVERAGE(IPC!Y24:AA24))</f>
        <v>97.523783773482037</v>
      </c>
      <c r="BD24" s="80">
        <f>IF(OR(IPC!AD24="",IPC!AC24="",IPC!AB24=""),"",AVERAGE(IPC!AB24:AD24))</f>
        <v>97.373159512901182</v>
      </c>
      <c r="BE24" s="80">
        <f>IF(OR(IPC!AG24="",IPC!AF24="",IPC!AE24=""),"",AVERAGE(IPC!AE24:AG24))</f>
        <v>97.764964033772628</v>
      </c>
      <c r="BF24" s="80">
        <f>IF(OR(IPC!AJ24="",IPC!AI24="",IPC!AH24=""),"",AVERAGE(IPC!AH24:AJ24))</f>
        <v>97.532522882084038</v>
      </c>
      <c r="BG24" s="80">
        <f>IF(OR(IPC!AM24="",IPC!AL24="",IPC!AK24=""),"",AVERAGE(IPC!AK24:AM24))</f>
        <v>97.119378197801439</v>
      </c>
      <c r="BH24" s="80">
        <f>IF(OR(IPC!AP24="",IPC!AO24="",IPC!AN24=""),"",AVERAGE(IPC!AN24:AP24))</f>
        <v>97.176389297066407</v>
      </c>
      <c r="BI24" s="80">
        <f>IF(OR(IPC!AS24="",IPC!AR24="",IPC!AQ24=""),"",AVERAGE(IPC!AQ24:AS24))</f>
        <v>97.124751643479712</v>
      </c>
      <c r="BJ24" s="80">
        <f>IF(OR(IPC!AV24="",IPC!AU24="",IPC!AT24=""),"",AVERAGE(IPC!AT24:AV24))</f>
        <v>102.25928555132835</v>
      </c>
      <c r="BK24" s="80">
        <f>IF(OR(IPC!AY24="",IPC!AX24="",IPC!AW24=""),"",AVERAGE(IPC!AW24:AY24))</f>
        <v>102.35317182157424</v>
      </c>
      <c r="BL24" s="80">
        <f>IF(OR(IPC!BB24="",IPC!BA24="",IPC!AZ24=""),"",AVERAGE(IPC!AZ24:BB24))</f>
        <v>102.29234552438901</v>
      </c>
      <c r="BM24" s="80">
        <f>IF(OR(IPC!BE24="",IPC!BD24="",IPC!BC24=""),"",AVERAGE(IPC!BC24:BE24))</f>
        <v>102.30427772604283</v>
      </c>
      <c r="BN24" s="80">
        <f>IF(OR(IPC!BH24="",IPC!BG24="",IPC!BF24=""),"",AVERAGE(IPC!BF24:BH24))</f>
        <v>102.27342292539926</v>
      </c>
      <c r="BO24" s="80">
        <f>IF(OR(IPC!BK24="",IPC!BJ24="",IPC!BI24=""),"",AVERAGE(IPC!BI24:BK24))</f>
        <v>102.4713395357645</v>
      </c>
      <c r="BP24" s="80">
        <f>IF(OR(IPC!BN24="",IPC!BM24="",IPC!BL24=""),"",AVERAGE(IPC!BL24:BN24))</f>
        <v>101.4330039564551</v>
      </c>
      <c r="BQ24" s="80">
        <f>IF(OR(IPC!BQ24="",IPC!BP24="",IPC!BO24=""),"",AVERAGE(IPC!BO24:BQ24))</f>
        <v>101.32850820393345</v>
      </c>
      <c r="BR24" s="80">
        <f>IF(OR(IPC!BT24="",IPC!BS24="",IPC!BR24=""),"",AVERAGE(IPC!BR24:BT24))</f>
        <v>101.36807471202648</v>
      </c>
      <c r="BS24" s="80">
        <f>IF(OR(IPC!BW24="",IPC!BV24="",IPC!BU24=""),"",AVERAGE(IPC!BU24:BW24))</f>
        <v>101.49802556341116</v>
      </c>
      <c r="BT24" s="80">
        <f>IF(OR(IPC!BZ24="",IPC!BY24="",IPC!BX24=""),"",AVERAGE(IPC!BX24:BZ24))</f>
        <v>101.53739417168818</v>
      </c>
      <c r="BU24" s="80">
        <f>IF(OR(IPC!CC24="",IPC!CB24="",IPC!CA24=""),"",AVERAGE(IPC!CA24:CC24))</f>
        <v>101.49120623098698</v>
      </c>
      <c r="BV24" s="80">
        <f>IF(OR(IPC!CF24="",IPC!CE24="",IPC!CD24=""),"",AVERAGE(IPC!CD24:CF24))</f>
        <v>101.5815674673746</v>
      </c>
      <c r="BW24" s="80">
        <f>IF(OR(IPC!CI24="",IPC!CH24="",IPC!CG24=""),"",AVERAGE(IPC!CG24:CI24))</f>
        <v>101.56738398109769</v>
      </c>
      <c r="BX24" s="80">
        <f>IF(OR(IPC!CL24="",IPC!CK24="",IPC!CJ24=""),"",AVERAGE(IPC!CJ24:CL24))</f>
        <v>101.56558607225138</v>
      </c>
      <c r="BY24" s="80">
        <f>IF(OR(IPC!CO24="",IPC!CN24="",IPC!CM24=""),"",AVERAGE(IPC!CM24:CO24))</f>
        <v>101.77539257871989</v>
      </c>
      <c r="BZ24" s="80">
        <f>IF(OR(IPC!CR24="",IPC!CQ24="",IPC!CP24=""),"",AVERAGE(IPC!CP24:CR24))</f>
        <v>101.82552461562194</v>
      </c>
      <c r="CA24" s="80">
        <f>IF(OR(IPC!CU24="",IPC!CT24="",IPC!CS24=""),"",AVERAGE(IPC!CS24:CU24))</f>
        <v>101.9161807785121</v>
      </c>
      <c r="CB24" s="80">
        <f>IF(OR(IPC!CX24="",IPC!CW24="",IPC!CV24=""),"",AVERAGE(IPC!CV24:CX24))</f>
        <v>100.82688158964463</v>
      </c>
      <c r="CC24" s="80">
        <f>IF(OR(IPC!DA24="",IPC!CZ24="",IPC!CY24=""),"",AVERAGE(IPC!CY24:DA24))</f>
        <v>98.76832593428918</v>
      </c>
      <c r="CD24" s="80">
        <f>IF(OR(IPC!DD24="",IPC!DC24="",IPC!DB24=""),"",AVERAGE(IPC!DB24:DD24))</f>
        <v>98.757453511121795</v>
      </c>
      <c r="CE24" s="80">
        <f>IF(OR(IPC!DG24="",IPC!DF24="",IPC!DE24=""),"",AVERAGE(IPC!DE24:DG24))</f>
        <v>98.769790267755937</v>
      </c>
      <c r="CF24" s="80">
        <f>IF(OR(IPC!DJ24="",IPC!DI24="",IPC!DH24=""),"",AVERAGE(IPC!DH24:DJ24))</f>
        <v>98.814678241984026</v>
      </c>
      <c r="CG24" s="80">
        <f>IF(OR(IPC!DM24="",IPC!DL24="",IPC!DK24=""),"",AVERAGE(IPC!DK24:DM24))</f>
        <v>99.209246724283275</v>
      </c>
      <c r="CH24" s="80">
        <f>IF(OR(IPC!DP24="",IPC!DO24="",IPC!DN24=""),"",AVERAGE(IPC!DN24:DP24))</f>
        <v>99.406796581801402</v>
      </c>
      <c r="CI24" s="80">
        <f>IF(OR(IPC!DS24="",IPC!DR24="",IPC!DQ24=""),"",AVERAGE(IPC!DQ24:DS24))</f>
        <v>99.420325355559029</v>
      </c>
      <c r="CJ24" s="80">
        <f>IF(OR(IPC!DV24="",IPC!DU24="",IPC!DT24=""),"",AVERAGE(IPC!DT24:DV24))</f>
        <v>99.408112432995608</v>
      </c>
      <c r="CK24" s="80">
        <f>IF(OR(IPC!DY24="",IPC!DX24="",IPC!DW24=""),"",AVERAGE(IPC!DW24:DY24))</f>
        <v>99.397583663898629</v>
      </c>
      <c r="CL24" s="80">
        <f>IF(OR(IPC!EB24="",IPC!EA24="",IPC!DZ24=""),"",AVERAGE(IPC!DZ24:EB24))</f>
        <v>99.434786999906791</v>
      </c>
      <c r="CM24" s="80">
        <f>IF(OR(IPC!EE24="",IPC!ED24="",IPC!EC24=""),"",AVERAGE(IPC!EC24:EE24))</f>
        <v>99.456873074422674</v>
      </c>
      <c r="CN24" s="80">
        <f>IF(OR(IPC!EH24="",IPC!EG24="",IPC!EF24=""),"",AVERAGE(IPC!EF24:EH24))</f>
        <v>99.58093869183655</v>
      </c>
      <c r="CO24" s="80">
        <f>IF(OR(IPC!EK24="",IPC!EJ24="",IPC!EI24=""),"",AVERAGE(IPC!EI24:EK24))</f>
        <v>99.727316407477986</v>
      </c>
      <c r="CP24" s="80">
        <f>IF(OR(IPC!EN24="",IPC!EM24="",IPC!EL24=""),"",AVERAGE(IPC!EL24:EN24))</f>
        <v>99.770638436329691</v>
      </c>
      <c r="CQ24" s="80">
        <f>IF(OR(IPC!EQ24="",IPC!EP24="",IPC!EO24=""),"",AVERAGE(IPC!EO24:EQ24))</f>
        <v>100.92110646435583</v>
      </c>
      <c r="CR24" s="80">
        <f>IF(OR(IPC!ET24="",IPC!ES24="",IPC!ER24=""),"",AVERAGE(IPC!ER24:ET24))</f>
        <v>105.33333333333333</v>
      </c>
      <c r="CS24" s="80">
        <f>IF(OR(IPC!EW24="",IPC!EV24="",IPC!EU24=""),"",AVERAGE(IPC!EU24:EW24))</f>
        <v>108.33333333333333</v>
      </c>
      <c r="CT24" s="80">
        <f>IF(OR(IPC!EZ24="",IPC!EY24="",IPC!EX24=""),"",AVERAGE(IPC!EX24:EZ24))</f>
        <v>109.86666666666667</v>
      </c>
      <c r="CU24" s="80">
        <f>IF(OR(IPC!FC24="",IPC!FB24="",IPC!FA24=""),"",AVERAGE(IPC!FA24:FC24))</f>
        <v>110.16666666666667</v>
      </c>
      <c r="CV24" s="80">
        <f>IF(OR(IPC!FF24="",IPC!FE24="",IPC!FD24=""),"",AVERAGE(IPC!FD24:FF24))</f>
        <v>113.10000000000001</v>
      </c>
      <c r="CW24" s="80">
        <f>IF(OR(IPC!FI24="",IPC!FH24="",IPC!FG24=""),"",AVERAGE(IPC!FG24:FI24))</f>
        <v>117.06666666666666</v>
      </c>
      <c r="CX24" s="80">
        <f>IF(OR(IPC!FL24="",IPC!FK24="",IPC!FJ24=""),"",AVERAGE(IPC!FJ24:FL24))</f>
        <v>117.63333333333333</v>
      </c>
      <c r="CY24" s="80">
        <f>IF(OR(IPC!FO24="",IPC!FN24="",IPC!FM24=""),"",AVERAGE(IPC!FM24:FO24))</f>
        <v>119.33333333333333</v>
      </c>
      <c r="CZ24" s="80">
        <f>IF(OR(IPC!FR24="",IPC!FQ24="",IPC!FP24=""),"",AVERAGE(IPC!FP24:FR24))</f>
        <v>119.8</v>
      </c>
    </row>
    <row r="25" spans="1:104" s="3" customFormat="1" ht="10.199999999999999" x14ac:dyDescent="0.2">
      <c r="B25" s="83" t="s">
        <v>105</v>
      </c>
      <c r="AV25" s="3" t="str">
        <f>IF(OR(IPC!F25="",IPC!E25="",IPC!D25=""),"",AVERAGE(IPC!D25:F25))</f>
        <v/>
      </c>
      <c r="AW25" s="3" t="str">
        <f>IF(OR(IPC!I25="",IPC!H25="",IPC!G25=""),"",AVERAGE(IPC!G25:I25))</f>
        <v/>
      </c>
      <c r="AX25" s="3" t="str">
        <f>IF(OR(IPC!L25="",IPC!K25="",IPC!J25=""),"",AVERAGE(IPC!J25:L25))</f>
        <v/>
      </c>
      <c r="AY25" s="3" t="str">
        <f>IF(OR(IPC!O25="",IPC!N25="",IPC!M25=""),"",AVERAGE(IPC!M25:O25))</f>
        <v/>
      </c>
      <c r="AZ25" s="80">
        <f>IF(OR(IPC!R25="",IPC!Q25="",IPC!P25=""),"",AVERAGE(IPC!P25:R25))</f>
        <v>90.883850360626752</v>
      </c>
      <c r="BA25" s="80">
        <f>IF(OR(IPC!U25="",IPC!T25="",IPC!S25=""),"",AVERAGE(IPC!S25:U25))</f>
        <v>90.754025217236105</v>
      </c>
      <c r="BB25" s="80">
        <f>IF(OR(IPC!X25="",IPC!W25="",IPC!V25=""),"",AVERAGE(IPC!V25:X25))</f>
        <v>90.629600905863342</v>
      </c>
      <c r="BC25" s="80">
        <f>IF(OR(IPC!AA25="",IPC!Z25="",IPC!Y25=""),"",AVERAGE(IPC!Y25:AA25))</f>
        <v>90.994022750634485</v>
      </c>
      <c r="BD25" s="80">
        <f>IF(OR(IPC!AD25="",IPC!AC25="",IPC!AB25=""),"",AVERAGE(IPC!AB25:AD25))</f>
        <v>91.043468630802934</v>
      </c>
      <c r="BE25" s="80">
        <f>IF(OR(IPC!AG25="",IPC!AF25="",IPC!AE25=""),"",AVERAGE(IPC!AE25:AG25))</f>
        <v>91.31983480056148</v>
      </c>
      <c r="BF25" s="80">
        <f>IF(OR(IPC!AJ25="",IPC!AI25="",IPC!AH25=""),"",AVERAGE(IPC!AH25:AJ25))</f>
        <v>91.267209850546422</v>
      </c>
      <c r="BG25" s="80">
        <f>IF(OR(IPC!AM25="",IPC!AL25="",IPC!AK25=""),"",AVERAGE(IPC!AK25:AM25))</f>
        <v>91.118900071201111</v>
      </c>
      <c r="BH25" s="80">
        <f>IF(OR(IPC!AP25="",IPC!AO25="",IPC!AN25=""),"",AVERAGE(IPC!AN25:AP25))</f>
        <v>91.251191862353338</v>
      </c>
      <c r="BI25" s="80">
        <f>IF(OR(IPC!AS25="",IPC!AR25="",IPC!AQ25=""),"",AVERAGE(IPC!AQ25:AS25))</f>
        <v>91.150835824183289</v>
      </c>
      <c r="BJ25" s="80">
        <f>IF(OR(IPC!AV25="",IPC!AU25="",IPC!AT25=""),"",AVERAGE(IPC!AT25:AV25))</f>
        <v>98.74964578907786</v>
      </c>
      <c r="BK25" s="80">
        <f>IF(OR(IPC!AY25="",IPC!AX25="",IPC!AW25=""),"",AVERAGE(IPC!AW25:AY25))</f>
        <v>98.954340926552447</v>
      </c>
      <c r="BL25" s="80">
        <f>IF(OR(IPC!BB25="",IPC!BA25="",IPC!AZ25=""),"",AVERAGE(IPC!AZ25:BB25))</f>
        <v>98.865068796897802</v>
      </c>
      <c r="BM25" s="80">
        <f>IF(OR(IPC!BE25="",IPC!BD25="",IPC!BC25=""),"",AVERAGE(IPC!BC25:BE25))</f>
        <v>98.902675790562114</v>
      </c>
      <c r="BN25" s="80">
        <f>IF(OR(IPC!BH25="",IPC!BG25="",IPC!BF25=""),"",AVERAGE(IPC!BF25:BH25))</f>
        <v>98.876108928055942</v>
      </c>
      <c r="BO25" s="80">
        <f>IF(OR(IPC!BK25="",IPC!BJ25="",IPC!BI25=""),"",AVERAGE(IPC!BI25:BK25))</f>
        <v>99.127686563998324</v>
      </c>
      <c r="BP25" s="80">
        <f>IF(OR(IPC!BN25="",IPC!BM25="",IPC!BL25=""),"",AVERAGE(IPC!BL25:BN25))</f>
        <v>97.537850436607968</v>
      </c>
      <c r="BQ25" s="80">
        <f>IF(OR(IPC!BQ25="",IPC!BP25="",IPC!BO25=""),"",AVERAGE(IPC!BO25:BQ25))</f>
        <v>97.371919853759593</v>
      </c>
      <c r="BR25" s="80">
        <f>IF(OR(IPC!BT25="",IPC!BS25="",IPC!BR25=""),"",AVERAGE(IPC!BR25:BT25))</f>
        <v>97.439133674492282</v>
      </c>
      <c r="BS25" s="80">
        <f>IF(OR(IPC!BW25="",IPC!BV25="",IPC!BU25=""),"",AVERAGE(IPC!BU25:BW25))</f>
        <v>97.62889546811617</v>
      </c>
      <c r="BT25" s="80">
        <f>IF(OR(IPC!BZ25="",IPC!BY25="",IPC!BX25=""),"",AVERAGE(IPC!BX25:BZ25))</f>
        <v>97.688425273694961</v>
      </c>
      <c r="BU25" s="80">
        <f>IF(OR(IPC!CC25="",IPC!CB25="",IPC!CA25=""),"",AVERAGE(IPC!CA25:CC25))</f>
        <v>97.628016292305929</v>
      </c>
      <c r="BV25" s="80">
        <f>IF(OR(IPC!CF25="",IPC!CE25="",IPC!CD25=""),"",AVERAGE(IPC!CD25:CF25))</f>
        <v>97.762603464351571</v>
      </c>
      <c r="BW25" s="80">
        <f>IF(OR(IPC!CI25="",IPC!CH25="",IPC!CG25=""),"",AVERAGE(IPC!CG25:CI25))</f>
        <v>97.869654478268615</v>
      </c>
      <c r="BX25" s="80">
        <f>IF(OR(IPC!CL25="",IPC!CK25="",IPC!CJ25=""),"",AVERAGE(IPC!CJ25:CL25))</f>
        <v>97.868049670705844</v>
      </c>
      <c r="BY25" s="80">
        <f>IF(OR(IPC!CO25="",IPC!CN25="",IPC!CM25=""),"",AVERAGE(IPC!CM25:CO25))</f>
        <v>98.147244063934366</v>
      </c>
      <c r="BZ25" s="80">
        <f>IF(OR(IPC!CR25="",IPC!CQ25="",IPC!CP25=""),"",AVERAGE(IPC!CP25:CR25))</f>
        <v>98.219975333674086</v>
      </c>
      <c r="CA25" s="80">
        <f>IF(OR(IPC!CU25="",IPC!CT25="",IPC!CS25=""),"",AVERAGE(IPC!CS25:CU25))</f>
        <v>98.351441078663086</v>
      </c>
      <c r="CB25" s="80">
        <f>IF(OR(IPC!CX25="",IPC!CW25="",IPC!CV25=""),"",AVERAGE(IPC!CV25:CX25))</f>
        <v>98.334963328737231</v>
      </c>
      <c r="CC25" s="80">
        <f>IF(OR(IPC!DA25="",IPC!CZ25="",IPC!CY25=""),"",AVERAGE(IPC!CY25:DA25))</f>
        <v>98.324468897434485</v>
      </c>
      <c r="CD25" s="80">
        <f>IF(OR(IPC!DD25="",IPC!DC25="",IPC!DB25=""),"",AVERAGE(IPC!DB25:DD25))</f>
        <v>98.330540571830056</v>
      </c>
      <c r="CE25" s="80">
        <f>IF(OR(IPC!DG25="",IPC!DF25="",IPC!DE25=""),"",AVERAGE(IPC!DE25:DG25))</f>
        <v>98.338453933746692</v>
      </c>
      <c r="CF25" s="80">
        <f>IF(OR(IPC!DJ25="",IPC!DI25="",IPC!DH25=""),"",AVERAGE(IPC!DH25:DJ25))</f>
        <v>98.39281020854429</v>
      </c>
      <c r="CG25" s="80">
        <f>IF(OR(IPC!DM25="",IPC!DL25="",IPC!DK25=""),"",AVERAGE(IPC!DK25:DM25))</f>
        <v>98.961617650292439</v>
      </c>
      <c r="CH25" s="80">
        <f>IF(OR(IPC!DP25="",IPC!DO25="",IPC!DN25=""),"",AVERAGE(IPC!DN25:DP25))</f>
        <v>99.186913394358498</v>
      </c>
      <c r="CI25" s="80">
        <f>IF(OR(IPC!DS25="",IPC!DR25="",IPC!DQ25=""),"",AVERAGE(IPC!DQ25:DS25))</f>
        <v>99.199780480862216</v>
      </c>
      <c r="CJ25" s="80">
        <f>IF(OR(IPC!DV25="",IPC!DU25="",IPC!DT25=""),"",AVERAGE(IPC!DT25:DV25))</f>
        <v>99.182009857244608</v>
      </c>
      <c r="CK25" s="80">
        <f>IF(OR(IPC!DY25="",IPC!DX25="",IPC!DW25=""),"",AVERAGE(IPC!DW25:DY25))</f>
        <v>99.167341898304244</v>
      </c>
      <c r="CL25" s="80">
        <f>IF(OR(IPC!EB25="",IPC!EA25="",IPC!DZ25=""),"",AVERAGE(IPC!DZ25:EB25))</f>
        <v>99.221268330194889</v>
      </c>
      <c r="CM25" s="80">
        <f>IF(OR(IPC!EE25="",IPC!ED25="",IPC!EC25=""),"",AVERAGE(IPC!EC25:EE25))</f>
        <v>99.253144188115414</v>
      </c>
      <c r="CN25" s="80">
        <f>IF(OR(IPC!EH25="",IPC!EG25="",IPC!EF25=""),"",AVERAGE(IPC!EF25:EH25))</f>
        <v>99.432935739367721</v>
      </c>
      <c r="CO25" s="80">
        <f>IF(OR(IPC!EK25="",IPC!EJ25="",IPC!EI25=""),"",AVERAGE(IPC!EI25:EK25))</f>
        <v>99.652833517663893</v>
      </c>
      <c r="CP25" s="80">
        <f>IF(OR(IPC!EN25="",IPC!EM25="",IPC!EL25=""),"",AVERAGE(IPC!EL25:EN25))</f>
        <v>99.705977829096199</v>
      </c>
      <c r="CQ25" s="80">
        <f>IF(OR(IPC!EQ25="",IPC!EP25="",IPC!EO25=""),"",AVERAGE(IPC!EO25:EQ25))</f>
        <v>101.20825291387216</v>
      </c>
      <c r="CR25" s="80" t="str">
        <f>IF(OR(IPC!ET25="",IPC!ES25="",IPC!ER25=""),"",AVERAGE(IPC!ER25:ET25))</f>
        <v/>
      </c>
      <c r="CS25" s="80" t="str">
        <f>IF(OR(IPC!EW25="",IPC!EV25="",IPC!EU25=""),"",AVERAGE(IPC!EU25:EW25))</f>
        <v/>
      </c>
      <c r="CT25" s="80" t="str">
        <f>IF(OR(IPC!EZ25="",IPC!EY25="",IPC!EX25=""),"",AVERAGE(IPC!EX25:EZ25))</f>
        <v/>
      </c>
      <c r="CU25" s="80" t="str">
        <f>IF(OR(IPC!FC25="",IPC!FB25="",IPC!FA25=""),"",AVERAGE(IPC!FA25:FC25))</f>
        <v/>
      </c>
      <c r="CV25" s="80" t="str">
        <f>IF(OR(IPC!FF25="",IPC!FE25="",IPC!FD25=""),"",AVERAGE(IPC!FD25:FF25))</f>
        <v/>
      </c>
      <c r="CW25" s="80" t="str">
        <f>IF(OR(IPC!FI25="",IPC!FH25="",IPC!FG25=""),"",AVERAGE(IPC!FG25:FI25))</f>
        <v/>
      </c>
      <c r="CX25" s="80" t="str">
        <f>IF(OR(IPC!FL25="",IPC!FK25="",IPC!FJ25=""),"",AVERAGE(IPC!FJ25:FL25))</f>
        <v/>
      </c>
      <c r="CY25" s="80" t="str">
        <f>IF(OR(IPC!FO25="",IPC!FN25="",IPC!FM25=""),"",AVERAGE(IPC!FM25:FO25))</f>
        <v/>
      </c>
      <c r="CZ25" s="80" t="str">
        <f>IF(OR(IPC!FR25="",IPC!FQ25="",IPC!FP25=""),"",AVERAGE(IPC!FP25:FR25))</f>
        <v/>
      </c>
    </row>
    <row r="26" spans="1:104" s="3" customFormat="1" ht="10.199999999999999" x14ac:dyDescent="0.2">
      <c r="B26" s="3" t="s">
        <v>106</v>
      </c>
      <c r="AV26" s="3" t="str">
        <f>IF(OR(IPC!F26="",IPC!E26="",IPC!D26=""),"",AVERAGE(IPC!D26:F26))</f>
        <v/>
      </c>
      <c r="AW26" s="3" t="str">
        <f>IF(OR(IPC!I26="",IPC!H26="",IPC!G26=""),"",AVERAGE(IPC!G26:I26))</f>
        <v/>
      </c>
      <c r="AX26" s="3" t="str">
        <f>IF(OR(IPC!L26="",IPC!K26="",IPC!J26=""),"",AVERAGE(IPC!J26:L26))</f>
        <v/>
      </c>
      <c r="AY26" s="3" t="str">
        <f>IF(OR(IPC!O26="",IPC!N26="",IPC!M26=""),"",AVERAGE(IPC!M26:O26))</f>
        <v/>
      </c>
      <c r="AZ26" s="80">
        <f>IF(OR(IPC!R26="",IPC!Q26="",IPC!P26=""),"",AVERAGE(IPC!P26:R26))</f>
        <v>67.051495208099098</v>
      </c>
      <c r="BA26" s="80">
        <f>IF(OR(IPC!U26="",IPC!T26="",IPC!S26=""),"",AVERAGE(IPC!S26:U26))</f>
        <v>68.592133160277186</v>
      </c>
      <c r="BB26" s="80">
        <f>IF(OR(IPC!X26="",IPC!W26="",IPC!V26=""),"",AVERAGE(IPC!V26:X26))</f>
        <v>69.456550673814561</v>
      </c>
      <c r="BC26" s="80">
        <f>IF(OR(IPC!AA26="",IPC!Z26="",IPC!Y26=""),"",AVERAGE(IPC!Y26:AA26))</f>
        <v>69.963776640052188</v>
      </c>
      <c r="BD26" s="80">
        <f>IF(OR(IPC!AD26="",IPC!AC26="",IPC!AB26=""),"",AVERAGE(IPC!AB26:AD26))</f>
        <v>70.047719730185023</v>
      </c>
      <c r="BE26" s="80">
        <f>IF(OR(IPC!AG26="",IPC!AF26="",IPC!AE26=""),"",AVERAGE(IPC!AE26:AG26))</f>
        <v>70.594603539220032</v>
      </c>
      <c r="BF26" s="80">
        <f>IF(OR(IPC!AJ26="",IPC!AI26="",IPC!AH26=""),"",AVERAGE(IPC!AH26:AJ26))</f>
        <v>72.026604691111302</v>
      </c>
      <c r="BG26" s="80">
        <f>IF(OR(IPC!AM26="",IPC!AL26="",IPC!AK26=""),"",AVERAGE(IPC!AK26:AM26))</f>
        <v>73.728816614764284</v>
      </c>
      <c r="BH26" s="80">
        <f>IF(OR(IPC!AP26="",IPC!AO26="",IPC!AN26=""),"",AVERAGE(IPC!AN26:AP26))</f>
        <v>72.029720840151569</v>
      </c>
      <c r="BI26" s="80">
        <f>IF(OR(IPC!AS26="",IPC!AR26="",IPC!AQ26=""),"",AVERAGE(IPC!AQ26:AS26))</f>
        <v>72.3135878763904</v>
      </c>
      <c r="BJ26" s="80">
        <f>IF(OR(IPC!AV26="",IPC!AU26="",IPC!AT26=""),"",AVERAGE(IPC!AT26:AV26))</f>
        <v>73.498847192179937</v>
      </c>
      <c r="BK26" s="80">
        <f>IF(OR(IPC!AY26="",IPC!AX26="",IPC!AW26=""),"",AVERAGE(IPC!AW26:AY26))</f>
        <v>74.891892952979518</v>
      </c>
      <c r="BL26" s="80">
        <f>IF(OR(IPC!BB26="",IPC!BA26="",IPC!AZ26=""),"",AVERAGE(IPC!AZ26:BB26))</f>
        <v>73.624376556541122</v>
      </c>
      <c r="BM26" s="80">
        <f>IF(OR(IPC!BE26="",IPC!BD26="",IPC!BC26=""),"",AVERAGE(IPC!BC26:BE26))</f>
        <v>75.239724042725754</v>
      </c>
      <c r="BN26" s="80">
        <f>IF(OR(IPC!BH26="",IPC!BG26="",IPC!BF26=""),"",AVERAGE(IPC!BF26:BH26))</f>
        <v>76.914019545155739</v>
      </c>
      <c r="BO26" s="80">
        <f>IF(OR(IPC!BK26="",IPC!BJ26="",IPC!BI26=""),"",AVERAGE(IPC!BI26:BK26))</f>
        <v>77.256850959965618</v>
      </c>
      <c r="BP26" s="80">
        <f>IF(OR(IPC!BN26="",IPC!BM26="",IPC!BL26=""),"",AVERAGE(IPC!BL26:BN26))</f>
        <v>76.612632479587219</v>
      </c>
      <c r="BQ26" s="80">
        <f>IF(OR(IPC!BQ26="",IPC!BP26="",IPC!BO26=""),"",AVERAGE(IPC!BO26:BQ26))</f>
        <v>78.526963753418045</v>
      </c>
      <c r="BR26" s="80">
        <f>IF(OR(IPC!BT26="",IPC!BS26="",IPC!BR26=""),"",AVERAGE(IPC!BR26:BT26))</f>
        <v>78.462794754260912</v>
      </c>
      <c r="BS26" s="80">
        <f>IF(OR(IPC!BW26="",IPC!BV26="",IPC!BU26=""),"",AVERAGE(IPC!BU26:BW26))</f>
        <v>76.639129072674081</v>
      </c>
      <c r="BT26" s="80">
        <f>IF(OR(IPC!BZ26="",IPC!BY26="",IPC!BX26=""),"",AVERAGE(IPC!BX26:BZ26))</f>
        <v>75.783362905810279</v>
      </c>
      <c r="BU26" s="80">
        <f>IF(OR(IPC!CC26="",IPC!CB26="",IPC!CA26=""),"",AVERAGE(IPC!CA26:CC26))</f>
        <v>78.058765733751827</v>
      </c>
      <c r="BV26" s="80">
        <f>IF(OR(IPC!CF26="",IPC!CE26="",IPC!CD26=""),"",AVERAGE(IPC!CD26:CF26))</f>
        <v>78.737897250578641</v>
      </c>
      <c r="BW26" s="80">
        <f>IF(OR(IPC!CI26="",IPC!CH26="",IPC!CG26=""),"",AVERAGE(IPC!CG26:CI26))</f>
        <v>78.324912422669414</v>
      </c>
      <c r="BX26" s="80">
        <f>IF(OR(IPC!CL26="",IPC!CK26="",IPC!CJ26=""),"",AVERAGE(IPC!CJ26:CL26))</f>
        <v>77.83632230080029</v>
      </c>
      <c r="BY26" s="80">
        <f>IF(OR(IPC!CO26="",IPC!CN26="",IPC!CM26=""),"",AVERAGE(IPC!CM26:CO26))</f>
        <v>78.506084353750964</v>
      </c>
      <c r="BZ26" s="80">
        <f>IF(OR(IPC!CR26="",IPC!CQ26="",IPC!CP26=""),"",AVERAGE(IPC!CP26:CR26))</f>
        <v>78.366215658243306</v>
      </c>
      <c r="CA26" s="80">
        <f>IF(OR(IPC!CU26="",IPC!CT26="",IPC!CS26=""),"",AVERAGE(IPC!CS26:CU26))</f>
        <v>81.023892830900436</v>
      </c>
      <c r="CB26" s="80">
        <f>IF(OR(IPC!CX26="",IPC!CW26="",IPC!CV26=""),"",AVERAGE(IPC!CV26:CX26))</f>
        <v>80.887902339305455</v>
      </c>
      <c r="CC26" s="80">
        <f>IF(OR(IPC!DA26="",IPC!CZ26="",IPC!CY26=""),"",AVERAGE(IPC!CY26:DA26))</f>
        <v>82.519571849582874</v>
      </c>
      <c r="CD26" s="80">
        <f>IF(OR(IPC!DD26="",IPC!DC26="",IPC!DB26=""),"",AVERAGE(IPC!DB26:DD26))</f>
        <v>83.289295466339283</v>
      </c>
      <c r="CE26" s="80">
        <f>IF(OR(IPC!DG26="",IPC!DF26="",IPC!DE26=""),"",AVERAGE(IPC!DE26:DG26))</f>
        <v>83.651477790565664</v>
      </c>
      <c r="CF26" s="80">
        <f>IF(OR(IPC!DJ26="",IPC!DI26="",IPC!DH26=""),"",AVERAGE(IPC!DH26:DJ26))</f>
        <v>84.53915011370195</v>
      </c>
      <c r="CG26" s="80">
        <f>IF(OR(IPC!DM26="",IPC!DL26="",IPC!DK26=""),"",AVERAGE(IPC!DK26:DM26))</f>
        <v>85.663868941027275</v>
      </c>
      <c r="CH26" s="80">
        <f>IF(OR(IPC!DP26="",IPC!DO26="",IPC!DN26=""),"",AVERAGE(IPC!DN26:DP26))</f>
        <v>88.259715091407315</v>
      </c>
      <c r="CI26" s="80">
        <f>IF(OR(IPC!DS26="",IPC!DR26="",IPC!DQ26=""),"",AVERAGE(IPC!DQ26:DS26))</f>
        <v>88.373732710552687</v>
      </c>
      <c r="CJ26" s="80">
        <f>IF(OR(IPC!DV26="",IPC!DU26="",IPC!DT26=""),"",AVERAGE(IPC!DT26:DV26))</f>
        <v>87.438965620093896</v>
      </c>
      <c r="CK26" s="80">
        <f>IF(OR(IPC!DY26="",IPC!DX26="",IPC!DW26=""),"",AVERAGE(IPC!DW26:DY26))</f>
        <v>90.063634620455829</v>
      </c>
      <c r="CL26" s="80">
        <f>IF(OR(IPC!EB26="",IPC!EA26="",IPC!DZ26=""),"",AVERAGE(IPC!DZ26:EB26))</f>
        <v>92.684068693943047</v>
      </c>
      <c r="CM26" s="80">
        <f>IF(OR(IPC!EE26="",IPC!ED26="",IPC!EC26=""),"",AVERAGE(IPC!EC26:EE26))</f>
        <v>92.946330409841565</v>
      </c>
      <c r="CN26" s="80">
        <f>IF(OR(IPC!EH26="",IPC!EG26="",IPC!EF26=""),"",AVERAGE(IPC!EF26:EH26))</f>
        <v>96.119605117076858</v>
      </c>
      <c r="CO26" s="80">
        <f>IF(OR(IPC!EK26="",IPC!EJ26="",IPC!EI26=""),"",AVERAGE(IPC!EI26:EK26))</f>
        <v>98.320382809961288</v>
      </c>
      <c r="CP26" s="80">
        <f>IF(OR(IPC!EN26="",IPC!EM26="",IPC!EL26=""),"",AVERAGE(IPC!EL26:EN26))</f>
        <v>101.44962553050654</v>
      </c>
      <c r="CQ26" s="80">
        <f>IF(OR(IPC!EQ26="",IPC!EP26="",IPC!EO26=""),"",AVERAGE(IPC!EO26:EQ26))</f>
        <v>104.11038654245534</v>
      </c>
      <c r="CR26" s="80">
        <f>IF(OR(IPC!ET26="",IPC!ES26="",IPC!ER26=""),"",AVERAGE(IPC!ER26:ET26))</f>
        <v>108.23333333333333</v>
      </c>
      <c r="CS26" s="80">
        <f>IF(OR(IPC!EW26="",IPC!EV26="",IPC!EU26=""),"",AVERAGE(IPC!EU26:EW26))</f>
        <v>113.66666666666667</v>
      </c>
      <c r="CT26" s="80">
        <f>IF(OR(IPC!EZ26="",IPC!EY26="",IPC!EX26=""),"",AVERAGE(IPC!EX26:EZ26))</f>
        <v>118.26666666666667</v>
      </c>
      <c r="CU26" s="80">
        <f>IF(OR(IPC!FC26="",IPC!FB26="",IPC!FA26=""),"",AVERAGE(IPC!FA26:FC26))</f>
        <v>120.36666666666667</v>
      </c>
      <c r="CV26" s="80">
        <f>IF(OR(IPC!FF26="",IPC!FE26="",IPC!FD26=""),"",AVERAGE(IPC!FD26:FF26))</f>
        <v>118.43333333333334</v>
      </c>
      <c r="CW26" s="80">
        <f>IF(OR(IPC!FI26="",IPC!FH26="",IPC!FG26=""),"",AVERAGE(IPC!FG26:FI26))</f>
        <v>122.16666666666667</v>
      </c>
      <c r="CX26" s="80">
        <f>IF(OR(IPC!FL26="",IPC!FK26="",IPC!FJ26=""),"",AVERAGE(IPC!FJ26:FL26))</f>
        <v>129.13333333333333</v>
      </c>
      <c r="CY26" s="80">
        <f>IF(OR(IPC!FO26="",IPC!FN26="",IPC!FM26=""),"",AVERAGE(IPC!FM26:FO26))</f>
        <v>133.26666666666668</v>
      </c>
      <c r="CZ26" s="80">
        <f>IF(OR(IPC!FR26="",IPC!FQ26="",IPC!FP26=""),"",AVERAGE(IPC!FP26:FR26))</f>
        <v>133.36666666666667</v>
      </c>
    </row>
    <row r="27" spans="1:104" s="81" customFormat="1" ht="10.199999999999999" x14ac:dyDescent="0.2">
      <c r="B27" s="81" t="s">
        <v>107</v>
      </c>
      <c r="AV27" s="81" t="str">
        <f>IF(OR(IPC!F27="",IPC!E27="",IPC!D27=""),"",AVERAGE(IPC!D27:F27))</f>
        <v/>
      </c>
      <c r="AW27" s="81" t="str">
        <f>IF(OR(IPC!I27="",IPC!H27="",IPC!G27=""),"",AVERAGE(IPC!G27:I27))</f>
        <v/>
      </c>
      <c r="AX27" s="81" t="str">
        <f>IF(OR(IPC!L27="",IPC!K27="",IPC!J27=""),"",AVERAGE(IPC!J27:L27))</f>
        <v/>
      </c>
      <c r="AY27" s="81" t="str">
        <f>IF(OR(IPC!O27="",IPC!N27="",IPC!M27=""),"",AVERAGE(IPC!M27:O27))</f>
        <v/>
      </c>
      <c r="AZ27" s="82">
        <f>IF(OR(IPC!R27="",IPC!Q27="",IPC!P27=""),"",AVERAGE(IPC!P27:R27))</f>
        <v>81.370393720573745</v>
      </c>
      <c r="BA27" s="82">
        <f>IF(OR(IPC!U27="",IPC!T27="",IPC!S27=""),"",AVERAGE(IPC!S27:U27))</f>
        <v>81.799231578810506</v>
      </c>
      <c r="BB27" s="82">
        <f>IF(OR(IPC!X27="",IPC!W27="",IPC!V27=""),"",AVERAGE(IPC!V27:X27))</f>
        <v>82.357846457994299</v>
      </c>
      <c r="BC27" s="82">
        <f>IF(OR(IPC!AA27="",IPC!Z27="",IPC!Y27=""),"",AVERAGE(IPC!Y27:AA27))</f>
        <v>82.968743345461078</v>
      </c>
      <c r="BD27" s="82">
        <f>IF(OR(IPC!AD27="",IPC!AC27="",IPC!AB27=""),"",AVERAGE(IPC!AB27:AD27))</f>
        <v>83.114137925281341</v>
      </c>
      <c r="BE27" s="82">
        <f>IF(OR(IPC!AG27="",IPC!AF27="",IPC!AE27=""),"",AVERAGE(IPC!AE27:AG27))</f>
        <v>83.140583239347393</v>
      </c>
      <c r="BF27" s="82">
        <f>IF(OR(IPC!AJ27="",IPC!AI27="",IPC!AH27=""),"",AVERAGE(IPC!AH27:AJ27))</f>
        <v>83.451560992899616</v>
      </c>
      <c r="BG27" s="82">
        <f>IF(OR(IPC!AM27="",IPC!AL27="",IPC!AK27=""),"",AVERAGE(IPC!AK27:AM27))</f>
        <v>84.083398836817466</v>
      </c>
      <c r="BH27" s="82">
        <f>IF(OR(IPC!AP27="",IPC!AO27="",IPC!AN27=""),"",AVERAGE(IPC!AN27:AP27))</f>
        <v>83.985494455686805</v>
      </c>
      <c r="BI27" s="82">
        <f>IF(OR(IPC!AS27="",IPC!AR27="",IPC!AQ27=""),"",AVERAGE(IPC!AQ27:AS27))</f>
        <v>83.78290464538992</v>
      </c>
      <c r="BJ27" s="82">
        <f>IF(OR(IPC!AV27="",IPC!AU27="",IPC!AT27=""),"",AVERAGE(IPC!AT27:AV27))</f>
        <v>85.739787533003309</v>
      </c>
      <c r="BK27" s="82">
        <f>IF(OR(IPC!AY27="",IPC!AX27="",IPC!AW27=""),"",AVERAGE(IPC!AW27:AY27))</f>
        <v>86.092431842805411</v>
      </c>
      <c r="BL27" s="82">
        <f>IF(OR(IPC!BB27="",IPC!BA27="",IPC!AZ27=""),"",AVERAGE(IPC!AZ27:BB27))</f>
        <v>86.437489945532931</v>
      </c>
      <c r="BM27" s="82">
        <f>IF(OR(IPC!BE27="",IPC!BD27="",IPC!BC27=""),"",AVERAGE(IPC!BC27:BE27))</f>
        <v>86.972042541431009</v>
      </c>
      <c r="BN27" s="82">
        <f>IF(OR(IPC!BH27="",IPC!BG27="",IPC!BF27=""),"",AVERAGE(IPC!BF27:BH27))</f>
        <v>87.290996800170902</v>
      </c>
      <c r="BO27" s="82">
        <f>IF(OR(IPC!BK27="",IPC!BJ27="",IPC!BI27=""),"",AVERAGE(IPC!BI27:BK27))</f>
        <v>87.393223965040832</v>
      </c>
      <c r="BP27" s="82">
        <f>IF(OR(IPC!BN27="",IPC!BM27="",IPC!BL27=""),"",AVERAGE(IPC!BL27:BN27))</f>
        <v>87.360273988549352</v>
      </c>
      <c r="BQ27" s="82">
        <f>IF(OR(IPC!BQ27="",IPC!BP27="",IPC!BO27=""),"",AVERAGE(IPC!BO27:BQ27))</f>
        <v>87.334507372673784</v>
      </c>
      <c r="BR27" s="82">
        <f>IF(OR(IPC!BT27="",IPC!BS27="",IPC!BR27=""),"",AVERAGE(IPC!BR27:BT27))</f>
        <v>87.65099182920558</v>
      </c>
      <c r="BS27" s="82">
        <f>IF(OR(IPC!BW27="",IPC!BV27="",IPC!BU27=""),"",AVERAGE(IPC!BU27:BW27))</f>
        <v>88.01339424860636</v>
      </c>
      <c r="BT27" s="82">
        <f>IF(OR(IPC!BZ27="",IPC!BY27="",IPC!BX27=""),"",AVERAGE(IPC!BX27:BZ27))</f>
        <v>88.080347635946438</v>
      </c>
      <c r="BU27" s="82">
        <f>IF(OR(IPC!CC27="",IPC!CB27="",IPC!CA27=""),"",AVERAGE(IPC!CA27:CC27))</f>
        <v>88.093032520941776</v>
      </c>
      <c r="BV27" s="82">
        <f>IF(OR(IPC!CF27="",IPC!CE27="",IPC!CD27=""),"",AVERAGE(IPC!CD27:CF27))</f>
        <v>88.348349292231035</v>
      </c>
      <c r="BW27" s="82">
        <f>IF(OR(IPC!CI27="",IPC!CH27="",IPC!CG27=""),"",AVERAGE(IPC!CG27:CI27))</f>
        <v>88.549851246846899</v>
      </c>
      <c r="BX27" s="82">
        <f>IF(OR(IPC!CL27="",IPC!CK27="",IPC!CJ27=""),"",AVERAGE(IPC!CJ27:CL27))</f>
        <v>88.474266683940485</v>
      </c>
      <c r="BY27" s="82">
        <f>IF(OR(IPC!CO27="",IPC!CN27="",IPC!CM27=""),"",AVERAGE(IPC!CM27:CO27))</f>
        <v>88.893098605551472</v>
      </c>
      <c r="BZ27" s="82">
        <f>IF(OR(IPC!CR27="",IPC!CQ27="",IPC!CP27=""),"",AVERAGE(IPC!CP27:CR27))</f>
        <v>89.433344665717968</v>
      </c>
      <c r="CA27" s="82">
        <f>IF(OR(IPC!CU27="",IPC!CT27="",IPC!CS27=""),"",AVERAGE(IPC!CS27:CU27))</f>
        <v>89.839428975357308</v>
      </c>
      <c r="CB27" s="82">
        <f>IF(OR(IPC!CX27="",IPC!CW27="",IPC!CV27=""),"",AVERAGE(IPC!CV27:CX27))</f>
        <v>90.294535843765019</v>
      </c>
      <c r="CC27" s="82">
        <f>IF(OR(IPC!DA27="",IPC!CZ27="",IPC!CY27=""),"",AVERAGE(IPC!CY27:DA27))</f>
        <v>90.913419112290953</v>
      </c>
      <c r="CD27" s="82">
        <f>IF(OR(IPC!DD27="",IPC!DC27="",IPC!DB27=""),"",AVERAGE(IPC!DB27:DD27))</f>
        <v>91.348133231935421</v>
      </c>
      <c r="CE27" s="82">
        <f>IF(OR(IPC!DG27="",IPC!DF27="",IPC!DE27=""),"",AVERAGE(IPC!DE27:DG27))</f>
        <v>92.187393806836511</v>
      </c>
      <c r="CF27" s="82">
        <f>IF(OR(IPC!DJ27="",IPC!DI27="",IPC!DH27=""),"",AVERAGE(IPC!DH27:DJ27))</f>
        <v>92.5272820702383</v>
      </c>
      <c r="CG27" s="82">
        <f>IF(OR(IPC!DM27="",IPC!DL27="",IPC!DK27=""),"",AVERAGE(IPC!DK27:DM27))</f>
        <v>92.974069085617487</v>
      </c>
      <c r="CH27" s="82">
        <f>IF(OR(IPC!DP27="",IPC!DO27="",IPC!DN27=""),"",AVERAGE(IPC!DN27:DP27))</f>
        <v>92.967534452070296</v>
      </c>
      <c r="CI27" s="82">
        <f>IF(OR(IPC!DS27="",IPC!DR27="",IPC!DQ27=""),"",AVERAGE(IPC!DQ27:DS27))</f>
        <v>93.581575845333077</v>
      </c>
      <c r="CJ27" s="82">
        <f>IF(OR(IPC!DV27="",IPC!DU27="",IPC!DT27=""),"",AVERAGE(IPC!DT27:DV27))</f>
        <v>94.002252039500547</v>
      </c>
      <c r="CK27" s="82">
        <f>IF(OR(IPC!DY27="",IPC!DX27="",IPC!DW27=""),"",AVERAGE(IPC!DW27:DY27))</f>
        <v>94.343476219153487</v>
      </c>
      <c r="CL27" s="82">
        <f>IF(OR(IPC!EB27="",IPC!EA27="",IPC!DZ27=""),"",AVERAGE(IPC!DZ27:EB27))</f>
        <v>94.723738792295208</v>
      </c>
      <c r="CM27" s="82">
        <f>IF(OR(IPC!EE27="",IPC!ED27="",IPC!EC27=""),"",AVERAGE(IPC!EC27:EE27))</f>
        <v>95.639973199081695</v>
      </c>
      <c r="CN27" s="82">
        <f>IF(OR(IPC!EH27="",IPC!EG27="",IPC!EF27=""),"",AVERAGE(IPC!EF27:EH27))</f>
        <v>97.107660544970088</v>
      </c>
      <c r="CO27" s="82">
        <f>IF(OR(IPC!EK27="",IPC!EJ27="",IPC!EI27=""),"",AVERAGE(IPC!EI27:EK27))</f>
        <v>99.393859203550008</v>
      </c>
      <c r="CP27" s="82">
        <f>IF(OR(IPC!EN27="",IPC!EM27="",IPC!EL27=""),"",AVERAGE(IPC!EL27:EN27))</f>
        <v>101.10686898398883</v>
      </c>
      <c r="CQ27" s="82">
        <f>IF(OR(IPC!EQ27="",IPC!EP27="",IPC!EO27=""),"",AVERAGE(IPC!EO27:EQ27))</f>
        <v>102.39161126749106</v>
      </c>
      <c r="CR27" s="82">
        <f>IF(OR(IPC!ET27="",IPC!ES27="",IPC!ER27=""),"",AVERAGE(IPC!ER27:ET27))</f>
        <v>104.2</v>
      </c>
      <c r="CS27" s="82">
        <f>IF(OR(IPC!EW27="",IPC!EV27="",IPC!EU27=""),"",AVERAGE(IPC!EU27:EW27))</f>
        <v>105.96666666666665</v>
      </c>
      <c r="CT27" s="82">
        <f>IF(OR(IPC!EZ27="",IPC!EY27="",IPC!EX27=""),"",AVERAGE(IPC!EX27:EZ27))</f>
        <v>106.7</v>
      </c>
      <c r="CU27" s="82">
        <f>IF(OR(IPC!FC27="",IPC!FB27="",IPC!FA27=""),"",AVERAGE(IPC!FA27:FC27))</f>
        <v>107.03333333333335</v>
      </c>
      <c r="CV27" s="82">
        <f>IF(OR(IPC!FF27="",IPC!FE27="",IPC!FD27=""),"",AVERAGE(IPC!FD27:FF27))</f>
        <v>108</v>
      </c>
      <c r="CW27" s="82">
        <f>IF(OR(IPC!FI27="",IPC!FH27="",IPC!FG27=""),"",AVERAGE(IPC!FG27:FI27))</f>
        <v>109.06666666666666</v>
      </c>
      <c r="CX27" s="82">
        <f>IF(OR(IPC!FL27="",IPC!FK27="",IPC!FJ27=""),"",AVERAGE(IPC!FJ27:FL27))</f>
        <v>109.56666666666668</v>
      </c>
      <c r="CY27" s="82">
        <f>IF(OR(IPC!FO27="",IPC!FN27="",IPC!FM27=""),"",AVERAGE(IPC!FM27:FO27))</f>
        <v>110.36666666666666</v>
      </c>
      <c r="CZ27" s="82">
        <f>IF(OR(IPC!FR27="",IPC!FQ27="",IPC!FP27=""),"",AVERAGE(IPC!FP27:FR27))</f>
        <v>110.89999999999999</v>
      </c>
    </row>
    <row r="28" spans="1:104" s="74" customFormat="1" ht="10.199999999999999" x14ac:dyDescent="0.2">
      <c r="AV28" s="74" t="str">
        <f>IF(OR(IPC!F28="",IPC!E28="",IPC!D28=""),"",AVERAGE(IPC!D28:F28))</f>
        <v/>
      </c>
      <c r="AW28" s="74" t="str">
        <f>IF(OR(IPC!I28="",IPC!H28="",IPC!G28=""),"",AVERAGE(IPC!G28:I28))</f>
        <v/>
      </c>
      <c r="AX28" s="74" t="str">
        <f>IF(OR(IPC!L28="",IPC!K28="",IPC!J28=""),"",AVERAGE(IPC!J28:L28))</f>
        <v/>
      </c>
      <c r="AY28" s="74" t="str">
        <f>IF(OR(IPC!O28="",IPC!N28="",IPC!M28=""),"",AVERAGE(IPC!M28:O28))</f>
        <v/>
      </c>
      <c r="AZ28" s="76" t="str">
        <f>IF(OR(IPC!R28="",IPC!Q28="",IPC!P28=""),"",AVERAGE(IPC!P28:R28))</f>
        <v/>
      </c>
      <c r="BA28" s="76" t="str">
        <f>IF(OR(IPC!U28="",IPC!T28="",IPC!S28=""),"",AVERAGE(IPC!S28:U28))</f>
        <v/>
      </c>
      <c r="BB28" s="76" t="str">
        <f>IF(OR(IPC!X28="",IPC!W28="",IPC!V28=""),"",AVERAGE(IPC!V28:X28))</f>
        <v/>
      </c>
      <c r="BC28" s="76" t="str">
        <f>IF(OR(IPC!AA28="",IPC!Z28="",IPC!Y28=""),"",AVERAGE(IPC!Y28:AA28))</f>
        <v/>
      </c>
      <c r="BD28" s="76" t="str">
        <f>IF(OR(IPC!AD28="",IPC!AC28="",IPC!AB28=""),"",AVERAGE(IPC!AB28:AD28))</f>
        <v/>
      </c>
      <c r="BE28" s="76" t="str">
        <f>IF(OR(IPC!AG28="",IPC!AF28="",IPC!AE28=""),"",AVERAGE(IPC!AE28:AG28))</f>
        <v/>
      </c>
      <c r="BF28" s="76" t="str">
        <f>IF(OR(IPC!AJ28="",IPC!AI28="",IPC!AH28=""),"",AVERAGE(IPC!AH28:AJ28))</f>
        <v/>
      </c>
      <c r="BG28" s="76" t="str">
        <f>IF(OR(IPC!AM28="",IPC!AL28="",IPC!AK28=""),"",AVERAGE(IPC!AK28:AM28))</f>
        <v/>
      </c>
      <c r="BH28" s="76" t="str">
        <f>IF(OR(IPC!AP28="",IPC!AO28="",IPC!AN28=""),"",AVERAGE(IPC!AN28:AP28))</f>
        <v/>
      </c>
      <c r="BI28" s="76" t="str">
        <f>IF(OR(IPC!AS28="",IPC!AR28="",IPC!AQ28=""),"",AVERAGE(IPC!AQ28:AS28))</f>
        <v/>
      </c>
      <c r="BJ28" s="76" t="str">
        <f>IF(OR(IPC!AV28="",IPC!AU28="",IPC!AT28=""),"",AVERAGE(IPC!AT28:AV28))</f>
        <v/>
      </c>
      <c r="BK28" s="76" t="str">
        <f>IF(OR(IPC!AY28="",IPC!AX28="",IPC!AW28=""),"",AVERAGE(IPC!AW28:AY28))</f>
        <v/>
      </c>
      <c r="BL28" s="76" t="str">
        <f>IF(OR(IPC!BB28="",IPC!BA28="",IPC!AZ28=""),"",AVERAGE(IPC!AZ28:BB28))</f>
        <v/>
      </c>
      <c r="BM28" s="76" t="str">
        <f>IF(OR(IPC!BE28="",IPC!BD28="",IPC!BC28=""),"",AVERAGE(IPC!BC28:BE28))</f>
        <v/>
      </c>
      <c r="BN28" s="76" t="str">
        <f>IF(OR(IPC!BH28="",IPC!BG28="",IPC!BF28=""),"",AVERAGE(IPC!BF28:BH28))</f>
        <v/>
      </c>
      <c r="BO28" s="76" t="str">
        <f>IF(OR(IPC!BK28="",IPC!BJ28="",IPC!BI28=""),"",AVERAGE(IPC!BI28:BK28))</f>
        <v/>
      </c>
      <c r="BP28" s="76" t="str">
        <f>IF(OR(IPC!BN28="",IPC!BM28="",IPC!BL28=""),"",AVERAGE(IPC!BL28:BN28))</f>
        <v/>
      </c>
      <c r="BQ28" s="76" t="str">
        <f>IF(OR(IPC!BQ28="",IPC!BP28="",IPC!BO28=""),"",AVERAGE(IPC!BO28:BQ28))</f>
        <v/>
      </c>
      <c r="BR28" s="76" t="str">
        <f>IF(OR(IPC!BT28="",IPC!BS28="",IPC!BR28=""),"",AVERAGE(IPC!BR28:BT28))</f>
        <v/>
      </c>
      <c r="BS28" s="76" t="str">
        <f>IF(OR(IPC!BW28="",IPC!BV28="",IPC!BU28=""),"",AVERAGE(IPC!BU28:BW28))</f>
        <v/>
      </c>
      <c r="BT28" s="76" t="str">
        <f>IF(OR(IPC!BZ28="",IPC!BY28="",IPC!BX28=""),"",AVERAGE(IPC!BX28:BZ28))</f>
        <v/>
      </c>
      <c r="BU28" s="76" t="str">
        <f>IF(OR(IPC!CC28="",IPC!CB28="",IPC!CA28=""),"",AVERAGE(IPC!CA28:CC28))</f>
        <v/>
      </c>
      <c r="BV28" s="76" t="str">
        <f>IF(OR(IPC!CF28="",IPC!CE28="",IPC!CD28=""),"",AVERAGE(IPC!CD28:CF28))</f>
        <v/>
      </c>
      <c r="BW28" s="76" t="str">
        <f>IF(OR(IPC!CI28="",IPC!CH28="",IPC!CG28=""),"",AVERAGE(IPC!CG28:CI28))</f>
        <v/>
      </c>
      <c r="BX28" s="76" t="str">
        <f>IF(OR(IPC!CL28="",IPC!CK28="",IPC!CJ28=""),"",AVERAGE(IPC!CJ28:CL28))</f>
        <v/>
      </c>
      <c r="BY28" s="76" t="str">
        <f>IF(OR(IPC!CO28="",IPC!CN28="",IPC!CM28=""),"",AVERAGE(IPC!CM28:CO28))</f>
        <v/>
      </c>
      <c r="BZ28" s="76" t="str">
        <f>IF(OR(IPC!CR28="",IPC!CQ28="",IPC!CP28=""),"",AVERAGE(IPC!CP28:CR28))</f>
        <v/>
      </c>
      <c r="CA28" s="76" t="str">
        <f>IF(OR(IPC!CU28="",IPC!CT28="",IPC!CS28=""),"",AVERAGE(IPC!CS28:CU28))</f>
        <v/>
      </c>
      <c r="CB28" s="76" t="str">
        <f>IF(OR(IPC!CX28="",IPC!CW28="",IPC!CV28=""),"",AVERAGE(IPC!CV28:CX28))</f>
        <v/>
      </c>
      <c r="CC28" s="76" t="str">
        <f>IF(OR(IPC!DA28="",IPC!CZ28="",IPC!CY28=""),"",AVERAGE(IPC!CY28:DA28))</f>
        <v/>
      </c>
      <c r="CD28" s="76" t="str">
        <f>IF(OR(IPC!DD28="",IPC!DC28="",IPC!DB28=""),"",AVERAGE(IPC!DB28:DD28))</f>
        <v/>
      </c>
      <c r="CE28" s="76" t="str">
        <f>IF(OR(IPC!DG28="",IPC!DF28="",IPC!DE28=""),"",AVERAGE(IPC!DE28:DG28))</f>
        <v/>
      </c>
      <c r="CF28" s="76" t="str">
        <f>IF(OR(IPC!DJ28="",IPC!DI28="",IPC!DH28=""),"",AVERAGE(IPC!DH28:DJ28))</f>
        <v/>
      </c>
      <c r="CG28" s="76" t="str">
        <f>IF(OR(IPC!DM28="",IPC!DL28="",IPC!DK28=""),"",AVERAGE(IPC!DK28:DM28))</f>
        <v/>
      </c>
      <c r="CH28" s="76" t="str">
        <f>IF(OR(IPC!DP28="",IPC!DO28="",IPC!DN28=""),"",AVERAGE(IPC!DN28:DP28))</f>
        <v/>
      </c>
      <c r="CI28" s="76" t="str">
        <f>IF(OR(IPC!DS28="",IPC!DR28="",IPC!DQ28=""),"",AVERAGE(IPC!DQ28:DS28))</f>
        <v/>
      </c>
      <c r="CJ28" s="76" t="str">
        <f>IF(OR(IPC!DV28="",IPC!DU28="",IPC!DT28=""),"",AVERAGE(IPC!DT28:DV28))</f>
        <v/>
      </c>
      <c r="CK28" s="76" t="str">
        <f>IF(OR(IPC!DY28="",IPC!DX28="",IPC!DW28=""),"",AVERAGE(IPC!DW28:DY28))</f>
        <v/>
      </c>
      <c r="CL28" s="76" t="str">
        <f>IF(OR(IPC!EB28="",IPC!EA28="",IPC!DZ28=""),"",AVERAGE(IPC!DZ28:EB28))</f>
        <v/>
      </c>
      <c r="CM28" s="76" t="str">
        <f>IF(OR(IPC!EE28="",IPC!ED28="",IPC!EC28=""),"",AVERAGE(IPC!EC28:EE28))</f>
        <v/>
      </c>
      <c r="CN28" s="76" t="str">
        <f>IF(OR(IPC!EH28="",IPC!EG28="",IPC!EF28=""),"",AVERAGE(IPC!EF28:EH28))</f>
        <v/>
      </c>
      <c r="CO28" s="76" t="str">
        <f>IF(OR(IPC!EK28="",IPC!EJ28="",IPC!EI28=""),"",AVERAGE(IPC!EI28:EK28))</f>
        <v/>
      </c>
      <c r="CP28" s="76" t="str">
        <f>IF(OR(IPC!EN28="",IPC!EM28="",IPC!EL28=""),"",AVERAGE(IPC!EL28:EN28))</f>
        <v/>
      </c>
      <c r="CQ28" s="76" t="str">
        <f>IF(OR(IPC!EQ28="",IPC!EP28="",IPC!EO28=""),"",AVERAGE(IPC!EO28:EQ28))</f>
        <v/>
      </c>
      <c r="CR28" s="76" t="str">
        <f>IF(OR(IPC!ET28="",IPC!ES28="",IPC!ER28=""),"",AVERAGE(IPC!ER28:ET28))</f>
        <v/>
      </c>
      <c r="CS28" s="76" t="str">
        <f>IF(OR(IPC!EW28="",IPC!EV28="",IPC!EU28=""),"",AVERAGE(IPC!EU28:EW28))</f>
        <v/>
      </c>
      <c r="CT28" s="76" t="str">
        <f>IF(OR(IPC!EZ28="",IPC!EY28="",IPC!EX28=""),"",AVERAGE(IPC!EX28:EZ28))</f>
        <v/>
      </c>
      <c r="CU28" s="76" t="str">
        <f>IF(OR(IPC!FC28="",IPC!FB28="",IPC!FA28=""),"",AVERAGE(IPC!FA28:FC28))</f>
        <v/>
      </c>
      <c r="CV28" s="76" t="str">
        <f>IF(OR(IPC!FF28="",IPC!FE28="",IPC!FD28=""),"",AVERAGE(IPC!FD28:FF28))</f>
        <v/>
      </c>
      <c r="CW28" s="76" t="str">
        <f>IF(OR(IPC!FI28="",IPC!FH28="",IPC!FG28=""),"",AVERAGE(IPC!FG28:FI28))</f>
        <v/>
      </c>
      <c r="CX28" s="76" t="str">
        <f>IF(OR(IPC!FL28="",IPC!FK28="",IPC!FJ28=""),"",AVERAGE(IPC!FJ28:FL28))</f>
        <v/>
      </c>
      <c r="CY28" s="76" t="str">
        <f>IF(OR(IPC!FO28="",IPC!FN28="",IPC!FM28=""),"",AVERAGE(IPC!FM28:FO28))</f>
        <v/>
      </c>
      <c r="CZ28" s="76" t="str">
        <f>IF(OR(IPC!FR28="",IPC!FQ28="",IPC!FP28=""),"",AVERAGE(IPC!FP28:FR28))</f>
        <v/>
      </c>
    </row>
    <row r="29" spans="1:104" s="3" customFormat="1" ht="10.199999999999999" x14ac:dyDescent="0.2">
      <c r="B29" s="3" t="s">
        <v>108</v>
      </c>
      <c r="AV29" s="3" t="str">
        <f>IF(OR(IPC!F29="",IPC!E29="",IPC!D29=""),"",AVERAGE(IPC!D29:F29))</f>
        <v/>
      </c>
      <c r="AW29" s="3" t="str">
        <f>IF(OR(IPC!I29="",IPC!H29="",IPC!G29=""),"",AVERAGE(IPC!G29:I29))</f>
        <v/>
      </c>
      <c r="AX29" s="3" t="str">
        <f>IF(OR(IPC!L29="",IPC!K29="",IPC!J29=""),"",AVERAGE(IPC!J29:L29))</f>
        <v/>
      </c>
      <c r="AY29" s="3" t="str">
        <f>IF(OR(IPC!O29="",IPC!N29="",IPC!M29=""),"",AVERAGE(IPC!M29:O29))</f>
        <v/>
      </c>
      <c r="AZ29" s="80">
        <f>IF(OR(IPC!R29="",IPC!Q29="",IPC!P29=""),"",AVERAGE(IPC!P29:R29))</f>
        <v>69.234919813947428</v>
      </c>
      <c r="BA29" s="80">
        <f>IF(OR(IPC!U29="",IPC!T29="",IPC!S29=""),"",AVERAGE(IPC!S29:U29))</f>
        <v>70.674898516577684</v>
      </c>
      <c r="BB29" s="80">
        <f>IF(OR(IPC!X29="",IPC!W29="",IPC!V29=""),"",AVERAGE(IPC!V29:X29))</f>
        <v>71.644317783486031</v>
      </c>
      <c r="BC29" s="80">
        <f>IF(OR(IPC!AA29="",IPC!Z29="",IPC!Y29=""),"",AVERAGE(IPC!Y29:AA29))</f>
        <v>72.50104843212074</v>
      </c>
      <c r="BD29" s="80">
        <f>IF(OR(IPC!AD29="",IPC!AC29="",IPC!AB29=""),"",AVERAGE(IPC!AB29:AD29))</f>
        <v>72.465490623536127</v>
      </c>
      <c r="BE29" s="80">
        <f>IF(OR(IPC!AG29="",IPC!AF29="",IPC!AE29=""),"",AVERAGE(IPC!AE29:AG29))</f>
        <v>72.35303562301057</v>
      </c>
      <c r="BF29" s="80">
        <f>IF(OR(IPC!AJ29="",IPC!AI29="",IPC!AH29=""),"",AVERAGE(IPC!AH29:AJ29))</f>
        <v>73.597864127146593</v>
      </c>
      <c r="BG29" s="80">
        <f>IF(OR(IPC!AM29="",IPC!AL29="",IPC!AK29=""),"",AVERAGE(IPC!AK29:AM29))</f>
        <v>75.10470190450387</v>
      </c>
      <c r="BH29" s="80">
        <f>IF(OR(IPC!AP29="",IPC!AO29="",IPC!AN29=""),"",AVERAGE(IPC!AN29:AP29))</f>
        <v>74.004453999277828</v>
      </c>
      <c r="BI29" s="80">
        <f>IF(OR(IPC!AS29="",IPC!AR29="",IPC!AQ29=""),"",AVERAGE(IPC!AQ29:AS29))</f>
        <v>73.542485175424986</v>
      </c>
      <c r="BJ29" s="80">
        <f>IF(OR(IPC!AV29="",IPC!AU29="",IPC!AT29=""),"",AVERAGE(IPC!AT29:AV29))</f>
        <v>74.765847164219636</v>
      </c>
      <c r="BK29" s="80">
        <f>IF(OR(IPC!AY29="",IPC!AX29="",IPC!AW29=""),"",AVERAGE(IPC!AW29:AY29))</f>
        <v>76.031023149871785</v>
      </c>
      <c r="BL29" s="80">
        <f>IF(OR(IPC!BB29="",IPC!BA29="",IPC!AZ29=""),"",AVERAGE(IPC!AZ29:BB29))</f>
        <v>75.472991542962788</v>
      </c>
      <c r="BM29" s="80">
        <f>IF(OR(IPC!BE29="",IPC!BD29="",IPC!BC29=""),"",AVERAGE(IPC!BC29:BE29))</f>
        <v>76.776410077540348</v>
      </c>
      <c r="BN29" s="80">
        <f>IF(OR(IPC!BH29="",IPC!BG29="",IPC!BF29=""),"",AVERAGE(IPC!BF29:BH29))</f>
        <v>77.832410643661788</v>
      </c>
      <c r="BO29" s="80">
        <f>IF(OR(IPC!BK29="",IPC!BJ29="",IPC!BI29=""),"",AVERAGE(IPC!BI29:BK29))</f>
        <v>78.09371027856298</v>
      </c>
      <c r="BP29" s="80">
        <f>IF(OR(IPC!BN29="",IPC!BM29="",IPC!BL29=""),"",AVERAGE(IPC!BL29:BN29))</f>
        <v>77.431953823029247</v>
      </c>
      <c r="BQ29" s="80">
        <f>IF(OR(IPC!BQ29="",IPC!BP29="",IPC!BO29=""),"",AVERAGE(IPC!BO29:BQ29))</f>
        <v>78.627333900159414</v>
      </c>
      <c r="BR29" s="80">
        <f>IF(OR(IPC!BT29="",IPC!BS29="",IPC!BR29=""),"",AVERAGE(IPC!BR29:BT29))</f>
        <v>78.979907124847102</v>
      </c>
      <c r="BS29" s="80">
        <f>IF(OR(IPC!BW29="",IPC!BV29="",IPC!BU29=""),"",AVERAGE(IPC!BU29:BW29))</f>
        <v>78.170439542317368</v>
      </c>
      <c r="BT29" s="80">
        <f>IF(OR(IPC!BZ29="",IPC!BY29="",IPC!BX29=""),"",AVERAGE(IPC!BX29:BZ29))</f>
        <v>77.194794963489997</v>
      </c>
      <c r="BU29" s="80">
        <f>IF(OR(IPC!CC29="",IPC!CB29="",IPC!CA29=""),"",AVERAGE(IPC!CA29:CC29))</f>
        <v>78.62200248397518</v>
      </c>
      <c r="BV29" s="80">
        <f>IF(OR(IPC!CF29="",IPC!CE29="",IPC!CD29=""),"",AVERAGE(IPC!CD29:CF29))</f>
        <v>79.398670302462563</v>
      </c>
      <c r="BW29" s="80">
        <f>IF(OR(IPC!CI29="",IPC!CH29="",IPC!CG29=""),"",AVERAGE(IPC!CG29:CI29))</f>
        <v>79.418798302776736</v>
      </c>
      <c r="BX29" s="80">
        <f>IF(OR(IPC!CL29="",IPC!CK29="",IPC!CJ29=""),"",AVERAGE(IPC!CJ29:CL29))</f>
        <v>78.493294089364554</v>
      </c>
      <c r="BY29" s="80">
        <f>IF(OR(IPC!CO29="",IPC!CN29="",IPC!CM29=""),"",AVERAGE(IPC!CM29:CO29))</f>
        <v>78.609430693512465</v>
      </c>
      <c r="BZ29" s="80">
        <f>IF(OR(IPC!CR29="",IPC!CQ29="",IPC!CP29=""),"",AVERAGE(IPC!CP29:CR29))</f>
        <v>78.572892496264032</v>
      </c>
      <c r="CA29" s="80">
        <f>IF(OR(IPC!CU29="",IPC!CT29="",IPC!CS29=""),"",AVERAGE(IPC!CS29:CU29))</f>
        <v>80.246168837347355</v>
      </c>
      <c r="CB29" s="80">
        <f>IF(OR(IPC!CX29="",IPC!CW29="",IPC!CV29=""),"",AVERAGE(IPC!CV29:CX29))</f>
        <v>80.240877909591617</v>
      </c>
      <c r="CC29" s="80">
        <f>IF(OR(IPC!DA29="",IPC!CZ29="",IPC!CY29=""),"",AVERAGE(IPC!CY29:DA29))</f>
        <v>81.421195093633415</v>
      </c>
      <c r="CD29" s="80">
        <f>IF(OR(IPC!DD29="",IPC!DC29="",IPC!DB29=""),"",AVERAGE(IPC!DB29:DD29))</f>
        <v>82.472919030790834</v>
      </c>
      <c r="CE29" s="80">
        <f>IF(OR(IPC!DG29="",IPC!DF29="",IPC!DE29=""),"",AVERAGE(IPC!DE29:DG29))</f>
        <v>83.848410827141336</v>
      </c>
      <c r="CF29" s="80">
        <f>IF(OR(IPC!DJ29="",IPC!DI29="",IPC!DH29=""),"",AVERAGE(IPC!DH29:DJ29))</f>
        <v>84.698970337097748</v>
      </c>
      <c r="CG29" s="80">
        <f>IF(OR(IPC!DM29="",IPC!DL29="",IPC!DK29=""),"",AVERAGE(IPC!DK29:DM29))</f>
        <v>85.120462613211913</v>
      </c>
      <c r="CH29" s="80">
        <f>IF(OR(IPC!DP29="",IPC!DO29="",IPC!DN29=""),"",AVERAGE(IPC!DN29:DP29))</f>
        <v>86.733419230461166</v>
      </c>
      <c r="CI29" s="80">
        <f>IF(OR(IPC!DS29="",IPC!DR29="",IPC!DQ29=""),"",AVERAGE(IPC!DQ29:DS29))</f>
        <v>87.487620489462699</v>
      </c>
      <c r="CJ29" s="80">
        <f>IF(OR(IPC!DV29="",IPC!DU29="",IPC!DT29=""),"",AVERAGE(IPC!DT29:DV29))</f>
        <v>87.299305028670588</v>
      </c>
      <c r="CK29" s="80">
        <f>IF(OR(IPC!DY29="",IPC!DX29="",IPC!DW29=""),"",AVERAGE(IPC!DW29:DY29))</f>
        <v>89.359649339678654</v>
      </c>
      <c r="CL29" s="80">
        <f>IF(OR(IPC!EB29="",IPC!EA29="",IPC!DZ29=""),"",AVERAGE(IPC!DZ29:EB29))</f>
        <v>91.249407193216101</v>
      </c>
      <c r="CM29" s="80">
        <f>IF(OR(IPC!EE29="",IPC!ED29="",IPC!EC29=""),"",AVERAGE(IPC!EC29:EE29))</f>
        <v>92.430200116652301</v>
      </c>
      <c r="CN29" s="80">
        <f>IF(OR(IPC!EH29="",IPC!EG29="",IPC!EF29=""),"",AVERAGE(IPC!EF29:EH29))</f>
        <v>95.50802332729036</v>
      </c>
      <c r="CO29" s="80">
        <f>IF(OR(IPC!EK29="",IPC!EJ29="",IPC!EI29=""),"",AVERAGE(IPC!EI29:EK29))</f>
        <v>98.453953517472584</v>
      </c>
      <c r="CP29" s="80">
        <f>IF(OR(IPC!EN29="",IPC!EM29="",IPC!EL29=""),"",AVERAGE(IPC!EL29:EN29))</f>
        <v>101.66179030838191</v>
      </c>
      <c r="CQ29" s="80">
        <f>IF(OR(IPC!EQ29="",IPC!EP29="",IPC!EO29=""),"",AVERAGE(IPC!EO29:EQ29))</f>
        <v>104.37623284685515</v>
      </c>
      <c r="CR29" s="80" t="str">
        <f>IF(OR(IPC!ET29="",IPC!ES29="",IPC!ER29=""),"",AVERAGE(IPC!ER29:ET29))</f>
        <v/>
      </c>
      <c r="CS29" s="80" t="str">
        <f>IF(OR(IPC!EW29="",IPC!EV29="",IPC!EU29=""),"",AVERAGE(IPC!EU29:EW29))</f>
        <v/>
      </c>
      <c r="CT29" s="80" t="str">
        <f>IF(OR(IPC!EZ29="",IPC!EY29="",IPC!EX29=""),"",AVERAGE(IPC!EX29:EZ29))</f>
        <v/>
      </c>
      <c r="CU29" s="80" t="str">
        <f>IF(OR(IPC!FC29="",IPC!FB29="",IPC!FA29=""),"",AVERAGE(IPC!FA29:FC29))</f>
        <v/>
      </c>
      <c r="CV29" s="80" t="str">
        <f>IF(OR(IPC!FF29="",IPC!FE29="",IPC!FD29=""),"",AVERAGE(IPC!FD29:FF29))</f>
        <v/>
      </c>
      <c r="CW29" s="80" t="str">
        <f>IF(OR(IPC!FI29="",IPC!FH29="",IPC!FG29=""),"",AVERAGE(IPC!FG29:FI29))</f>
        <v/>
      </c>
      <c r="CX29" s="80" t="str">
        <f>IF(OR(IPC!FL29="",IPC!FK29="",IPC!FJ29=""),"",AVERAGE(IPC!FJ29:FL29))</f>
        <v/>
      </c>
      <c r="CY29" s="80" t="str">
        <f>IF(OR(IPC!FO29="",IPC!FN29="",IPC!FM29=""),"",AVERAGE(IPC!FM29:FO29))</f>
        <v/>
      </c>
      <c r="CZ29" s="80" t="str">
        <f>IF(OR(IPC!FR29="",IPC!FQ29="",IPC!FP29=""),"",AVERAGE(IPC!FP29:FR29))</f>
        <v/>
      </c>
    </row>
    <row r="30" spans="1:104" s="3" customFormat="1" ht="10.199999999999999" x14ac:dyDescent="0.2">
      <c r="B30" s="3" t="s">
        <v>109</v>
      </c>
      <c r="AV30" s="3" t="str">
        <f>IF(OR(IPC!F30="",IPC!E30="",IPC!D30=""),"",AVERAGE(IPC!D30:F30))</f>
        <v/>
      </c>
      <c r="AW30" s="3" t="str">
        <f>IF(OR(IPC!I30="",IPC!H30="",IPC!G30=""),"",AVERAGE(IPC!G30:I30))</f>
        <v/>
      </c>
      <c r="AX30" s="3" t="str">
        <f>IF(OR(IPC!L30="",IPC!K30="",IPC!J30=""),"",AVERAGE(IPC!J30:L30))</f>
        <v/>
      </c>
      <c r="AY30" s="3" t="str">
        <f>IF(OR(IPC!O30="",IPC!N30="",IPC!M30=""),"",AVERAGE(IPC!M30:O30))</f>
        <v/>
      </c>
      <c r="AZ30" s="80">
        <f>IF(OR(IPC!R30="",IPC!Q30="",IPC!P30=""),"",AVERAGE(IPC!P30:R30))</f>
        <v>85.57079503288827</v>
      </c>
      <c r="BA30" s="80">
        <f>IF(OR(IPC!U30="",IPC!T30="",IPC!S30=""),"",AVERAGE(IPC!S30:U30))</f>
        <v>85.635577009255755</v>
      </c>
      <c r="BB30" s="80">
        <f>IF(OR(IPC!X30="",IPC!W30="",IPC!V30=""),"",AVERAGE(IPC!V30:X30))</f>
        <v>85.68138911588261</v>
      </c>
      <c r="BC30" s="80">
        <f>IF(OR(IPC!AA30="",IPC!Z30="",IPC!Y30=""),"",AVERAGE(IPC!Y30:AA30))</f>
        <v>86.142454088356956</v>
      </c>
      <c r="BD30" s="80">
        <f>IF(OR(IPC!AD30="",IPC!AC30="",IPC!AB30=""),"",AVERAGE(IPC!AB30:AD30))</f>
        <v>86.499181035685353</v>
      </c>
      <c r="BE30" s="80">
        <f>IF(OR(IPC!AG30="",IPC!AF30="",IPC!AE30=""),"",AVERAGE(IPC!AE30:AG30))</f>
        <v>86.705528442415002</v>
      </c>
      <c r="BF30" s="80">
        <f>IF(OR(IPC!AJ30="",IPC!AI30="",IPC!AH30=""),"",AVERAGE(IPC!AH30:AJ30))</f>
        <v>86.801653893030903</v>
      </c>
      <c r="BG30" s="80">
        <f>IF(OR(IPC!AM30="",IPC!AL30="",IPC!AK30=""),"",AVERAGE(IPC!AK30:AM30))</f>
        <v>87.318084176682021</v>
      </c>
      <c r="BH30" s="80">
        <f>IF(OR(IPC!AP30="",IPC!AO30="",IPC!AN30=""),"",AVERAGE(IPC!AN30:AP30))</f>
        <v>87.074529445576005</v>
      </c>
      <c r="BI30" s="80">
        <f>IF(OR(IPC!AS30="",IPC!AR30="",IPC!AQ30=""),"",AVERAGE(IPC!AQ30:AS30))</f>
        <v>87.042213281392137</v>
      </c>
      <c r="BJ30" s="80">
        <f>IF(OR(IPC!AV30="",IPC!AU30="",IPC!AT30=""),"",AVERAGE(IPC!AT30:AV30))</f>
        <v>88.001688672508138</v>
      </c>
      <c r="BK30" s="80">
        <f>IF(OR(IPC!AY30="",IPC!AX30="",IPC!AW30=""),"",AVERAGE(IPC!AW30:AY30))</f>
        <v>88.149970449307503</v>
      </c>
      <c r="BL30" s="80">
        <f>IF(OR(IPC!BB30="",IPC!BA30="",IPC!AZ30=""),"",AVERAGE(IPC!AZ30:BB30))</f>
        <v>88.23121886620784</v>
      </c>
      <c r="BM30" s="80">
        <f>IF(OR(IPC!BE30="",IPC!BD30="",IPC!BC30=""),"",AVERAGE(IPC!BC30:BE30))</f>
        <v>88.46187171227831</v>
      </c>
      <c r="BN30" s="80">
        <f>IF(OR(IPC!BH30="",IPC!BG30="",IPC!BF30=""),"",AVERAGE(IPC!BF30:BH30))</f>
        <v>88.723339411266593</v>
      </c>
      <c r="BO30" s="80">
        <f>IF(OR(IPC!BK30="",IPC!BJ30="",IPC!BI30=""),"",AVERAGE(IPC!BI30:BK30))</f>
        <v>88.811795369343528</v>
      </c>
      <c r="BP30" s="80">
        <f>IF(OR(IPC!BN30="",IPC!BM30="",IPC!BL30=""),"",AVERAGE(IPC!BL30:BN30))</f>
        <v>88.577874111649621</v>
      </c>
      <c r="BQ30" s="80">
        <f>IF(OR(IPC!BQ30="",IPC!BP30="",IPC!BO30=""),"",AVERAGE(IPC!BO30:BQ30))</f>
        <v>88.411533934446609</v>
      </c>
      <c r="BR30" s="80">
        <f>IF(OR(IPC!BT30="",IPC!BS30="",IPC!BR30=""),"",AVERAGE(IPC!BR30:BT30))</f>
        <v>88.606560202681422</v>
      </c>
      <c r="BS30" s="80">
        <f>IF(OR(IPC!BW30="",IPC!BV30="",IPC!BU30=""),"",AVERAGE(IPC!BU30:BW30))</f>
        <v>88.912568584151572</v>
      </c>
      <c r="BT30" s="80">
        <f>IF(OR(IPC!BZ30="",IPC!BY30="",IPC!BX30=""),"",AVERAGE(IPC!BX30:BZ30))</f>
        <v>88.959843138693188</v>
      </c>
      <c r="BU30" s="80">
        <f>IF(OR(IPC!CC30="",IPC!CB30="",IPC!CA30=""),"",AVERAGE(IPC!CA30:CC30))</f>
        <v>88.774259920683974</v>
      </c>
      <c r="BV30" s="80">
        <f>IF(OR(IPC!CF30="",IPC!CE30="",IPC!CD30=""),"",AVERAGE(IPC!CD30:CF30))</f>
        <v>89.006741247373739</v>
      </c>
      <c r="BW30" s="80">
        <f>IF(OR(IPC!CI30="",IPC!CH30="",IPC!CG30=""),"",AVERAGE(IPC!CG30:CI30))</f>
        <v>89.265770831544401</v>
      </c>
      <c r="BX30" s="80">
        <f>IF(OR(IPC!CL30="",IPC!CK30="",IPC!CJ30=""),"",AVERAGE(IPC!CJ30:CL30))</f>
        <v>89.507614330808522</v>
      </c>
      <c r="BY30" s="80">
        <f>IF(OR(IPC!CO30="",IPC!CN30="",IPC!CM30=""),"",AVERAGE(IPC!CM30:CO30))</f>
        <v>90.289860607589844</v>
      </c>
      <c r="BZ30" s="80">
        <f>IF(OR(IPC!CR30="",IPC!CQ30="",IPC!CP30=""),"",AVERAGE(IPC!CP30:CR30))</f>
        <v>90.625771353967494</v>
      </c>
      <c r="CA30" s="80">
        <f>IF(OR(IPC!CU30="",IPC!CT30="",IPC!CS30=""),"",AVERAGE(IPC!CS30:CU30))</f>
        <v>91.001148932682682</v>
      </c>
      <c r="CB30" s="80">
        <f>IF(OR(IPC!CX30="",IPC!CW30="",IPC!CV30=""),"",AVERAGE(IPC!CV30:CX30))</f>
        <v>91.199960900565159</v>
      </c>
      <c r="CC30" s="80">
        <f>IF(OR(IPC!DA30="",IPC!CZ30="",IPC!CY30=""),"",AVERAGE(IPC!CY30:DA30))</f>
        <v>91.621195931335095</v>
      </c>
      <c r="CD30" s="80">
        <f>IF(OR(IPC!DD30="",IPC!DC30="",IPC!DB30=""),"",AVERAGE(IPC!DB30:DD30))</f>
        <v>91.851529989279697</v>
      </c>
      <c r="CE30" s="80">
        <f>IF(OR(IPC!DG30="",IPC!DF30="",IPC!DE30=""),"",AVERAGE(IPC!DE30:DG30))</f>
        <v>92.408985185307287</v>
      </c>
      <c r="CF30" s="80">
        <f>IF(OR(IPC!DJ30="",IPC!DI30="",IPC!DH30=""),"",AVERAGE(IPC!DH30:DJ30))</f>
        <v>92.59736365066054</v>
      </c>
      <c r="CG30" s="80">
        <f>IF(OR(IPC!DM30="",IPC!DL30="",IPC!DK30=""),"",AVERAGE(IPC!DK30:DM30))</f>
        <v>93.041036366001023</v>
      </c>
      <c r="CH30" s="80">
        <f>IF(OR(IPC!DP30="",IPC!DO30="",IPC!DN30=""),"",AVERAGE(IPC!DN30:DP30))</f>
        <v>93.379309864388219</v>
      </c>
      <c r="CI30" s="80">
        <f>IF(OR(IPC!DS30="",IPC!DR30="",IPC!DQ30=""),"",AVERAGE(IPC!DQ30:DS30))</f>
        <v>93.758427370396149</v>
      </c>
      <c r="CJ30" s="80">
        <f>IF(OR(IPC!DV30="",IPC!DU30="",IPC!DT30=""),"",AVERAGE(IPC!DT30:DV30))</f>
        <v>94.142974155893782</v>
      </c>
      <c r="CK30" s="80">
        <f>IF(OR(IPC!DY30="",IPC!DX30="",IPC!DW30=""),"",AVERAGE(IPC!DW30:DY30))</f>
        <v>94.34971658728567</v>
      </c>
      <c r="CL30" s="80">
        <f>IF(OR(IPC!EB30="",IPC!EA30="",IPC!DZ30=""),"",AVERAGE(IPC!DZ30:EB30))</f>
        <v>94.773556870544382</v>
      </c>
      <c r="CM30" s="80">
        <f>IF(OR(IPC!EE30="",IPC!ED30="",IPC!EC30=""),"",AVERAGE(IPC!EC30:EE30))</f>
        <v>95.416055976984353</v>
      </c>
      <c r="CN30" s="80">
        <f>IF(OR(IPC!EH30="",IPC!EG30="",IPC!EF30=""),"",AVERAGE(IPC!EF30:EH30))</f>
        <v>96.909651995839965</v>
      </c>
      <c r="CO30" s="80">
        <f>IF(OR(IPC!EK30="",IPC!EJ30="",IPC!EI30=""),"",AVERAGE(IPC!EI30:EK30))</f>
        <v>99.477594823154163</v>
      </c>
      <c r="CP30" s="80">
        <f>IF(OR(IPC!EN30="",IPC!EM30="",IPC!EL30=""),"",AVERAGE(IPC!EL30:EN30))</f>
        <v>101.12428466133939</v>
      </c>
      <c r="CQ30" s="80">
        <f>IF(OR(IPC!EQ30="",IPC!EP30="",IPC!EO30=""),"",AVERAGE(IPC!EO30:EQ30))</f>
        <v>102.48846851966645</v>
      </c>
      <c r="CR30" s="80" t="str">
        <f>IF(OR(IPC!ET30="",IPC!ES30="",IPC!ER30=""),"",AVERAGE(IPC!ER30:ET30))</f>
        <v/>
      </c>
      <c r="CS30" s="80" t="str">
        <f>IF(OR(IPC!EW30="",IPC!EV30="",IPC!EU30=""),"",AVERAGE(IPC!EU30:EW30))</f>
        <v/>
      </c>
      <c r="CT30" s="80" t="str">
        <f>IF(OR(IPC!EZ30="",IPC!EY30="",IPC!EX30=""),"",AVERAGE(IPC!EX30:EZ30))</f>
        <v/>
      </c>
      <c r="CU30" s="80" t="str">
        <f>IF(OR(IPC!FC30="",IPC!FB30="",IPC!FA30=""),"",AVERAGE(IPC!FA30:FC30))</f>
        <v/>
      </c>
      <c r="CV30" s="80" t="str">
        <f>IF(OR(IPC!FF30="",IPC!FE30="",IPC!FD30=""),"",AVERAGE(IPC!FD30:FF30))</f>
        <v/>
      </c>
      <c r="CW30" s="80" t="str">
        <f>IF(OR(IPC!FI30="",IPC!FH30="",IPC!FG30=""),"",AVERAGE(IPC!FG30:FI30))</f>
        <v/>
      </c>
      <c r="CX30" s="80" t="str">
        <f>IF(OR(IPC!FL30="",IPC!FK30="",IPC!FJ30=""),"",AVERAGE(IPC!FJ30:FL30))</f>
        <v/>
      </c>
      <c r="CY30" s="80" t="str">
        <f>IF(OR(IPC!FO30="",IPC!FN30="",IPC!FM30=""),"",AVERAGE(IPC!FM30:FO30))</f>
        <v/>
      </c>
      <c r="CZ30" s="80" t="str">
        <f>IF(OR(IPC!FR30="",IPC!FQ30="",IPC!FP30=""),"",AVERAGE(IPC!FP30:FR30))</f>
        <v/>
      </c>
    </row>
    <row r="31" spans="1:104" s="81" customFormat="1" ht="10.199999999999999" x14ac:dyDescent="0.2">
      <c r="B31" s="81" t="s">
        <v>110</v>
      </c>
      <c r="AV31" s="81" t="str">
        <f>IF(OR(IPC!F31="",IPC!E31="",IPC!D31=""),"",AVERAGE(IPC!D31:F31))</f>
        <v/>
      </c>
      <c r="AW31" s="81" t="str">
        <f>IF(OR(IPC!I31="",IPC!H31="",IPC!G31=""),"",AVERAGE(IPC!G31:I31))</f>
        <v/>
      </c>
      <c r="AX31" s="81" t="str">
        <f>IF(OR(IPC!L31="",IPC!K31="",IPC!J31=""),"",AVERAGE(IPC!J31:L31))</f>
        <v/>
      </c>
      <c r="AY31" s="81" t="str">
        <f>IF(OR(IPC!O31="",IPC!N31="",IPC!M31=""),"",AVERAGE(IPC!M31:O31))</f>
        <v/>
      </c>
      <c r="AZ31" s="82">
        <f>IF(OR(IPC!R31="",IPC!Q31="",IPC!P31=""),"",AVERAGE(IPC!P31:R31))</f>
        <v>82.029750435639087</v>
      </c>
      <c r="BA31" s="82">
        <f>IF(OR(IPC!U31="",IPC!T31="",IPC!S31=""),"",AVERAGE(IPC!S31:U31))</f>
        <v>82.511718651812643</v>
      </c>
      <c r="BB31" s="82">
        <f>IF(OR(IPC!X31="",IPC!W31="",IPC!V31=""),"",AVERAGE(IPC!V31:X31))</f>
        <v>83.287838804013319</v>
      </c>
      <c r="BC31" s="82">
        <f>IF(OR(IPC!AA31="",IPC!Z31="",IPC!Y31=""),"",AVERAGE(IPC!Y31:AA31))</f>
        <v>83.802206340168254</v>
      </c>
      <c r="BD31" s="82">
        <f>IF(OR(IPC!AD31="",IPC!AC31="",IPC!AB31=""),"",AVERAGE(IPC!AB31:AD31))</f>
        <v>83.833814096532322</v>
      </c>
      <c r="BE31" s="82">
        <f>IF(OR(IPC!AG31="",IPC!AF31="",IPC!AE31=""),"",AVERAGE(IPC!AE31:AG31))</f>
        <v>84.146305770147762</v>
      </c>
      <c r="BF31" s="82">
        <f>IF(OR(IPC!AJ31="",IPC!AI31="",IPC!AH31=""),"",AVERAGE(IPC!AH31:AJ31))</f>
        <v>84.387284945679824</v>
      </c>
      <c r="BG31" s="82">
        <f>IF(OR(IPC!AM31="",IPC!AL31="",IPC!AK31=""),"",AVERAGE(IPC!AK31:AM31))</f>
        <v>84.804820543414422</v>
      </c>
      <c r="BH31" s="82">
        <f>IF(OR(IPC!AP31="",IPC!AO31="",IPC!AN31=""),"",AVERAGE(IPC!AN31:AP31))</f>
        <v>84.904305815893125</v>
      </c>
      <c r="BI31" s="82">
        <f>IF(OR(IPC!AS31="",IPC!AR31="",IPC!AQ31=""),"",AVERAGE(IPC!AQ31:AS31))</f>
        <v>85.042847226408767</v>
      </c>
      <c r="BJ31" s="82">
        <f>IF(OR(IPC!AV31="",IPC!AU31="",IPC!AT31=""),"",AVERAGE(IPC!AT31:AV31))</f>
        <v>88.692222860105787</v>
      </c>
      <c r="BK31" s="82">
        <f>IF(OR(IPC!AY31="",IPC!AX31="",IPC!AW31=""),"",AVERAGE(IPC!AW31:AY31))</f>
        <v>89.102799751064694</v>
      </c>
      <c r="BL31" s="82">
        <f>IF(OR(IPC!BB31="",IPC!BA31="",IPC!AZ31=""),"",AVERAGE(IPC!AZ31:BB31))</f>
        <v>89.493587853754036</v>
      </c>
      <c r="BM31" s="82">
        <f>IF(OR(IPC!BE31="",IPC!BD31="",IPC!BC31=""),"",AVERAGE(IPC!BC31:BE31))</f>
        <v>90.214423490301712</v>
      </c>
      <c r="BN31" s="82">
        <f>IF(OR(IPC!BH31="",IPC!BG31="",IPC!BF31=""),"",AVERAGE(IPC!BF31:BH31))</f>
        <v>90.653664969211192</v>
      </c>
      <c r="BO31" s="82">
        <f>IF(OR(IPC!BK31="",IPC!BJ31="",IPC!BI31=""),"",AVERAGE(IPC!BI31:BK31))</f>
        <v>90.778449374910466</v>
      </c>
      <c r="BP31" s="82">
        <f>IF(OR(IPC!BN31="",IPC!BM31="",IPC!BL31=""),"",AVERAGE(IPC!BL31:BN31))</f>
        <v>90.939439154628374</v>
      </c>
      <c r="BQ31" s="82">
        <f>IF(OR(IPC!BQ31="",IPC!BP31="",IPC!BO31=""),"",AVERAGE(IPC!BO31:BQ31))</f>
        <v>91.043382389576053</v>
      </c>
      <c r="BR31" s="82">
        <f>IF(OR(IPC!BT31="",IPC!BS31="",IPC!BR31=""),"",AVERAGE(IPC!BR31:BT31))</f>
        <v>91.198920006814888</v>
      </c>
      <c r="BS31" s="82">
        <f>IF(OR(IPC!BW31="",IPC!BV31="",IPC!BU31=""),"",AVERAGE(IPC!BU31:BW31))</f>
        <v>91.38526918504094</v>
      </c>
      <c r="BT31" s="82">
        <f>IF(OR(IPC!BZ31="",IPC!BY31="",IPC!BX31=""),"",AVERAGE(IPC!BX31:BZ31))</f>
        <v>91.747441977407604</v>
      </c>
      <c r="BU31" s="82">
        <f>IF(OR(IPC!CC31="",IPC!CB31="",IPC!CA31=""),"",AVERAGE(IPC!CA31:CC31))</f>
        <v>91.924585328109785</v>
      </c>
      <c r="BV31" s="82">
        <f>IF(OR(IPC!CF31="",IPC!CE31="",IPC!CD31=""),"",AVERAGE(IPC!CD31:CF31))</f>
        <v>91.993420541614626</v>
      </c>
      <c r="BW31" s="82">
        <f>IF(OR(IPC!CI31="",IPC!CH31="",IPC!CG31=""),"",AVERAGE(IPC!CG31:CI31))</f>
        <v>91.968721060172399</v>
      </c>
      <c r="BX31" s="82">
        <f>IF(OR(IPC!CL31="",IPC!CK31="",IPC!CJ31=""),"",AVERAGE(IPC!CJ31:CL31))</f>
        <v>92.145106131204059</v>
      </c>
      <c r="BY31" s="82">
        <f>IF(OR(IPC!CO31="",IPC!CN31="",IPC!CM31=""),"",AVERAGE(IPC!CM31:CO31))</f>
        <v>92.596162075561338</v>
      </c>
      <c r="BZ31" s="82">
        <f>IF(OR(IPC!CR31="",IPC!CQ31="",IPC!CP31=""),"",AVERAGE(IPC!CP31:CR31))</f>
        <v>93.394239565373525</v>
      </c>
      <c r="CA31" s="82">
        <f>IF(OR(IPC!CU31="",IPC!CT31="",IPC!CS31=""),"",AVERAGE(IPC!CS31:CU31))</f>
        <v>93.878918026500102</v>
      </c>
      <c r="CB31" s="82">
        <f>IF(OR(IPC!CX31="",IPC!CW31="",IPC!CV31=""),"",AVERAGE(IPC!CV31:CX31))</f>
        <v>94.399142934399677</v>
      </c>
      <c r="CC31" s="82">
        <f>IF(OR(IPC!DA31="",IPC!CZ31="",IPC!CY31=""),"",AVERAGE(IPC!CY31:DA31))</f>
        <v>94.858805273639732</v>
      </c>
      <c r="CD31" s="82">
        <f>IF(OR(IPC!DD31="",IPC!DC31="",IPC!DB31=""),"",AVERAGE(IPC!DB31:DD31))</f>
        <v>95.066364669966632</v>
      </c>
      <c r="CE31" s="82">
        <f>IF(OR(IPC!DG31="",IPC!DF31="",IPC!DE31=""),"",AVERAGE(IPC!DE31:DG31))</f>
        <v>95.333545436719803</v>
      </c>
      <c r="CF31" s="82">
        <f>IF(OR(IPC!DJ31="",IPC!DI31="",IPC!DH31=""),"",AVERAGE(IPC!DH31:DJ31))</f>
        <v>95.714338364570381</v>
      </c>
      <c r="CG31" s="82">
        <f>IF(OR(IPC!DM31="",IPC!DL31="",IPC!DK31=""),"",AVERAGE(IPC!DK31:DM31))</f>
        <v>96.494309190762365</v>
      </c>
      <c r="CH31" s="82">
        <f>IF(OR(IPC!DP31="",IPC!DO31="",IPC!DN31=""),"",AVERAGE(IPC!DN31:DP31))</f>
        <v>96.264691983584086</v>
      </c>
      <c r="CI31" s="82">
        <f>IF(OR(IPC!DS31="",IPC!DR31="",IPC!DQ31=""),"",AVERAGE(IPC!DQ31:DS31))</f>
        <v>96.593188609824537</v>
      </c>
      <c r="CJ31" s="82">
        <f>IF(OR(IPC!DV31="",IPC!DU31="",IPC!DT31=""),"",AVERAGE(IPC!DT31:DV31))</f>
        <v>96.759803427601511</v>
      </c>
      <c r="CK31" s="82">
        <f>IF(OR(IPC!DY31="",IPC!DX31="",IPC!DW31=""),"",AVERAGE(IPC!DW31:DY31))</f>
        <v>96.920203213382095</v>
      </c>
      <c r="CL31" s="82">
        <f>IF(OR(IPC!EB31="",IPC!EA31="",IPC!DZ31=""),"",AVERAGE(IPC!DZ31:EB31))</f>
        <v>97.211745504933958</v>
      </c>
      <c r="CM31" s="82">
        <f>IF(OR(IPC!EE31="",IPC!ED31="",IPC!EC31=""),"",AVERAGE(IPC!EC31:EE31))</f>
        <v>97.684079132473428</v>
      </c>
      <c r="CN31" s="82">
        <f>IF(OR(IPC!EH31="",IPC!EG31="",IPC!EF31=""),"",AVERAGE(IPC!EF31:EH31))</f>
        <v>98.493482826046446</v>
      </c>
      <c r="CO31" s="82">
        <f>IF(OR(IPC!EK31="",IPC!EJ31="",IPC!EI31=""),"",AVERAGE(IPC!EI31:EK31))</f>
        <v>99.530706382266246</v>
      </c>
      <c r="CP31" s="82">
        <f>IF(OR(IPC!EN31="",IPC!EM31="",IPC!EL31=""),"",AVERAGE(IPC!EL31:EN31))</f>
        <v>100.66865660160634</v>
      </c>
      <c r="CQ31" s="82">
        <f>IF(OR(IPC!EQ31="",IPC!EP31="",IPC!EO31=""),"",AVERAGE(IPC!EO31:EQ31))</f>
        <v>101.30715419008101</v>
      </c>
      <c r="CR31" s="82" t="str">
        <f>IF(OR(IPC!ET31="",IPC!ES31="",IPC!ER31=""),"",AVERAGE(IPC!ER31:ET31))</f>
        <v/>
      </c>
      <c r="CS31" s="82" t="str">
        <f>IF(OR(IPC!EW31="",IPC!EV31="",IPC!EU31=""),"",AVERAGE(IPC!EU31:EW31))</f>
        <v/>
      </c>
      <c r="CT31" s="82" t="str">
        <f>IF(OR(IPC!EZ31="",IPC!EY31="",IPC!EX31=""),"",AVERAGE(IPC!EX31:EZ31))</f>
        <v/>
      </c>
      <c r="CU31" s="82" t="str">
        <f>IF(OR(IPC!FC31="",IPC!FB31="",IPC!FA31=""),"",AVERAGE(IPC!FA31:FC31))</f>
        <v/>
      </c>
      <c r="CV31" s="82" t="str">
        <f>IF(OR(IPC!FF31="",IPC!FE31="",IPC!FD31=""),"",AVERAGE(IPC!FD31:FF31))</f>
        <v/>
      </c>
      <c r="CW31" s="82" t="str">
        <f>IF(OR(IPC!FI31="",IPC!FH31="",IPC!FG31=""),"",AVERAGE(IPC!FG31:FI31))</f>
        <v/>
      </c>
      <c r="CX31" s="82" t="str">
        <f>IF(OR(IPC!FL31="",IPC!FK31="",IPC!FJ31=""),"",AVERAGE(IPC!FJ31:FL31))</f>
        <v/>
      </c>
      <c r="CY31" s="82" t="str">
        <f>IF(OR(IPC!FO31="",IPC!FN31="",IPC!FM31=""),"",AVERAGE(IPC!FM31:FO31))</f>
        <v/>
      </c>
      <c r="CZ31" s="82" t="str">
        <f>IF(OR(IPC!FR31="",IPC!FQ31="",IPC!FP31=""),"",AVERAGE(IPC!FP31:FR31))</f>
        <v/>
      </c>
    </row>
    <row r="32" spans="1:104" s="74" customFormat="1" ht="10.199999999999999" x14ac:dyDescent="0.2">
      <c r="AV32" s="74" t="str">
        <f>IF(OR(IPC!F32="",IPC!E32="",IPC!D32=""),"",AVERAGE(IPC!D32:F32))</f>
        <v/>
      </c>
      <c r="AW32" s="74" t="str">
        <f>IF(OR(IPC!I32="",IPC!H32="",IPC!G32=""),"",AVERAGE(IPC!G32:I32))</f>
        <v/>
      </c>
      <c r="AX32" s="74" t="str">
        <f>IF(OR(IPC!L32="",IPC!K32="",IPC!J32=""),"",AVERAGE(IPC!J32:L32))</f>
        <v/>
      </c>
      <c r="AY32" s="74" t="str">
        <f>IF(OR(IPC!O32="",IPC!N32="",IPC!M32=""),"",AVERAGE(IPC!M32:O32))</f>
        <v/>
      </c>
      <c r="AZ32" s="76" t="str">
        <f>IF(OR(IPC!R32="",IPC!Q32="",IPC!P32=""),"",AVERAGE(IPC!P32:R32))</f>
        <v/>
      </c>
      <c r="BA32" s="76" t="str">
        <f>IF(OR(IPC!U32="",IPC!T32="",IPC!S32=""),"",AVERAGE(IPC!S32:U32))</f>
        <v/>
      </c>
      <c r="BB32" s="76" t="str">
        <f>IF(OR(IPC!X32="",IPC!W32="",IPC!V32=""),"",AVERAGE(IPC!V32:X32))</f>
        <v/>
      </c>
      <c r="BC32" s="76" t="str">
        <f>IF(OR(IPC!AA32="",IPC!Z32="",IPC!Y32=""),"",AVERAGE(IPC!Y32:AA32))</f>
        <v/>
      </c>
      <c r="BD32" s="76" t="str">
        <f>IF(OR(IPC!AD32="",IPC!AC32="",IPC!AB32=""),"",AVERAGE(IPC!AB32:AD32))</f>
        <v/>
      </c>
      <c r="BE32" s="76" t="str">
        <f>IF(OR(IPC!AG32="",IPC!AF32="",IPC!AE32=""),"",AVERAGE(IPC!AE32:AG32))</f>
        <v/>
      </c>
      <c r="BF32" s="76" t="str">
        <f>IF(OR(IPC!AJ32="",IPC!AI32="",IPC!AH32=""),"",AVERAGE(IPC!AH32:AJ32))</f>
        <v/>
      </c>
      <c r="BG32" s="76" t="str">
        <f>IF(OR(IPC!AM32="",IPC!AL32="",IPC!AK32=""),"",AVERAGE(IPC!AK32:AM32))</f>
        <v/>
      </c>
      <c r="BH32" s="76" t="str">
        <f>IF(OR(IPC!AP32="",IPC!AO32="",IPC!AN32=""),"",AVERAGE(IPC!AN32:AP32))</f>
        <v/>
      </c>
      <c r="BI32" s="76" t="str">
        <f>IF(OR(IPC!AS32="",IPC!AR32="",IPC!AQ32=""),"",AVERAGE(IPC!AQ32:AS32))</f>
        <v/>
      </c>
      <c r="BJ32" s="76" t="str">
        <f>IF(OR(IPC!AV32="",IPC!AU32="",IPC!AT32=""),"",AVERAGE(IPC!AT32:AV32))</f>
        <v/>
      </c>
      <c r="BK32" s="76" t="str">
        <f>IF(OR(IPC!AY32="",IPC!AX32="",IPC!AW32=""),"",AVERAGE(IPC!AW32:AY32))</f>
        <v/>
      </c>
      <c r="BL32" s="76" t="str">
        <f>IF(OR(IPC!BB32="",IPC!BA32="",IPC!AZ32=""),"",AVERAGE(IPC!AZ32:BB32))</f>
        <v/>
      </c>
      <c r="BM32" s="76" t="str">
        <f>IF(OR(IPC!BE32="",IPC!BD32="",IPC!BC32=""),"",AVERAGE(IPC!BC32:BE32))</f>
        <v/>
      </c>
      <c r="BN32" s="76" t="str">
        <f>IF(OR(IPC!BH32="",IPC!BG32="",IPC!BF32=""),"",AVERAGE(IPC!BF32:BH32))</f>
        <v/>
      </c>
      <c r="BO32" s="76" t="str">
        <f>IF(OR(IPC!BK32="",IPC!BJ32="",IPC!BI32=""),"",AVERAGE(IPC!BI32:BK32))</f>
        <v/>
      </c>
      <c r="BP32" s="76" t="str">
        <f>IF(OR(IPC!BN32="",IPC!BM32="",IPC!BL32=""),"",AVERAGE(IPC!BL32:BN32))</f>
        <v/>
      </c>
      <c r="BQ32" s="76" t="str">
        <f>IF(OR(IPC!BQ32="",IPC!BP32="",IPC!BO32=""),"",AVERAGE(IPC!BO32:BQ32))</f>
        <v/>
      </c>
      <c r="BR32" s="76" t="str">
        <f>IF(OR(IPC!BT32="",IPC!BS32="",IPC!BR32=""),"",AVERAGE(IPC!BR32:BT32))</f>
        <v/>
      </c>
      <c r="BS32" s="76" t="str">
        <f>IF(OR(IPC!BW32="",IPC!BV32="",IPC!BU32=""),"",AVERAGE(IPC!BU32:BW32))</f>
        <v/>
      </c>
      <c r="BT32" s="76" t="str">
        <f>IF(OR(IPC!BZ32="",IPC!BY32="",IPC!BX32=""),"",AVERAGE(IPC!BX32:BZ32))</f>
        <v/>
      </c>
      <c r="BU32" s="76" t="str">
        <f>IF(OR(IPC!CC32="",IPC!CB32="",IPC!CA32=""),"",AVERAGE(IPC!CA32:CC32))</f>
        <v/>
      </c>
      <c r="BV32" s="76" t="str">
        <f>IF(OR(IPC!CF32="",IPC!CE32="",IPC!CD32=""),"",AVERAGE(IPC!CD32:CF32))</f>
        <v/>
      </c>
      <c r="BW32" s="76" t="str">
        <f>IF(OR(IPC!CI32="",IPC!CH32="",IPC!CG32=""),"",AVERAGE(IPC!CG32:CI32))</f>
        <v/>
      </c>
      <c r="BX32" s="76" t="str">
        <f>IF(OR(IPC!CL32="",IPC!CK32="",IPC!CJ32=""),"",AVERAGE(IPC!CJ32:CL32))</f>
        <v/>
      </c>
      <c r="BY32" s="76" t="str">
        <f>IF(OR(IPC!CO32="",IPC!CN32="",IPC!CM32=""),"",AVERAGE(IPC!CM32:CO32))</f>
        <v/>
      </c>
      <c r="BZ32" s="76" t="str">
        <f>IF(OR(IPC!CR32="",IPC!CQ32="",IPC!CP32=""),"",AVERAGE(IPC!CP32:CR32))</f>
        <v/>
      </c>
      <c r="CA32" s="76" t="str">
        <f>IF(OR(IPC!CU32="",IPC!CT32="",IPC!CS32=""),"",AVERAGE(IPC!CS32:CU32))</f>
        <v/>
      </c>
      <c r="CB32" s="76" t="str">
        <f>IF(OR(IPC!CX32="",IPC!CW32="",IPC!CV32=""),"",AVERAGE(IPC!CV32:CX32))</f>
        <v/>
      </c>
      <c r="CC32" s="76" t="str">
        <f>IF(OR(IPC!DA32="",IPC!CZ32="",IPC!CY32=""),"",AVERAGE(IPC!CY32:DA32))</f>
        <v/>
      </c>
      <c r="CD32" s="76" t="str">
        <f>IF(OR(IPC!DD32="",IPC!DC32="",IPC!DB32=""),"",AVERAGE(IPC!DB32:DD32))</f>
        <v/>
      </c>
      <c r="CE32" s="76" t="str">
        <f>IF(OR(IPC!DG32="",IPC!DF32="",IPC!DE32=""),"",AVERAGE(IPC!DE32:DG32))</f>
        <v/>
      </c>
      <c r="CF32" s="76" t="str">
        <f>IF(OR(IPC!DJ32="",IPC!DI32="",IPC!DH32=""),"",AVERAGE(IPC!DH32:DJ32))</f>
        <v/>
      </c>
      <c r="CG32" s="76" t="str">
        <f>IF(OR(IPC!DM32="",IPC!DL32="",IPC!DK32=""),"",AVERAGE(IPC!DK32:DM32))</f>
        <v/>
      </c>
      <c r="CH32" s="76" t="str">
        <f>IF(OR(IPC!DP32="",IPC!DO32="",IPC!DN32=""),"",AVERAGE(IPC!DN32:DP32))</f>
        <v/>
      </c>
      <c r="CI32" s="76" t="str">
        <f>IF(OR(IPC!DS32="",IPC!DR32="",IPC!DQ32=""),"",AVERAGE(IPC!DQ32:DS32))</f>
        <v/>
      </c>
      <c r="CJ32" s="76" t="str">
        <f>IF(OR(IPC!DV32="",IPC!DU32="",IPC!DT32=""),"",AVERAGE(IPC!DT32:DV32))</f>
        <v/>
      </c>
      <c r="CK32" s="76" t="str">
        <f>IF(OR(IPC!DY32="",IPC!DX32="",IPC!DW32=""),"",AVERAGE(IPC!DW32:DY32))</f>
        <v/>
      </c>
      <c r="CL32" s="76" t="str">
        <f>IF(OR(IPC!EB32="",IPC!EA32="",IPC!DZ32=""),"",AVERAGE(IPC!DZ32:EB32))</f>
        <v/>
      </c>
      <c r="CM32" s="76" t="str">
        <f>IF(OR(IPC!EE32="",IPC!ED32="",IPC!EC32=""),"",AVERAGE(IPC!EC32:EE32))</f>
        <v/>
      </c>
      <c r="CN32" s="76" t="str">
        <f>IF(OR(IPC!EH32="",IPC!EG32="",IPC!EF32=""),"",AVERAGE(IPC!EF32:EH32))</f>
        <v/>
      </c>
      <c r="CO32" s="76" t="str">
        <f>IF(OR(IPC!EK32="",IPC!EJ32="",IPC!EI32=""),"",AVERAGE(IPC!EI32:EK32))</f>
        <v/>
      </c>
      <c r="CP32" s="76" t="str">
        <f>IF(OR(IPC!EN32="",IPC!EM32="",IPC!EL32=""),"",AVERAGE(IPC!EL32:EN32))</f>
        <v/>
      </c>
      <c r="CQ32" s="76" t="str">
        <f>IF(OR(IPC!EQ32="",IPC!EP32="",IPC!EO32=""),"",AVERAGE(IPC!EO32:EQ32))</f>
        <v/>
      </c>
      <c r="CR32" s="76" t="str">
        <f>IF(OR(IPC!ET32="",IPC!ES32="",IPC!ER32=""),"",AVERAGE(IPC!ER32:ET32))</f>
        <v/>
      </c>
      <c r="CS32" s="76" t="str">
        <f>IF(OR(IPC!EW32="",IPC!EV32="",IPC!EU32=""),"",AVERAGE(IPC!EU32:EW32))</f>
        <v/>
      </c>
      <c r="CT32" s="76" t="str">
        <f>IF(OR(IPC!EZ32="",IPC!EY32="",IPC!EX32=""),"",AVERAGE(IPC!EX32:EZ32))</f>
        <v/>
      </c>
      <c r="CU32" s="76" t="str">
        <f>IF(OR(IPC!FC32="",IPC!FB32="",IPC!FA32=""),"",AVERAGE(IPC!FA32:FC32))</f>
        <v/>
      </c>
      <c r="CV32" s="76" t="str">
        <f>IF(OR(IPC!FF32="",IPC!FE32="",IPC!FD32=""),"",AVERAGE(IPC!FD32:FF32))</f>
        <v/>
      </c>
      <c r="CW32" s="76" t="str">
        <f>IF(OR(IPC!FI32="",IPC!FH32="",IPC!FG32=""),"",AVERAGE(IPC!FG32:FI32))</f>
        <v/>
      </c>
      <c r="CX32" s="76" t="str">
        <f>IF(OR(IPC!FL32="",IPC!FK32="",IPC!FJ32=""),"",AVERAGE(IPC!FJ32:FL32))</f>
        <v/>
      </c>
      <c r="CY32" s="76" t="str">
        <f>IF(OR(IPC!FO32="",IPC!FN32="",IPC!FM32=""),"",AVERAGE(IPC!FM32:FO32))</f>
        <v/>
      </c>
      <c r="CZ32" s="76" t="str">
        <f>IF(OR(IPC!FR32="",IPC!FQ32="",IPC!FP32=""),"",AVERAGE(IPC!FP32:FR32))</f>
        <v/>
      </c>
    </row>
    <row r="33" spans="2:104" s="3" customFormat="1" ht="10.199999999999999" x14ac:dyDescent="0.2">
      <c r="B33" s="3" t="s">
        <v>111</v>
      </c>
      <c r="AV33" s="3" t="str">
        <f>IF(OR(IPC!F33="",IPC!E33="",IPC!D33=""),"",AVERAGE(IPC!D33:F33))</f>
        <v/>
      </c>
      <c r="AW33" s="3" t="str">
        <f>IF(OR(IPC!I33="",IPC!H33="",IPC!G33=""),"",AVERAGE(IPC!G33:I33))</f>
        <v/>
      </c>
      <c r="AX33" s="3" t="str">
        <f>IF(OR(IPC!L33="",IPC!K33="",IPC!J33=""),"",AVERAGE(IPC!J33:L33))</f>
        <v/>
      </c>
      <c r="AY33" s="3" t="str">
        <f>IF(OR(IPC!O33="",IPC!N33="",IPC!M33=""),"",AVERAGE(IPC!M33:O33))</f>
        <v/>
      </c>
      <c r="AZ33" s="80">
        <f>IF(OR(IPC!R33="",IPC!Q33="",IPC!P33=""),"",AVERAGE(IPC!P33:R33))</f>
        <v>84.738643907766786</v>
      </c>
      <c r="BA33" s="80">
        <f>IF(OR(IPC!U33="",IPC!T33="",IPC!S33=""),"",AVERAGE(IPC!S33:U33))</f>
        <v>84.278467423207715</v>
      </c>
      <c r="BB33" s="80">
        <f>IF(OR(IPC!X33="",IPC!W33="",IPC!V33=""),"",AVERAGE(IPC!V33:X33))</f>
        <v>84.590433009765221</v>
      </c>
      <c r="BC33" s="80">
        <f>IF(OR(IPC!AA33="",IPC!Z33="",IPC!Y33=""),"",AVERAGE(IPC!Y33:AA33))</f>
        <v>84.683316566835728</v>
      </c>
      <c r="BD33" s="80">
        <f>IF(OR(IPC!AD33="",IPC!AC33="",IPC!AB33=""),"",AVERAGE(IPC!AB33:AD33))</f>
        <v>85.258736916568239</v>
      </c>
      <c r="BE33" s="80">
        <f>IF(OR(IPC!AG33="",IPC!AF33="",IPC!AE33=""),"",AVERAGE(IPC!AE33:AG33))</f>
        <v>85.588602006963697</v>
      </c>
      <c r="BF33" s="80">
        <f>IF(OR(IPC!AJ33="",IPC!AI33="",IPC!AH33=""),"",AVERAGE(IPC!AH33:AJ33))</f>
        <v>85.348875364777271</v>
      </c>
      <c r="BG33" s="80">
        <f>IF(OR(IPC!AM33="",IPC!AL33="",IPC!AK33=""),"",AVERAGE(IPC!AK33:AM33))</f>
        <v>85.966793824006231</v>
      </c>
      <c r="BH33" s="80">
        <f>IF(OR(IPC!AP33="",IPC!AO33="",IPC!AN33=""),"",AVERAGE(IPC!AN33:AP33))</f>
        <v>86.139228278171458</v>
      </c>
      <c r="BI33" s="80">
        <f>IF(OR(IPC!AS33="",IPC!AR33="",IPC!AQ33=""),"",AVERAGE(IPC!AQ33:AS33))</f>
        <v>86.470930080292717</v>
      </c>
      <c r="BJ33" s="80">
        <f>IF(OR(IPC!AV33="",IPC!AU33="",IPC!AT33=""),"",AVERAGE(IPC!AT33:AV33))</f>
        <v>86.621343624157404</v>
      </c>
      <c r="BK33" s="80">
        <f>IF(OR(IPC!AY33="",IPC!AX33="",IPC!AW33=""),"",AVERAGE(IPC!AW33:AY33))</f>
        <v>86.679762050310117</v>
      </c>
      <c r="BL33" s="80">
        <f>IF(OR(IPC!BB33="",IPC!BA33="",IPC!AZ33=""),"",AVERAGE(IPC!AZ33:BB33))</f>
        <v>86.872749737296047</v>
      </c>
      <c r="BM33" s="80">
        <f>IF(OR(IPC!BE33="",IPC!BD33="",IPC!BC33=""),"",AVERAGE(IPC!BC33:BE33))</f>
        <v>87.765220219105856</v>
      </c>
      <c r="BN33" s="80">
        <f>IF(OR(IPC!BH33="",IPC!BG33="",IPC!BF33=""),"",AVERAGE(IPC!BF33:BH33))</f>
        <v>88.166030899880425</v>
      </c>
      <c r="BO33" s="80">
        <f>IF(OR(IPC!BK33="",IPC!BJ33="",IPC!BI33=""),"",AVERAGE(IPC!BI33:BK33))</f>
        <v>88.459597760410887</v>
      </c>
      <c r="BP33" s="80">
        <f>IF(OR(IPC!BN33="",IPC!BM33="",IPC!BL33=""),"",AVERAGE(IPC!BL33:BN33))</f>
        <v>88.40740259589036</v>
      </c>
      <c r="BQ33" s="80">
        <f>IF(OR(IPC!BQ33="",IPC!BP33="",IPC!BO33=""),"",AVERAGE(IPC!BO33:BQ33))</f>
        <v>89.02264340397295</v>
      </c>
      <c r="BR33" s="80">
        <f>IF(OR(IPC!BT33="",IPC!BS33="",IPC!BR33=""),"",AVERAGE(IPC!BR33:BT33))</f>
        <v>88.84237435494903</v>
      </c>
      <c r="BS33" s="80">
        <f>IF(OR(IPC!BW33="",IPC!BV33="",IPC!BU33=""),"",AVERAGE(IPC!BU33:BW33))</f>
        <v>89.319379541504716</v>
      </c>
      <c r="BT33" s="80">
        <f>IF(OR(IPC!BZ33="",IPC!BY33="",IPC!BX33=""),"",AVERAGE(IPC!BX33:BZ33))</f>
        <v>88.976114085574466</v>
      </c>
      <c r="BU33" s="80">
        <f>IF(OR(IPC!CC33="",IPC!CB33="",IPC!CA33=""),"",AVERAGE(IPC!CA33:CC33))</f>
        <v>89.219032694817201</v>
      </c>
      <c r="BV33" s="80">
        <f>IF(OR(IPC!CF33="",IPC!CE33="",IPC!CD33=""),"",AVERAGE(IPC!CD33:CF33))</f>
        <v>89.230630318506016</v>
      </c>
      <c r="BW33" s="80">
        <f>IF(OR(IPC!CI33="",IPC!CH33="",IPC!CG33=""),"",AVERAGE(IPC!CG33:CI33))</f>
        <v>89.33974192243754</v>
      </c>
      <c r="BX33" s="80">
        <f>IF(OR(IPC!CL33="",IPC!CK33="",IPC!CJ33=""),"",AVERAGE(IPC!CJ33:CL33))</f>
        <v>89.736665705682057</v>
      </c>
      <c r="BY33" s="80">
        <f>IF(OR(IPC!CO33="",IPC!CN33="",IPC!CM33=""),"",AVERAGE(IPC!CM33:CO33))</f>
        <v>90.081746372558385</v>
      </c>
      <c r="BZ33" s="80">
        <f>IF(OR(IPC!CR33="",IPC!CQ33="",IPC!CP33=""),"",AVERAGE(IPC!CP33:CR33))</f>
        <v>90.645852482355863</v>
      </c>
      <c r="CA33" s="80">
        <f>IF(OR(IPC!CU33="",IPC!CT33="",IPC!CS33=""),"",AVERAGE(IPC!CS33:CU33))</f>
        <v>90.884975214283159</v>
      </c>
      <c r="CB33" s="80">
        <f>IF(OR(IPC!CX33="",IPC!CW33="",IPC!CV33=""),"",AVERAGE(IPC!CV33:CX33))</f>
        <v>91.392074136138476</v>
      </c>
      <c r="CC33" s="80">
        <f>IF(OR(IPC!DA33="",IPC!CZ33="",IPC!CY33=""),"",AVERAGE(IPC!CY33:DA33))</f>
        <v>92.317429983764967</v>
      </c>
      <c r="CD33" s="80">
        <f>IF(OR(IPC!DD33="",IPC!DC33="",IPC!DB33=""),"",AVERAGE(IPC!DB33:DD33))</f>
        <v>92.550007292783206</v>
      </c>
      <c r="CE33" s="80">
        <f>IF(OR(IPC!DG33="",IPC!DF33="",IPC!DE33=""),"",AVERAGE(IPC!DE33:DG33))</f>
        <v>92.798531380180236</v>
      </c>
      <c r="CF33" s="80">
        <f>IF(OR(IPC!DJ33="",IPC!DI33="",IPC!DH33=""),"",AVERAGE(IPC!DH33:DJ33))</f>
        <v>93.204451348430283</v>
      </c>
      <c r="CG33" s="80">
        <f>IF(OR(IPC!DM33="",IPC!DL33="",IPC!DK33=""),"",AVERAGE(IPC!DK33:DM33))</f>
        <v>93.964461782119272</v>
      </c>
      <c r="CH33" s="80">
        <f>IF(OR(IPC!DP33="",IPC!DO33="",IPC!DN33=""),"",AVERAGE(IPC!DN33:DP33))</f>
        <v>94.286578636127388</v>
      </c>
      <c r="CI33" s="80">
        <f>IF(OR(IPC!DS33="",IPC!DR33="",IPC!DQ33=""),"",AVERAGE(IPC!DQ33:DS33))</f>
        <v>94.734569220677557</v>
      </c>
      <c r="CJ33" s="80">
        <f>IF(OR(IPC!DV33="",IPC!DU33="",IPC!DT33=""),"",AVERAGE(IPC!DT33:DV33))</f>
        <v>95.05467722615235</v>
      </c>
      <c r="CK33" s="80">
        <f>IF(OR(IPC!DY33="",IPC!DX33="",IPC!DW33=""),"",AVERAGE(IPC!DW33:DY33))</f>
        <v>95.359046223318003</v>
      </c>
      <c r="CL33" s="80">
        <f>IF(OR(IPC!EB33="",IPC!EA33="",IPC!DZ33=""),"",AVERAGE(IPC!DZ33:EB33))</f>
        <v>95.792303143906111</v>
      </c>
      <c r="CM33" s="80">
        <f>IF(OR(IPC!EE33="",IPC!ED33="",IPC!EC33=""),"",AVERAGE(IPC!EC33:EE33))</f>
        <v>96.070418026469341</v>
      </c>
      <c r="CN33" s="80">
        <f>IF(OR(IPC!EH33="",IPC!EG33="",IPC!EF33=""),"",AVERAGE(IPC!EF33:EH33))</f>
        <v>97.348046361169921</v>
      </c>
      <c r="CO33" s="80">
        <f>IF(OR(IPC!EK33="",IPC!EJ33="",IPC!EI33=""),"",AVERAGE(IPC!EI33:EK33))</f>
        <v>99.644227633603023</v>
      </c>
      <c r="CP33" s="80">
        <f>IF(OR(IPC!EN33="",IPC!EM33="",IPC!EL33=""),"",AVERAGE(IPC!EL33:EN33))</f>
        <v>101.04008837501482</v>
      </c>
      <c r="CQ33" s="80">
        <f>IF(OR(IPC!EQ33="",IPC!EP33="",IPC!EO33=""),"",AVERAGE(IPC!EO33:EQ33))</f>
        <v>101.96763763021227</v>
      </c>
      <c r="CR33" s="80" t="str">
        <f>IF(OR(IPC!ET33="",IPC!ES33="",IPC!ER33=""),"",AVERAGE(IPC!ER33:ET33))</f>
        <v/>
      </c>
      <c r="CS33" s="80" t="str">
        <f>IF(OR(IPC!EW33="",IPC!EV33="",IPC!EU33=""),"",AVERAGE(IPC!EU33:EW33))</f>
        <v/>
      </c>
      <c r="CT33" s="80" t="str">
        <f>IF(OR(IPC!EZ33="",IPC!EY33="",IPC!EX33=""),"",AVERAGE(IPC!EX33:EZ33))</f>
        <v/>
      </c>
      <c r="CU33" s="80" t="str">
        <f>IF(OR(IPC!FC33="",IPC!FB33="",IPC!FA33=""),"",AVERAGE(IPC!FA33:FC33))</f>
        <v/>
      </c>
      <c r="CV33" s="80" t="str">
        <f>IF(OR(IPC!FF33="",IPC!FE33="",IPC!FD33=""),"",AVERAGE(IPC!FD33:FF33))</f>
        <v/>
      </c>
      <c r="CW33" s="80" t="str">
        <f>IF(OR(IPC!FI33="",IPC!FH33="",IPC!FG33=""),"",AVERAGE(IPC!FG33:FI33))</f>
        <v/>
      </c>
      <c r="CX33" s="80" t="str">
        <f>IF(OR(IPC!FL33="",IPC!FK33="",IPC!FJ33=""),"",AVERAGE(IPC!FJ33:FL33))</f>
        <v/>
      </c>
      <c r="CY33" s="80" t="str">
        <f>IF(OR(IPC!FO33="",IPC!FN33="",IPC!FM33=""),"",AVERAGE(IPC!FM33:FO33))</f>
        <v/>
      </c>
      <c r="CZ33" s="80" t="str">
        <f>IF(OR(IPC!FR33="",IPC!FQ33="",IPC!FP33=""),"",AVERAGE(IPC!FP33:FR33))</f>
        <v/>
      </c>
    </row>
    <row r="34" spans="2:104" s="3" customFormat="1" ht="10.199999999999999" x14ac:dyDescent="0.2">
      <c r="B34" s="3" t="s">
        <v>112</v>
      </c>
      <c r="AV34" s="3" t="str">
        <f>IF(OR(IPC!F34="",IPC!E34="",IPC!D34=""),"",AVERAGE(IPC!D34:F34))</f>
        <v/>
      </c>
      <c r="AW34" s="3" t="str">
        <f>IF(OR(IPC!I34="",IPC!H34="",IPC!G34=""),"",AVERAGE(IPC!G34:I34))</f>
        <v/>
      </c>
      <c r="AX34" s="3" t="str">
        <f>IF(OR(IPC!L34="",IPC!K34="",IPC!J34=""),"",AVERAGE(IPC!J34:L34))</f>
        <v/>
      </c>
      <c r="AY34" s="3" t="str">
        <f>IF(OR(IPC!O34="",IPC!N34="",IPC!M34=""),"",AVERAGE(IPC!M34:O34))</f>
        <v/>
      </c>
      <c r="AZ34" s="80">
        <f>IF(OR(IPC!R34="",IPC!Q34="",IPC!P34=""),"",AVERAGE(IPC!P34:R34))</f>
        <v>75.392662279849532</v>
      </c>
      <c r="BA34" s="80">
        <f>IF(OR(IPC!U34="",IPC!T34="",IPC!S34=""),"",AVERAGE(IPC!S34:U34))</f>
        <v>76.296185242751434</v>
      </c>
      <c r="BB34" s="80">
        <f>IF(OR(IPC!X34="",IPC!W34="",IPC!V34=""),"",AVERAGE(IPC!V34:X34))</f>
        <v>76.876186132246232</v>
      </c>
      <c r="BC34" s="80">
        <f>IF(OR(IPC!AA34="",IPC!Z34="",IPC!Y34=""),"",AVERAGE(IPC!Y34:AA34))</f>
        <v>77.603975356516415</v>
      </c>
      <c r="BD34" s="80">
        <f>IF(OR(IPC!AD34="",IPC!AC34="",IPC!AB34=""),"",AVERAGE(IPC!AB34:AD34))</f>
        <v>77.750723889851358</v>
      </c>
      <c r="BE34" s="80">
        <f>IF(OR(IPC!AG34="",IPC!AF34="",IPC!AE34=""),"",AVERAGE(IPC!AE34:AG34))</f>
        <v>77.757047457695407</v>
      </c>
      <c r="BF34" s="80">
        <f>IF(OR(IPC!AJ34="",IPC!AI34="",IPC!AH34=""),"",AVERAGE(IPC!AH34:AJ34))</f>
        <v>78.566669120404526</v>
      </c>
      <c r="BG34" s="80">
        <f>IF(OR(IPC!AM34="",IPC!AL34="",IPC!AK34=""),"",AVERAGE(IPC!AK34:AM34))</f>
        <v>79.72645931775611</v>
      </c>
      <c r="BH34" s="80">
        <f>IF(OR(IPC!AP34="",IPC!AO34="",IPC!AN34=""),"",AVERAGE(IPC!AN34:AP34))</f>
        <v>78.896571616996837</v>
      </c>
      <c r="BI34" s="80">
        <f>IF(OR(IPC!AS34="",IPC!AR34="",IPC!AQ34=""),"",AVERAGE(IPC!AQ34:AS34))</f>
        <v>78.482244214632843</v>
      </c>
      <c r="BJ34" s="80">
        <f>IF(OR(IPC!AV34="",IPC!AU34="",IPC!AT34=""),"",AVERAGE(IPC!AT34:AV34))</f>
        <v>79.797342785559351</v>
      </c>
      <c r="BK34" s="80">
        <f>IF(OR(IPC!AY34="",IPC!AX34="",IPC!AW34=""),"",AVERAGE(IPC!AW34:AY34))</f>
        <v>80.599216570981966</v>
      </c>
      <c r="BL34" s="80">
        <f>IF(OR(IPC!BB34="",IPC!BA34="",IPC!AZ34=""),"",AVERAGE(IPC!AZ34:BB34))</f>
        <v>80.333512237225051</v>
      </c>
      <c r="BM34" s="80">
        <f>IF(OR(IPC!BE34="",IPC!BD34="",IPC!BC34=""),"",AVERAGE(IPC!BC34:BE34))</f>
        <v>81.328472596578337</v>
      </c>
      <c r="BN34" s="80">
        <f>IF(OR(IPC!BH34="",IPC!BG34="",IPC!BF34=""),"",AVERAGE(IPC!BF34:BH34))</f>
        <v>82.056566392467843</v>
      </c>
      <c r="BO34" s="80">
        <f>IF(OR(IPC!BK34="",IPC!BJ34="",IPC!BI34=""),"",AVERAGE(IPC!BI34:BK34))</f>
        <v>82.273144080754562</v>
      </c>
      <c r="BP34" s="80">
        <f>IF(OR(IPC!BN34="",IPC!BM34="",IPC!BL34=""),"",AVERAGE(IPC!BL34:BN34))</f>
        <v>81.70081286769647</v>
      </c>
      <c r="BQ34" s="80">
        <f>IF(OR(IPC!BQ34="",IPC!BP34="",IPC!BO34=""),"",AVERAGE(IPC!BO34:BQ34))</f>
        <v>82.386759722400058</v>
      </c>
      <c r="BR34" s="80">
        <f>IF(OR(IPC!BT34="",IPC!BS34="",IPC!BR34=""),"",AVERAGE(IPC!BR34:BT34))</f>
        <v>82.584173407986356</v>
      </c>
      <c r="BS34" s="80">
        <f>IF(OR(IPC!BW34="",IPC!BV34="",IPC!BU34=""),"",AVERAGE(IPC!BU34:BW34))</f>
        <v>82.195917608758393</v>
      </c>
      <c r="BT34" s="80">
        <f>IF(OR(IPC!BZ34="",IPC!BY34="",IPC!BX34=""),"",AVERAGE(IPC!BX34:BZ34))</f>
        <v>81.547453265817666</v>
      </c>
      <c r="BU34" s="80">
        <f>IF(OR(IPC!CC34="",IPC!CB34="",IPC!CA34=""),"",AVERAGE(IPC!CA34:CC34))</f>
        <v>82.342785431847972</v>
      </c>
      <c r="BV34" s="80">
        <f>IF(OR(IPC!CF34="",IPC!CE34="",IPC!CD34=""),"",AVERAGE(IPC!CD34:CF34))</f>
        <v>82.910295875845776</v>
      </c>
      <c r="BW34" s="80">
        <f>IF(OR(IPC!CI34="",IPC!CH34="",IPC!CG34=""),"",AVERAGE(IPC!CG34:CI34))</f>
        <v>83.045741240584036</v>
      </c>
      <c r="BX34" s="80">
        <f>IF(OR(IPC!CL34="",IPC!CK34="",IPC!CJ34=""),"",AVERAGE(IPC!CJ34:CL34))</f>
        <v>82.499948726310421</v>
      </c>
      <c r="BY34" s="80">
        <f>IF(OR(IPC!CO34="",IPC!CN34="",IPC!CM34=""),"",AVERAGE(IPC!CM34:CO34))</f>
        <v>82.953768040495078</v>
      </c>
      <c r="BZ34" s="80">
        <f>IF(OR(IPC!CR34="",IPC!CQ34="",IPC!CP34=""),"",AVERAGE(IPC!CP34:CR34))</f>
        <v>82.986353310295442</v>
      </c>
      <c r="CA34" s="80">
        <f>IF(OR(IPC!CU34="",IPC!CT34="",IPC!CS34=""),"",AVERAGE(IPC!CS34:CU34))</f>
        <v>84.125746814889283</v>
      </c>
      <c r="CB34" s="80">
        <f>IF(OR(IPC!CX34="",IPC!CW34="",IPC!CV34=""),"",AVERAGE(IPC!CV34:CX34))</f>
        <v>84.144482502665468</v>
      </c>
      <c r="CC34" s="80">
        <f>IF(OR(IPC!DA34="",IPC!CZ34="",IPC!CY34=""),"",AVERAGE(IPC!CY34:DA34))</f>
        <v>84.996945848923815</v>
      </c>
      <c r="CD34" s="80">
        <f>IF(OR(IPC!DD34="",IPC!DC34="",IPC!DB34=""),"",AVERAGE(IPC!DB34:DD34))</f>
        <v>85.674910957079547</v>
      </c>
      <c r="CE34" s="80">
        <f>IF(OR(IPC!DG34="",IPC!DF34="",IPC!DE34=""),"",AVERAGE(IPC!DE34:DG34))</f>
        <v>86.678470407310058</v>
      </c>
      <c r="CF34" s="80">
        <f>IF(OR(IPC!DJ34="",IPC!DI34="",IPC!DH34=""),"",AVERAGE(IPC!DH34:DJ34))</f>
        <v>87.271533915825117</v>
      </c>
      <c r="CG34" s="80">
        <f>IF(OR(IPC!DM34="",IPC!DL34="",IPC!DK34=""),"",AVERAGE(IPC!DK34:DM34))</f>
        <v>87.650194128853357</v>
      </c>
      <c r="CH34" s="80">
        <f>IF(OR(IPC!DP34="",IPC!DO34="",IPC!DN34=""),"",AVERAGE(IPC!DN34:DP34))</f>
        <v>88.78913292139201</v>
      </c>
      <c r="CI34" s="80">
        <f>IF(OR(IPC!DS34="",IPC!DR34="",IPC!DQ34=""),"",AVERAGE(IPC!DQ34:DS34))</f>
        <v>89.339619379850987</v>
      </c>
      <c r="CJ34" s="80">
        <f>IF(OR(IPC!DV34="",IPC!DU34="",IPC!DT34=""),"",AVERAGE(IPC!DT34:DV34))</f>
        <v>89.355031887204049</v>
      </c>
      <c r="CK34" s="80">
        <f>IF(OR(IPC!DY34="",IPC!DX34="",IPC!DW34=""),"",AVERAGE(IPC!DW34:DY34))</f>
        <v>90.697042218233534</v>
      </c>
      <c r="CL34" s="80">
        <f>IF(OR(IPC!EB34="",IPC!EA34="",IPC!DZ34=""),"",AVERAGE(IPC!DZ34:EB34))</f>
        <v>91.994770893826697</v>
      </c>
      <c r="CM34" s="80">
        <f>IF(OR(IPC!EE34="",IPC!ED34="",IPC!EC34=""),"",AVERAGE(IPC!EC34:EE34))</f>
        <v>93.009303696250001</v>
      </c>
      <c r="CN34" s="80">
        <f>IF(OR(IPC!EH34="",IPC!EG34="",IPC!EF34=""),"",AVERAGE(IPC!EF34:EH34))</f>
        <v>95.684212763162222</v>
      </c>
      <c r="CO34" s="80">
        <f>IF(OR(IPC!EK34="",IPC!EJ34="",IPC!EI34=""),"",AVERAGE(IPC!EI34:EK34))</f>
        <v>98.738673464426086</v>
      </c>
      <c r="CP34" s="80">
        <f>IF(OR(IPC!EN34="",IPC!EM34="",IPC!EL34=""),"",AVERAGE(IPC!EL34:EN34))</f>
        <v>101.57447773365004</v>
      </c>
      <c r="CQ34" s="80">
        <f>IF(OR(IPC!EQ34="",IPC!EP34="",IPC!EO34=""),"",AVERAGE(IPC!EO34:EQ34))</f>
        <v>104.00263603876159</v>
      </c>
      <c r="CR34" s="80" t="str">
        <f>IF(OR(IPC!ET34="",IPC!ES34="",IPC!ER34=""),"",AVERAGE(IPC!ER34:ET34))</f>
        <v/>
      </c>
      <c r="CS34" s="80" t="str">
        <f>IF(OR(IPC!EW34="",IPC!EV34="",IPC!EU34=""),"",AVERAGE(IPC!EU34:EW34))</f>
        <v/>
      </c>
      <c r="CT34" s="80" t="str">
        <f>IF(OR(IPC!EZ34="",IPC!EY34="",IPC!EX34=""),"",AVERAGE(IPC!EX34:EZ34))</f>
        <v/>
      </c>
      <c r="CU34" s="80" t="str">
        <f>IF(OR(IPC!FC34="",IPC!FB34="",IPC!FA34=""),"",AVERAGE(IPC!FA34:FC34))</f>
        <v/>
      </c>
      <c r="CV34" s="80" t="str">
        <f>IF(OR(IPC!FF34="",IPC!FE34="",IPC!FD34=""),"",AVERAGE(IPC!FD34:FF34))</f>
        <v/>
      </c>
      <c r="CW34" s="80" t="str">
        <f>IF(OR(IPC!FI34="",IPC!FH34="",IPC!FG34=""),"",AVERAGE(IPC!FG34:FI34))</f>
        <v/>
      </c>
      <c r="CX34" s="80" t="str">
        <f>IF(OR(IPC!FL34="",IPC!FK34="",IPC!FJ34=""),"",AVERAGE(IPC!FJ34:FL34))</f>
        <v/>
      </c>
      <c r="CY34" s="80" t="str">
        <f>IF(OR(IPC!FO34="",IPC!FN34="",IPC!FM34=""),"",AVERAGE(IPC!FM34:FO34))</f>
        <v/>
      </c>
      <c r="CZ34" s="80" t="str">
        <f>IF(OR(IPC!FR34="",IPC!FQ34="",IPC!FP34=""),"",AVERAGE(IPC!FP34:FR34))</f>
        <v/>
      </c>
    </row>
    <row r="35" spans="2:104" s="3" customFormat="1" ht="10.199999999999999" x14ac:dyDescent="0.2">
      <c r="B35" s="3" t="s">
        <v>113</v>
      </c>
      <c r="AV35" s="3" t="str">
        <f>IF(OR(IPC!F35="",IPC!E35="",IPC!D35=""),"",AVERAGE(IPC!D35:F35))</f>
        <v/>
      </c>
      <c r="AW35" s="3" t="str">
        <f>IF(OR(IPC!I35="",IPC!H35="",IPC!G35=""),"",AVERAGE(IPC!G35:I35))</f>
        <v/>
      </c>
      <c r="AX35" s="3" t="str">
        <f>IF(OR(IPC!L35="",IPC!K35="",IPC!J35=""),"",AVERAGE(IPC!J35:L35))</f>
        <v/>
      </c>
      <c r="AY35" s="3" t="str">
        <f>IF(OR(IPC!O35="",IPC!N35="",IPC!M35=""),"",AVERAGE(IPC!M35:O35))</f>
        <v/>
      </c>
      <c r="AZ35" s="80">
        <f>IF(OR(IPC!R35="",IPC!Q35="",IPC!P35=""),"",AVERAGE(IPC!P35:R35))</f>
        <v>84.787018445632455</v>
      </c>
      <c r="BA35" s="80">
        <f>IF(OR(IPC!U35="",IPC!T35="",IPC!S35=""),"",AVERAGE(IPC!S35:U35))</f>
        <v>85.084631686460895</v>
      </c>
      <c r="BB35" s="80">
        <f>IF(OR(IPC!X35="",IPC!W35="",IPC!V35=""),"",AVERAGE(IPC!V35:X35))</f>
        <v>85.341011028564765</v>
      </c>
      <c r="BC35" s="80">
        <f>IF(OR(IPC!AA35="",IPC!Z35="",IPC!Y35=""),"",AVERAGE(IPC!Y35:AA35))</f>
        <v>85.825504954726796</v>
      </c>
      <c r="BD35" s="80">
        <f>IF(OR(IPC!AD35="",IPC!AC35="",IPC!AB35=""),"",AVERAGE(IPC!AB35:AD35))</f>
        <v>85.972627563351622</v>
      </c>
      <c r="BE35" s="80">
        <f>IF(OR(IPC!AG35="",IPC!AF35="",IPC!AE35=""),"",AVERAGE(IPC!AE35:AG35))</f>
        <v>86.197826862689283</v>
      </c>
      <c r="BF35" s="80">
        <f>IF(OR(IPC!AJ35="",IPC!AI35="",IPC!AH35=""),"",AVERAGE(IPC!AH35:AJ35))</f>
        <v>86.477558073241212</v>
      </c>
      <c r="BG35" s="80">
        <f>IF(OR(IPC!AM35="",IPC!AL35="",IPC!AK35=""),"",AVERAGE(IPC!AK35:AM35))</f>
        <v>86.927693222391042</v>
      </c>
      <c r="BH35" s="80">
        <f>IF(OR(IPC!AP35="",IPC!AO35="",IPC!AN35=""),"",AVERAGE(IPC!AN35:AP35))</f>
        <v>86.783966933635767</v>
      </c>
      <c r="BI35" s="80">
        <f>IF(OR(IPC!AS35="",IPC!AR35="",IPC!AQ35=""),"",AVERAGE(IPC!AQ35:AS35))</f>
        <v>87.092292996832882</v>
      </c>
      <c r="BJ35" s="80">
        <f>IF(OR(IPC!AV35="",IPC!AU35="",IPC!AT35=""),"",AVERAGE(IPC!AT35:AV35))</f>
        <v>87.44122988165509</v>
      </c>
      <c r="BK35" s="80">
        <f>IF(OR(IPC!AY35="",IPC!AX35="",IPC!AW35=""),"",AVERAGE(IPC!AW35:AY35))</f>
        <v>87.750589808630522</v>
      </c>
      <c r="BL35" s="80">
        <f>IF(OR(IPC!BB35="",IPC!BA35="",IPC!AZ35=""),"",AVERAGE(IPC!AZ35:BB35))</f>
        <v>87.568659156578292</v>
      </c>
      <c r="BM35" s="80">
        <f>IF(OR(IPC!BE35="",IPC!BD35="",IPC!BC35=""),"",AVERAGE(IPC!BC35:BE35))</f>
        <v>87.353817304356426</v>
      </c>
      <c r="BN35" s="80">
        <f>IF(OR(IPC!BH35="",IPC!BG35="",IPC!BF35=""),"",AVERAGE(IPC!BF35:BH35))</f>
        <v>87.75620988714924</v>
      </c>
      <c r="BO35" s="80">
        <f>IF(OR(IPC!BK35="",IPC!BJ35="",IPC!BI35=""),"",AVERAGE(IPC!BI35:BK35))</f>
        <v>87.733206467065017</v>
      </c>
      <c r="BP35" s="80">
        <f>IF(OR(IPC!BN35="",IPC!BM35="",IPC!BL35=""),"",AVERAGE(IPC!BL35:BN35))</f>
        <v>87.705251271172926</v>
      </c>
      <c r="BQ35" s="80">
        <f>IF(OR(IPC!BQ35="",IPC!BP35="",IPC!BO35=""),"",AVERAGE(IPC!BO35:BQ35))</f>
        <v>87.486602864455335</v>
      </c>
      <c r="BR35" s="80">
        <f>IF(OR(IPC!BT35="",IPC!BS35="",IPC!BR35=""),"",AVERAGE(IPC!BR35:BT35))</f>
        <v>88.100871057051734</v>
      </c>
      <c r="BS35" s="80">
        <f>IF(OR(IPC!BW35="",IPC!BV35="",IPC!BU35=""),"",AVERAGE(IPC!BU35:BW35))</f>
        <v>88.238034574939377</v>
      </c>
      <c r="BT35" s="80">
        <f>IF(OR(IPC!BZ35="",IPC!BY35="",IPC!BX35=""),"",AVERAGE(IPC!BX35:BZ35))</f>
        <v>88.545143979765882</v>
      </c>
      <c r="BU35" s="80">
        <f>IF(OR(IPC!CC35="",IPC!CB35="",IPC!CA35=""),"",AVERAGE(IPC!CA35:CC35))</f>
        <v>88.547728480522608</v>
      </c>
      <c r="BV35" s="80">
        <f>IF(OR(IPC!CF35="",IPC!CE35="",IPC!CD35=""),"",AVERAGE(IPC!CD35:CF35))</f>
        <v>88.831412643988244</v>
      </c>
      <c r="BW35" s="80">
        <f>IF(OR(IPC!CI35="",IPC!CH35="",IPC!CG35=""),"",AVERAGE(IPC!CG35:CI35))</f>
        <v>88.980380429840622</v>
      </c>
      <c r="BX35" s="80">
        <f>IF(OR(IPC!CL35="",IPC!CK35="",IPC!CJ35=""),"",AVERAGE(IPC!CJ35:CL35))</f>
        <v>89.298643096856381</v>
      </c>
      <c r="BY35" s="80">
        <f>IF(OR(IPC!CO35="",IPC!CN35="",IPC!CM35=""),"",AVERAGE(IPC!CM35:CO35))</f>
        <v>89.826932359734982</v>
      </c>
      <c r="BZ35" s="80">
        <f>IF(OR(IPC!CR35="",IPC!CQ35="",IPC!CP35=""),"",AVERAGE(IPC!CP35:CR35))</f>
        <v>90.300164871111704</v>
      </c>
      <c r="CA35" s="80">
        <f>IF(OR(IPC!CU35="",IPC!CT35="",IPC!CS35=""),"",AVERAGE(IPC!CS35:CU35))</f>
        <v>90.983345933277619</v>
      </c>
      <c r="CB35" s="80">
        <f>IF(OR(IPC!CX35="",IPC!CW35="",IPC!CV35=""),"",AVERAGE(IPC!CV35:CX35))</f>
        <v>91.306395928496457</v>
      </c>
      <c r="CC35" s="80">
        <f>IF(OR(IPC!DA35="",IPC!CZ35="",IPC!CY35=""),"",AVERAGE(IPC!CY35:DA35))</f>
        <v>91.868578057987563</v>
      </c>
      <c r="CD35" s="80">
        <f>IF(OR(IPC!DD35="",IPC!DC35="",IPC!DB35=""),"",AVERAGE(IPC!DB35:DD35))</f>
        <v>92.394947137297137</v>
      </c>
      <c r="CE35" s="80">
        <f>IF(OR(IPC!DG35="",IPC!DF35="",IPC!DE35=""),"",AVERAGE(IPC!DE35:DG35))</f>
        <v>93.275735709448256</v>
      </c>
      <c r="CF35" s="80">
        <f>IF(OR(IPC!DJ35="",IPC!DI35="",IPC!DH35=""),"",AVERAGE(IPC!DH35:DJ35))</f>
        <v>93.478828412167374</v>
      </c>
      <c r="CG35" s="80">
        <f>IF(OR(IPC!DM35="",IPC!DL35="",IPC!DK35=""),"",AVERAGE(IPC!DK35:DM35))</f>
        <v>94.067321786204232</v>
      </c>
      <c r="CH35" s="80">
        <f>IF(OR(IPC!DP35="",IPC!DO35="",IPC!DN35=""),"",AVERAGE(IPC!DN35:DP35))</f>
        <v>94.463638782363205</v>
      </c>
      <c r="CI35" s="80">
        <f>IF(OR(IPC!DS35="",IPC!DR35="",IPC!DQ35=""),"",AVERAGE(IPC!DQ35:DS35))</f>
        <v>95.093764286832837</v>
      </c>
      <c r="CJ35" s="80">
        <f>IF(OR(IPC!DV35="",IPC!DU35="",IPC!DT35=""),"",AVERAGE(IPC!DT35:DV35))</f>
        <v>95.497602952246098</v>
      </c>
      <c r="CK35" s="80">
        <f>IF(OR(IPC!DY35="",IPC!DX35="",IPC!DW35=""),"",AVERAGE(IPC!DW35:DY35))</f>
        <v>95.896627538677194</v>
      </c>
      <c r="CL35" s="80">
        <f>IF(OR(IPC!EB35="",IPC!EA35="",IPC!DZ35=""),"",AVERAGE(IPC!DZ35:EB35))</f>
        <v>96.518329333112433</v>
      </c>
      <c r="CM35" s="80">
        <f>IF(OR(IPC!EE35="",IPC!ED35="",IPC!EC35=""),"",AVERAGE(IPC!EC35:EE35))</f>
        <v>97.118183536603041</v>
      </c>
      <c r="CN35" s="80">
        <f>IF(OR(IPC!EH35="",IPC!EG35="",IPC!EF35=""),"",AVERAGE(IPC!EF35:EH35))</f>
        <v>98.021795745070492</v>
      </c>
      <c r="CO35" s="80">
        <f>IF(OR(IPC!EK35="",IPC!EJ35="",IPC!EI35=""),"",AVERAGE(IPC!EI35:EK35))</f>
        <v>99.759912402377509</v>
      </c>
      <c r="CP35" s="80">
        <f>IF(OR(IPC!EN35="",IPC!EM35="",IPC!EL35=""),"",AVERAGE(IPC!EL35:EN35))</f>
        <v>100.72908976811702</v>
      </c>
      <c r="CQ35" s="80">
        <f>IF(OR(IPC!EQ35="",IPC!EP35="",IPC!EO35=""),"",AVERAGE(IPC!EO35:EQ35))</f>
        <v>101.48920208443492</v>
      </c>
      <c r="CR35" s="80" t="str">
        <f>IF(OR(IPC!ET35="",IPC!ES35="",IPC!ER35=""),"",AVERAGE(IPC!ER35:ET35))</f>
        <v/>
      </c>
      <c r="CS35" s="80" t="str">
        <f>IF(OR(IPC!EW35="",IPC!EV35="",IPC!EU35=""),"",AVERAGE(IPC!EU35:EW35))</f>
        <v/>
      </c>
      <c r="CT35" s="80" t="str">
        <f>IF(OR(IPC!EZ35="",IPC!EY35="",IPC!EX35=""),"",AVERAGE(IPC!EX35:EZ35))</f>
        <v/>
      </c>
      <c r="CU35" s="80" t="str">
        <f>IF(OR(IPC!FC35="",IPC!FB35="",IPC!FA35=""),"",AVERAGE(IPC!FA35:FC35))</f>
        <v/>
      </c>
      <c r="CV35" s="80" t="str">
        <f>IF(OR(IPC!FF35="",IPC!FE35="",IPC!FD35=""),"",AVERAGE(IPC!FD35:FF35))</f>
        <v/>
      </c>
      <c r="CW35" s="80" t="str">
        <f>IF(OR(IPC!FI35="",IPC!FH35="",IPC!FG35=""),"",AVERAGE(IPC!FG35:FI35))</f>
        <v/>
      </c>
      <c r="CX35" s="80" t="str">
        <f>IF(OR(IPC!FL35="",IPC!FK35="",IPC!FJ35=""),"",AVERAGE(IPC!FJ35:FL35))</f>
        <v/>
      </c>
      <c r="CY35" s="80" t="str">
        <f>IF(OR(IPC!FO35="",IPC!FN35="",IPC!FM35=""),"",AVERAGE(IPC!FM35:FO35))</f>
        <v/>
      </c>
      <c r="CZ35" s="80" t="str">
        <f>IF(OR(IPC!FR35="",IPC!FQ35="",IPC!FP35=""),"",AVERAGE(IPC!FP35:FR35))</f>
        <v/>
      </c>
    </row>
    <row r="36" spans="2:104" s="81" customFormat="1" ht="10.199999999999999" x14ac:dyDescent="0.2">
      <c r="B36" s="81" t="s">
        <v>114</v>
      </c>
      <c r="AV36" s="81" t="str">
        <f>IF(OR(IPC!F36="",IPC!E36="",IPC!D36=""),"",AVERAGE(IPC!D36:F36))</f>
        <v/>
      </c>
      <c r="AW36" s="81" t="str">
        <f>IF(OR(IPC!I36="",IPC!H36="",IPC!G36=""),"",AVERAGE(IPC!G36:I36))</f>
        <v/>
      </c>
      <c r="AX36" s="81" t="str">
        <f>IF(OR(IPC!L36="",IPC!K36="",IPC!J36=""),"",AVERAGE(IPC!J36:L36))</f>
        <v/>
      </c>
      <c r="AY36" s="81" t="str">
        <f>IF(OR(IPC!O36="",IPC!N36="",IPC!M36=""),"",AVERAGE(IPC!M36:O36))</f>
        <v/>
      </c>
      <c r="AZ36" s="82">
        <f>IF(OR(IPC!R36="",IPC!Q36="",IPC!P36=""),"",AVERAGE(IPC!P36:R36))</f>
        <v>81.981442115161087</v>
      </c>
      <c r="BA36" s="82">
        <f>IF(OR(IPC!U36="",IPC!T36="",IPC!S36=""),"",AVERAGE(IPC!S36:U36))</f>
        <v>82.502633790895473</v>
      </c>
      <c r="BB36" s="82">
        <f>IF(OR(IPC!X36="",IPC!W36="",IPC!V36=""),"",AVERAGE(IPC!V36:X36))</f>
        <v>83.270870144468205</v>
      </c>
      <c r="BC36" s="82">
        <f>IF(OR(IPC!AA36="",IPC!Z36="",IPC!Y36=""),"",AVERAGE(IPC!Y36:AA36))</f>
        <v>83.789479514536467</v>
      </c>
      <c r="BD36" s="82">
        <f>IF(OR(IPC!AD36="",IPC!AC36="",IPC!AB36=""),"",AVERAGE(IPC!AB36:AD36))</f>
        <v>83.820945902487281</v>
      </c>
      <c r="BE36" s="82">
        <f>IF(OR(IPC!AG36="",IPC!AF36="",IPC!AE36=""),"",AVERAGE(IPC!AE36:AG36))</f>
        <v>84.120846445007416</v>
      </c>
      <c r="BF36" s="82">
        <f>IF(OR(IPC!AJ36="",IPC!AI36="",IPC!AH36=""),"",AVERAGE(IPC!AH36:AJ36))</f>
        <v>84.365730960917517</v>
      </c>
      <c r="BG36" s="82">
        <f>IF(OR(IPC!AM36="",IPC!AL36="",IPC!AK36=""),"",AVERAGE(IPC!AK36:AM36))</f>
        <v>84.794392359277609</v>
      </c>
      <c r="BH36" s="82">
        <f>IF(OR(IPC!AP36="",IPC!AO36="",IPC!AN36=""),"",AVERAGE(IPC!AN36:AP36))</f>
        <v>84.855951524567161</v>
      </c>
      <c r="BI36" s="82">
        <f>IF(OR(IPC!AS36="",IPC!AR36="",IPC!AQ36=""),"",AVERAGE(IPC!AQ36:AS36))</f>
        <v>84.990167161867817</v>
      </c>
      <c r="BJ36" s="82">
        <f>IF(OR(IPC!AV36="",IPC!AU36="",IPC!AT36=""),"",AVERAGE(IPC!AT36:AV36))</f>
        <v>88.689133199273215</v>
      </c>
      <c r="BK36" s="82">
        <f>IF(OR(IPC!AY36="",IPC!AX36="",IPC!AW36=""),"",AVERAGE(IPC!AW36:AY36))</f>
        <v>89.104383249862451</v>
      </c>
      <c r="BL36" s="82">
        <f>IF(OR(IPC!BB36="",IPC!BA36="",IPC!AZ36=""),"",AVERAGE(IPC!AZ36:BB36))</f>
        <v>89.509816442956279</v>
      </c>
      <c r="BM36" s="82">
        <f>IF(OR(IPC!BE36="",IPC!BD36="",IPC!BC36=""),"",AVERAGE(IPC!BC36:BE36))</f>
        <v>90.236631884719642</v>
      </c>
      <c r="BN36" s="82">
        <f>IF(OR(IPC!BH36="",IPC!BG36="",IPC!BF36=""),"",AVERAGE(IPC!BF36:BH36))</f>
        <v>90.670365615232868</v>
      </c>
      <c r="BO36" s="82">
        <f>IF(OR(IPC!BK36="",IPC!BJ36="",IPC!BI36=""),"",AVERAGE(IPC!BI36:BK36))</f>
        <v>90.795012341478397</v>
      </c>
      <c r="BP36" s="82">
        <f>IF(OR(IPC!BN36="",IPC!BM36="",IPC!BL36=""),"",AVERAGE(IPC!BL36:BN36))</f>
        <v>90.959309781408706</v>
      </c>
      <c r="BQ36" s="82">
        <f>IF(OR(IPC!BQ36="",IPC!BP36="",IPC!BO36=""),"",AVERAGE(IPC!BO36:BQ36))</f>
        <v>91.065008124492309</v>
      </c>
      <c r="BR36" s="82">
        <f>IF(OR(IPC!BT36="",IPC!BS36="",IPC!BR36=""),"",AVERAGE(IPC!BR36:BT36))</f>
        <v>91.219924721165611</v>
      </c>
      <c r="BS36" s="82">
        <f>IF(OR(IPC!BW36="",IPC!BV36="",IPC!BU36=""),"",AVERAGE(IPC!BU36:BW36))</f>
        <v>91.422567178448858</v>
      </c>
      <c r="BT36" s="82">
        <f>IF(OR(IPC!BZ36="",IPC!BY36="",IPC!BX36=""),"",AVERAGE(IPC!BX36:BZ36))</f>
        <v>91.783784712604003</v>
      </c>
      <c r="BU36" s="82">
        <f>IF(OR(IPC!CC36="",IPC!CB36="",IPC!CA36=""),"",AVERAGE(IPC!CA36:CC36))</f>
        <v>91.952754528799616</v>
      </c>
      <c r="BV36" s="82">
        <f>IF(OR(IPC!CF36="",IPC!CE36="",IPC!CD36=""),"",AVERAGE(IPC!CD36:CF36))</f>
        <v>92.022234889536023</v>
      </c>
      <c r="BW36" s="82">
        <f>IF(OR(IPC!CI36="",IPC!CH36="",IPC!CG36=""),"",AVERAGE(IPC!CG36:CI36))</f>
        <v>91.997262815521935</v>
      </c>
      <c r="BX36" s="82">
        <f>IF(OR(IPC!CL36="",IPC!CK36="",IPC!CJ36=""),"",AVERAGE(IPC!CJ36:CL36))</f>
        <v>92.177236568425542</v>
      </c>
      <c r="BY36" s="82">
        <f>IF(OR(IPC!CO36="",IPC!CN36="",IPC!CM36=""),"",AVERAGE(IPC!CM36:CO36))</f>
        <v>92.62917344708292</v>
      </c>
      <c r="BZ36" s="82">
        <f>IF(OR(IPC!CR36="",IPC!CQ36="",IPC!CP36=""),"",AVERAGE(IPC!CP36:CR36))</f>
        <v>93.431466544514436</v>
      </c>
      <c r="CA36" s="82">
        <f>IF(OR(IPC!CU36="",IPC!CT36="",IPC!CS36=""),"",AVERAGE(IPC!CS36:CU36))</f>
        <v>93.919703032194874</v>
      </c>
      <c r="CB36" s="82">
        <f>IF(OR(IPC!CX36="",IPC!CW36="",IPC!CV36=""),"",AVERAGE(IPC!CV36:CX36))</f>
        <v>94.441046511426592</v>
      </c>
      <c r="CC36" s="82">
        <f>IF(OR(IPC!DA36="",IPC!CZ36="",IPC!CY36=""),"",AVERAGE(IPC!CY36:DA36))</f>
        <v>94.896266431231012</v>
      </c>
      <c r="CD36" s="82">
        <f>IF(OR(IPC!DD36="",IPC!DC36="",IPC!DB36=""),"",AVERAGE(IPC!DB36:DD36))</f>
        <v>95.105307208794386</v>
      </c>
      <c r="CE36" s="82">
        <f>IF(OR(IPC!DG36="",IPC!DF36="",IPC!DE36=""),"",AVERAGE(IPC!DE36:DG36))</f>
        <v>95.371978933354299</v>
      </c>
      <c r="CF36" s="82">
        <f>IF(OR(IPC!DJ36="",IPC!DI36="",IPC!DH36=""),"",AVERAGE(IPC!DH36:DJ36))</f>
        <v>95.749768830812286</v>
      </c>
      <c r="CG36" s="82">
        <f>IF(OR(IPC!DM36="",IPC!DL36="",IPC!DK36=""),"",AVERAGE(IPC!DK36:DM36))</f>
        <v>96.534010384373119</v>
      </c>
      <c r="CH36" s="82">
        <f>IF(OR(IPC!DP36="",IPC!DO36="",IPC!DN36=""),"",AVERAGE(IPC!DN36:DP36))</f>
        <v>96.299472380175686</v>
      </c>
      <c r="CI36" s="82">
        <f>IF(OR(IPC!DS36="",IPC!DR36="",IPC!DQ36=""),"",AVERAGE(IPC!DQ36:DS36))</f>
        <v>96.627402755397895</v>
      </c>
      <c r="CJ36" s="82">
        <f>IF(OR(IPC!DV36="",IPC!DU36="",IPC!DT36=""),"",AVERAGE(IPC!DT36:DV36))</f>
        <v>96.788821519434222</v>
      </c>
      <c r="CK36" s="82">
        <f>IF(OR(IPC!DY36="",IPC!DX36="",IPC!DW36=""),"",AVERAGE(IPC!DW36:DY36))</f>
        <v>96.948474416573887</v>
      </c>
      <c r="CL36" s="82">
        <f>IF(OR(IPC!EB36="",IPC!EA36="",IPC!DZ36=""),"",AVERAGE(IPC!DZ36:EB36))</f>
        <v>97.243954002443317</v>
      </c>
      <c r="CM36" s="82">
        <f>IF(OR(IPC!EE36="",IPC!ED36="",IPC!EC36=""),"",AVERAGE(IPC!EC36:EE36))</f>
        <v>97.716066676284299</v>
      </c>
      <c r="CN36" s="82">
        <f>IF(OR(IPC!EH36="",IPC!EG36="",IPC!EF36=""),"",AVERAGE(IPC!EF36:EH36))</f>
        <v>98.513689671263492</v>
      </c>
      <c r="CO36" s="82">
        <f>IF(OR(IPC!EK36="",IPC!EJ36="",IPC!EI36=""),"",AVERAGE(IPC!EI36:EK36))</f>
        <v>99.530731755374788</v>
      </c>
      <c r="CP36" s="82">
        <f>IF(OR(IPC!EN36="",IPC!EM36="",IPC!EL36=""),"",AVERAGE(IPC!EL36:EN36))</f>
        <v>100.66188383626309</v>
      </c>
      <c r="CQ36" s="82">
        <f>IF(OR(IPC!EQ36="",IPC!EP36="",IPC!EO36=""),"",AVERAGE(IPC!EO36:EQ36))</f>
        <v>101.29369473709859</v>
      </c>
      <c r="CR36" s="82" t="str">
        <f>IF(OR(IPC!ET36="",IPC!ES36="",IPC!ER36=""),"",AVERAGE(IPC!ER36:ET36))</f>
        <v/>
      </c>
      <c r="CS36" s="82" t="str">
        <f>IF(OR(IPC!EW36="",IPC!EV36="",IPC!EU36=""),"",AVERAGE(IPC!EU36:EW36))</f>
        <v/>
      </c>
      <c r="CT36" s="82" t="str">
        <f>IF(OR(IPC!EZ36="",IPC!EY36="",IPC!EX36=""),"",AVERAGE(IPC!EX36:EZ36))</f>
        <v/>
      </c>
      <c r="CU36" s="82" t="str">
        <f>IF(OR(IPC!FC36="",IPC!FB36="",IPC!FA36=""),"",AVERAGE(IPC!FA36:FC36))</f>
        <v/>
      </c>
      <c r="CV36" s="82" t="str">
        <f>IF(OR(IPC!FF36="",IPC!FE36="",IPC!FD36=""),"",AVERAGE(IPC!FD36:FF36))</f>
        <v/>
      </c>
      <c r="CW36" s="82" t="str">
        <f>IF(OR(IPC!FI36="",IPC!FH36="",IPC!FG36=""),"",AVERAGE(IPC!FG36:FI36))</f>
        <v/>
      </c>
      <c r="CX36" s="82" t="str">
        <f>IF(OR(IPC!FL36="",IPC!FK36="",IPC!FJ36=""),"",AVERAGE(IPC!FJ36:FL36))</f>
        <v/>
      </c>
      <c r="CY36" s="82" t="str">
        <f>IF(OR(IPC!FO36="",IPC!FN36="",IPC!FM36=""),"",AVERAGE(IPC!FM36:FO36))</f>
        <v/>
      </c>
      <c r="CZ36" s="82" t="str">
        <f>IF(OR(IPC!FR36="",IPC!FQ36="",IPC!FP36=""),"",AVERAGE(IPC!FP36:FR36))</f>
        <v/>
      </c>
    </row>
    <row r="37" spans="2:104" s="14" customFormat="1" ht="10.8" x14ac:dyDescent="0.25">
      <c r="C37" s="15"/>
      <c r="AV37" s="14" t="str">
        <f>IF(OR(IPC!F37="",IPC!E37="",IPC!D37=""),"",AVERAGE(IPC!D37:F37))</f>
        <v/>
      </c>
      <c r="AW37" s="14" t="str">
        <f>IF(OR(IPC!I37="",IPC!H37="",IPC!G37=""),"",AVERAGE(IPC!G37:I37))</f>
        <v/>
      </c>
      <c r="AX37" s="14" t="str">
        <f>IF(OR(IPC!L37="",IPC!K37="",IPC!J37=""),"",AVERAGE(IPC!J37:L37))</f>
        <v/>
      </c>
      <c r="AY37" s="14" t="str">
        <f>IF(OR(IPC!O37="",IPC!N37="",IPC!M37=""),"",AVERAGE(IPC!M37:O37))</f>
        <v/>
      </c>
      <c r="AZ37" s="16" t="str">
        <f>IF(OR(IPC!R37="",IPC!Q37="",IPC!P37=""),"",AVERAGE(IPC!P37:R37))</f>
        <v/>
      </c>
      <c r="BA37" s="16" t="str">
        <f>IF(OR(IPC!U37="",IPC!T37="",IPC!S37=""),"",AVERAGE(IPC!S37:U37))</f>
        <v/>
      </c>
      <c r="BB37" s="16" t="str">
        <f>IF(OR(IPC!X37="",IPC!W37="",IPC!V37=""),"",AVERAGE(IPC!V37:X37))</f>
        <v/>
      </c>
      <c r="BC37" s="16" t="str">
        <f>IF(OR(IPC!AA37="",IPC!Z37="",IPC!Y37=""),"",AVERAGE(IPC!Y37:AA37))</f>
        <v/>
      </c>
      <c r="BD37" s="16" t="str">
        <f>IF(OR(IPC!AD37="",IPC!AC37="",IPC!AB37=""),"",AVERAGE(IPC!AB37:AD37))</f>
        <v/>
      </c>
      <c r="BE37" s="16" t="str">
        <f>IF(OR(IPC!AG37="",IPC!AF37="",IPC!AE37=""),"",AVERAGE(IPC!AE37:AG37))</f>
        <v/>
      </c>
      <c r="BF37" s="16" t="str">
        <f>IF(OR(IPC!AJ37="",IPC!AI37="",IPC!AH37=""),"",AVERAGE(IPC!AH37:AJ37))</f>
        <v/>
      </c>
      <c r="BG37" s="16" t="str">
        <f>IF(OR(IPC!AM37="",IPC!AL37="",IPC!AK37=""),"",AVERAGE(IPC!AK37:AM37))</f>
        <v/>
      </c>
      <c r="BH37" s="16" t="str">
        <f>IF(OR(IPC!AP37="",IPC!AO37="",IPC!AN37=""),"",AVERAGE(IPC!AN37:AP37))</f>
        <v/>
      </c>
      <c r="BI37" s="16" t="str">
        <f>IF(OR(IPC!AS37="",IPC!AR37="",IPC!AQ37=""),"",AVERAGE(IPC!AQ37:AS37))</f>
        <v/>
      </c>
      <c r="BJ37" s="16" t="str">
        <f>IF(OR(IPC!AV37="",IPC!AU37="",IPC!AT37=""),"",AVERAGE(IPC!AT37:AV37))</f>
        <v/>
      </c>
      <c r="BK37" s="16" t="str">
        <f>IF(OR(IPC!AY37="",IPC!AX37="",IPC!AW37=""),"",AVERAGE(IPC!AW37:AY37))</f>
        <v/>
      </c>
      <c r="BL37" s="16" t="str">
        <f>IF(OR(IPC!BB37="",IPC!BA37="",IPC!AZ37=""),"",AVERAGE(IPC!AZ37:BB37))</f>
        <v/>
      </c>
      <c r="BM37" s="16" t="str">
        <f>IF(OR(IPC!BE37="",IPC!BD37="",IPC!BC37=""),"",AVERAGE(IPC!BC37:BE37))</f>
        <v/>
      </c>
      <c r="BN37" s="16" t="str">
        <f>IF(OR(IPC!BH37="",IPC!BG37="",IPC!BF37=""),"",AVERAGE(IPC!BF37:BH37))</f>
        <v/>
      </c>
      <c r="BO37" s="16" t="str">
        <f>IF(OR(IPC!BK37="",IPC!BJ37="",IPC!BI37=""),"",AVERAGE(IPC!BI37:BK37))</f>
        <v/>
      </c>
      <c r="BP37" s="16" t="str">
        <f>IF(OR(IPC!BN37="",IPC!BM37="",IPC!BL37=""),"",AVERAGE(IPC!BL37:BN37))</f>
        <v/>
      </c>
      <c r="BQ37" s="16" t="str">
        <f>IF(OR(IPC!BQ37="",IPC!BP37="",IPC!BO37=""),"",AVERAGE(IPC!BO37:BQ37))</f>
        <v/>
      </c>
      <c r="BR37" s="16" t="str">
        <f>IF(OR(IPC!BT37="",IPC!BS37="",IPC!BR37=""),"",AVERAGE(IPC!BR37:BT37))</f>
        <v/>
      </c>
      <c r="BS37" s="16" t="str">
        <f>IF(OR(IPC!BW37="",IPC!BV37="",IPC!BU37=""),"",AVERAGE(IPC!BU37:BW37))</f>
        <v/>
      </c>
      <c r="BT37" s="16" t="str">
        <f>IF(OR(IPC!BZ37="",IPC!BY37="",IPC!BX37=""),"",AVERAGE(IPC!BX37:BZ37))</f>
        <v/>
      </c>
      <c r="BU37" s="16" t="str">
        <f>IF(OR(IPC!CC37="",IPC!CB37="",IPC!CA37=""),"",AVERAGE(IPC!CA37:CC37))</f>
        <v/>
      </c>
      <c r="BV37" s="16" t="str">
        <f>IF(OR(IPC!CF37="",IPC!CE37="",IPC!CD37=""),"",AVERAGE(IPC!CD37:CF37))</f>
        <v/>
      </c>
      <c r="BW37" s="16" t="str">
        <f>IF(OR(IPC!CI37="",IPC!CH37="",IPC!CG37=""),"",AVERAGE(IPC!CG37:CI37))</f>
        <v/>
      </c>
      <c r="BX37" s="16" t="str">
        <f>IF(OR(IPC!CL37="",IPC!CK37="",IPC!CJ37=""),"",AVERAGE(IPC!CJ37:CL37))</f>
        <v/>
      </c>
      <c r="BY37" s="16" t="str">
        <f>IF(OR(IPC!CO37="",IPC!CN37="",IPC!CM37=""),"",AVERAGE(IPC!CM37:CO37))</f>
        <v/>
      </c>
      <c r="BZ37" s="16" t="str">
        <f>IF(OR(IPC!CR37="",IPC!CQ37="",IPC!CP37=""),"",AVERAGE(IPC!CP37:CR37))</f>
        <v/>
      </c>
      <c r="CA37" s="16" t="str">
        <f>IF(OR(IPC!CU37="",IPC!CT37="",IPC!CS37=""),"",AVERAGE(IPC!CS37:CU37))</f>
        <v/>
      </c>
      <c r="CB37" s="16" t="str">
        <f>IF(OR(IPC!CX37="",IPC!CW37="",IPC!CV37=""),"",AVERAGE(IPC!CV37:CX37))</f>
        <v/>
      </c>
      <c r="CC37" s="16" t="str">
        <f>IF(OR(IPC!DA37="",IPC!CZ37="",IPC!CY37=""),"",AVERAGE(IPC!CY37:DA37))</f>
        <v/>
      </c>
      <c r="CD37" s="16" t="str">
        <f>IF(OR(IPC!DD37="",IPC!DC37="",IPC!DB37=""),"",AVERAGE(IPC!DB37:DD37))</f>
        <v/>
      </c>
      <c r="CE37" s="16" t="str">
        <f>IF(OR(IPC!DG37="",IPC!DF37="",IPC!DE37=""),"",AVERAGE(IPC!DE37:DG37))</f>
        <v/>
      </c>
      <c r="CF37" s="16" t="str">
        <f>IF(OR(IPC!DJ37="",IPC!DI37="",IPC!DH37=""),"",AVERAGE(IPC!DH37:DJ37))</f>
        <v/>
      </c>
      <c r="CG37" s="16" t="str">
        <f>IF(OR(IPC!DM37="",IPC!DL37="",IPC!DK37=""),"",AVERAGE(IPC!DK37:DM37))</f>
        <v/>
      </c>
      <c r="CH37" s="16" t="str">
        <f>IF(OR(IPC!DP37="",IPC!DO37="",IPC!DN37=""),"",AVERAGE(IPC!DN37:DP37))</f>
        <v/>
      </c>
      <c r="CI37" s="16" t="str">
        <f>IF(OR(IPC!DS37="",IPC!DR37="",IPC!DQ37=""),"",AVERAGE(IPC!DQ37:DS37))</f>
        <v/>
      </c>
      <c r="CJ37" s="16" t="str">
        <f>IF(OR(IPC!DV37="",IPC!DU37="",IPC!DT37=""),"",AVERAGE(IPC!DT37:DV37))</f>
        <v/>
      </c>
      <c r="CK37" s="16" t="str">
        <f>IF(OR(IPC!DY37="",IPC!DX37="",IPC!DW37=""),"",AVERAGE(IPC!DW37:DY37))</f>
        <v/>
      </c>
      <c r="CL37" s="16" t="str">
        <f>IF(OR(IPC!EB37="",IPC!EA37="",IPC!DZ37=""),"",AVERAGE(IPC!DZ37:EB37))</f>
        <v/>
      </c>
      <c r="CM37" s="16" t="str">
        <f>IF(OR(IPC!EE37="",IPC!ED37="",IPC!EC37=""),"",AVERAGE(IPC!EC37:EE37))</f>
        <v/>
      </c>
      <c r="CN37" s="16" t="str">
        <f>IF(OR(IPC!EH37="",IPC!EG37="",IPC!EF37=""),"",AVERAGE(IPC!EF37:EH37))</f>
        <v/>
      </c>
      <c r="CO37" s="16" t="str">
        <f>IF(OR(IPC!EK37="",IPC!EJ37="",IPC!EI37=""),"",AVERAGE(IPC!EI37:EK37))</f>
        <v/>
      </c>
      <c r="CP37" s="16" t="str">
        <f>IF(OR(IPC!EN37="",IPC!EM37="",IPC!EL37=""),"",AVERAGE(IPC!EL37:EN37))</f>
        <v/>
      </c>
      <c r="CQ37" s="16" t="str">
        <f>IF(OR(IPC!EQ37="",IPC!EP37="",IPC!EO37=""),"",AVERAGE(IPC!EO37:EQ37))</f>
        <v/>
      </c>
      <c r="CR37" s="16" t="str">
        <f>IF(OR(IPC!ET37="",IPC!ES37="",IPC!ER37=""),"",AVERAGE(IPC!ER37:ET37))</f>
        <v/>
      </c>
      <c r="CS37" s="16" t="str">
        <f>IF(OR(IPC!EW37="",IPC!EV37="",IPC!EU37=""),"",AVERAGE(IPC!EU37:EW37))</f>
        <v/>
      </c>
      <c r="CT37" s="16" t="str">
        <f>IF(OR(IPC!EZ37="",IPC!EY37="",IPC!EX37=""),"",AVERAGE(IPC!EX37:EZ37))</f>
        <v/>
      </c>
      <c r="CU37" s="16" t="str">
        <f>IF(OR(IPC!FC37="",IPC!FB37="",IPC!FA37=""),"",AVERAGE(IPC!FA37:FC37))</f>
        <v/>
      </c>
      <c r="CV37" s="16" t="str">
        <f>IF(OR(IPC!FF37="",IPC!FE37="",IPC!FD37=""),"",AVERAGE(IPC!FD37:FF37))</f>
        <v/>
      </c>
      <c r="CW37" s="16" t="str">
        <f>IF(OR(IPC!FI37="",IPC!FH37="",IPC!FG37=""),"",AVERAGE(IPC!FG37:FI37))</f>
        <v/>
      </c>
      <c r="CX37" s="16" t="str">
        <f>IF(OR(IPC!FL37="",IPC!FK37="",IPC!FJ37=""),"",AVERAGE(IPC!FJ37:FL37))</f>
        <v/>
      </c>
      <c r="CY37" s="16" t="str">
        <f>IF(OR(IPC!FO37="",IPC!FN37="",IPC!FM37=""),"",AVERAGE(IPC!FM37:FO37))</f>
        <v/>
      </c>
      <c r="CZ37" s="16" t="str">
        <f>IF(OR(IPC!FR37="",IPC!FQ37="",IPC!FP37=""),"",AVERAGE(IPC!FP37:FR37))</f>
        <v/>
      </c>
    </row>
    <row r="38" spans="2:104" s="14" customFormat="1" ht="10.199999999999999" x14ac:dyDescent="0.2">
      <c r="B38" s="9" t="s">
        <v>5</v>
      </c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 t="str">
        <f>IF(OR(IPC!F38="",IPC!E38="",IPC!D38=""),"",AVERAGE(IPC!D38:F38))</f>
        <v/>
      </c>
      <c r="AW38" s="10" t="str">
        <f>IF(OR(IPC!I38="",IPC!H38="",IPC!G38=""),"",AVERAGE(IPC!G38:I38))</f>
        <v/>
      </c>
      <c r="AX38" s="10" t="str">
        <f>IF(OR(IPC!L38="",IPC!K38="",IPC!J38=""),"",AVERAGE(IPC!J38:L38))</f>
        <v/>
      </c>
      <c r="AY38" s="10" t="str">
        <f>IF(OR(IPC!O38="",IPC!N38="",IPC!M38=""),"",AVERAGE(IPC!M38:O38))</f>
        <v/>
      </c>
      <c r="AZ38" s="10">
        <f>IF(OR(IPC!R38="",IPC!Q38="",IPC!P38=""),"",AVERAGE(IPC!P38:R38))</f>
        <v>83.661311082142319</v>
      </c>
      <c r="BA38" s="10">
        <f>IF(OR(IPC!U38="",IPC!T38="",IPC!S38=""),"",AVERAGE(IPC!S38:U38))</f>
        <v>84.092595550727381</v>
      </c>
      <c r="BB38" s="10">
        <f>IF(OR(IPC!X38="",IPC!W38="",IPC!V38=""),"",AVERAGE(IPC!V38:X38))</f>
        <v>84.524329293871986</v>
      </c>
      <c r="BC38" s="10">
        <f>IF(OR(IPC!AA38="",IPC!Z38="",IPC!Y38=""),"",AVERAGE(IPC!Y38:AA38))</f>
        <v>84.872663775072184</v>
      </c>
      <c r="BD38" s="10">
        <f>IF(OR(IPC!AD38="",IPC!AC38="",IPC!AB38=""),"",AVERAGE(IPC!AB38:AD38))</f>
        <v>85.100128348550484</v>
      </c>
      <c r="BE38" s="10">
        <f>IF(OR(IPC!AG38="",IPC!AF38="",IPC!AE38=""),"",AVERAGE(IPC!AE38:AG38))</f>
        <v>85.252734300192657</v>
      </c>
      <c r="BF38" s="10">
        <f>IF(OR(IPC!AJ38="",IPC!AI38="",IPC!AH38=""),"",AVERAGE(IPC!AH38:AJ38))</f>
        <v>85.51274077424155</v>
      </c>
      <c r="BG38" s="10">
        <f>IF(OR(IPC!AM38="",IPC!AL38="",IPC!AK38=""),"",AVERAGE(IPC!AK38:AM38))</f>
        <v>86.005731841363328</v>
      </c>
      <c r="BH38" s="10">
        <f>IF(OR(IPC!AP38="",IPC!AO38="",IPC!AN38=""),"",AVERAGE(IPC!AN38:AP38))</f>
        <v>86.065083076620041</v>
      </c>
      <c r="BI38" s="10">
        <f>IF(OR(IPC!AS38="",IPC!AR38="",IPC!AQ38=""),"",AVERAGE(IPC!AQ38:AS38))</f>
        <v>86.024682063416776</v>
      </c>
      <c r="BJ38" s="10">
        <f>IF(OR(IPC!AV38="",IPC!AU38="",IPC!AT38=""),"",AVERAGE(IPC!AT38:AV38))</f>
        <v>88.325627409305739</v>
      </c>
      <c r="BK38" s="10">
        <f>IF(OR(IPC!AY38="",IPC!AX38="",IPC!AW38=""),"",AVERAGE(IPC!AW38:AY38))</f>
        <v>88.813112345524587</v>
      </c>
      <c r="BL38" s="10">
        <f>IF(OR(IPC!BB38="",IPC!BA38="",IPC!AZ38=""),"",AVERAGE(IPC!AZ38:BB38))</f>
        <v>89.028819734808323</v>
      </c>
      <c r="BM38" s="10">
        <f>IF(OR(IPC!BE38="",IPC!BD38="",IPC!BC38=""),"",AVERAGE(IPC!BC38:BE38))</f>
        <v>89.627977285706962</v>
      </c>
      <c r="BN38" s="10">
        <f>IF(OR(IPC!BH38="",IPC!BG38="",IPC!BF38=""),"",AVERAGE(IPC!BF38:BH38))</f>
        <v>89.967154127568051</v>
      </c>
      <c r="BO38" s="10">
        <f>IF(OR(IPC!BK38="",IPC!BJ38="",IPC!BI38=""),"",AVERAGE(IPC!BI38:BK38))</f>
        <v>90.045355028630638</v>
      </c>
      <c r="BP38" s="10">
        <f>IF(OR(IPC!BN38="",IPC!BM38="",IPC!BL38=""),"",AVERAGE(IPC!BL38:BN38))</f>
        <v>90.055859232088196</v>
      </c>
      <c r="BQ38" s="10">
        <f>IF(OR(IPC!BQ38="",IPC!BP38="",IPC!BO38=""),"",AVERAGE(IPC!BO38:BQ38))</f>
        <v>90.155193317310548</v>
      </c>
      <c r="BR38" s="10">
        <f>IF(OR(IPC!BT38="",IPC!BS38="",IPC!BR38=""),"",AVERAGE(IPC!BR38:BT38))</f>
        <v>90.370793209819169</v>
      </c>
      <c r="BS38" s="10">
        <f>IF(OR(IPC!BW38="",IPC!BV38="",IPC!BU38=""),"",AVERAGE(IPC!BU38:BW38))</f>
        <v>90.600524387115072</v>
      </c>
      <c r="BT38" s="10">
        <f>IF(OR(IPC!BZ38="",IPC!BY38="",IPC!BX38=""),"",AVERAGE(IPC!BX38:BZ38))</f>
        <v>90.897602570226013</v>
      </c>
      <c r="BU38" s="10">
        <f>IF(OR(IPC!CC38="",IPC!CB38="",IPC!CA38=""),"",AVERAGE(IPC!CA38:CC38))</f>
        <v>91.069232281543293</v>
      </c>
      <c r="BV38" s="10">
        <f>IF(OR(IPC!CF38="",IPC!CE38="",IPC!CD38=""),"",AVERAGE(IPC!CD38:CF38))</f>
        <v>91.217553802114608</v>
      </c>
      <c r="BW38" s="10">
        <f>IF(OR(IPC!CI38="",IPC!CH38="",IPC!CG38=""),"",AVERAGE(IPC!CG38:CI38))</f>
        <v>91.308602447889157</v>
      </c>
      <c r="BX38" s="10">
        <f>IF(OR(IPC!CL38="",IPC!CK38="",IPC!CJ38=""),"",AVERAGE(IPC!CJ38:CL38))</f>
        <v>91.377611171911667</v>
      </c>
      <c r="BY38" s="10">
        <f>IF(OR(IPC!CO38="",IPC!CN38="",IPC!CM38=""),"",AVERAGE(IPC!CM38:CO38))</f>
        <v>91.66833630837715</v>
      </c>
      <c r="BZ38" s="10">
        <f>IF(OR(IPC!CR38="",IPC!CQ38="",IPC!CP38=""),"",AVERAGE(IPC!CP38:CR38))</f>
        <v>92.226820291792095</v>
      </c>
      <c r="CA38" s="10">
        <f>IF(OR(IPC!CU38="",IPC!CT38="",IPC!CS38=""),"",AVERAGE(IPC!CS38:CU38))</f>
        <v>92.754562109593607</v>
      </c>
      <c r="CB38" s="10">
        <f>IF(OR(IPC!CX38="",IPC!CW38="",IPC!CV38=""),"",AVERAGE(IPC!CV38:CX38))</f>
        <v>93.205228729742387</v>
      </c>
      <c r="CC38" s="10">
        <f>IF(OR(IPC!DA38="",IPC!CZ38="",IPC!CY38=""),"",AVERAGE(IPC!CY38:DA38))</f>
        <v>93.77522635008286</v>
      </c>
      <c r="CD38" s="10">
        <f>IF(OR(IPC!DD38="",IPC!DC38="",IPC!DB38=""),"",AVERAGE(IPC!DB38:DD38))</f>
        <v>94.147698144918991</v>
      </c>
      <c r="CE38" s="10">
        <f>IF(OR(IPC!DG38="",IPC!DF38="",IPC!DE38=""),"",AVERAGE(IPC!DE38:DG38))</f>
        <v>94.878103857788687</v>
      </c>
      <c r="CF38" s="10">
        <f>IF(OR(IPC!DJ38="",IPC!DI38="",IPC!DH38=""),"",AVERAGE(IPC!DH38:DJ38))</f>
        <v>95.182197135708918</v>
      </c>
      <c r="CG38" s="10" t="str">
        <f>IF(OR(IPC!DM38="",IPC!DL38="",IPC!DK38=""),"",AVERAGE(IPC!DK38:DM38))</f>
        <v/>
      </c>
      <c r="CH38" s="10">
        <f>IF(OR(IPC!DP38="",IPC!DO38="",IPC!DN38=""),"",AVERAGE(IPC!DN38:DP38))</f>
        <v>95.820921323337132</v>
      </c>
      <c r="CI38" s="10">
        <f>IF(OR(IPC!DS38="",IPC!DR38="",IPC!DQ38=""),"",AVERAGE(IPC!DQ38:DS38))</f>
        <v>96.310474063532169</v>
      </c>
      <c r="CJ38" s="10">
        <f>IF(OR(IPC!DV38="",IPC!DU38="",IPC!DT38=""),"",AVERAGE(IPC!DT38:DV38))</f>
        <v>96.55454792008122</v>
      </c>
      <c r="CK38" s="10">
        <f>IF(OR(IPC!DY38="",IPC!DX38="",IPC!DW38=""),"",AVERAGE(IPC!DW38:DY38))</f>
        <v>96.842662335715602</v>
      </c>
      <c r="CL38" s="10">
        <f>IF(OR(IPC!EB38="",IPC!EA38="",IPC!DZ38=""),"",AVERAGE(IPC!DZ38:EB38))</f>
        <v>97.19427134586283</v>
      </c>
      <c r="CM38" s="10">
        <f>IF(OR(IPC!EE38="",IPC!ED38="",IPC!EC38=""),"",AVERAGE(IPC!EC38:EE38))</f>
        <v>97.577867800956611</v>
      </c>
      <c r="CN38" s="10">
        <f>IF(OR(IPC!EH38="",IPC!EG38="",IPC!EF38=""),"",AVERAGE(IPC!EF38:EH38))</f>
        <v>100.46843954913784</v>
      </c>
      <c r="CO38" s="10">
        <f>IF(OR(IPC!EK38="",IPC!EJ38="",IPC!EI38=""),"",AVERAGE(IPC!EI38:EK38))</f>
        <v>99.580239355586215</v>
      </c>
      <c r="CP38" s="10">
        <f>IF(OR(IPC!EN38="",IPC!EM38="",IPC!EL38=""),"",AVERAGE(IPC!EL38:EN38))</f>
        <v>100.49853891611549</v>
      </c>
      <c r="CQ38" s="10">
        <f>IF(OR(IPC!EQ38="",IPC!EP38="",IPC!EO38=""),"",AVERAGE(IPC!EO38:EQ38))</f>
        <v>101.51302266155166</v>
      </c>
      <c r="CR38" s="10">
        <f>IF(OR(IPC!ET38="",IPC!ES38="",IPC!ER38=""),"",AVERAGE(IPC!ER38:ET38))</f>
        <v>103.58835465772457</v>
      </c>
      <c r="CS38" s="10">
        <f>IF(OR(IPC!EW38="",IPC!EV38="",IPC!EU38=""),"",AVERAGE(IPC!EU38:EW38))</f>
        <v>105.58111937054996</v>
      </c>
      <c r="CT38" s="10">
        <f>IF(OR(IPC!EZ38="",IPC!EY38="",IPC!EX38=""),"",AVERAGE(IPC!EX38:EZ38))</f>
        <v>106.31410003860678</v>
      </c>
      <c r="CU38" s="10">
        <f>IF(OR(IPC!FC38="",IPC!FB38="",IPC!FA38=""),"",AVERAGE(IPC!FA38:FC38))</f>
        <v>106.79805732070618</v>
      </c>
      <c r="CV38" s="10">
        <f>IF(OR(IPC!FF38="",IPC!FE38="",IPC!FD38=""),"",AVERAGE(IPC!FD38:FF38))</f>
        <v>108.22387308105995</v>
      </c>
      <c r="CW38" s="10">
        <f>IF(OR(IPC!FI38="",IPC!FH38="",IPC!FG38=""),"",AVERAGE(IPC!FG38:FI38))</f>
        <v>109.65793487826342</v>
      </c>
      <c r="CX38" s="10">
        <f>IF(OR(IPC!FL38="",IPC!FK38="",IPC!FJ38=""),"",AVERAGE(IPC!FJ38:FL38))</f>
        <v>110.09058988656835</v>
      </c>
      <c r="CY38" s="10">
        <f>IF(OR(IPC!FO38="",IPC!FN38="",IPC!FM38=""),"",AVERAGE(IPC!FM38:FO38))</f>
        <v>110.78205323094035</v>
      </c>
      <c r="CZ38" s="10">
        <f>IF(OR(IPC!FR38="",IPC!FQ38="",IPC!FP38=""),"",AVERAGE(IPC!FP38:FR38))</f>
        <v>111.20785176493598</v>
      </c>
    </row>
    <row r="39" spans="2:104" s="14" customFormat="1" ht="10.199999999999999" x14ac:dyDescent="0.2">
      <c r="B39" s="9" t="s">
        <v>6</v>
      </c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 t="str">
        <f>IF(OR(IPC!F39="",IPC!E39="",IPC!D39=""),"",AVERAGE(IPC!D39:F39))</f>
        <v/>
      </c>
      <c r="AW39" s="10" t="str">
        <f>IF(OR(IPC!I39="",IPC!H39="",IPC!G39=""),"",AVERAGE(IPC!G39:I39))</f>
        <v/>
      </c>
      <c r="AX39" s="10" t="str">
        <f>IF(OR(IPC!L39="",IPC!K39="",IPC!J39=""),"",AVERAGE(IPC!J39:L39))</f>
        <v/>
      </c>
      <c r="AY39" s="10" t="str">
        <f>IF(OR(IPC!O39="",IPC!N39="",IPC!M39=""),"",AVERAGE(IPC!M39:O39))</f>
        <v/>
      </c>
      <c r="AZ39" s="10">
        <f>IF(OR(IPC!R39="",IPC!Q39="",IPC!P39=""),"",AVERAGE(IPC!P39:R39))</f>
        <v>80.303593980637515</v>
      </c>
      <c r="BA39" s="10">
        <f>IF(OR(IPC!U39="",IPC!T39="",IPC!S39=""),"",AVERAGE(IPC!S39:U39))</f>
        <v>80.959921558260021</v>
      </c>
      <c r="BB39" s="10">
        <f>IF(OR(IPC!X39="",IPC!W39="",IPC!V39=""),"",AVERAGE(IPC!V39:X39))</f>
        <v>81.454266061259219</v>
      </c>
      <c r="BC39" s="10">
        <f>IF(OR(IPC!AA39="",IPC!Z39="",IPC!Y39=""),"",AVERAGE(IPC!Y39:AA39))</f>
        <v>82.087492811230405</v>
      </c>
      <c r="BD39" s="10">
        <f>IF(OR(IPC!AD39="",IPC!AC39="",IPC!AB39=""),"",AVERAGE(IPC!AB39:AD39))</f>
        <v>82.223416941889965</v>
      </c>
      <c r="BE39" s="10">
        <f>IF(OR(IPC!AG39="",IPC!AF39="",IPC!AE39=""),"",AVERAGE(IPC!AE39:AG39))</f>
        <v>82.351344122759315</v>
      </c>
      <c r="BF39" s="10">
        <f>IF(OR(IPC!AJ39="",IPC!AI39="",IPC!AH39=""),"",AVERAGE(IPC!AH39:AJ39))</f>
        <v>82.850250028792246</v>
      </c>
      <c r="BG39" s="10">
        <f>IF(OR(IPC!AM39="",IPC!AL39="",IPC!AK39=""),"",AVERAGE(IPC!AK39:AM39))</f>
        <v>83.692785370897127</v>
      </c>
      <c r="BH39" s="10">
        <f>IF(OR(IPC!AP39="",IPC!AO39="",IPC!AN39=""),"",AVERAGE(IPC!AN39:AP39))</f>
        <v>83.219021713916234</v>
      </c>
      <c r="BI39" s="10">
        <f>IF(OR(IPC!AS39="",IPC!AR39="",IPC!AQ39=""),"",AVERAGE(IPC!AQ39:AS39))</f>
        <v>83.096294247162788</v>
      </c>
      <c r="BJ39" s="10">
        <f>IF(OR(IPC!AV39="",IPC!AU39="",IPC!AT39=""),"",AVERAGE(IPC!AT39:AV39))</f>
        <v>83.811930576469408</v>
      </c>
      <c r="BK39" s="10">
        <f>IF(OR(IPC!AY39="",IPC!AX39="",IPC!AW39=""),"",AVERAGE(IPC!AW39:AY39))</f>
        <v>84.347616189422354</v>
      </c>
      <c r="BL39" s="10">
        <f>IF(OR(IPC!BB39="",IPC!BA39="",IPC!AZ39=""),"",AVERAGE(IPC!AZ39:BB39))</f>
        <v>84.27758238300072</v>
      </c>
      <c r="BM39" s="10">
        <f>IF(OR(IPC!BE39="",IPC!BD39="",IPC!BC39=""),"",AVERAGE(IPC!BC39:BE39))</f>
        <v>85.012323341799444</v>
      </c>
      <c r="BN39" s="10">
        <f>IF(OR(IPC!BH39="",IPC!BG39="",IPC!BF39=""),"",AVERAGE(IPC!BF39:BH39))</f>
        <v>85.611708994977562</v>
      </c>
      <c r="BO39" s="10">
        <f>IF(OR(IPC!BK39="",IPC!BJ39="",IPC!BI39=""),"",AVERAGE(IPC!BI39:BK39))</f>
        <v>85.786270449276458</v>
      </c>
      <c r="BP39" s="10">
        <f>IF(OR(IPC!BN39="",IPC!BM39="",IPC!BL39=""),"",AVERAGE(IPC!BL39:BN39))</f>
        <v>85.676264293192901</v>
      </c>
      <c r="BQ39" s="10">
        <f>IF(OR(IPC!BQ39="",IPC!BP39="",IPC!BO39=""),"",AVERAGE(IPC!BO39:BQ39))</f>
        <v>86.026796691399298</v>
      </c>
      <c r="BR39" s="10">
        <f>IF(OR(IPC!BT39="",IPC!BS39="",IPC!BR39=""),"",AVERAGE(IPC!BR39:BT39))</f>
        <v>86.261700854180503</v>
      </c>
      <c r="BS39" s="10">
        <f>IF(OR(IPC!BW39="",IPC!BV39="",IPC!BU39=""),"",AVERAGE(IPC!BU39:BW39))</f>
        <v>86.192344339244997</v>
      </c>
      <c r="BT39" s="10">
        <f>IF(OR(IPC!BZ39="",IPC!BY39="",IPC!BX39=""),"",AVERAGE(IPC!BX39:BZ39))</f>
        <v>86.021375968772887</v>
      </c>
      <c r="BU39" s="10">
        <f>IF(OR(IPC!CC39="",IPC!CB39="",IPC!CA39=""),"",AVERAGE(IPC!CA39:CC39))</f>
        <v>86.502963819616795</v>
      </c>
      <c r="BV39" s="10">
        <f>IF(OR(IPC!CF39="",IPC!CE39="",IPC!CD39=""),"",AVERAGE(IPC!CD39:CF39))</f>
        <v>86.864888838074577</v>
      </c>
      <c r="BW39" s="10">
        <f>IF(OR(IPC!CI39="",IPC!CH39="",IPC!CG39=""),"",AVERAGE(IPC!CG39:CI39))</f>
        <v>86.964555675589395</v>
      </c>
      <c r="BX39" s="10">
        <f>IF(OR(IPC!CL39="",IPC!CK39="",IPC!CJ39=""),"",AVERAGE(IPC!CJ39:CL39))</f>
        <v>86.7981161825859</v>
      </c>
      <c r="BY39" s="10">
        <f>IF(OR(IPC!CO39="",IPC!CN39="",IPC!CM39=""),"",AVERAGE(IPC!CM39:CO39))</f>
        <v>87.291673361738034</v>
      </c>
      <c r="BZ39" s="10">
        <f>IF(OR(IPC!CR39="",IPC!CQ39="",IPC!CP39=""),"",AVERAGE(IPC!CP39:CR39))</f>
        <v>87.579223801788928</v>
      </c>
      <c r="CA39" s="10">
        <f>IF(OR(IPC!CU39="",IPC!CT39="",IPC!CS39=""),"",AVERAGE(IPC!CS39:CU39))</f>
        <v>88.453034771926355</v>
      </c>
      <c r="CB39" s="10">
        <f>IF(OR(IPC!CX39="",IPC!CW39="",IPC!CV39=""),"",AVERAGE(IPC!CV39:CX39))</f>
        <v>88.697594223739998</v>
      </c>
      <c r="CC39" s="10">
        <f>IF(OR(IPC!DA39="",IPC!CZ39="",IPC!CY39=""),"",AVERAGE(IPC!CY39:DA39))</f>
        <v>89.398141728831547</v>
      </c>
      <c r="CD39" s="10">
        <f>IF(OR(IPC!DD39="",IPC!DC39="",IPC!DB39=""),"",AVERAGE(IPC!DB39:DD39))</f>
        <v>89.901515285267976</v>
      </c>
      <c r="CE39" s="10">
        <f>IF(OR(IPC!DG39="",IPC!DF39="",IPC!DE39=""),"",AVERAGE(IPC!DE39:DG39))</f>
        <v>90.663867251086046</v>
      </c>
      <c r="CF39" s="10">
        <f>IF(OR(IPC!DJ39="",IPC!DI39="",IPC!DH39=""),"",AVERAGE(IPC!DH39:DJ39))</f>
        <v>91.071227837994812</v>
      </c>
      <c r="CG39" s="10">
        <f>IF(OR(IPC!DM39="",IPC!DL39="",IPC!DK39=""),"",AVERAGE(IPC!DK39:DM39))</f>
        <v>91.47074344202575</v>
      </c>
      <c r="CH39" s="10">
        <f>IF(OR(IPC!DP39="",IPC!DO39="",IPC!DN39=""),"",AVERAGE(IPC!DN39:DP39))</f>
        <v>92.167068513606992</v>
      </c>
      <c r="CI39" s="10">
        <f>IF(OR(IPC!DS39="",IPC!DR39="",IPC!DQ39=""),"",AVERAGE(IPC!DQ39:DS39))</f>
        <v>92.653000917787651</v>
      </c>
      <c r="CJ39" s="10">
        <f>IF(OR(IPC!DV39="",IPC!DU39="",IPC!DT39=""),"",AVERAGE(IPC!DT39:DV39))</f>
        <v>92.806696307899117</v>
      </c>
      <c r="CK39" s="10">
        <f>IF(OR(IPC!DY39="",IPC!DX39="",IPC!DW39=""),"",AVERAGE(IPC!DW39:DY39))</f>
        <v>93.619155866307878</v>
      </c>
      <c r="CL39" s="10">
        <f>IF(OR(IPC!EB39="",IPC!EA39="",IPC!DZ39=""),"",AVERAGE(IPC!DZ39:EB39))</f>
        <v>94.429492075246785</v>
      </c>
      <c r="CM39" s="10">
        <f>IF(OR(IPC!EE39="",IPC!ED39="",IPC!EC39=""),"",AVERAGE(IPC!EC39:EE39))</f>
        <v>95.161476376984851</v>
      </c>
      <c r="CN39" s="10">
        <f>IF(OR(IPC!EH39="",IPC!EG39="",IPC!EF39=""),"",AVERAGE(IPC!EF39:EH39))</f>
        <v>99.292843050123153</v>
      </c>
      <c r="CO39" s="10">
        <f>IF(OR(IPC!EK39="",IPC!EJ39="",IPC!EI39=""),"",AVERAGE(IPC!EI39:EK39))</f>
        <v>99.168344165419512</v>
      </c>
      <c r="CP39" s="10">
        <f>IF(OR(IPC!EN39="",IPC!EM39="",IPC!EL39=""),"",AVERAGE(IPC!EL39:EN39))</f>
        <v>101.11424377805237</v>
      </c>
      <c r="CQ39" s="10">
        <f>IF(OR(IPC!EQ39="",IPC!EP39="",IPC!EO39=""),"",AVERAGE(IPC!EO39:EQ39))</f>
        <v>102.77858842757553</v>
      </c>
      <c r="CR39" s="10">
        <f>IF(OR(IPC!ET39="",IPC!ES39="",IPC!ER39=""),"",AVERAGE(IPC!ER39:ET39))</f>
        <v>104.19452900282097</v>
      </c>
      <c r="CS39" s="10">
        <f>IF(OR(IPC!EW39="",IPC!EV39="",IPC!EU39=""),"",AVERAGE(IPC!EU39:EW39))</f>
        <v>105.77785370379183</v>
      </c>
      <c r="CT39" s="10">
        <f>IF(OR(IPC!EZ39="",IPC!EY39="",IPC!EX39=""),"",AVERAGE(IPC!EX39:EZ39))</f>
        <v>107.25249616175853</v>
      </c>
      <c r="CU39" s="10">
        <f>IF(OR(IPC!FC39="",IPC!FB39="",IPC!FA39=""),"",AVERAGE(IPC!FA39:FC39))</f>
        <v>107.80529296727609</v>
      </c>
      <c r="CV39" s="10">
        <f>IF(OR(IPC!FF39="",IPC!FE39="",IPC!FD39=""),"",AVERAGE(IPC!FD39:FF39))</f>
        <v>107.92016980352382</v>
      </c>
      <c r="CW39" s="10">
        <f>IF(OR(IPC!FI39="",IPC!FH39="",IPC!FG39=""),"",AVERAGE(IPC!FG39:FI39))</f>
        <v>109.26488598369588</v>
      </c>
      <c r="CX39" s="10">
        <f>IF(OR(IPC!FL39="",IPC!FK39="",IPC!FJ39=""),"",AVERAGE(IPC!FJ39:FL39))</f>
        <v>110.42595992540906</v>
      </c>
      <c r="CY39" s="10">
        <f>IF(OR(IPC!FO39="",IPC!FN39="",IPC!FM39=""),"",AVERAGE(IPC!FM39:FO39))</f>
        <v>111.68168249050659</v>
      </c>
      <c r="CZ39" s="10">
        <f>IF(OR(IPC!FR39="",IPC!FQ39="",IPC!FP39=""),"",AVERAGE(IPC!FP39:FR39))</f>
        <v>112.25513730793797</v>
      </c>
    </row>
    <row r="40" spans="2:104" s="14" customFormat="1" ht="10.199999999999999" x14ac:dyDescent="0.2">
      <c r="B40" s="9" t="s">
        <v>7</v>
      </c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 t="str">
        <f>IF(OR(IPC!F40="",IPC!E40="",IPC!D40=""),"",AVERAGE(IPC!D40:F40))</f>
        <v/>
      </c>
      <c r="AW40" s="10" t="str">
        <f>IF(OR(IPC!I40="",IPC!H40="",IPC!G40=""),"",AVERAGE(IPC!G40:I40))</f>
        <v/>
      </c>
      <c r="AX40" s="10" t="str">
        <f>IF(OR(IPC!L40="",IPC!K40="",IPC!J40=""),"",AVERAGE(IPC!J40:L40))</f>
        <v/>
      </c>
      <c r="AY40" s="10" t="str">
        <f>IF(OR(IPC!O40="",IPC!N40="",IPC!M40=""),"",AVERAGE(IPC!M40:O40))</f>
        <v/>
      </c>
      <c r="AZ40" s="10">
        <f>IF(OR(IPC!R40="",IPC!Q40="",IPC!P40=""),"",AVERAGE(IPC!P40:R40))</f>
        <v>84.991273622781975</v>
      </c>
      <c r="BA40" s="10">
        <f>IF(OR(IPC!U40="",IPC!T40="",IPC!S40=""),"",AVERAGE(IPC!S40:U40))</f>
        <v>85.408841509107162</v>
      </c>
      <c r="BB40" s="10">
        <f>IF(OR(IPC!X40="",IPC!W40="",IPC!V40=""),"",AVERAGE(IPC!V40:X40))</f>
        <v>85.627133825070715</v>
      </c>
      <c r="BC40" s="10">
        <f>IF(OR(IPC!AA40="",IPC!Z40="",IPC!Y40=""),"",AVERAGE(IPC!Y40:AA40))</f>
        <v>86.002280659793598</v>
      </c>
      <c r="BD40" s="10">
        <f>IF(OR(IPC!AD40="",IPC!AC40="",IPC!AB40=""),"",AVERAGE(IPC!AB40:AD40))</f>
        <v>86.262465297668768</v>
      </c>
      <c r="BE40" s="10">
        <f>IF(OR(IPC!AG40="",IPC!AF40="",IPC!AE40=""),"",AVERAGE(IPC!AE40:AG40))</f>
        <v>86.393497418458125</v>
      </c>
      <c r="BF40" s="10">
        <f>IF(OR(IPC!AJ40="",IPC!AI40="",IPC!AH40=""),"",AVERAGE(IPC!AH40:AJ40))</f>
        <v>86.667282273111269</v>
      </c>
      <c r="BG40" s="10">
        <f>IF(OR(IPC!AM40="",IPC!AL40="",IPC!AK40=""),"",AVERAGE(IPC!AK40:AM40))</f>
        <v>87.197266949222481</v>
      </c>
      <c r="BH40" s="10">
        <f>IF(OR(IPC!AP40="",IPC!AO40="",IPC!AN40=""),"",AVERAGE(IPC!AN40:AP40))</f>
        <v>87.219871269271451</v>
      </c>
      <c r="BI40" s="10">
        <f>IF(OR(IPC!AS40="",IPC!AR40="",IPC!AQ40=""),"",AVERAGE(IPC!AQ40:AS40))</f>
        <v>87.167877742972664</v>
      </c>
      <c r="BJ40" s="10">
        <f>IF(OR(IPC!AV40="",IPC!AU40="",IPC!AT40=""),"",AVERAGE(IPC!AT40:AV40))</f>
        <v>87.789691055050923</v>
      </c>
      <c r="BK40" s="10">
        <f>IF(OR(IPC!AY40="",IPC!AX40="",IPC!AW40=""),"",AVERAGE(IPC!AW40:AY40))</f>
        <v>88.292102641467181</v>
      </c>
      <c r="BL40" s="10">
        <f>IF(OR(IPC!BB40="",IPC!BA40="",IPC!AZ40=""),"",AVERAGE(IPC!AZ40:BB40))</f>
        <v>88.450755701935904</v>
      </c>
      <c r="BM40" s="10">
        <f>IF(OR(IPC!BE40="",IPC!BD40="",IPC!BC40=""),"",AVERAGE(IPC!BC40:BE40))</f>
        <v>89.105412238745956</v>
      </c>
      <c r="BN40" s="10">
        <f>IF(OR(IPC!BH40="",IPC!BG40="",IPC!BF40=""),"",AVERAGE(IPC!BF40:BH40))</f>
        <v>89.499122196335861</v>
      </c>
      <c r="BO40" s="10">
        <f>IF(OR(IPC!BK40="",IPC!BJ40="",IPC!BI40=""),"",AVERAGE(IPC!BI40:BK40))</f>
        <v>89.617187450637459</v>
      </c>
      <c r="BP40" s="10">
        <f>IF(OR(IPC!BN40="",IPC!BM40="",IPC!BL40=""),"",AVERAGE(IPC!BL40:BN40))</f>
        <v>89.795400171063548</v>
      </c>
      <c r="BQ40" s="10">
        <f>IF(OR(IPC!BQ40="",IPC!BP40="",IPC!BO40=""),"",AVERAGE(IPC!BO40:BQ40))</f>
        <v>89.879935410289633</v>
      </c>
      <c r="BR40" s="10">
        <f>IF(OR(IPC!BT40="",IPC!BS40="",IPC!BR40=""),"",AVERAGE(IPC!BR40:BT40))</f>
        <v>90.128174295075908</v>
      </c>
      <c r="BS40" s="10">
        <f>IF(OR(IPC!BW40="",IPC!BV40="",IPC!BU40=""),"",AVERAGE(IPC!BU40:BW40))</f>
        <v>90.394752998112423</v>
      </c>
      <c r="BT40" s="10">
        <f>IF(OR(IPC!BZ40="",IPC!BY40="",IPC!BX40=""),"",AVERAGE(IPC!BX40:BZ40))</f>
        <v>90.638227797817663</v>
      </c>
      <c r="BU40" s="10">
        <f>IF(OR(IPC!CC40="",IPC!CB40="",IPC!CA40=""),"",AVERAGE(IPC!CA40:CC40))</f>
        <v>90.807811673532569</v>
      </c>
      <c r="BV40" s="10">
        <f>IF(OR(IPC!CF40="",IPC!CE40="",IPC!CD40=""),"",AVERAGE(IPC!CD40:CF40))</f>
        <v>91.003955445991338</v>
      </c>
      <c r="BW40" s="10">
        <f>IF(OR(IPC!CI40="",IPC!CH40="",IPC!CG40=""),"",AVERAGE(IPC!CG40:CI40))</f>
        <v>91.145130295465208</v>
      </c>
      <c r="BX40" s="10">
        <f>IF(OR(IPC!CL40="",IPC!CK40="",IPC!CJ40=""),"",AVERAGE(IPC!CJ40:CL40))</f>
        <v>91.219902178660803</v>
      </c>
      <c r="BY40" s="10">
        <f>IF(OR(IPC!CO40="",IPC!CN40="",IPC!CM40=""),"",AVERAGE(IPC!CM40:CO40))</f>
        <v>91.537768839270811</v>
      </c>
      <c r="BZ40" s="10">
        <f>IF(OR(IPC!CR40="",IPC!CQ40="",IPC!CP40=""),"",AVERAGE(IPC!CP40:CR40))</f>
        <v>92.011979279458686</v>
      </c>
      <c r="CA40" s="10">
        <f>IF(OR(IPC!CU40="",IPC!CT40="",IPC!CS40=""),"",AVERAGE(IPC!CS40:CU40))</f>
        <v>92.558264035205809</v>
      </c>
      <c r="CB40" s="10">
        <f>IF(OR(IPC!CX40="",IPC!CW40="",IPC!CV40=""),"",AVERAGE(IPC!CV40:CX40))</f>
        <v>93.017106757136318</v>
      </c>
      <c r="CC40" s="10">
        <f>IF(OR(IPC!DA40="",IPC!CZ40="",IPC!CY40=""),"",AVERAGE(IPC!CY40:DA40))</f>
        <v>93.607049027395604</v>
      </c>
      <c r="CD40" s="10">
        <f>IF(OR(IPC!DD40="",IPC!DC40="",IPC!DB40=""),"",AVERAGE(IPC!DB40:DD40))</f>
        <v>94.011080450582867</v>
      </c>
      <c r="CE40" s="10">
        <f>IF(OR(IPC!DG40="",IPC!DF40="",IPC!DE40=""),"",AVERAGE(IPC!DE40:DG40))</f>
        <v>94.830295765075832</v>
      </c>
      <c r="CF40" s="10">
        <f>IF(OR(IPC!DJ40="",IPC!DI40="",IPC!DH40=""),"",AVERAGE(IPC!DH40:DJ40))</f>
        <v>95.099147399594983</v>
      </c>
      <c r="CG40" s="10">
        <f>IF(OR(IPC!DM40="",IPC!DL40="",IPC!DK40=""),"",AVERAGE(IPC!DK40:DM40))</f>
        <v>95.487969521211582</v>
      </c>
      <c r="CH40" s="10">
        <f>IF(OR(IPC!DP40="",IPC!DO40="",IPC!DN40=""),"",AVERAGE(IPC!DN40:DP40))</f>
        <v>95.708299793085246</v>
      </c>
      <c r="CI40" s="10">
        <f>IF(OR(IPC!DS40="",IPC!DR40="",IPC!DQ40=""),"",AVERAGE(IPC!DQ40:DS40))</f>
        <v>96.200280952472554</v>
      </c>
      <c r="CJ40" s="10">
        <f>IF(OR(IPC!DV40="",IPC!DU40="",IPC!DT40=""),"",AVERAGE(IPC!DT40:DV40))</f>
        <v>96.491386606129026</v>
      </c>
      <c r="CK40" s="10">
        <f>IF(OR(IPC!DY40="",IPC!DX40="",IPC!DW40=""),"",AVERAGE(IPC!DW40:DY40))</f>
        <v>96.795669869628071</v>
      </c>
      <c r="CL40" s="10">
        <f>IF(OR(IPC!EB40="",IPC!EA40="",IPC!DZ40=""),"",AVERAGE(IPC!DZ40:EB40))</f>
        <v>97.124341239405737</v>
      </c>
      <c r="CM40" s="10">
        <f>IF(OR(IPC!EE40="",IPC!ED40="",IPC!EC40=""),"",AVERAGE(IPC!EC40:EE40))</f>
        <v>97.484148255003447</v>
      </c>
      <c r="CN40" s="10">
        <f>IF(OR(IPC!EH40="",IPC!EG40="",IPC!EF40=""),"",AVERAGE(IPC!EF40:EH40))</f>
        <v>99.752219597460751</v>
      </c>
      <c r="CO40" s="10">
        <f>IF(OR(IPC!EK40="",IPC!EJ40="",IPC!EI40=""),"",AVERAGE(IPC!EI40:EK40))</f>
        <v>99.552171183691485</v>
      </c>
      <c r="CP40" s="10">
        <f>IF(OR(IPC!EN40="",IPC!EM40="",IPC!EL40=""),"",AVERAGE(IPC!EL40:EN40))</f>
        <v>100.48358194434654</v>
      </c>
      <c r="CQ40" s="10">
        <f>IF(OR(IPC!EQ40="",IPC!EP40="",IPC!EO40=""),"",AVERAGE(IPC!EO40:EQ40))</f>
        <v>101.63600587441793</v>
      </c>
      <c r="CR40" s="10">
        <f>IF(OR(IPC!ET40="",IPC!ES40="",IPC!ER40=""),"",AVERAGE(IPC!ER40:ET40))</f>
        <v>102.60862850067991</v>
      </c>
      <c r="CS40" s="10">
        <f>IF(OR(IPC!EW40="",IPC!EV40="",IPC!EU40=""),"",AVERAGE(IPC!EU40:EW40))</f>
        <v>103.51661249854978</v>
      </c>
      <c r="CT40" s="10">
        <f>IF(OR(IPC!EZ40="",IPC!EY40="",IPC!EX40=""),"",AVERAGE(IPC!EX40:EZ40))</f>
        <v>104.09811858976343</v>
      </c>
      <c r="CU40" s="10">
        <f>IF(OR(IPC!FC40="",IPC!FB40="",IPC!FA40=""),"",AVERAGE(IPC!FA40:FC40))</f>
        <v>104.58322104872764</v>
      </c>
      <c r="CV40" s="10">
        <f>IF(OR(IPC!FF40="",IPC!FE40="",IPC!FD40=""),"",AVERAGE(IPC!FD40:FF40))</f>
        <v>105.07989222749369</v>
      </c>
      <c r="CW40" s="10">
        <f>IF(OR(IPC!FI40="",IPC!FH40="",IPC!FG40=""),"",AVERAGE(IPC!FG40:FI40))</f>
        <v>105.62955543841151</v>
      </c>
      <c r="CX40" s="10">
        <f>IF(OR(IPC!FL40="",IPC!FK40="",IPC!FJ40=""),"",AVERAGE(IPC!FJ40:FL40))</f>
        <v>106.07667189420506</v>
      </c>
      <c r="CY40" s="10">
        <f>IF(OR(IPC!FO40="",IPC!FN40="",IPC!FM40=""),"",AVERAGE(IPC!FM40:FO40))</f>
        <v>106.60100018076109</v>
      </c>
      <c r="CZ40" s="10">
        <f>IF(OR(IPC!FR40="",IPC!FQ40="",IPC!FP40=""),"",AVERAGE(IPC!FP40:FR40))</f>
        <v>107.1233468048966</v>
      </c>
    </row>
    <row r="41" spans="2:104" s="14" customFormat="1" ht="10.199999999999999" x14ac:dyDescent="0.2"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 t="str">
        <f>IF(OR(IPC!F41="",IPC!E41="",IPC!D41=""),"",AVERAGE(IPC!D41:F41))</f>
        <v/>
      </c>
      <c r="AW41" s="10" t="str">
        <f>IF(OR(IPC!I41="",IPC!H41="",IPC!G41=""),"",AVERAGE(IPC!G41:I41))</f>
        <v/>
      </c>
      <c r="AX41" s="10" t="str">
        <f>IF(OR(IPC!L41="",IPC!K41="",IPC!J41=""),"",AVERAGE(IPC!J41:L41))</f>
        <v/>
      </c>
      <c r="AY41" s="10" t="str">
        <f>IF(OR(IPC!O41="",IPC!N41="",IPC!M41=""),"",AVERAGE(IPC!M41:O41))</f>
        <v/>
      </c>
      <c r="AZ41" s="10" t="str">
        <f>IF(OR(IPC!R41="",IPC!Q41="",IPC!P41=""),"",AVERAGE(IPC!P41:R41))</f>
        <v/>
      </c>
      <c r="BA41" s="10" t="str">
        <f>IF(OR(IPC!U41="",IPC!T41="",IPC!S41=""),"",AVERAGE(IPC!S41:U41))</f>
        <v/>
      </c>
      <c r="BB41" s="10" t="str">
        <f>IF(OR(IPC!X41="",IPC!W41="",IPC!V41=""),"",AVERAGE(IPC!V41:X41))</f>
        <v/>
      </c>
      <c r="BC41" s="10" t="str">
        <f>IF(OR(IPC!AA41="",IPC!Z41="",IPC!Y41=""),"",AVERAGE(IPC!Y41:AA41))</f>
        <v/>
      </c>
      <c r="BD41" s="10" t="str">
        <f>IF(OR(IPC!AD41="",IPC!AC41="",IPC!AB41=""),"",AVERAGE(IPC!AB41:AD41))</f>
        <v/>
      </c>
      <c r="BE41" s="10" t="str">
        <f>IF(OR(IPC!AG41="",IPC!AF41="",IPC!AE41=""),"",AVERAGE(IPC!AE41:AG41))</f>
        <v/>
      </c>
      <c r="BF41" s="10" t="str">
        <f>IF(OR(IPC!AJ41="",IPC!AI41="",IPC!AH41=""),"",AVERAGE(IPC!AH41:AJ41))</f>
        <v/>
      </c>
      <c r="BG41" s="10" t="str">
        <f>IF(OR(IPC!AM41="",IPC!AL41="",IPC!AK41=""),"",AVERAGE(IPC!AK41:AM41))</f>
        <v/>
      </c>
      <c r="BH41" s="10" t="str">
        <f>IF(OR(IPC!AP41="",IPC!AO41="",IPC!AN41=""),"",AVERAGE(IPC!AN41:AP41))</f>
        <v/>
      </c>
      <c r="BI41" s="10" t="str">
        <f>IF(OR(IPC!AS41="",IPC!AR41="",IPC!AQ41=""),"",AVERAGE(IPC!AQ41:AS41))</f>
        <v/>
      </c>
      <c r="BJ41" s="10" t="str">
        <f>IF(OR(IPC!AV41="",IPC!AU41="",IPC!AT41=""),"",AVERAGE(IPC!AT41:AV41))</f>
        <v/>
      </c>
      <c r="BK41" s="10" t="str">
        <f>IF(OR(IPC!AY41="",IPC!AX41="",IPC!AW41=""),"",AVERAGE(IPC!AW41:AY41))</f>
        <v/>
      </c>
      <c r="BL41" s="10" t="str">
        <f>IF(OR(IPC!BB41="",IPC!BA41="",IPC!AZ41=""),"",AVERAGE(IPC!AZ41:BB41))</f>
        <v/>
      </c>
      <c r="BM41" s="10" t="str">
        <f>IF(OR(IPC!BE41="",IPC!BD41="",IPC!BC41=""),"",AVERAGE(IPC!BC41:BE41))</f>
        <v/>
      </c>
      <c r="BN41" s="10" t="str">
        <f>IF(OR(IPC!BH41="",IPC!BG41="",IPC!BF41=""),"",AVERAGE(IPC!BF41:BH41))</f>
        <v/>
      </c>
      <c r="BO41" s="10" t="str">
        <f>IF(OR(IPC!BK41="",IPC!BJ41="",IPC!BI41=""),"",AVERAGE(IPC!BI41:BK41))</f>
        <v/>
      </c>
      <c r="BP41" s="10" t="str">
        <f>IF(OR(IPC!BN41="",IPC!BM41="",IPC!BL41=""),"",AVERAGE(IPC!BL41:BN41))</f>
        <v/>
      </c>
      <c r="BQ41" s="10" t="str">
        <f>IF(OR(IPC!BQ41="",IPC!BP41="",IPC!BO41=""),"",AVERAGE(IPC!BO41:BQ41))</f>
        <v/>
      </c>
      <c r="BR41" s="10" t="str">
        <f>IF(OR(IPC!BT41="",IPC!BS41="",IPC!BR41=""),"",AVERAGE(IPC!BR41:BT41))</f>
        <v/>
      </c>
      <c r="BS41" s="10" t="str">
        <f>IF(OR(IPC!BW41="",IPC!BV41="",IPC!BU41=""),"",AVERAGE(IPC!BU41:BW41))</f>
        <v/>
      </c>
      <c r="BT41" s="10" t="str">
        <f>IF(OR(IPC!BZ41="",IPC!BY41="",IPC!BX41=""),"",AVERAGE(IPC!BX41:BZ41))</f>
        <v/>
      </c>
      <c r="BU41" s="10" t="str">
        <f>IF(OR(IPC!CC41="",IPC!CB41="",IPC!CA41=""),"",AVERAGE(IPC!CA41:CC41))</f>
        <v/>
      </c>
      <c r="BV41" s="10" t="str">
        <f>IF(OR(IPC!CF41="",IPC!CE41="",IPC!CD41=""),"",AVERAGE(IPC!CD41:CF41))</f>
        <v/>
      </c>
      <c r="BW41" s="10" t="str">
        <f>IF(OR(IPC!CI41="",IPC!CH41="",IPC!CG41=""),"",AVERAGE(IPC!CG41:CI41))</f>
        <v/>
      </c>
      <c r="BX41" s="10" t="str">
        <f>IF(OR(IPC!CL41="",IPC!CK41="",IPC!CJ41=""),"",AVERAGE(IPC!CJ41:CL41))</f>
        <v/>
      </c>
      <c r="BY41" s="10" t="str">
        <f>IF(OR(IPC!CO41="",IPC!CN41="",IPC!CM41=""),"",AVERAGE(IPC!CM41:CO41))</f>
        <v/>
      </c>
      <c r="BZ41" s="10" t="str">
        <f>IF(OR(IPC!CR41="",IPC!CQ41="",IPC!CP41=""),"",AVERAGE(IPC!CP41:CR41))</f>
        <v/>
      </c>
      <c r="CA41" s="10" t="str">
        <f>IF(OR(IPC!CU41="",IPC!CT41="",IPC!CS41=""),"",AVERAGE(IPC!CS41:CU41))</f>
        <v/>
      </c>
      <c r="CB41" s="10" t="str">
        <f>IF(OR(IPC!CX41="",IPC!CW41="",IPC!CV41=""),"",AVERAGE(IPC!CV41:CX41))</f>
        <v/>
      </c>
      <c r="CC41" s="10" t="str">
        <f>IF(OR(IPC!DA41="",IPC!CZ41="",IPC!CY41=""),"",AVERAGE(IPC!CY41:DA41))</f>
        <v/>
      </c>
      <c r="CD41" s="10" t="str">
        <f>IF(OR(IPC!DD41="",IPC!DC41="",IPC!DB41=""),"",AVERAGE(IPC!DB41:DD41))</f>
        <v/>
      </c>
      <c r="CE41" s="10" t="str">
        <f>IF(OR(IPC!DG41="",IPC!DF41="",IPC!DE41=""),"",AVERAGE(IPC!DE41:DG41))</f>
        <v/>
      </c>
      <c r="CF41" s="10" t="str">
        <f>IF(OR(IPC!DJ41="",IPC!DI41="",IPC!DH41=""),"",AVERAGE(IPC!DH41:DJ41))</f>
        <v/>
      </c>
      <c r="CG41" s="10" t="str">
        <f>IF(OR(IPC!DM41="",IPC!DL41="",IPC!DK41=""),"",AVERAGE(IPC!DK41:DM41))</f>
        <v/>
      </c>
      <c r="CH41" s="10" t="str">
        <f>IF(OR(IPC!DP41="",IPC!DO41="",IPC!DN41=""),"",AVERAGE(IPC!DN41:DP41))</f>
        <v/>
      </c>
      <c r="CI41" s="10" t="str">
        <f>IF(OR(IPC!DS41="",IPC!DR41="",IPC!DQ41=""),"",AVERAGE(IPC!DQ41:DS41))</f>
        <v/>
      </c>
      <c r="CJ41" s="10" t="str">
        <f>IF(OR(IPC!DV41="",IPC!DU41="",IPC!DT41=""),"",AVERAGE(IPC!DT41:DV41))</f>
        <v/>
      </c>
      <c r="CK41" s="10" t="str">
        <f>IF(OR(IPC!DY41="",IPC!DX41="",IPC!DW41=""),"",AVERAGE(IPC!DW41:DY41))</f>
        <v/>
      </c>
      <c r="CL41" s="10" t="str">
        <f>IF(OR(IPC!EB41="",IPC!EA41="",IPC!DZ41=""),"",AVERAGE(IPC!DZ41:EB41))</f>
        <v/>
      </c>
      <c r="CM41" s="10" t="str">
        <f>IF(OR(IPC!EE41="",IPC!ED41="",IPC!EC41=""),"",AVERAGE(IPC!EC41:EE41))</f>
        <v/>
      </c>
      <c r="CN41" s="10" t="str">
        <f>IF(OR(IPC!EH41="",IPC!EG41="",IPC!EF41=""),"",AVERAGE(IPC!EF41:EH41))</f>
        <v/>
      </c>
      <c r="CO41" s="10" t="str">
        <f>IF(OR(IPC!EK41="",IPC!EJ41="",IPC!EI41=""),"",AVERAGE(IPC!EI41:EK41))</f>
        <v/>
      </c>
      <c r="CP41" s="10" t="str">
        <f>IF(OR(IPC!EN41="",IPC!EM41="",IPC!EL41=""),"",AVERAGE(IPC!EL41:EN41))</f>
        <v/>
      </c>
      <c r="CQ41" s="10" t="str">
        <f>IF(OR(IPC!EQ41="",IPC!EP41="",IPC!EO41=""),"",AVERAGE(IPC!EO41:EQ41))</f>
        <v/>
      </c>
      <c r="CR41" s="10" t="str">
        <f>IF(OR(IPC!ET41="",IPC!ES41="",IPC!ER41=""),"",AVERAGE(IPC!ER41:ET41))</f>
        <v/>
      </c>
      <c r="CS41" s="10" t="str">
        <f>IF(OR(IPC!EW41="",IPC!EV41="",IPC!EU41=""),"",AVERAGE(IPC!EU41:EW41))</f>
        <v/>
      </c>
      <c r="CT41" s="10" t="str">
        <f>IF(OR(IPC!EZ41="",IPC!EY41="",IPC!EX41=""),"",AVERAGE(IPC!EX41:EZ41))</f>
        <v/>
      </c>
      <c r="CU41" s="10" t="str">
        <f>IF(OR(IPC!FC41="",IPC!FB41="",IPC!FA41=""),"",AVERAGE(IPC!FA41:FC41))</f>
        <v/>
      </c>
      <c r="CV41" s="10" t="str">
        <f>IF(OR(IPC!FF41="",IPC!FE41="",IPC!FD41=""),"",AVERAGE(IPC!FD41:FF41))</f>
        <v/>
      </c>
      <c r="CW41" s="10" t="str">
        <f>IF(OR(IPC!FI41="",IPC!FH41="",IPC!FG41=""),"",AVERAGE(IPC!FG41:FI41))</f>
        <v/>
      </c>
      <c r="CX41" s="10" t="str">
        <f>IF(OR(IPC!FL41="",IPC!FK41="",IPC!FJ41=""),"",AVERAGE(IPC!FJ41:FL41))</f>
        <v/>
      </c>
      <c r="CY41" s="10" t="str">
        <f>IF(OR(IPC!FO41="",IPC!FN41="",IPC!FM41=""),"",AVERAGE(IPC!FM41:FO41))</f>
        <v/>
      </c>
      <c r="CZ41" s="10" t="str">
        <f>IF(OR(IPC!FR41="",IPC!FQ41="",IPC!FP41=""),"",AVERAGE(IPC!FP41:FR41))</f>
        <v/>
      </c>
    </row>
    <row r="42" spans="2:104" s="63" customFormat="1" ht="10.199999999999999" x14ac:dyDescent="0.2">
      <c r="B42" s="63" t="s">
        <v>80</v>
      </c>
      <c r="C42" s="64">
        <f>AVERAGE(AV42:AY42)</f>
        <v>222.06666666666663</v>
      </c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>
        <f>IF(OR(IPC!F42="",IPC!E42="",IPC!D42=""),"",AVERAGE(IPC!D42:F42))</f>
        <v>220.03333333333333</v>
      </c>
      <c r="AW42" s="65">
        <f>IF(OR(IPC!I42="",IPC!H42="",IPC!G42=""),"",AVERAGE(IPC!G42:I42))</f>
        <v>220.16666666666666</v>
      </c>
      <c r="AX42" s="65">
        <f>IF(OR(IPC!L42="",IPC!K42="",IPC!J42=""),"",AVERAGE(IPC!J42:L42))</f>
        <v>223.13333333333333</v>
      </c>
      <c r="AY42" s="65">
        <f>IF(OR(IPC!O42="",IPC!N42="",IPC!M42=""),"",AVERAGE(IPC!M42:O42))</f>
        <v>224.93333333333331</v>
      </c>
      <c r="AZ42" s="65">
        <f>IF(OR(IPC!R42="",IPC!Q42="",IPC!P42=""),"",AVERAGE(IPC!P42:R42))</f>
        <v>224.56666666666669</v>
      </c>
      <c r="BA42" s="65">
        <f>IF(OR(IPC!U42="",IPC!T42="",IPC!S42=""),"",AVERAGE(IPC!S42:U42))</f>
        <v>226.46666666666667</v>
      </c>
      <c r="BB42" s="65">
        <f>IF(OR(IPC!X42="",IPC!W42="",IPC!V42=""),"",AVERAGE(IPC!V42:X42))</f>
        <v>178.56974483734476</v>
      </c>
      <c r="BC42" s="65">
        <f>IF(OR(IPC!AA42="",IPC!Z42="",IPC!Y42=""),"",AVERAGE(IPC!Y42:AA42))</f>
        <v>179.9284609563698</v>
      </c>
      <c r="BD42" s="65">
        <f>IF(OR(IPC!AD42="",IPC!AC42="",IPC!AB42=""),"",AVERAGE(IPC!AB42:AD42))</f>
        <v>180.19544554835542</v>
      </c>
      <c r="BE42" s="65">
        <f>IF(OR(IPC!AG42="",IPC!AF42="",IPC!AE42=""),"",AVERAGE(IPC!AE42:AG42))</f>
        <v>180.52421996757312</v>
      </c>
      <c r="BF42" s="65">
        <f>IF(OR(IPC!AJ42="",IPC!AI42="",IPC!AH42=""),"",AVERAGE(IPC!AH42:AJ42))</f>
        <v>181.66772231022932</v>
      </c>
      <c r="BG42" s="65">
        <f>IF(OR(IPC!AM42="",IPC!AL42="",IPC!AK42=""),"",AVERAGE(IPC!AK42:AM42))</f>
        <v>183.44686085092602</v>
      </c>
      <c r="BH42" s="65">
        <f>IF(OR(IPC!AP42="",IPC!AO42="",IPC!AN42=""),"",AVERAGE(IPC!AN42:AP42))</f>
        <v>182.5202164231213</v>
      </c>
      <c r="BI42" s="65">
        <f>IF(OR(IPC!AS42="",IPC!AR42="",IPC!AQ42=""),"",AVERAGE(IPC!AQ42:AS42))</f>
        <v>182.30367283333899</v>
      </c>
      <c r="BJ42" s="65">
        <f>IF(OR(IPC!AV42="",IPC!AU42="",IPC!AT42=""),"",AVERAGE(IPC!AT42:AV42))</f>
        <v>186.63018539325824</v>
      </c>
      <c r="BK42" s="65">
        <f>IF(OR(IPC!AY42="",IPC!AX42="",IPC!AW42=""),"",AVERAGE(IPC!AW42:AY42))</f>
        <v>187.84366264518508</v>
      </c>
      <c r="BL42" s="65">
        <f>IF(OR(IPC!BB42="",IPC!BA42="",IPC!AZ42=""),"",AVERAGE(IPC!AZ42:BB42))</f>
        <v>187.8406464228093</v>
      </c>
      <c r="BM42" s="65">
        <f>IF(OR(IPC!BE42="",IPC!BD42="",IPC!BC42=""),"",AVERAGE(IPC!BC42:BE42))</f>
        <v>189.45423488485304</v>
      </c>
      <c r="BN42" s="65">
        <f>IF(OR(IPC!BH42="",IPC!BG42="",IPC!BF42=""),"",AVERAGE(IPC!BF42:BH42))</f>
        <v>190.73089100985396</v>
      </c>
      <c r="BO42" s="65">
        <f>IF(OR(IPC!BK42="",IPC!BJ42="",IPC!BI42=""),"",AVERAGE(IPC!BI42:BK42))</f>
        <v>191.07360496239281</v>
      </c>
      <c r="BP42" s="65">
        <f>IF(OR(IPC!BN42="",IPC!BM42="",IPC!BL42=""),"",AVERAGE(IPC!BL42:BN42))</f>
        <v>190.62403797258767</v>
      </c>
      <c r="BQ42" s="65">
        <f>IF(OR(IPC!BQ42="",IPC!BP42="",IPC!BO42=""),"",AVERAGE(IPC!BO42:BQ42))</f>
        <v>191.43477228475444</v>
      </c>
      <c r="BR42" s="65">
        <f>IF(OR(IPC!BT42="",IPC!BS42="",IPC!BR42=""),"",AVERAGE(IPC!BR42:BT42))</f>
        <v>191.93188609870001</v>
      </c>
      <c r="BS42" s="65">
        <f>IF(OR(IPC!BW42="",IPC!BV42="",IPC!BU42=""),"",AVERAGE(IPC!BU42:BW42))</f>
        <v>191.73407361468688</v>
      </c>
      <c r="BT42" s="65">
        <f>IF(OR(IPC!BZ42="",IPC!BY42="",IPC!BX42=""),"",AVERAGE(IPC!BX42:BZ42))</f>
        <v>191.47437587501258</v>
      </c>
      <c r="BU42" s="65">
        <f>IF(OR(IPC!CC42="",IPC!CB42="",IPC!CA42=""),"",AVERAGE(IPC!CA42:CC42))</f>
        <v>192.51534795394551</v>
      </c>
      <c r="BV42" s="65">
        <f>IF(OR(IPC!CF42="",IPC!CE42="",IPC!CD42=""),"",AVERAGE(IPC!CD42:CF42))</f>
        <v>193.2469749579129</v>
      </c>
      <c r="BW42" s="65">
        <f>IF(OR(IPC!CI42="",IPC!CH42="",IPC!CG42=""),"",AVERAGE(IPC!CG42:CI42))</f>
        <v>193.3942569237422</v>
      </c>
      <c r="BX42" s="65">
        <f>IF(OR(IPC!CL42="",IPC!CK42="",IPC!CJ42=""),"",AVERAGE(IPC!CJ42:CL42))</f>
        <v>193.04570407259453</v>
      </c>
      <c r="BY42" s="65">
        <f>IF(OR(IPC!CO42="",IPC!CN42="",IPC!CM42=""),"",AVERAGE(IPC!CM42:CO42))</f>
        <v>194.07475709474625</v>
      </c>
      <c r="BZ42" s="65">
        <f>IF(OR(IPC!CR42="",IPC!CQ42="",IPC!CP42=""),"",AVERAGE(IPC!CP42:CR42))</f>
        <v>194.90933062129008</v>
      </c>
      <c r="CA42" s="65">
        <f>IF(OR(IPC!CU42="",IPC!CT42="",IPC!CS42=""),"",AVERAGE(IPC!CS42:CU42))</f>
        <v>196.79907430074911</v>
      </c>
      <c r="CB42" s="65">
        <f>IF(OR(IPC!CX42="",IPC!CW42="",IPC!CV42=""),"",AVERAGE(IPC!CV42:CX42))</f>
        <v>197.39242031751959</v>
      </c>
      <c r="CC42" s="65">
        <f>IF(OR(IPC!DA42="",IPC!CZ42="",IPC!CY42=""),"",AVERAGE(IPC!CY42:DA42))</f>
        <v>198.95095187942218</v>
      </c>
      <c r="CD42" s="65">
        <f>IF(OR(IPC!DD42="",IPC!DC42="",IPC!DB42=""),"",AVERAGE(IPC!DB42:DD42))</f>
        <v>200.02285154797741</v>
      </c>
      <c r="CE42" s="65">
        <f>IF(OR(IPC!DG42="",IPC!DF42="",IPC!DE42=""),"",AVERAGE(IPC!DE42:DG42))</f>
        <v>201.59324549825911</v>
      </c>
      <c r="CF42" s="65">
        <f>IF(OR(IPC!DJ42="",IPC!DI42="",IPC!DH42=""),"",AVERAGE(IPC!DH42:DJ42))</f>
        <v>202.55865473473872</v>
      </c>
      <c r="CG42" s="65">
        <f>IF(OR(IPC!DM42="",IPC!DL42="",IPC!DK42=""),"",AVERAGE(IPC!DK42:DM42))</f>
        <v>203.8478772059415</v>
      </c>
      <c r="CH42" s="65">
        <f>IF(OR(IPC!DP42="",IPC!DO42="",IPC!DN42=""),"",AVERAGE(IPC!DN42:DP42))</f>
        <v>205.01241625577359</v>
      </c>
      <c r="CI42" s="65">
        <f>IF(OR(IPC!DS42="",IPC!DR42="",IPC!DQ42=""),"",AVERAGE(IPC!DQ42:DS42))</f>
        <v>206.09473298541172</v>
      </c>
      <c r="CJ42" s="65">
        <f>IF(OR(IPC!DV42="",IPC!DU42="",IPC!DT42=""),"",AVERAGE(IPC!DT42:DV42))</f>
        <v>206.3756496266549</v>
      </c>
      <c r="CK42" s="65">
        <f>IF(OR(IPC!DY42="",IPC!DX42="",IPC!DW42=""),"",AVERAGE(IPC!DW42:DY42))</f>
        <v>208.12703834685831</v>
      </c>
      <c r="CL42" s="65">
        <f>IF(OR(IPC!EB42="",IPC!EA42="",IPC!DZ42=""),"",AVERAGE(IPC!DZ42:EB42))</f>
        <v>209.92519100931352</v>
      </c>
      <c r="CM42" s="65">
        <f>IF(OR(IPC!EE42="",IPC!ED42="",IPC!EC42=""),"",AVERAGE(IPC!EC42:EE42))</f>
        <v>211.57760317669226</v>
      </c>
      <c r="CN42" s="65">
        <f>IF(OR(IPC!EH42="",IPC!EG42="",IPC!EF42=""),"",AVERAGE(IPC!EF42:EH42))</f>
        <v>221.60885838334562</v>
      </c>
      <c r="CO42" s="65">
        <f>IF(OR(IPC!EK42="",IPC!EJ42="",IPC!EI42=""),"",AVERAGE(IPC!EI42:EK42))</f>
        <v>220.26953235236769</v>
      </c>
      <c r="CP42" s="65">
        <f>IF(OR(IPC!EN42="",IPC!EM42="",IPC!EL42=""),"",AVERAGE(IPC!EL42:EN42))</f>
        <v>224.53198659644082</v>
      </c>
      <c r="CQ42" s="65">
        <f>IF(OR(IPC!EQ42="",IPC!EP42="",IPC!EO42=""),"",AVERAGE(IPC!EO42:EQ42))</f>
        <v>228.004272376833</v>
      </c>
      <c r="CR42" s="65">
        <f>IF(OR(IPC!ET42="",IPC!ES42="",IPC!ER42=""),"",AVERAGE(IPC!ER42:ET42))</f>
        <v>232.61764420997505</v>
      </c>
      <c r="CS42" s="65">
        <f>IF(OR(IPC!EW42="",IPC!EV42="",IPC!EU42=""),"",AVERAGE(IPC!EU42:EW42))</f>
        <v>237.77457214815675</v>
      </c>
      <c r="CT42" s="65">
        <f>IF(OR(IPC!EZ42="",IPC!EY42="",IPC!EX42=""),"",AVERAGE(IPC!EX42:EZ42))</f>
        <v>241.04200175398981</v>
      </c>
      <c r="CU42" s="65">
        <f>IF(OR(IPC!FC42="",IPC!FB42="",IPC!FA42=""),"",AVERAGE(IPC!FA42:FC42))</f>
        <v>242.23833082238727</v>
      </c>
      <c r="CV42" s="65">
        <f>IF(OR(IPC!FF42="",IPC!FE42="",IPC!FD42=""),"",AVERAGE(IPC!FD42:FF42))</f>
        <v>244.19931111111109</v>
      </c>
      <c r="CW42" s="65">
        <f>IF(OR(IPC!FI42="",IPC!FH42="",IPC!FG42=""),"",AVERAGE(IPC!FG42:FI42))</f>
        <v>248.34455555555553</v>
      </c>
      <c r="CX42" s="65">
        <f>IF(OR(IPC!FL42="",IPC!FK42="",IPC!FJ42=""),"",AVERAGE(IPC!FJ42:FL42))</f>
        <v>250.75933531099565</v>
      </c>
      <c r="CY42" s="65">
        <f>IF(OR(IPC!FO42="",IPC!FN42="",IPC!FM42=""),"",AVERAGE(IPC!FM42:FO42))</f>
        <v>253.62589178136659</v>
      </c>
      <c r="CZ42" s="65">
        <f>IF(OR(IPC!FR42="",IPC!FQ42="",IPC!FP42=""),"",AVERAGE(IPC!FP42:FR42))</f>
        <v>254.71046666666663</v>
      </c>
    </row>
    <row r="43" spans="2:104" s="1" customFormat="1" ht="10.199999999999999" x14ac:dyDescent="0.2">
      <c r="AV43" s="1" t="str">
        <f>IF(OR(IPC!F43="",IPC!E43="",IPC!D43=""),"",AVERAGE(IPC!D43:F43))</f>
        <v/>
      </c>
      <c r="AY43" s="7"/>
    </row>
    <row r="44" spans="2:104" s="1" customFormat="1" ht="10.8" thickBot="1" x14ac:dyDescent="0.25">
      <c r="AV44" s="1" t="str">
        <f>IF(OR(IPC!F44="",IPC!E44="",IPC!D44=""),"",AVERAGE(IPC!D44:F44))</f>
        <v/>
      </c>
      <c r="AY44" s="7"/>
    </row>
    <row r="45" spans="2:104" s="2" customFormat="1" ht="33" thickTop="1" thickBot="1" x14ac:dyDescent="0.55000000000000004">
      <c r="B45" s="2" t="s">
        <v>93</v>
      </c>
      <c r="AV45" s="2" t="str">
        <f>IF(OR(IPC!F45="",IPC!E45="",IPC!D45=""),"",AVERAGE(IPC!D45:F45))</f>
        <v/>
      </c>
    </row>
    <row r="46" spans="2:104" s="20" customFormat="1" ht="14.4" thickTop="1" thickBot="1" x14ac:dyDescent="0.3">
      <c r="AV46" s="20" t="str">
        <f>IF(OR(IPC!F46="",IPC!E46="",IPC!D46=""),"",AVERAGE(IPC!D46:F46))</f>
        <v/>
      </c>
    </row>
    <row r="47" spans="2:104" s="102" customFormat="1" ht="13.8" thickBot="1" x14ac:dyDescent="0.3">
      <c r="B47" s="103" t="s">
        <v>34</v>
      </c>
      <c r="C47" s="104" t="s">
        <v>1</v>
      </c>
      <c r="D47" s="101" t="s">
        <v>179</v>
      </c>
      <c r="E47" s="101" t="s">
        <v>180</v>
      </c>
      <c r="F47" s="104" t="s">
        <v>181</v>
      </c>
      <c r="G47" s="104" t="s">
        <v>182</v>
      </c>
      <c r="H47" s="104" t="s">
        <v>115</v>
      </c>
      <c r="I47" s="104" t="s">
        <v>116</v>
      </c>
      <c r="J47" s="104" t="s">
        <v>117</v>
      </c>
      <c r="K47" s="104" t="s">
        <v>118</v>
      </c>
      <c r="L47" s="104" t="s">
        <v>119</v>
      </c>
      <c r="M47" s="104" t="s">
        <v>120</v>
      </c>
      <c r="N47" s="104" t="s">
        <v>121</v>
      </c>
      <c r="O47" s="104" t="s">
        <v>122</v>
      </c>
      <c r="P47" s="104" t="s">
        <v>123</v>
      </c>
      <c r="Q47" s="104" t="s">
        <v>124</v>
      </c>
      <c r="R47" s="104" t="s">
        <v>125</v>
      </c>
      <c r="S47" s="104" t="s">
        <v>126</v>
      </c>
      <c r="T47" s="104" t="s">
        <v>127</v>
      </c>
      <c r="U47" s="104" t="s">
        <v>128</v>
      </c>
      <c r="V47" s="104" t="s">
        <v>129</v>
      </c>
      <c r="W47" s="104" t="s">
        <v>130</v>
      </c>
      <c r="X47" s="105" t="s">
        <v>131</v>
      </c>
      <c r="Y47" s="105" t="s">
        <v>132</v>
      </c>
      <c r="Z47" s="105" t="s">
        <v>133</v>
      </c>
      <c r="AA47" s="105" t="s">
        <v>134</v>
      </c>
      <c r="AB47" s="105" t="s">
        <v>135</v>
      </c>
      <c r="AC47" s="105" t="s">
        <v>136</v>
      </c>
      <c r="AD47" s="105" t="s">
        <v>137</v>
      </c>
      <c r="AE47" s="105" t="s">
        <v>138</v>
      </c>
      <c r="AF47" s="105" t="s">
        <v>139</v>
      </c>
      <c r="AG47" s="105" t="s">
        <v>140</v>
      </c>
      <c r="AH47" s="105" t="s">
        <v>141</v>
      </c>
      <c r="AI47" s="105" t="s">
        <v>142</v>
      </c>
      <c r="AJ47" s="105" t="s">
        <v>143</v>
      </c>
      <c r="AK47" s="105" t="s">
        <v>144</v>
      </c>
      <c r="AL47" s="105" t="s">
        <v>145</v>
      </c>
      <c r="AM47" s="105" t="s">
        <v>146</v>
      </c>
      <c r="AN47" s="105" t="s">
        <v>147</v>
      </c>
      <c r="AO47" s="105" t="s">
        <v>148</v>
      </c>
      <c r="AP47" s="105" t="s">
        <v>149</v>
      </c>
      <c r="AQ47" s="105" t="s">
        <v>150</v>
      </c>
      <c r="AR47" s="105" t="s">
        <v>151</v>
      </c>
      <c r="AS47" s="105" t="s">
        <v>152</v>
      </c>
      <c r="AT47" s="105" t="s">
        <v>153</v>
      </c>
      <c r="AU47" s="105" t="s">
        <v>154</v>
      </c>
      <c r="AV47" s="105" t="s">
        <v>155</v>
      </c>
      <c r="AW47" s="105" t="s">
        <v>156</v>
      </c>
      <c r="AX47" s="105" t="s">
        <v>157</v>
      </c>
      <c r="AY47" s="105" t="s">
        <v>158</v>
      </c>
      <c r="AZ47" s="105" t="s">
        <v>159</v>
      </c>
      <c r="BA47" s="105" t="s">
        <v>160</v>
      </c>
      <c r="BB47" s="105" t="s">
        <v>161</v>
      </c>
      <c r="BC47" s="105" t="s">
        <v>162</v>
      </c>
      <c r="BD47" s="105" t="s">
        <v>163</v>
      </c>
      <c r="BE47" s="105" t="s">
        <v>164</v>
      </c>
      <c r="BF47" s="105" t="s">
        <v>165</v>
      </c>
      <c r="BG47" s="105" t="s">
        <v>166</v>
      </c>
      <c r="BH47" s="105" t="s">
        <v>167</v>
      </c>
      <c r="BI47" s="105" t="s">
        <v>168</v>
      </c>
      <c r="BJ47" s="105" t="s">
        <v>169</v>
      </c>
      <c r="BK47" s="105" t="s">
        <v>170</v>
      </c>
      <c r="BL47" s="105" t="s">
        <v>171</v>
      </c>
      <c r="BM47" s="105" t="s">
        <v>172</v>
      </c>
      <c r="BN47" s="105" t="str">
        <f t="shared" ref="BN47:CP47" si="0">BN4</f>
        <v>2015T3</v>
      </c>
      <c r="BO47" s="105" t="str">
        <f t="shared" si="0"/>
        <v>2015T4</v>
      </c>
      <c r="BP47" s="105" t="str">
        <f t="shared" si="0"/>
        <v>2016T1</v>
      </c>
      <c r="BQ47" s="105" t="str">
        <f t="shared" si="0"/>
        <v>2016T2</v>
      </c>
      <c r="BR47" s="105" t="str">
        <f t="shared" si="0"/>
        <v>2016T3</v>
      </c>
      <c r="BS47" s="105" t="str">
        <f t="shared" si="0"/>
        <v>2016T4</v>
      </c>
      <c r="BT47" s="105" t="str">
        <f t="shared" si="0"/>
        <v>2017T1</v>
      </c>
      <c r="BU47" s="105" t="str">
        <f t="shared" si="0"/>
        <v>2017T2</v>
      </c>
      <c r="BV47" s="105" t="str">
        <f t="shared" si="0"/>
        <v>2017T3</v>
      </c>
      <c r="BW47" s="105" t="str">
        <f t="shared" si="0"/>
        <v>2017T4</v>
      </c>
      <c r="BX47" s="105" t="str">
        <f t="shared" si="0"/>
        <v>2018T1</v>
      </c>
      <c r="BY47" s="105" t="str">
        <f t="shared" si="0"/>
        <v>2018T2</v>
      </c>
      <c r="BZ47" s="105" t="str">
        <f t="shared" si="0"/>
        <v>2018T3</v>
      </c>
      <c r="CA47" s="105" t="str">
        <f t="shared" si="0"/>
        <v>2018T4</v>
      </c>
      <c r="CB47" s="105" t="str">
        <f t="shared" si="0"/>
        <v>2019T1</v>
      </c>
      <c r="CC47" s="105" t="str">
        <f t="shared" si="0"/>
        <v>2019T2</v>
      </c>
      <c r="CD47" s="105" t="str">
        <f t="shared" si="0"/>
        <v>2019T3</v>
      </c>
      <c r="CE47" s="105" t="str">
        <f t="shared" si="0"/>
        <v>2019T4</v>
      </c>
      <c r="CF47" s="105" t="str">
        <f t="shared" si="0"/>
        <v>2020T1</v>
      </c>
      <c r="CG47" s="105" t="str">
        <f t="shared" si="0"/>
        <v>2020T2</v>
      </c>
      <c r="CH47" s="105" t="str">
        <f t="shared" si="0"/>
        <v>2020T3</v>
      </c>
      <c r="CI47" s="105" t="str">
        <f t="shared" si="0"/>
        <v>2020T4</v>
      </c>
      <c r="CJ47" s="105" t="str">
        <f t="shared" si="0"/>
        <v>2021T1</v>
      </c>
      <c r="CK47" s="105" t="str">
        <f t="shared" si="0"/>
        <v>2021T2</v>
      </c>
      <c r="CL47" s="105" t="str">
        <f t="shared" si="0"/>
        <v>2021T3</v>
      </c>
      <c r="CM47" s="105" t="str">
        <f t="shared" si="0"/>
        <v>2021T4</v>
      </c>
      <c r="CN47" s="105" t="str">
        <f t="shared" si="0"/>
        <v>2022T1</v>
      </c>
      <c r="CO47" s="105" t="str">
        <f t="shared" si="0"/>
        <v>2022T2</v>
      </c>
      <c r="CP47" s="105" t="str">
        <f t="shared" si="0"/>
        <v>2022T3</v>
      </c>
      <c r="CQ47" s="105" t="str">
        <f t="shared" ref="CQ47:CZ47" si="1">CQ4</f>
        <v>2022T4</v>
      </c>
      <c r="CR47" s="105" t="str">
        <f t="shared" si="1"/>
        <v>2023T1</v>
      </c>
      <c r="CS47" s="105" t="str">
        <f t="shared" si="1"/>
        <v>2023T2</v>
      </c>
      <c r="CT47" s="105" t="str">
        <f t="shared" si="1"/>
        <v>2023T3</v>
      </c>
      <c r="CU47" s="105" t="str">
        <f t="shared" si="1"/>
        <v>2023T4</v>
      </c>
      <c r="CV47" s="105" t="str">
        <f t="shared" si="1"/>
        <v>2024T1</v>
      </c>
      <c r="CW47" s="105" t="str">
        <f t="shared" si="1"/>
        <v>2024T2</v>
      </c>
      <c r="CX47" s="105" t="str">
        <f t="shared" si="1"/>
        <v>2024T3</v>
      </c>
      <c r="CY47" s="105" t="str">
        <f t="shared" si="1"/>
        <v>2024T4</v>
      </c>
      <c r="CZ47" s="105" t="str">
        <f t="shared" si="1"/>
        <v>2025T1</v>
      </c>
    </row>
    <row r="48" spans="2:104" s="20" customFormat="1" x14ac:dyDescent="0.25">
      <c r="B48" s="25" t="s">
        <v>35</v>
      </c>
      <c r="C48" s="26"/>
      <c r="AV48" s="20" t="str">
        <f>IF(OR(IPC!F48="",IPC!E48="",IPC!D48=""),"",AVERAGE(IPC!D48:F48))</f>
        <v/>
      </c>
      <c r="AW48" s="20" t="str">
        <f>IF(OR(IPC!I48="",IPC!H48="",IPC!G48=""),"",AVERAGE(IPC!G48:I48))</f>
        <v/>
      </c>
      <c r="AX48" s="20" t="str">
        <f>IF(OR(IPC!L48="",IPC!K48="",IPC!J48=""),"",AVERAGE(IPC!J48:L48))</f>
        <v/>
      </c>
      <c r="AY48" s="20" t="str">
        <f>IF(OR(IPC!O48="",IPC!N48="",IPC!M48=""),"",AVERAGE(IPC!M48:O48))</f>
        <v/>
      </c>
      <c r="AZ48" s="27">
        <f>IF(OR(IPC!R48="",IPC!Q48="",IPC!P48=""),"",AVERAGE(IPC!P48:R48))</f>
        <v>100.42208171340872</v>
      </c>
      <c r="BA48" s="27">
        <f>IF(OR(IPC!U48="",IPC!T48="",IPC!S48=""),"",AVERAGE(IPC!S48:U48))</f>
        <v>100.63197631011515</v>
      </c>
      <c r="BB48" s="27">
        <f>IF(OR(IPC!X48="",IPC!W48="",IPC!V48=""),"",AVERAGE(IPC!V48:X48))</f>
        <v>100.88127358174194</v>
      </c>
      <c r="BC48" s="27">
        <f>IF(OR(IPC!AA48="",IPC!Z48="",IPC!Y48=""),"",AVERAGE(IPC!Y48:AA48))</f>
        <v>102.11531974628286</v>
      </c>
      <c r="BD48" s="27">
        <f>IF(OR(IPC!AD48="",IPC!AC48="",IPC!AB48=""),"",AVERAGE(IPC!AB48:AD48))</f>
        <v>102.86007351537144</v>
      </c>
      <c r="BE48" s="27">
        <f>IF(OR(IPC!AG48="",IPC!AF48="",IPC!AE48=""),"",AVERAGE(IPC!AE48:AG48))</f>
        <v>102.91762818326255</v>
      </c>
      <c r="BF48" s="27">
        <f>IF(OR(IPC!AJ48="",IPC!AI48="",IPC!AH48=""),"",AVERAGE(IPC!AH48:AJ48))</f>
        <v>103.1174471163077</v>
      </c>
      <c r="BG48" s="27">
        <f>IF(OR(IPC!AM48="",IPC!AL48="",IPC!AK48=""),"",AVERAGE(IPC!AK48:AM48))</f>
        <v>104.56220074506513</v>
      </c>
      <c r="BH48" s="27">
        <f>IF(OR(IPC!AP48="",IPC!AO48="",IPC!AN48=""),"",AVERAGE(IPC!AN48:AP48))</f>
        <v>104.0558240891945</v>
      </c>
      <c r="BI48" s="27">
        <f>IF(OR(IPC!AS48="",IPC!AR48="",IPC!AQ48=""),"",AVERAGE(IPC!AQ48:AS48))</f>
        <v>103.85907191482835</v>
      </c>
      <c r="BJ48" s="27">
        <f>IF(OR(IPC!AV48="",IPC!AU48="",IPC!AT48=""),"",AVERAGE(IPC!AT48:AV48))</f>
        <v>106.5911841568106</v>
      </c>
      <c r="BK48" s="27">
        <f>IF(OR(IPC!AY48="",IPC!AX48="",IPC!AW48=""),"",AVERAGE(IPC!AW48:AY48))</f>
        <v>106.76725479641253</v>
      </c>
      <c r="BL48" s="27">
        <f>IF(OR(IPC!BB48="",IPC!BA48="",IPC!AZ48=""),"",AVERAGE(IPC!AZ48:BB48))</f>
        <v>107.65559864319168</v>
      </c>
      <c r="BM48" s="27">
        <f>IF(OR(IPC!BE48="",IPC!BD48="",IPC!BC48=""),"",AVERAGE(IPC!BC48:BE48))</f>
        <v>108.46091166065496</v>
      </c>
      <c r="BN48" s="27">
        <f>IF(OR(IPC!BH48="",IPC!BG48="",IPC!BF48=""),"",AVERAGE(IPC!BF48:BH48))</f>
        <v>108.51276804743117</v>
      </c>
      <c r="BO48" s="27">
        <f>IF(OR(IPC!BK48="",IPC!BJ48="",IPC!BI48=""),"",AVERAGE(IPC!BI48:BK48))</f>
        <v>108.83536219147474</v>
      </c>
      <c r="BP48" s="27">
        <f>IF(OR(IPC!BN48="",IPC!BM48="",IPC!BL48=""),"",AVERAGE(IPC!BL48:BN48))</f>
        <v>109.06533806262662</v>
      </c>
      <c r="BQ48" s="27">
        <f>IF(OR(IPC!BQ48="",IPC!BP48="",IPC!BO48=""),"",AVERAGE(IPC!BO48:BQ48))</f>
        <v>109.65930739516797</v>
      </c>
      <c r="BR48" s="27">
        <f>IF(OR(IPC!BT48="",IPC!BS48="",IPC!BR48=""),"",AVERAGE(IPC!BR48:BT48))</f>
        <v>109.99065956522806</v>
      </c>
      <c r="BS48" s="27">
        <f>IF(OR(IPC!BW48="",IPC!BV48="",IPC!BU48=""),"",AVERAGE(IPC!BU48:BW48))</f>
        <v>110.45128575807267</v>
      </c>
      <c r="BT48" s="27">
        <f>IF(OR(IPC!BZ48="",IPC!BY48="",IPC!BX48=""),"",AVERAGE(IPC!BX48:BZ48))</f>
        <v>110.36076714182713</v>
      </c>
      <c r="BU48" s="27">
        <f>IF(OR(IPC!CC48="",IPC!CB48="",IPC!CA48=""),"",AVERAGE(IPC!CA48:CC48))</f>
        <v>110.96430142175666</v>
      </c>
      <c r="BV48" s="27">
        <f>IF(OR(IPC!CF48="",IPC!CE48="",IPC!CD48=""),"",AVERAGE(IPC!CD48:CF48))</f>
        <v>110.56260887011075</v>
      </c>
      <c r="BW48" s="27">
        <f>IF(OR(IPC!CI48="",IPC!CH48="",IPC!CG48=""),"",AVERAGE(IPC!CG48:CI48))</f>
        <v>110.65641948348279</v>
      </c>
      <c r="BX48" s="27">
        <f>IF(OR(IPC!CL48="",IPC!CK48="",IPC!CJ48=""),"",AVERAGE(IPC!CJ48:CL48))</f>
        <v>110.67184941108951</v>
      </c>
      <c r="BY48" s="27">
        <f>IF(OR(IPC!CO48="",IPC!CN48="",IPC!CM48=""),"",AVERAGE(IPC!CM48:CO48))</f>
        <v>111.95539793552574</v>
      </c>
      <c r="BZ48" s="27">
        <f>IF(OR(IPC!CR48="",IPC!CQ48="",IPC!CP48=""),"",AVERAGE(IPC!CP48:CR48))</f>
        <v>111.87586859353543</v>
      </c>
      <c r="CA48" s="27">
        <f>IF(OR(IPC!CU48="",IPC!CT48="",IPC!CS48=""),"",AVERAGE(IPC!CS48:CU48))</f>
        <v>113.03166995552813</v>
      </c>
      <c r="CB48" s="27">
        <f>IF(OR(IPC!CX48="",IPC!CW48="",IPC!CV48=""),"",AVERAGE(IPC!CV48:CX48))</f>
        <v>113.43831360314772</v>
      </c>
      <c r="CC48" s="27">
        <f>IF(OR(IPC!DA48="",IPC!CZ48="",IPC!CY48=""),"",AVERAGE(IPC!CY48:DA48))</f>
        <v>114.32136319237357</v>
      </c>
      <c r="CD48" s="27">
        <f>IF(OR(IPC!DD48="",IPC!DC48="",IPC!DB48=""),"",AVERAGE(IPC!DB48:DD48))</f>
        <v>114.80646172132622</v>
      </c>
      <c r="CE48" s="27">
        <f>IF(OR(IPC!DG48="",IPC!DF48="",IPC!DE48=""),"",AVERAGE(IPC!DE48:DG48))</f>
        <v>115.48806417743391</v>
      </c>
      <c r="CF48" s="27">
        <f>IF(OR(IPC!DJ48="",IPC!DI48="",IPC!DH48=""),"",AVERAGE(IPC!DH48:DJ48))</f>
        <v>115.93691086174319</v>
      </c>
      <c r="CG48" s="27">
        <f>IF(OR(IPC!DM48="",IPC!DL48="",IPC!DK48=""),"",AVERAGE(IPC!DK48:DM48))</f>
        <v>116.77207465282652</v>
      </c>
      <c r="CH48" s="27">
        <f>IF(OR(IPC!DP48="",IPC!DO48="",IPC!DN48=""),"",AVERAGE(IPC!DN48:DP48))</f>
        <v>117.01608636857566</v>
      </c>
      <c r="CI48" s="27">
        <f>IF(OR(IPC!DS48="",IPC!DR48="",IPC!DQ48=""),"",AVERAGE(IPC!DQ48:DS48))</f>
        <v>117.39138253821052</v>
      </c>
      <c r="CJ48" s="27">
        <f>IF(OR(IPC!DV48="",IPC!DU48="",IPC!DT48=""),"",AVERAGE(IPC!DT48:DV48))</f>
        <v>117.7674996878096</v>
      </c>
      <c r="CK48" s="27">
        <f>IF(OR(IPC!DY48="",IPC!DX48="",IPC!DW48=""),"",AVERAGE(IPC!DW48:DY48))</f>
        <v>118.39093922384255</v>
      </c>
      <c r="CL48" s="27">
        <f>IF(OR(IPC!EB48="",IPC!EA48="",IPC!DZ48=""),"",AVERAGE(IPC!DZ48:EB48))</f>
        <v>119.36114972265365</v>
      </c>
      <c r="CM48" s="27">
        <f>IF(OR(IPC!EE48="",IPC!ED48="",IPC!EC48=""),"",AVERAGE(IPC!EC48:EE48))</f>
        <v>120.22200868565034</v>
      </c>
      <c r="CN48" s="27">
        <f>IF(OR(IPC!EH48="",IPC!EG48="",IPC!EF48=""),"",AVERAGE(IPC!EF48:EH48))</f>
        <v>121.95936327179872</v>
      </c>
      <c r="CO48" s="27">
        <f>IF(OR(IPC!EK48="",IPC!EJ48="",IPC!EI48=""),"",AVERAGE(IPC!EI48:EK48))</f>
        <v>125.34711952208022</v>
      </c>
      <c r="CP48" s="27">
        <f>IF(OR(IPC!EN48="",IPC!EM48="",IPC!EL48=""),"",AVERAGE(IPC!EL48:EN48))</f>
        <v>128.05153058283966</v>
      </c>
      <c r="CQ48" s="27">
        <f>IF(OR(IPC!EQ48="",IPC!EP48="",IPC!EO48=""),"",AVERAGE(IPC!EO48:EQ48))</f>
        <v>129.66177279968784</v>
      </c>
      <c r="CR48" s="27">
        <f>IF(OR(IPC!ET48="",IPC!ES48="",IPC!ER48=""),"",AVERAGE(IPC!ER48:ET48))</f>
        <v>104.76666666666665</v>
      </c>
      <c r="CS48" s="27">
        <f>IF(OR(IPC!EW48="",IPC!EV48="",IPC!EU48=""),"",AVERAGE(IPC!EU48:EW48))</f>
        <v>107.36666666666667</v>
      </c>
      <c r="CT48" s="27">
        <f>IF(OR(IPC!EZ48="",IPC!EY48="",IPC!EX48=""),"",AVERAGE(IPC!EX48:EZ48))</f>
        <v>108.36666666666666</v>
      </c>
      <c r="CU48" s="27">
        <f>IF(OR(IPC!FC48="",IPC!FB48="",IPC!FA48=""),"",AVERAGE(IPC!FA48:FC48))</f>
        <v>108.76666666666667</v>
      </c>
      <c r="CV48" s="27">
        <f>IF(OR(IPC!FF48="",IPC!FE48="",IPC!FD48=""),"",AVERAGE(IPC!FD48:FF48))</f>
        <v>109.60000000000001</v>
      </c>
      <c r="CW48" s="27">
        <f>IF(OR(IPC!FI48="",IPC!FH48="",IPC!FG48=""),"",AVERAGE(IPC!FG48:FI48))</f>
        <v>111.53333333333335</v>
      </c>
      <c r="CX48" s="27">
        <f>IF(OR(IPC!FL48="",IPC!FK48="",IPC!FJ48=""),"",AVERAGE(IPC!FJ48:FL48))</f>
        <v>112.33333333333333</v>
      </c>
      <c r="CY48" s="27">
        <f>IF(OR(IPC!FO48="",IPC!FN48="",IPC!FM48=""),"",AVERAGE(IPC!FM48:FO48))</f>
        <v>113.10000000000001</v>
      </c>
      <c r="CZ48" s="27">
        <f>IF(OR(IPC!FR48="",IPC!FQ48="",IPC!FP48=""),"",AVERAGE(IPC!FP48:FR48))</f>
        <v>114.06666666666668</v>
      </c>
    </row>
    <row r="49" spans="1:104" s="20" customFormat="1" x14ac:dyDescent="0.25">
      <c r="B49" s="25" t="s">
        <v>36</v>
      </c>
      <c r="C49" s="26"/>
      <c r="AV49" s="20" t="str">
        <f>IF(OR(IPC!F49="",IPC!E49="",IPC!D49=""),"",AVERAGE(IPC!D49:F49))</f>
        <v/>
      </c>
      <c r="AW49" s="20" t="str">
        <f>IF(OR(IPC!I49="",IPC!H49="",IPC!G49=""),"",AVERAGE(IPC!G49:I49))</f>
        <v/>
      </c>
      <c r="AX49" s="20" t="str">
        <f>IF(OR(IPC!L49="",IPC!K49="",IPC!J49=""),"",AVERAGE(IPC!J49:L49))</f>
        <v/>
      </c>
      <c r="AY49" s="20" t="str">
        <f>IF(OR(IPC!O49="",IPC!N49="",IPC!M49=""),"",AVERAGE(IPC!M49:O49))</f>
        <v/>
      </c>
      <c r="AZ49" s="27">
        <f>IF(OR(IPC!R49="",IPC!Q49="",IPC!P49=""),"",AVERAGE(IPC!P49:R49))</f>
        <v>100.98571049809857</v>
      </c>
      <c r="BA49" s="27">
        <f>IF(OR(IPC!U49="",IPC!T49="",IPC!S49=""),"",AVERAGE(IPC!S49:U49))</f>
        <v>101.70584198611702</v>
      </c>
      <c r="BB49" s="27">
        <f>IF(OR(IPC!X49="",IPC!W49="",IPC!V49=""),"",AVERAGE(IPC!V49:X49))</f>
        <v>102.44553029613371</v>
      </c>
      <c r="BC49" s="27">
        <f>IF(OR(IPC!AA49="",IPC!Z49="",IPC!Y49=""),"",AVERAGE(IPC!Y49:AA49))</f>
        <v>103.13807622573397</v>
      </c>
      <c r="BD49" s="27">
        <f>IF(OR(IPC!AD49="",IPC!AC49="",IPC!AB49=""),"",AVERAGE(IPC!AB49:AD49))</f>
        <v>103.604903536348</v>
      </c>
      <c r="BE49" s="27">
        <f>IF(OR(IPC!AG49="",IPC!AF49="",IPC!AE49=""),"",AVERAGE(IPC!AE49:AG49))</f>
        <v>103.41076442321229</v>
      </c>
      <c r="BF49" s="27">
        <f>IF(OR(IPC!AJ49="",IPC!AI49="",IPC!AH49=""),"",AVERAGE(IPC!AH49:AJ49))</f>
        <v>104.31788190328245</v>
      </c>
      <c r="BG49" s="27">
        <f>IF(OR(IPC!AM49="",IPC!AL49="",IPC!AK49=""),"",AVERAGE(IPC!AK49:AM49))</f>
        <v>105.23431120076513</v>
      </c>
      <c r="BH49" s="27">
        <f>IF(OR(IPC!AP49="",IPC!AO49="",IPC!AN49=""),"",AVERAGE(IPC!AN49:AP49))</f>
        <v>105.02716570185447</v>
      </c>
      <c r="BI49" s="27">
        <f>IF(OR(IPC!AS49="",IPC!AR49="",IPC!AQ49=""),"",AVERAGE(IPC!AQ49:AS49))</f>
        <v>105.73370458676713</v>
      </c>
      <c r="BJ49" s="27">
        <f>IF(OR(IPC!AV49="",IPC!AU49="",IPC!AT49=""),"",AVERAGE(IPC!AT49:AV49))</f>
        <v>108.7149139444639</v>
      </c>
      <c r="BK49" s="27">
        <f>IF(OR(IPC!AY49="",IPC!AX49="",IPC!AW49=""),"",AVERAGE(IPC!AW49:AY49))</f>
        <v>109.14272994098052</v>
      </c>
      <c r="BL49" s="27">
        <f>IF(OR(IPC!BB49="",IPC!BA49="",IPC!AZ49=""),"",AVERAGE(IPC!AZ49:BB49))</f>
        <v>109.09756762697198</v>
      </c>
      <c r="BM49" s="27">
        <f>IF(OR(IPC!BE49="",IPC!BD49="",IPC!BC49=""),"",AVERAGE(IPC!BC49:BE49))</f>
        <v>109.22223947817224</v>
      </c>
      <c r="BN49" s="27">
        <f>IF(OR(IPC!BH49="",IPC!BG49="",IPC!BF49=""),"",AVERAGE(IPC!BF49:BH49))</f>
        <v>110.10948764772387</v>
      </c>
      <c r="BO49" s="27">
        <f>IF(OR(IPC!BK49="",IPC!BJ49="",IPC!BI49=""),"",AVERAGE(IPC!BI49:BK49))</f>
        <v>110.71646845543141</v>
      </c>
      <c r="BP49" s="27">
        <f>IF(OR(IPC!BN49="",IPC!BM49="",IPC!BL49=""),"",AVERAGE(IPC!BL49:BN49))</f>
        <v>110.323737041448</v>
      </c>
      <c r="BQ49" s="27">
        <f>IF(OR(IPC!BQ49="",IPC!BP49="",IPC!BO49=""),"",AVERAGE(IPC!BO49:BQ49))</f>
        <v>111.05405645088142</v>
      </c>
      <c r="BR49" s="27">
        <f>IF(OR(IPC!BT49="",IPC!BS49="",IPC!BR49=""),"",AVERAGE(IPC!BR49:BT49))</f>
        <v>110.64180356074858</v>
      </c>
      <c r="BS49" s="27">
        <f>IF(OR(IPC!BW49="",IPC!BV49="",IPC!BU49=""),"",AVERAGE(IPC!BU49:BW49))</f>
        <v>110.67193047128599</v>
      </c>
      <c r="BT49" s="27">
        <f>IF(OR(IPC!BZ49="",IPC!BY49="",IPC!BX49=""),"",AVERAGE(IPC!BX49:BZ49))</f>
        <v>110.55769947865208</v>
      </c>
      <c r="BU49" s="27">
        <f>IF(OR(IPC!CC49="",IPC!CB49="",IPC!CA49=""),"",AVERAGE(IPC!CA49:CC49))</f>
        <v>111.09567424814763</v>
      </c>
      <c r="BV49" s="27">
        <f>IF(OR(IPC!CF49="",IPC!CE49="",IPC!CD49=""),"",AVERAGE(IPC!CD49:CF49))</f>
        <v>111.02359429771695</v>
      </c>
      <c r="BW49" s="27">
        <f>IF(OR(IPC!CI49="",IPC!CH49="",IPC!CG49=""),"",AVERAGE(IPC!CG49:CI49))</f>
        <v>110.97908330127872</v>
      </c>
      <c r="BX49" s="27">
        <f>IF(OR(IPC!CL49="",IPC!CK49="",IPC!CJ49=""),"",AVERAGE(IPC!CJ49:CL49))</f>
        <v>110.65189450929772</v>
      </c>
      <c r="BY49" s="27">
        <f>IF(OR(IPC!CO49="",IPC!CN49="",IPC!CM49=""),"",AVERAGE(IPC!CM49:CO49))</f>
        <v>111.22606887592103</v>
      </c>
      <c r="BZ49" s="27">
        <f>IF(OR(IPC!CR49="",IPC!CQ49="",IPC!CP49=""),"",AVERAGE(IPC!CP49:CR49))</f>
        <v>111.7170587817232</v>
      </c>
      <c r="CA49" s="27">
        <f>IF(OR(IPC!CU49="",IPC!CT49="",IPC!CS49=""),"",AVERAGE(IPC!CS49:CU49))</f>
        <v>113.25366302676764</v>
      </c>
      <c r="CB49" s="27">
        <f>IF(OR(IPC!CX49="",IPC!CW49="",IPC!CV49=""),"",AVERAGE(IPC!CV49:CX49))</f>
        <v>113.25005041925267</v>
      </c>
      <c r="CC49" s="27">
        <f>IF(OR(IPC!DA49="",IPC!CZ49="",IPC!CY49=""),"",AVERAGE(IPC!CY49:DA49))</f>
        <v>114.20419325008379</v>
      </c>
      <c r="CD49" s="27">
        <f>IF(OR(IPC!DD49="",IPC!DC49="",IPC!DB49=""),"",AVERAGE(IPC!DB49:DD49))</f>
        <v>114.64251532776025</v>
      </c>
      <c r="CE49" s="27">
        <f>IF(OR(IPC!DG49="",IPC!DF49="",IPC!DE49=""),"",AVERAGE(IPC!DE49:DG49))</f>
        <v>115.45830986862762</v>
      </c>
      <c r="CF49" s="27">
        <f>IF(OR(IPC!DJ49="",IPC!DI49="",IPC!DH49=""),"",AVERAGE(IPC!DH49:DJ49))</f>
        <v>115.91435700348781</v>
      </c>
      <c r="CG49" s="27">
        <f>IF(OR(IPC!DM49="",IPC!DL49="",IPC!DK49=""),"",AVERAGE(IPC!DK49:DM49))</f>
        <v>116.86733674369135</v>
      </c>
      <c r="CH49" s="27">
        <f>IF(OR(IPC!DP49="",IPC!DO49="",IPC!DN49=""),"",AVERAGE(IPC!DN49:DP49))</f>
        <v>117.24255753006594</v>
      </c>
      <c r="CI49" s="27">
        <f>IF(OR(IPC!DS49="",IPC!DR49="",IPC!DQ49=""),"",AVERAGE(IPC!DQ49:DS49))</f>
        <v>117.88684795940519</v>
      </c>
      <c r="CJ49" s="27">
        <f>IF(OR(IPC!DV49="",IPC!DU49="",IPC!DT49=""),"",AVERAGE(IPC!DT49:DV49))</f>
        <v>118.23179477480893</v>
      </c>
      <c r="CK49" s="27">
        <f>IF(OR(IPC!DY49="",IPC!DX49="",IPC!DW49=""),"",AVERAGE(IPC!DW49:DY49))</f>
        <v>118.5428624356865</v>
      </c>
      <c r="CL49" s="27">
        <f>IF(OR(IPC!EB49="",IPC!EA49="",IPC!DZ49=""),"",AVERAGE(IPC!DZ49:EB49))</f>
        <v>119.55623798269721</v>
      </c>
      <c r="CM49" s="27">
        <f>IF(OR(IPC!EE49="",IPC!ED49="",IPC!EC49=""),"",AVERAGE(IPC!EC49:EE49))</f>
        <v>120.38799080311884</v>
      </c>
      <c r="CN49" s="27">
        <f>IF(OR(IPC!EH49="",IPC!EG49="",IPC!EF49=""),"",AVERAGE(IPC!EF49:EH49))</f>
        <v>122.1240180860475</v>
      </c>
      <c r="CO49" s="27">
        <f>IF(OR(IPC!EK49="",IPC!EJ49="",IPC!EI49=""),"",AVERAGE(IPC!EI49:EK49))</f>
        <v>125.23569256952352</v>
      </c>
      <c r="CP49" s="27">
        <f>IF(OR(IPC!EN49="",IPC!EM49="",IPC!EL49=""),"",AVERAGE(IPC!EL49:EN49))</f>
        <v>127.36606766104615</v>
      </c>
      <c r="CQ49" s="27">
        <f>IF(OR(IPC!EQ49="",IPC!EP49="",IPC!EO49=""),"",AVERAGE(IPC!EO49:EQ49))</f>
        <v>128.97232107825133</v>
      </c>
      <c r="CR49" s="27">
        <f>IF(OR(IPC!ET49="",IPC!ES49="",IPC!ER49=""),"",AVERAGE(IPC!ER49:ET49))</f>
        <v>104.93333333333334</v>
      </c>
      <c r="CS49" s="27">
        <f>IF(OR(IPC!EW49="",IPC!EV49="",IPC!EU49=""),"",AVERAGE(IPC!EU49:EW49))</f>
        <v>107.2</v>
      </c>
      <c r="CT49" s="27">
        <f>IF(OR(IPC!EZ49="",IPC!EY49="",IPC!EX49=""),"",AVERAGE(IPC!EX49:EZ49))</f>
        <v>108.86666666666667</v>
      </c>
      <c r="CU49" s="27">
        <f>IF(OR(IPC!FC49="",IPC!FB49="",IPC!FA49=""),"",AVERAGE(IPC!FA49:FC49))</f>
        <v>109.76666666666667</v>
      </c>
      <c r="CV49" s="27">
        <f>IF(OR(IPC!FF49="",IPC!FE49="",IPC!FD49=""),"",AVERAGE(IPC!FD49:FF49))</f>
        <v>110.8</v>
      </c>
      <c r="CW49" s="27">
        <f>IF(OR(IPC!FI49="",IPC!FH49="",IPC!FG49=""),"",AVERAGE(IPC!FG49:FI49))</f>
        <v>112.46666666666665</v>
      </c>
      <c r="CX49" s="27">
        <f>IF(OR(IPC!FL49="",IPC!FK49="",IPC!FJ49=""),"",AVERAGE(IPC!FJ49:FL49))</f>
        <v>113.83333333333333</v>
      </c>
      <c r="CY49" s="27">
        <f>IF(OR(IPC!FO49="",IPC!FN49="",IPC!FM49=""),"",AVERAGE(IPC!FM49:FO49))</f>
        <v>115.5</v>
      </c>
      <c r="CZ49" s="27">
        <f>IF(OR(IPC!FR49="",IPC!FQ49="",IPC!FP49=""),"",AVERAGE(IPC!FP49:FR49))</f>
        <v>115.33333333333333</v>
      </c>
    </row>
    <row r="50" spans="1:104" s="20" customFormat="1" x14ac:dyDescent="0.25">
      <c r="B50" s="25" t="s">
        <v>37</v>
      </c>
      <c r="C50" s="26"/>
      <c r="AV50" s="20" t="str">
        <f>IF(OR(IPC!F51="",IPC!E51="",IPC!D51=""),"",AVERAGE(IPC!D51:F51))</f>
        <v/>
      </c>
      <c r="AW50" s="20" t="str">
        <f>IF(OR(IPC!I51="",IPC!H51="",IPC!G51=""),"",AVERAGE(IPC!G51:I51))</f>
        <v/>
      </c>
      <c r="AX50" s="20" t="str">
        <f>IF(OR(IPC!L51="",IPC!K51="",IPC!J51=""),"",AVERAGE(IPC!J51:L51))</f>
        <v/>
      </c>
      <c r="AY50" s="20" t="str">
        <f>IF(OR(IPC!O51="",IPC!N51="",IPC!M51=""),"",AVERAGE(IPC!M51:O51))</f>
        <v/>
      </c>
      <c r="AZ50" s="27">
        <f>IF(OR(IPC!R51="",IPC!Q51="",IPC!P51=""),"",AVERAGE(IPC!P51:R51))</f>
        <v>101.83428105998503</v>
      </c>
      <c r="BA50" s="27">
        <f>IF(OR(IPC!U51="",IPC!T51="",IPC!S51=""),"",AVERAGE(IPC!S51:U51))</f>
        <v>102.35222796683406</v>
      </c>
      <c r="BB50" s="27">
        <f>IF(OR(IPC!X51="",IPC!W51="",IPC!V51=""),"",AVERAGE(IPC!V51:X51))</f>
        <v>103.38215323782508</v>
      </c>
      <c r="BC50" s="27">
        <f>IF(OR(IPC!AA51="",IPC!Z51="",IPC!Y51=""),"",AVERAGE(IPC!Y51:AA51))</f>
        <v>104.58326051560783</v>
      </c>
      <c r="BD50" s="27">
        <f>IF(OR(IPC!AD51="",IPC!AC51="",IPC!AB51=""),"",AVERAGE(IPC!AB51:AD51))</f>
        <v>104.58745546109172</v>
      </c>
      <c r="BE50" s="27">
        <f>IF(OR(IPC!AG51="",IPC!AF51="",IPC!AE51=""),"",AVERAGE(IPC!AE51:AG51))</f>
        <v>104.27838428917551</v>
      </c>
      <c r="BF50" s="27">
        <f>IF(OR(IPC!AJ51="",IPC!AI51="",IPC!AH51=""),"",AVERAGE(IPC!AH51:AJ51))</f>
        <v>106.05228176894734</v>
      </c>
      <c r="BG50" s="27">
        <f>IF(OR(IPC!AM51="",IPC!AL51="",IPC!AK51=""),"",AVERAGE(IPC!AK51:AM51))</f>
        <v>107.91215976792164</v>
      </c>
      <c r="BH50" s="27">
        <f>IF(OR(IPC!AP51="",IPC!AO51="",IPC!AN51=""),"",AVERAGE(IPC!AN51:AP51))</f>
        <v>106.89533001213782</v>
      </c>
      <c r="BI50" s="27">
        <f>IF(OR(IPC!AS51="",IPC!AR51="",IPC!AQ51=""),"",AVERAGE(IPC!AQ51:AS51))</f>
        <v>105.17925004929282</v>
      </c>
      <c r="BJ50" s="27">
        <f>IF(OR(IPC!AV51="",IPC!AU51="",IPC!AT51=""),"",AVERAGE(IPC!AT51:AV51))</f>
        <v>105.87193337680952</v>
      </c>
      <c r="BK50" s="27">
        <f>IF(OR(IPC!AY51="",IPC!AX51="",IPC!AW51=""),"",AVERAGE(IPC!AW51:AY51))</f>
        <v>107.44524261119501</v>
      </c>
      <c r="BL50" s="27">
        <f>IF(OR(IPC!BB51="",IPC!BA51="",IPC!AZ51=""),"",AVERAGE(IPC!AZ51:BB51))</f>
        <v>106.8880464596524</v>
      </c>
      <c r="BM50" s="27">
        <f>IF(OR(IPC!BE51="",IPC!BD51="",IPC!BC51=""),"",AVERAGE(IPC!BC51:BE51))</f>
        <v>106.99756266133556</v>
      </c>
      <c r="BN50" s="27">
        <f>IF(OR(IPC!BH51="",IPC!BG51="",IPC!BF51=""),"",AVERAGE(IPC!BF51:BH51))</f>
        <v>108.63225954151754</v>
      </c>
      <c r="BO50" s="27">
        <f>IF(OR(IPC!BK51="",IPC!BJ51="",IPC!BI51=""),"",AVERAGE(IPC!BI51:BK51))</f>
        <v>109.50367315088886</v>
      </c>
      <c r="BP50" s="27">
        <f>IF(OR(IPC!BN51="",IPC!BM51="",IPC!BL51=""),"",AVERAGE(IPC!BL51:BN51))</f>
        <v>109.07878859224517</v>
      </c>
      <c r="BQ50" s="27">
        <f>IF(OR(IPC!BQ51="",IPC!BP51="",IPC!BO51=""),"",AVERAGE(IPC!BO51:BQ51))</f>
        <v>108.57133251687337</v>
      </c>
      <c r="BR50" s="27">
        <f>IF(OR(IPC!BT51="",IPC!BS51="",IPC!BR51=""),"",AVERAGE(IPC!BR51:BT51))</f>
        <v>110.70179356845313</v>
      </c>
      <c r="BS50" s="27">
        <f>IF(OR(IPC!BW51="",IPC!BV51="",IPC!BU51=""),"",AVERAGE(IPC!BU51:BW51))</f>
        <v>110.36751343996893</v>
      </c>
      <c r="BT50" s="27">
        <f>IF(OR(IPC!BZ51="",IPC!BY51="",IPC!BX51=""),"",AVERAGE(IPC!BX51:BZ51))</f>
        <v>109.83019687391523</v>
      </c>
      <c r="BU50" s="27">
        <f>IF(OR(IPC!CC51="",IPC!CB51="",IPC!CA51=""),"",AVERAGE(IPC!CA51:CC51))</f>
        <v>109.96959228815508</v>
      </c>
      <c r="BV50" s="27">
        <f>IF(OR(IPC!CF51="",IPC!CE51="",IPC!CD51=""),"",AVERAGE(IPC!CD51:CF51))</f>
        <v>111.74823139989813</v>
      </c>
      <c r="BW50" s="27">
        <f>IF(OR(IPC!CI51="",IPC!CH51="",IPC!CG51=""),"",AVERAGE(IPC!CG51:CI51))</f>
        <v>111.62308642662066</v>
      </c>
      <c r="BX50" s="27">
        <f>IF(OR(IPC!CL51="",IPC!CK51="",IPC!CJ51=""),"",AVERAGE(IPC!CJ51:CL51))</f>
        <v>110.41035501738487</v>
      </c>
      <c r="BY50" s="27">
        <f>IF(OR(IPC!CO51="",IPC!CN51="",IPC!CM51=""),"",AVERAGE(IPC!CM51:CO51))</f>
        <v>110.45558656369013</v>
      </c>
      <c r="BZ50" s="27">
        <f>IF(OR(IPC!CR51="",IPC!CQ51="",IPC!CP51=""),"",AVERAGE(IPC!CP51:CR51))</f>
        <v>111.65372187174641</v>
      </c>
      <c r="CA50" s="27">
        <f>IF(OR(IPC!CU51="",IPC!CT51="",IPC!CS51=""),"",AVERAGE(IPC!CS51:CU51))</f>
        <v>112.92825516704227</v>
      </c>
      <c r="CB50" s="27">
        <f>IF(OR(IPC!CX51="",IPC!CW51="",IPC!CV51=""),"",AVERAGE(IPC!CV51:CX51))</f>
        <v>113.0852839688999</v>
      </c>
      <c r="CC50" s="27">
        <f>IF(OR(IPC!DA51="",IPC!CZ51="",IPC!CY51=""),"",AVERAGE(IPC!CY51:DA51))</f>
        <v>113.48517576126075</v>
      </c>
      <c r="CD50" s="27">
        <f>IF(OR(IPC!DD51="",IPC!DC51="",IPC!DB51=""),"",AVERAGE(IPC!DB51:DD51))</f>
        <v>114.49813961274209</v>
      </c>
      <c r="CE50" s="27">
        <f>IF(OR(IPC!DG51="",IPC!DF51="",IPC!DE51=""),"",AVERAGE(IPC!DE51:DG51))</f>
        <v>116.55366777050172</v>
      </c>
      <c r="CF50" s="27">
        <f>IF(OR(IPC!DJ51="",IPC!DI51="",IPC!DH51=""),"",AVERAGE(IPC!DH51:DJ51))</f>
        <v>116.88284580306613</v>
      </c>
      <c r="CG50" s="27">
        <f>IF(OR(IPC!DM51="",IPC!DL51="",IPC!DK51=""),"",AVERAGE(IPC!DK51:DM51))</f>
        <v>116.87529343077881</v>
      </c>
      <c r="CH50" s="27">
        <f>IF(OR(IPC!DP51="",IPC!DO51="",IPC!DN51=""),"",AVERAGE(IPC!DN51:DP51))</f>
        <v>117.17196540060468</v>
      </c>
      <c r="CI50" s="27">
        <f>IF(OR(IPC!DS51="",IPC!DR51="",IPC!DQ51=""),"",AVERAGE(IPC!DQ51:DS51))</f>
        <v>118.64064874182925</v>
      </c>
      <c r="CJ50" s="27">
        <f>IF(OR(IPC!DV51="",IPC!DU51="",IPC!DT51=""),"",AVERAGE(IPC!DT51:DV51))</f>
        <v>118.15210968407446</v>
      </c>
      <c r="CK50" s="27">
        <f>IF(OR(IPC!DY51="",IPC!DX51="",IPC!DW51=""),"",AVERAGE(IPC!DW51:DY51))</f>
        <v>119.78731596947053</v>
      </c>
      <c r="CL50" s="27">
        <f>IF(OR(IPC!EB51="",IPC!EA51="",IPC!DZ51=""),"",AVERAGE(IPC!DZ51:EB51))</f>
        <v>120.63556986042811</v>
      </c>
      <c r="CM50" s="27">
        <f>IF(OR(IPC!EE51="",IPC!ED51="",IPC!EC51=""),"",AVERAGE(IPC!EC51:EE51))</f>
        <v>122.10714864715469</v>
      </c>
      <c r="CN50" s="27">
        <f>IF(OR(IPC!EH51="",IPC!EG51="",IPC!EF51=""),"",AVERAGE(IPC!EF51:EH51))</f>
        <v>125.34887435078873</v>
      </c>
      <c r="CO50" s="27">
        <f>IF(OR(IPC!EK51="",IPC!EJ51="",IPC!EI51=""),"",AVERAGE(IPC!EI51:EK51))</f>
        <v>126.88391653411502</v>
      </c>
      <c r="CP50" s="27">
        <f>IF(OR(IPC!EN51="",IPC!EM51="",IPC!EL51=""),"",AVERAGE(IPC!EL51:EN51))</f>
        <v>130.33166344662376</v>
      </c>
      <c r="CQ50" s="27">
        <f>IF(OR(IPC!EQ51="",IPC!EP51="",IPC!EO51=""),"",AVERAGE(IPC!EO51:EQ51))</f>
        <v>133.12004824734038</v>
      </c>
      <c r="CR50" s="27">
        <f>IF(OR(IPC!ET51="",IPC!ES51="",IPC!ER51=""),"",AVERAGE(IPC!ER51:ET51))</f>
        <v>105.3</v>
      </c>
      <c r="CS50" s="27">
        <f>IF(OR(IPC!EW51="",IPC!EV51="",IPC!EU51=""),"",AVERAGE(IPC!EU51:EW51))</f>
        <v>106.43333333333332</v>
      </c>
      <c r="CT50" s="27">
        <f>IF(OR(IPC!EZ51="",IPC!EY51="",IPC!EX51=""),"",AVERAGE(IPC!EX51:EZ51))</f>
        <v>107.86666666666667</v>
      </c>
      <c r="CU50" s="27">
        <f>IF(OR(IPC!FC51="",IPC!FB51="",IPC!FA51=""),"",AVERAGE(IPC!FA51:FC51))</f>
        <v>108.46666666666665</v>
      </c>
      <c r="CV50" s="27">
        <f>IF(OR(IPC!FF51="",IPC!FE51="",IPC!FD51=""),"",AVERAGE(IPC!FD51:FF51))</f>
        <v>110.03333333333335</v>
      </c>
      <c r="CW50" s="27">
        <f>IF(OR(IPC!FI51="",IPC!FH51="",IPC!FG51=""),"",AVERAGE(IPC!FG51:FI51))</f>
        <v>112.23333333333335</v>
      </c>
      <c r="CX50" s="27">
        <f>IF(OR(IPC!FL51="",IPC!FK51="",IPC!FJ51=""),"",AVERAGE(IPC!FJ51:FL51))</f>
        <v>112.36666666666667</v>
      </c>
      <c r="CY50" s="27">
        <f>IF(OR(IPC!FO51="",IPC!FN51="",IPC!FM51=""),"",AVERAGE(IPC!FM51:FO51))</f>
        <v>113.73333333333333</v>
      </c>
      <c r="CZ50" s="27">
        <f>IF(OR(IPC!FR51="",IPC!FQ51="",IPC!FP51=""),"",AVERAGE(IPC!FP51:FR51))</f>
        <v>114.83333333333333</v>
      </c>
    </row>
    <row r="51" spans="1:104" s="20" customFormat="1" x14ac:dyDescent="0.25">
      <c r="B51" s="25" t="s">
        <v>38</v>
      </c>
      <c r="C51" s="26"/>
      <c r="AV51" s="20" t="str">
        <f>IF(OR(IPC!F57="",IPC!E57="",IPC!D57=""),"",AVERAGE(IPC!D57:F57))</f>
        <v/>
      </c>
      <c r="AW51" s="20" t="str">
        <f>IF(OR(IPC!I57="",IPC!H57="",IPC!G57=""),"",AVERAGE(IPC!G57:I57))</f>
        <v/>
      </c>
      <c r="AX51" s="20" t="str">
        <f>IF(OR(IPC!L57="",IPC!K57="",IPC!J57=""),"",AVERAGE(IPC!J57:L57))</f>
        <v/>
      </c>
      <c r="AY51" s="20" t="str">
        <f>IF(OR(IPC!O57="",IPC!N57="",IPC!M57=""),"",AVERAGE(IPC!M57:O57))</f>
        <v/>
      </c>
      <c r="AZ51" s="27">
        <f>IF(OR(IPC!R57="",IPC!Q57="",IPC!P57=""),"",AVERAGE(IPC!P57:R57))</f>
        <v>100.97979301815182</v>
      </c>
      <c r="BA51" s="27">
        <f>IF(OR(IPC!U57="",IPC!T57="",IPC!S57=""),"",AVERAGE(IPC!S57:U57))</f>
        <v>102.3496022765358</v>
      </c>
      <c r="BB51" s="27">
        <f>IF(OR(IPC!X57="",IPC!W57="",IPC!V57=""),"",AVERAGE(IPC!V57:X57))</f>
        <v>103.18644958998193</v>
      </c>
      <c r="BC51" s="27">
        <f>IF(OR(IPC!AA57="",IPC!Z57="",IPC!Y57=""),"",AVERAGE(IPC!Y57:AA57))</f>
        <v>105.25077946905185</v>
      </c>
      <c r="BD51" s="27">
        <f>IF(OR(IPC!AD57="",IPC!AC57="",IPC!AB57=""),"",AVERAGE(IPC!AB57:AD57))</f>
        <v>105.42897483012528</v>
      </c>
      <c r="BE51" s="27">
        <f>IF(OR(IPC!AG57="",IPC!AF57="",IPC!AE57=""),"",AVERAGE(IPC!AE57:AG57))</f>
        <v>105.41204291220873</v>
      </c>
      <c r="BF51" s="27">
        <f>IF(OR(IPC!AJ57="",IPC!AI57="",IPC!AH57=""),"",AVERAGE(IPC!AH57:AJ57))</f>
        <v>105.66979224439861</v>
      </c>
      <c r="BG51" s="27">
        <f>IF(OR(IPC!AM57="",IPC!AL57="",IPC!AK57=""),"",AVERAGE(IPC!AK57:AM57))</f>
        <v>106.22338701704716</v>
      </c>
      <c r="BH51" s="27">
        <f>IF(OR(IPC!AP57="",IPC!AO57="",IPC!AN57=""),"",AVERAGE(IPC!AN57:AP57))</f>
        <v>105.67316021035064</v>
      </c>
      <c r="BI51" s="27">
        <f>IF(OR(IPC!AS57="",IPC!AR57="",IPC!AQ57=""),"",AVERAGE(IPC!AQ57:AS57))</f>
        <v>104.77340268085516</v>
      </c>
      <c r="BJ51" s="27">
        <f>IF(OR(IPC!AV57="",IPC!AU57="",IPC!AT57=""),"",AVERAGE(IPC!AT57:AV57))</f>
        <v>106.94132612298823</v>
      </c>
      <c r="BK51" s="27">
        <f>IF(OR(IPC!AY57="",IPC!AX57="",IPC!AW57=""),"",AVERAGE(IPC!AW57:AY57))</f>
        <v>107.64402108237682</v>
      </c>
      <c r="BL51" s="27">
        <f>IF(OR(IPC!BB57="",IPC!BA57="",IPC!AZ57=""),"",AVERAGE(IPC!AZ57:BB57))</f>
        <v>106.89099113556233</v>
      </c>
      <c r="BM51" s="27">
        <f>IF(OR(IPC!BE57="",IPC!BD57="",IPC!BC57=""),"",AVERAGE(IPC!BC57:BE57))</f>
        <v>108.82010485815806</v>
      </c>
      <c r="BN51" s="27">
        <f>IF(OR(IPC!BH57="",IPC!BG57="",IPC!BF57=""),"",AVERAGE(IPC!BF57:BH57))</f>
        <v>110.73737696477239</v>
      </c>
      <c r="BO51" s="27">
        <f>IF(OR(IPC!BK57="",IPC!BJ57="",IPC!BI57=""),"",AVERAGE(IPC!BI57:BK57))</f>
        <v>111.09374138745055</v>
      </c>
      <c r="BP51" s="27">
        <f>IF(OR(IPC!BN57="",IPC!BM57="",IPC!BL57=""),"",AVERAGE(IPC!BL57:BN57))</f>
        <v>109.72996819975782</v>
      </c>
      <c r="BQ51" s="27">
        <f>IF(OR(IPC!BQ57="",IPC!BP57="",IPC!BO57=""),"",AVERAGE(IPC!BO57:BQ57))</f>
        <v>110.56083370907679</v>
      </c>
      <c r="BR51" s="27">
        <f>IF(OR(IPC!BT57="",IPC!BS57="",IPC!BR57=""),"",AVERAGE(IPC!BR57:BT57))</f>
        <v>110.5641745749549</v>
      </c>
      <c r="BS51" s="27">
        <f>IF(OR(IPC!BW57="",IPC!BV57="",IPC!BU57=""),"",AVERAGE(IPC!BU57:BW57))</f>
        <v>110.34062476049813</v>
      </c>
      <c r="BT51" s="27">
        <f>IF(OR(IPC!BZ57="",IPC!BY57="",IPC!BX57=""),"",AVERAGE(IPC!BX57:BZ57))</f>
        <v>110.0355633689597</v>
      </c>
      <c r="BU51" s="27">
        <f>IF(OR(IPC!CC57="",IPC!CB57="",IPC!CA57=""),"",AVERAGE(IPC!CA57:CC57))</f>
        <v>109.99038383837689</v>
      </c>
      <c r="BV51" s="27">
        <f>IF(OR(IPC!CF57="",IPC!CE57="",IPC!CD57=""),"",AVERAGE(IPC!CD57:CF57))</f>
        <v>111.21892748296322</v>
      </c>
      <c r="BW51" s="27">
        <f>IF(OR(IPC!CI57="",IPC!CH57="",IPC!CG57=""),"",AVERAGE(IPC!CG57:CI57))</f>
        <v>110.86978552456981</v>
      </c>
      <c r="BX51" s="27">
        <f>IF(OR(IPC!CL57="",IPC!CK57="",IPC!CJ57=""),"",AVERAGE(IPC!CJ57:CL57))</f>
        <v>110.312800293892</v>
      </c>
      <c r="BY51" s="27">
        <f>IF(OR(IPC!CO57="",IPC!CN57="",IPC!CM57=""),"",AVERAGE(IPC!CM57:CO57))</f>
        <v>110.36830664892035</v>
      </c>
      <c r="BZ51" s="27">
        <f>IF(OR(IPC!CR57="",IPC!CQ57="",IPC!CP57=""),"",AVERAGE(IPC!CP57:CR57))</f>
        <v>111.49597851823485</v>
      </c>
      <c r="CA51" s="27">
        <f>IF(OR(IPC!CU57="",IPC!CT57="",IPC!CS57=""),"",AVERAGE(IPC!CS57:CU57))</f>
        <v>114.64810891962918</v>
      </c>
      <c r="CB51" s="27">
        <f>IF(OR(IPC!CX57="",IPC!CW57="",IPC!CV57=""),"",AVERAGE(IPC!CV57:CX57))</f>
        <v>115.61796968332443</v>
      </c>
      <c r="CC51" s="27">
        <f>IF(OR(IPC!DA57="",IPC!CZ57="",IPC!CY57=""),"",AVERAGE(IPC!CY57:DA57))</f>
        <v>116.91723985510907</v>
      </c>
      <c r="CD51" s="27">
        <f>IF(OR(IPC!DD57="",IPC!DC57="",IPC!DB57=""),"",AVERAGE(IPC!DB57:DD57))</f>
        <v>117.31684063957847</v>
      </c>
      <c r="CE51" s="27">
        <f>IF(OR(IPC!DG57="",IPC!DF57="",IPC!DE57=""),"",AVERAGE(IPC!DE57:DG57))</f>
        <v>118.2786992863176</v>
      </c>
      <c r="CF51" s="27">
        <f>IF(OR(IPC!DJ57="",IPC!DI57="",IPC!DH57=""),"",AVERAGE(IPC!DH57:DJ57))</f>
        <v>118.97940167032003</v>
      </c>
      <c r="CG51" s="27">
        <f>IF(OR(IPC!DM57="",IPC!DL57="",IPC!DK57=""),"",AVERAGE(IPC!DK57:DM57))</f>
        <v>119.08458588083506</v>
      </c>
      <c r="CH51" s="27">
        <f>IF(OR(IPC!DP57="",IPC!DO57="",IPC!DN57=""),"",AVERAGE(IPC!DN57:DP57))</f>
        <v>119.524027055453</v>
      </c>
      <c r="CI51" s="27">
        <f>IF(OR(IPC!DS57="",IPC!DR57="",IPC!DQ57=""),"",AVERAGE(IPC!DQ57:DS57))</f>
        <v>120.85750339244089</v>
      </c>
      <c r="CJ51" s="27">
        <f>IF(OR(IPC!DV57="",IPC!DU57="",IPC!DT57=""),"",AVERAGE(IPC!DT57:DV57))</f>
        <v>122.3515560093545</v>
      </c>
      <c r="CK51" s="27">
        <f>IF(OR(IPC!DY57="",IPC!DX57="",IPC!DW57=""),"",AVERAGE(IPC!DW57:DY57))</f>
        <v>123.66503498368844</v>
      </c>
      <c r="CL51" s="27">
        <f>IF(OR(IPC!EB57="",IPC!EA57="",IPC!DZ57=""),"",AVERAGE(IPC!DZ57:EB57))</f>
        <v>123.77129461652787</v>
      </c>
      <c r="CM51" s="27">
        <f>IF(OR(IPC!EE57="",IPC!ED57="",IPC!EC57=""),"",AVERAGE(IPC!EC57:EE57))</f>
        <v>126.7414598005516</v>
      </c>
      <c r="CN51" s="27">
        <f>IF(OR(IPC!EH57="",IPC!EG57="",IPC!EF57=""),"",AVERAGE(IPC!EF57:EH57))</f>
        <v>129.03357590110741</v>
      </c>
      <c r="CO51" s="27">
        <f>IF(OR(IPC!EK57="",IPC!EJ57="",IPC!EI57=""),"",AVERAGE(IPC!EI57:EK57))</f>
        <v>131.38201677095751</v>
      </c>
      <c r="CP51" s="27">
        <f>IF(OR(IPC!EN57="",IPC!EM57="",IPC!EL57=""),"",AVERAGE(IPC!EL57:EN57))</f>
        <v>133.82534300912866</v>
      </c>
      <c r="CQ51" s="27">
        <f>IF(OR(IPC!EQ57="",IPC!EP57="",IPC!EO57=""),"",AVERAGE(IPC!EO57:EQ57))</f>
        <v>135.93870090625703</v>
      </c>
      <c r="CR51" s="27">
        <f>IF(OR(IPC!ET57="",IPC!ES57="",IPC!ER57=""),"",AVERAGE(IPC!ER57:ET57))</f>
        <v>104.63333333333333</v>
      </c>
      <c r="CS51" s="27">
        <f>IF(OR(IPC!EW57="",IPC!EV57="",IPC!EU57=""),"",AVERAGE(IPC!EU57:EW57))</f>
        <v>105.83333333333333</v>
      </c>
      <c r="CT51" s="27">
        <f>IF(OR(IPC!EZ57="",IPC!EY57="",IPC!EX57=""),"",AVERAGE(IPC!EX57:EZ57))</f>
        <v>106.53333333333335</v>
      </c>
      <c r="CU51" s="27">
        <f>IF(OR(IPC!FC57="",IPC!FB57="",IPC!FA57=""),"",AVERAGE(IPC!FA57:FC57))</f>
        <v>106.83333333333333</v>
      </c>
      <c r="CV51" s="27">
        <f>IF(OR(IPC!FF57="",IPC!FE57="",IPC!FD57=""),"",AVERAGE(IPC!FD57:FF57))</f>
        <v>107.5</v>
      </c>
      <c r="CW51" s="27">
        <f>IF(OR(IPC!FI57="",IPC!FH57="",IPC!FG57=""),"",AVERAGE(IPC!FG57:FI57))</f>
        <v>108.2</v>
      </c>
      <c r="CX51" s="27">
        <f>IF(OR(IPC!FL57="",IPC!FK57="",IPC!FJ57=""),"",AVERAGE(IPC!FJ57:FL57))</f>
        <v>110.60000000000001</v>
      </c>
      <c r="CY51" s="27">
        <f>IF(OR(IPC!FO57="",IPC!FN57="",IPC!FM57=""),"",AVERAGE(IPC!FM57:FO57))</f>
        <v>112.26666666666667</v>
      </c>
      <c r="CZ51" s="27">
        <f>IF(OR(IPC!FR57="",IPC!FQ57="",IPC!FP57=""),"",AVERAGE(IPC!FP57:FR57))</f>
        <v>113.2</v>
      </c>
    </row>
    <row r="52" spans="1:104" s="20" customFormat="1" x14ac:dyDescent="0.25">
      <c r="B52" s="25" t="s">
        <v>39</v>
      </c>
      <c r="C52" s="26"/>
      <c r="AV52" s="20" t="str">
        <f>IF(OR(IPC!F53="",IPC!E53="",IPC!D53=""),"",AVERAGE(IPC!D53:F53))</f>
        <v/>
      </c>
      <c r="AW52" s="20" t="str">
        <f>IF(OR(IPC!I53="",IPC!H53="",IPC!G53=""),"",AVERAGE(IPC!G53:I53))</f>
        <v/>
      </c>
      <c r="AX52" s="20" t="str">
        <f>IF(OR(IPC!L53="",IPC!K53="",IPC!J53=""),"",AVERAGE(IPC!J53:L53))</f>
        <v/>
      </c>
      <c r="AY52" s="20" t="str">
        <f>IF(OR(IPC!O53="",IPC!N53="",IPC!M53=""),"",AVERAGE(IPC!M53:O53))</f>
        <v/>
      </c>
      <c r="AZ52" s="27">
        <f>IF(OR(IPC!R53="",IPC!Q53="",IPC!P53=""),"",AVERAGE(IPC!P53:R53))</f>
        <v>101.79691507228775</v>
      </c>
      <c r="BA52" s="27">
        <f>IF(OR(IPC!U53="",IPC!T53="",IPC!S53=""),"",AVERAGE(IPC!S53:U53))</f>
        <v>102.20452927485091</v>
      </c>
      <c r="BB52" s="27">
        <f>IF(OR(IPC!X53="",IPC!W53="",IPC!V53=""),"",AVERAGE(IPC!V53:X53))</f>
        <v>103.51942230998731</v>
      </c>
      <c r="BC52" s="27">
        <f>IF(OR(IPC!AA53="",IPC!Z53="",IPC!Y53=""),"",AVERAGE(IPC!Y53:AA53))</f>
        <v>103.35235178336784</v>
      </c>
      <c r="BD52" s="27">
        <f>IF(OR(IPC!AD53="",IPC!AC53="",IPC!AB53=""),"",AVERAGE(IPC!AB53:AD53))</f>
        <v>102.29292883209352</v>
      </c>
      <c r="BE52" s="27">
        <f>IF(OR(IPC!AG53="",IPC!AF53="",IPC!AE53=""),"",AVERAGE(IPC!AE53:AG53))</f>
        <v>103.04105754865822</v>
      </c>
      <c r="BF52" s="27">
        <f>IF(OR(IPC!AJ53="",IPC!AI53="",IPC!AH53=""),"",AVERAGE(IPC!AH53:AJ53))</f>
        <v>103.46114611521263</v>
      </c>
      <c r="BG52" s="27">
        <f>IF(OR(IPC!AM53="",IPC!AL53="",IPC!AK53=""),"",AVERAGE(IPC!AK53:AM53))</f>
        <v>104.58601141130346</v>
      </c>
      <c r="BH52" s="27">
        <f>IF(OR(IPC!AP53="",IPC!AO53="",IPC!AN53=""),"",AVERAGE(IPC!AN53:AP53))</f>
        <v>103.59620899163879</v>
      </c>
      <c r="BI52" s="27">
        <f>IF(OR(IPC!AS53="",IPC!AR53="",IPC!AQ53=""),"",AVERAGE(IPC!AQ53:AS53))</f>
        <v>102.98892404031949</v>
      </c>
      <c r="BJ52" s="27">
        <f>IF(OR(IPC!AV53="",IPC!AU53="",IPC!AT53=""),"",AVERAGE(IPC!AT53:AV53))</f>
        <v>106.04013585383014</v>
      </c>
      <c r="BK52" s="27">
        <f>IF(OR(IPC!AY53="",IPC!AX53="",IPC!AW53=""),"",AVERAGE(IPC!AW53:AY53))</f>
        <v>108.6975378411192</v>
      </c>
      <c r="BL52" s="27">
        <f>IF(OR(IPC!BB53="",IPC!BA53="",IPC!AZ53=""),"",AVERAGE(IPC!AZ53:BB53))</f>
        <v>107.65429212669842</v>
      </c>
      <c r="BM52" s="27">
        <f>IF(OR(IPC!BE53="",IPC!BD53="",IPC!BC53=""),"",AVERAGE(IPC!BC53:BE53))</f>
        <v>108.74155743335119</v>
      </c>
      <c r="BN52" s="27">
        <f>IF(OR(IPC!BH53="",IPC!BG53="",IPC!BF53=""),"",AVERAGE(IPC!BF53:BH53))</f>
        <v>110.05941384164971</v>
      </c>
      <c r="BO52" s="27">
        <f>IF(OR(IPC!BK53="",IPC!BJ53="",IPC!BI53=""),"",AVERAGE(IPC!BI53:BK53))</f>
        <v>110.1784011242428</v>
      </c>
      <c r="BP52" s="27">
        <f>IF(OR(IPC!BN53="",IPC!BM53="",IPC!BL53=""),"",AVERAGE(IPC!BL53:BN53))</f>
        <v>109.26370821372505</v>
      </c>
      <c r="BQ52" s="27">
        <f>IF(OR(IPC!BQ53="",IPC!BP53="",IPC!BO53=""),"",AVERAGE(IPC!BO53:BQ53))</f>
        <v>108.00456205030228</v>
      </c>
      <c r="BR52" s="27">
        <f>IF(OR(IPC!BT53="",IPC!BS53="",IPC!BR53=""),"",AVERAGE(IPC!BR53:BT53))</f>
        <v>109.54550244801317</v>
      </c>
      <c r="BS52" s="27">
        <f>IF(OR(IPC!BW53="",IPC!BV53="",IPC!BU53=""),"",AVERAGE(IPC!BU53:BW53))</f>
        <v>109.29733880840367</v>
      </c>
      <c r="BT52" s="27">
        <f>IF(OR(IPC!BZ53="",IPC!BY53="",IPC!BX53=""),"",AVERAGE(IPC!BX53:BZ53))</f>
        <v>108.68399385474719</v>
      </c>
      <c r="BU52" s="27">
        <f>IF(OR(IPC!CC53="",IPC!CB53="",IPC!CA53=""),"",AVERAGE(IPC!CA53:CC53))</f>
        <v>109.42036403307425</v>
      </c>
      <c r="BV52" s="27">
        <f>IF(OR(IPC!CF53="",IPC!CE53="",IPC!CD53=""),"",AVERAGE(IPC!CD53:CF53))</f>
        <v>110.72005815162811</v>
      </c>
      <c r="BW52" s="27">
        <f>IF(OR(IPC!CI53="",IPC!CH53="",IPC!CG53=""),"",AVERAGE(IPC!CG53:CI53))</f>
        <v>110.69628252459044</v>
      </c>
      <c r="BX52" s="27">
        <f>IF(OR(IPC!CL53="",IPC!CK53="",IPC!CJ53=""),"",AVERAGE(IPC!CJ53:CL53))</f>
        <v>110.36567007935052</v>
      </c>
      <c r="BY52" s="27">
        <f>IF(OR(IPC!CO53="",IPC!CN53="",IPC!CM53=""),"",AVERAGE(IPC!CM53:CO53))</f>
        <v>110.7821574582813</v>
      </c>
      <c r="BZ52" s="27">
        <f>IF(OR(IPC!CR53="",IPC!CQ53="",IPC!CP53=""),"",AVERAGE(IPC!CP53:CR53))</f>
        <v>112.58480096478407</v>
      </c>
      <c r="CA52" s="27">
        <f>IF(OR(IPC!CU53="",IPC!CT53="",IPC!CS53=""),"",AVERAGE(IPC!CS53:CU53))</f>
        <v>112.63959854865055</v>
      </c>
      <c r="CB52" s="27">
        <f>IF(OR(IPC!CX53="",IPC!CW53="",IPC!CV53=""),"",AVERAGE(IPC!CV53:CX53))</f>
        <v>112.15467427436579</v>
      </c>
      <c r="CC52" s="27">
        <f>IF(OR(IPC!DA53="",IPC!CZ53="",IPC!CY53=""),"",AVERAGE(IPC!CY53:DA53))</f>
        <v>112.53769665797002</v>
      </c>
      <c r="CD52" s="27">
        <f>IF(OR(IPC!DD53="",IPC!DC53="",IPC!DB53=""),"",AVERAGE(IPC!DB53:DD53))</f>
        <v>113.9862557743985</v>
      </c>
      <c r="CE52" s="27">
        <f>IF(OR(IPC!DG53="",IPC!DF53="",IPC!DE53=""),"",AVERAGE(IPC!DE53:DG53))</f>
        <v>115.33582584298019</v>
      </c>
      <c r="CF52" s="27">
        <f>IF(OR(IPC!DJ53="",IPC!DI53="",IPC!DH53=""),"",AVERAGE(IPC!DH53:DJ53))</f>
        <v>115.67381262424031</v>
      </c>
      <c r="CG52" s="27">
        <f>IF(OR(IPC!DM53="",IPC!DL53="",IPC!DK53=""),"",AVERAGE(IPC!DK53:DM53))</f>
        <v>116.02853041967599</v>
      </c>
      <c r="CH52" s="27">
        <f>IF(OR(IPC!DP53="",IPC!DO53="",IPC!DN53=""),"",AVERAGE(IPC!DN53:DP53))</f>
        <v>117.17115729152702</v>
      </c>
      <c r="CI52" s="27">
        <f>IF(OR(IPC!DS53="",IPC!DR53="",IPC!DQ53=""),"",AVERAGE(IPC!DQ53:DS53))</f>
        <v>117.28979197463525</v>
      </c>
      <c r="CJ52" s="27">
        <f>IF(OR(IPC!DV53="",IPC!DU53="",IPC!DT53=""),"",AVERAGE(IPC!DT53:DV53))</f>
        <v>116.97358784346314</v>
      </c>
      <c r="CK52" s="27">
        <f>IF(OR(IPC!DY53="",IPC!DX53="",IPC!DW53=""),"",AVERAGE(IPC!DW53:DY53))</f>
        <v>118.39182086656301</v>
      </c>
      <c r="CL52" s="27">
        <f>IF(OR(IPC!EB53="",IPC!EA53="",IPC!DZ53=""),"",AVERAGE(IPC!DZ53:EB53))</f>
        <v>119.95538147647291</v>
      </c>
      <c r="CM52" s="27">
        <f>IF(OR(IPC!EE53="",IPC!ED53="",IPC!EC53=""),"",AVERAGE(IPC!EC53:EE53))</f>
        <v>120.48744123922951</v>
      </c>
      <c r="CN52" s="27">
        <f>IF(OR(IPC!EH53="",IPC!EG53="",IPC!EF53=""),"",AVERAGE(IPC!EF53:EH53))</f>
        <v>122.88581588278502</v>
      </c>
      <c r="CO52" s="27">
        <f>IF(OR(IPC!EK53="",IPC!EJ53="",IPC!EI53=""),"",AVERAGE(IPC!EI53:EK53))</f>
        <v>124.35575254805832</v>
      </c>
      <c r="CP52" s="27">
        <f>IF(OR(IPC!EN53="",IPC!EM53="",IPC!EL53=""),"",AVERAGE(IPC!EL53:EN53))</f>
        <v>126.72525997209686</v>
      </c>
      <c r="CQ52" s="27">
        <f>IF(OR(IPC!EQ53="",IPC!EP53="",IPC!EO53=""),"",AVERAGE(IPC!EO53:EQ53))</f>
        <v>127.73887908704432</v>
      </c>
      <c r="CR52" s="27">
        <f>IF(OR(IPC!ET53="",IPC!ES53="",IPC!ER53=""),"",AVERAGE(IPC!ER53:ET53))</f>
        <v>104.96666666666665</v>
      </c>
      <c r="CS52" s="27">
        <f>IF(OR(IPC!EW53="",IPC!EV53="",IPC!EU53=""),"",AVERAGE(IPC!EU53:EW53))</f>
        <v>106.13333333333333</v>
      </c>
      <c r="CT52" s="27">
        <f>IF(OR(IPC!EZ53="",IPC!EY53="",IPC!EX53=""),"",AVERAGE(IPC!EX53:EZ53))</f>
        <v>108.3</v>
      </c>
      <c r="CU52" s="27">
        <f>IF(OR(IPC!FC53="",IPC!FB53="",IPC!FA53=""),"",AVERAGE(IPC!FA53:FC53))</f>
        <v>108.83333333333333</v>
      </c>
      <c r="CV52" s="27">
        <f>IF(OR(IPC!FF53="",IPC!FE53="",IPC!FD53=""),"",AVERAGE(IPC!FD53:FF53))</f>
        <v>108.36666666666667</v>
      </c>
      <c r="CW52" s="27">
        <f>IF(OR(IPC!FI53="",IPC!FH53="",IPC!FG53=""),"",AVERAGE(IPC!FG53:FI53))</f>
        <v>109.53333333333335</v>
      </c>
      <c r="CX52" s="27">
        <f>IF(OR(IPC!FL53="",IPC!FK53="",IPC!FJ53=""),"",AVERAGE(IPC!FJ53:FL53))</f>
        <v>110.66666666666667</v>
      </c>
      <c r="CY52" s="27">
        <f>IF(OR(IPC!FO53="",IPC!FN53="",IPC!FM53=""),"",AVERAGE(IPC!FM53:FO53))</f>
        <v>112.33333333333333</v>
      </c>
      <c r="CZ52" s="27">
        <f>IF(OR(IPC!FR53="",IPC!FQ53="",IPC!FP53=""),"",AVERAGE(IPC!FP53:FR53))</f>
        <v>112.30000000000001</v>
      </c>
    </row>
    <row r="53" spans="1:104" s="20" customFormat="1" x14ac:dyDescent="0.25">
      <c r="B53" s="25" t="s">
        <v>82</v>
      </c>
      <c r="C53" s="26"/>
      <c r="AV53" s="20" t="str">
        <f>IF(OR(IPC!F50="",IPC!E50="",IPC!D50=""),"",AVERAGE(IPC!D50:F50))</f>
        <v/>
      </c>
      <c r="AW53" s="20" t="str">
        <f>IF(OR(IPC!I50="",IPC!H50="",IPC!G50=""),"",AVERAGE(IPC!G50:I50))</f>
        <v/>
      </c>
      <c r="AX53" s="20" t="str">
        <f>IF(OR(IPC!L50="",IPC!K50="",IPC!J50=""),"",AVERAGE(IPC!J50:L50))</f>
        <v/>
      </c>
      <c r="AY53" s="20" t="str">
        <f>IF(OR(IPC!O50="",IPC!N50="",IPC!M50=""),"",AVERAGE(IPC!M50:O50))</f>
        <v/>
      </c>
      <c r="AZ53" s="27">
        <f>IF(OR(IPC!R50="",IPC!Q50="",IPC!P50=""),"",AVERAGE(IPC!P50:R50))</f>
        <v>102.76985585809109</v>
      </c>
      <c r="BA53" s="27">
        <f>IF(OR(IPC!U50="",IPC!T50="",IPC!S50=""),"",AVERAGE(IPC!S50:U50))</f>
        <v>105.69112663068795</v>
      </c>
      <c r="BB53" s="27">
        <f>IF(OR(IPC!X50="",IPC!W50="",IPC!V50=""),"",AVERAGE(IPC!V50:X50))</f>
        <v>106.69139205682649</v>
      </c>
      <c r="BC53" s="27">
        <f>IF(OR(IPC!AA50="",IPC!Z50="",IPC!Y50=""),"",AVERAGE(IPC!Y50:AA50))</f>
        <v>106.82019812113403</v>
      </c>
      <c r="BD53" s="27">
        <f>IF(OR(IPC!AD50="",IPC!AC50="",IPC!AB50=""),"",AVERAGE(IPC!AB50:AD50))</f>
        <v>105.33427927472951</v>
      </c>
      <c r="BE53" s="27">
        <f>IF(OR(IPC!AG50="",IPC!AF50="",IPC!AE50=""),"",AVERAGE(IPC!AE50:AG50))</f>
        <v>107.87565530695936</v>
      </c>
      <c r="BF53" s="27">
        <f>IF(OR(IPC!AJ50="",IPC!AI50="",IPC!AH50=""),"",AVERAGE(IPC!AH50:AJ50))</f>
        <v>109.05936369152046</v>
      </c>
      <c r="BG53" s="27">
        <f>IF(OR(IPC!AM50="",IPC!AL50="",IPC!AK50=""),"",AVERAGE(IPC!AK50:AM50))</f>
        <v>109.11465230103225</v>
      </c>
      <c r="BH53" s="27">
        <f>IF(OR(IPC!AP50="",IPC!AO50="",IPC!AN50=""),"",AVERAGE(IPC!AN50:AP50))</f>
        <v>107.67603358305006</v>
      </c>
      <c r="BI53" s="27">
        <f>IF(OR(IPC!AS50="",IPC!AR50="",IPC!AQ50=""),"",AVERAGE(IPC!AQ50:AS50))</f>
        <v>107.4412283081778</v>
      </c>
      <c r="BJ53" s="27">
        <f>IF(OR(IPC!AV50="",IPC!AU50="",IPC!AT50=""),"",AVERAGE(IPC!AT50:AV50))</f>
        <v>109.5505305805835</v>
      </c>
      <c r="BK53" s="27">
        <f>IF(OR(IPC!AY50="",IPC!AX50="",IPC!AW50=""),"",AVERAGE(IPC!AW50:AY50))</f>
        <v>110.51084438460394</v>
      </c>
      <c r="BL53" s="27">
        <f>IF(OR(IPC!BB50="",IPC!BA50="",IPC!AZ50=""),"",AVERAGE(IPC!AZ50:BB50))</f>
        <v>109.50385462118358</v>
      </c>
      <c r="BM53" s="27">
        <f>IF(OR(IPC!BE50="",IPC!BD50="",IPC!BC50=""),"",AVERAGE(IPC!BC50:BE50))</f>
        <v>111.79657296343343</v>
      </c>
      <c r="BN53" s="27">
        <f>IF(OR(IPC!BH50="",IPC!BG50="",IPC!BF50=""),"",AVERAGE(IPC!BF50:BH50))</f>
        <v>112.0012849301141</v>
      </c>
      <c r="BO53" s="27">
        <f>IF(OR(IPC!BK50="",IPC!BJ50="",IPC!BI50=""),"",AVERAGE(IPC!BI50:BK50))</f>
        <v>110.31938278529481</v>
      </c>
      <c r="BP53" s="27">
        <f>IF(OR(IPC!BN50="",IPC!BM50="",IPC!BL50=""),"",AVERAGE(IPC!BL50:BN50))</f>
        <v>110.06319348622748</v>
      </c>
      <c r="BQ53" s="27">
        <f>IF(OR(IPC!BQ50="",IPC!BP50="",IPC!BO50=""),"",AVERAGE(IPC!BO50:BQ50))</f>
        <v>110.31186935259143</v>
      </c>
      <c r="BR53" s="27">
        <f>IF(OR(IPC!BT50="",IPC!BS50="",IPC!BR50=""),"",AVERAGE(IPC!BR50:BT50))</f>
        <v>110.2619954734411</v>
      </c>
      <c r="BS53" s="27">
        <f>IF(OR(IPC!BW50="",IPC!BV50="",IPC!BU50=""),"",AVERAGE(IPC!BU50:BW50))</f>
        <v>108.75958205331027</v>
      </c>
      <c r="BT53" s="27">
        <f>IF(OR(IPC!BZ50="",IPC!BY50="",IPC!BX50=""),"",AVERAGE(IPC!BX50:BZ50))</f>
        <v>108.76438480616817</v>
      </c>
      <c r="BU53" s="27">
        <f>IF(OR(IPC!CC50="",IPC!CB50="",IPC!CA50=""),"",AVERAGE(IPC!CA50:CC50))</f>
        <v>111.05074756246927</v>
      </c>
      <c r="BV53" s="27">
        <f>IF(OR(IPC!CF50="",IPC!CE50="",IPC!CD50=""),"",AVERAGE(IPC!CD50:CF50))</f>
        <v>111.91962113932685</v>
      </c>
      <c r="BW53" s="27">
        <f>IF(OR(IPC!CI50="",IPC!CH50="",IPC!CG50=""),"",AVERAGE(IPC!CG50:CI50))</f>
        <v>112.18159718949681</v>
      </c>
      <c r="BX53" s="27">
        <f>IF(OR(IPC!CL50="",IPC!CK50="",IPC!CJ50=""),"",AVERAGE(IPC!CJ50:CL50))</f>
        <v>111.74378698278856</v>
      </c>
      <c r="BY53" s="27">
        <f>IF(OR(IPC!CO50="",IPC!CN50="",IPC!CM50=""),"",AVERAGE(IPC!CM50:CO50))</f>
        <v>112.52936582041781</v>
      </c>
      <c r="BZ53" s="27">
        <f>IF(OR(IPC!CR50="",IPC!CQ50="",IPC!CP50=""),"",AVERAGE(IPC!CP50:CR50))</f>
        <v>111.50424054378193</v>
      </c>
      <c r="CA53" s="27">
        <f>IF(OR(IPC!CU50="",IPC!CT50="",IPC!CS50=""),"",AVERAGE(IPC!CS50:CU50))</f>
        <v>111.21235252252181</v>
      </c>
      <c r="CB53" s="27">
        <f>IF(OR(IPC!CX50="",IPC!CW50="",IPC!CV50=""),"",AVERAGE(IPC!CV50:CX50))</f>
        <v>110.74693532223428</v>
      </c>
      <c r="CC53" s="27">
        <f>IF(OR(IPC!DA50="",IPC!CZ50="",IPC!CY50=""),"",AVERAGE(IPC!CY50:DA50))</f>
        <v>111.91296888899421</v>
      </c>
      <c r="CD53" s="27">
        <f>IF(OR(IPC!DD50="",IPC!DC50="",IPC!DB50=""),"",AVERAGE(IPC!DB50:DD50))</f>
        <v>113.42164553239786</v>
      </c>
      <c r="CE53" s="27">
        <f>IF(OR(IPC!DG50="",IPC!DF50="",IPC!DE50=""),"",AVERAGE(IPC!DE50:DG50))</f>
        <v>113.83702017955279</v>
      </c>
      <c r="CF53" s="27">
        <f>IF(OR(IPC!DJ50="",IPC!DI50="",IPC!DH50=""),"",AVERAGE(IPC!DH50:DJ50))</f>
        <v>114.54647639232685</v>
      </c>
      <c r="CG53" s="27">
        <f>IF(OR(IPC!DM50="",IPC!DL50="",IPC!DK50=""),"",AVERAGE(IPC!DK50:DM50))</f>
        <v>115.63704555066539</v>
      </c>
      <c r="CH53" s="27">
        <f>IF(OR(IPC!DP50="",IPC!DO50="",IPC!DN50=""),"",AVERAGE(IPC!DN50:DP50))</f>
        <v>117.07269079722806</v>
      </c>
      <c r="CI53" s="27">
        <f>IF(OR(IPC!DS50="",IPC!DR50="",IPC!DQ50=""),"",AVERAGE(IPC!DQ50:DS50))</f>
        <v>117.77899731117914</v>
      </c>
      <c r="CJ53" s="27">
        <f>IF(OR(IPC!DV50="",IPC!DU50="",IPC!DT50=""),"",AVERAGE(IPC!DT50:DV50))</f>
        <v>116.98990061132872</v>
      </c>
      <c r="CK53" s="27">
        <f>IF(OR(IPC!DY50="",IPC!DX50="",IPC!DW50=""),"",AVERAGE(IPC!DW50:DY50))</f>
        <v>119.58437584995977</v>
      </c>
      <c r="CL53" s="27">
        <f>IF(OR(IPC!EB50="",IPC!EA50="",IPC!DZ50=""),"",AVERAGE(IPC!DZ50:EB50))</f>
        <v>121.48777705703834</v>
      </c>
      <c r="CM53" s="27">
        <f>IF(OR(IPC!EE50="",IPC!ED50="",IPC!EC50=""),"",AVERAGE(IPC!EC50:EE50))</f>
        <v>121.96831570698164</v>
      </c>
      <c r="CN53" s="27">
        <f>IF(OR(IPC!EH50="",IPC!EG50="",IPC!EF50=""),"",AVERAGE(IPC!EF50:EH50))</f>
        <v>124.30859420552254</v>
      </c>
      <c r="CO53" s="27">
        <f>IF(OR(IPC!EK50="",IPC!EJ50="",IPC!EI50=""),"",AVERAGE(IPC!EI50:EK50))</f>
        <v>127.00057645567468</v>
      </c>
      <c r="CP53" s="27">
        <f>IF(OR(IPC!EN50="",IPC!EM50="",IPC!EL50=""),"",AVERAGE(IPC!EL50:EN50))</f>
        <v>128.25905632652396</v>
      </c>
      <c r="CQ53" s="27">
        <f>IF(OR(IPC!EQ50="",IPC!EP50="",IPC!EO50=""),"",AVERAGE(IPC!EO50:EQ50))</f>
        <v>131.23594174364905</v>
      </c>
      <c r="CR53" s="27">
        <f>IF(OR(IPC!ET50="",IPC!ES50="",IPC!ER50=""),"",AVERAGE(IPC!ER50:ET50))</f>
        <v>103.83333333333333</v>
      </c>
      <c r="CS53" s="27">
        <f>IF(OR(IPC!EW50="",IPC!EV50="",IPC!EU50=""),"",AVERAGE(IPC!EU50:EW50))</f>
        <v>107.03333333333335</v>
      </c>
      <c r="CT53" s="27">
        <f>IF(OR(IPC!EZ50="",IPC!EY50="",IPC!EX50=""),"",AVERAGE(IPC!EX50:EZ50))</f>
        <v>109.3</v>
      </c>
      <c r="CU53" s="27">
        <f>IF(OR(IPC!FC50="",IPC!FB50="",IPC!FA50=""),"",AVERAGE(IPC!FA50:FC50))</f>
        <v>110.06666666666666</v>
      </c>
      <c r="CV53" s="27">
        <f>IF(OR(IPC!FF50="",IPC!FE50="",IPC!FD50=""),"",AVERAGE(IPC!FD50:FF50))</f>
        <v>109.89999999999999</v>
      </c>
      <c r="CW53" s="27">
        <f>IF(OR(IPC!FI50="",IPC!FH50="",IPC!FG50=""),"",AVERAGE(IPC!FG50:FI50))</f>
        <v>115.60000000000001</v>
      </c>
      <c r="CX53" s="27">
        <f>IF(OR(IPC!FL50="",IPC!FK50="",IPC!FJ50=""),"",AVERAGE(IPC!FJ50:FL50))</f>
        <v>116.8</v>
      </c>
      <c r="CY53" s="27">
        <f>IF(OR(IPC!FO50="",IPC!FN50="",IPC!FM50=""),"",AVERAGE(IPC!FM50:FO50))</f>
        <v>118.03333333333335</v>
      </c>
      <c r="CZ53" s="27">
        <f>IF(OR(IPC!FR50="",IPC!FQ50="",IPC!FP50=""),"",AVERAGE(IPC!FP50:FR50))</f>
        <v>118</v>
      </c>
    </row>
    <row r="54" spans="1:104" s="20" customFormat="1" x14ac:dyDescent="0.25">
      <c r="B54" s="25" t="s">
        <v>83</v>
      </c>
      <c r="C54" s="26"/>
      <c r="AV54" s="20" t="str">
        <f>IF(OR(IPC!F55="",IPC!E55="",IPC!D55=""),"",AVERAGE(IPC!D55:F55))</f>
        <v/>
      </c>
      <c r="AW54" s="20" t="str">
        <f>IF(OR(IPC!I55="",IPC!H55="",IPC!G55=""),"",AVERAGE(IPC!G55:I55))</f>
        <v/>
      </c>
      <c r="AX54" s="20" t="str">
        <f>IF(OR(IPC!L55="",IPC!K55="",IPC!J55=""),"",AVERAGE(IPC!J55:L55))</f>
        <v/>
      </c>
      <c r="AY54" s="20" t="str">
        <f>IF(OR(IPC!O55="",IPC!N55="",IPC!M55=""),"",AVERAGE(IPC!M55:O55))</f>
        <v/>
      </c>
      <c r="AZ54" s="27">
        <f>IF(OR(IPC!R55="",IPC!Q55="",IPC!P55=""),"",AVERAGE(IPC!P55:R55))</f>
        <v>101.21861692958028</v>
      </c>
      <c r="BA54" s="27">
        <f>IF(OR(IPC!U55="",IPC!T55="",IPC!S55=""),"",AVERAGE(IPC!S55:U55))</f>
        <v>102.78365535882817</v>
      </c>
      <c r="BB54" s="27">
        <f>IF(OR(IPC!X55="",IPC!W55="",IPC!V55=""),"",AVERAGE(IPC!V55:X55))</f>
        <v>103.77603358622578</v>
      </c>
      <c r="BC54" s="27">
        <f>IF(OR(IPC!AA55="",IPC!Z55="",IPC!Y55=""),"",AVERAGE(IPC!Y55:AA55))</f>
        <v>102.8152994396148</v>
      </c>
      <c r="BD54" s="27">
        <f>IF(OR(IPC!AD55="",IPC!AC55="",IPC!AB55=""),"",AVERAGE(IPC!AB55:AD55))</f>
        <v>102.56657393268472</v>
      </c>
      <c r="BE54" s="27">
        <f>IF(OR(IPC!AG55="",IPC!AF55="",IPC!AE55=""),"",AVERAGE(IPC!AE55:AG55))</f>
        <v>103.32583163684302</v>
      </c>
      <c r="BF54" s="27">
        <f>IF(OR(IPC!AJ55="",IPC!AI55="",IPC!AH55=""),"",AVERAGE(IPC!AH55:AJ55))</f>
        <v>104.20460505450187</v>
      </c>
      <c r="BG54" s="27">
        <f>IF(OR(IPC!AM55="",IPC!AL55="",IPC!AK55=""),"",AVERAGE(IPC!AK55:AM55))</f>
        <v>104.50371285756444</v>
      </c>
      <c r="BH54" s="27">
        <f>IF(OR(IPC!AP55="",IPC!AO55="",IPC!AN55=""),"",AVERAGE(IPC!AN55:AP55))</f>
        <v>104.21850093259214</v>
      </c>
      <c r="BI54" s="27">
        <f>IF(OR(IPC!AS55="",IPC!AR55="",IPC!AQ55=""),"",AVERAGE(IPC!AQ55:AS55))</f>
        <v>104.72058002266851</v>
      </c>
      <c r="BJ54" s="27">
        <f>IF(OR(IPC!AV55="",IPC!AU55="",IPC!AT55=""),"",AVERAGE(IPC!AT55:AV55))</f>
        <v>106.93077072181025</v>
      </c>
      <c r="BK54" s="27">
        <f>IF(OR(IPC!AY55="",IPC!AX55="",IPC!AW55=""),"",AVERAGE(IPC!AW55:AY55))</f>
        <v>105.89582930761441</v>
      </c>
      <c r="BL54" s="27">
        <f>IF(OR(IPC!BB55="",IPC!BA55="",IPC!AZ55=""),"",AVERAGE(IPC!AZ55:BB55))</f>
        <v>104.88083826134728</v>
      </c>
      <c r="BM54" s="27">
        <f>IF(OR(IPC!BE55="",IPC!BD55="",IPC!BC55=""),"",AVERAGE(IPC!BC55:BE55))</f>
        <v>105.99483087569597</v>
      </c>
      <c r="BN54" s="27">
        <f>IF(OR(IPC!BH55="",IPC!BG55="",IPC!BF55=""),"",AVERAGE(IPC!BF55:BH55))</f>
        <v>108.2733444097663</v>
      </c>
      <c r="BO54" s="27">
        <f>IF(OR(IPC!BK55="",IPC!BJ55="",IPC!BI55=""),"",AVERAGE(IPC!BI55:BK55))</f>
        <v>107.69543733846392</v>
      </c>
      <c r="BP54" s="27">
        <f>IF(OR(IPC!BN55="",IPC!BM55="",IPC!BL55=""),"",AVERAGE(IPC!BL55:BN55))</f>
        <v>107.39089014196777</v>
      </c>
      <c r="BQ54" s="27">
        <f>IF(OR(IPC!BQ55="",IPC!BP55="",IPC!BO55=""),"",AVERAGE(IPC!BO55:BQ55))</f>
        <v>108.35921705771909</v>
      </c>
      <c r="BR54" s="27">
        <f>IF(OR(IPC!BT55="",IPC!BS55="",IPC!BR55=""),"",AVERAGE(IPC!BR55:BT55))</f>
        <v>108.42045504339944</v>
      </c>
      <c r="BS54" s="27">
        <f>IF(OR(IPC!BW55="",IPC!BV55="",IPC!BU55=""),"",AVERAGE(IPC!BU55:BW55))</f>
        <v>108.53489385816829</v>
      </c>
      <c r="BT54" s="27">
        <f>IF(OR(IPC!BZ55="",IPC!BY55="",IPC!BX55=""),"",AVERAGE(IPC!BX55:BZ55))</f>
        <v>108.05122022580692</v>
      </c>
      <c r="BU54" s="27">
        <f>IF(OR(IPC!CC55="",IPC!CB55="",IPC!CA55=""),"",AVERAGE(IPC!CA55:CC55))</f>
        <v>108.34012485853316</v>
      </c>
      <c r="BV54" s="27">
        <f>IF(OR(IPC!CF55="",IPC!CE55="",IPC!CD55=""),"",AVERAGE(IPC!CD55:CF55))</f>
        <v>108.87132945718945</v>
      </c>
      <c r="BW54" s="27">
        <f>IF(OR(IPC!CI55="",IPC!CH55="",IPC!CG55=""),"",AVERAGE(IPC!CG55:CI55))</f>
        <v>108.97314952631382</v>
      </c>
      <c r="BX54" s="27">
        <f>IF(OR(IPC!CL55="",IPC!CK55="",IPC!CJ55=""),"",AVERAGE(IPC!CJ55:CL55))</f>
        <v>109.2304743903894</v>
      </c>
      <c r="BY54" s="27">
        <f>IF(OR(IPC!CO55="",IPC!CN55="",IPC!CM55=""),"",AVERAGE(IPC!CM55:CO55))</f>
        <v>109.8517975657325</v>
      </c>
      <c r="BZ54" s="27">
        <f>IF(OR(IPC!CR55="",IPC!CQ55="",IPC!CP55=""),"",AVERAGE(IPC!CP55:CR55))</f>
        <v>110.17475485364359</v>
      </c>
      <c r="CA54" s="27">
        <f>IF(OR(IPC!CU55="",IPC!CT55="",IPC!CS55=""),"",AVERAGE(IPC!CS55:CU55))</f>
        <v>110.61270366294764</v>
      </c>
      <c r="CB54" s="27">
        <f>IF(OR(IPC!CX55="",IPC!CW55="",IPC!CV55=""),"",AVERAGE(IPC!CV55:CX55))</f>
        <v>111.75635580524926</v>
      </c>
      <c r="CC54" s="27">
        <f>IF(OR(IPC!DA55="",IPC!CZ55="",IPC!CY55=""),"",AVERAGE(IPC!CY55:DA55))</f>
        <v>112.05603920023263</v>
      </c>
      <c r="CD54" s="27">
        <f>IF(OR(IPC!DD55="",IPC!DC55="",IPC!DB55=""),"",AVERAGE(IPC!DB55:DD55))</f>
        <v>112.73795779006622</v>
      </c>
      <c r="CE54" s="27">
        <f>IF(OR(IPC!DG55="",IPC!DF55="",IPC!DE55=""),"",AVERAGE(IPC!DE55:DG55))</f>
        <v>113.39519707892039</v>
      </c>
      <c r="CF54" s="27">
        <f>IF(OR(IPC!DJ55="",IPC!DI55="",IPC!DH55=""),"",AVERAGE(IPC!DH55:DJ55))</f>
        <v>113.44240667781985</v>
      </c>
      <c r="CG54" s="27">
        <f>IF(OR(IPC!DM55="",IPC!DL55="",IPC!DK55=""),"",AVERAGE(IPC!DK55:DM55))</f>
        <v>114.54505458275401</v>
      </c>
      <c r="CH54" s="27">
        <f>IF(OR(IPC!DP55="",IPC!DO55="",IPC!DN55=""),"",AVERAGE(IPC!DN55:DP55))</f>
        <v>116.0226022923286</v>
      </c>
      <c r="CI54" s="27">
        <f>IF(OR(IPC!DS55="",IPC!DR55="",IPC!DQ55=""),"",AVERAGE(IPC!DQ55:DS55))</f>
        <v>116.20127493262059</v>
      </c>
      <c r="CJ54" s="27">
        <f>IF(OR(IPC!DV55="",IPC!DU55="",IPC!DT55=""),"",AVERAGE(IPC!DT55:DV55))</f>
        <v>115.70399707054059</v>
      </c>
      <c r="CK54" s="27">
        <f>IF(OR(IPC!DY55="",IPC!DX55="",IPC!DW55=""),"",AVERAGE(IPC!DW55:DY55))</f>
        <v>116.42761948542984</v>
      </c>
      <c r="CL54" s="27">
        <f>IF(OR(IPC!EB55="",IPC!EA55="",IPC!DZ55=""),"",AVERAGE(IPC!DZ55:EB55))</f>
        <v>115.94859311995265</v>
      </c>
      <c r="CM54" s="27">
        <f>IF(OR(IPC!EE55="",IPC!ED55="",IPC!EC55=""),"",AVERAGE(IPC!EC55:EE55))</f>
        <v>116.70380311320275</v>
      </c>
      <c r="CN54" s="27">
        <f>IF(OR(IPC!EH55="",IPC!EG55="",IPC!EF55=""),"",AVERAGE(IPC!EF55:EH55))</f>
        <v>121.48932373771919</v>
      </c>
      <c r="CO54" s="27">
        <f>IF(OR(IPC!EK55="",IPC!EJ55="",IPC!EI55=""),"",AVERAGE(IPC!EI55:EK55))</f>
        <v>124.7875501493773</v>
      </c>
      <c r="CP54" s="27">
        <f>IF(OR(IPC!EN55="",IPC!EM55="",IPC!EL55=""),"",AVERAGE(IPC!EL55:EN55))</f>
        <v>125.97437113394271</v>
      </c>
      <c r="CQ54" s="27">
        <f>IF(OR(IPC!EQ55="",IPC!EP55="",IPC!EO55=""),"",AVERAGE(IPC!EO55:EQ55))</f>
        <v>126.76206730467788</v>
      </c>
      <c r="CR54" s="27">
        <f>IF(OR(IPC!ET55="",IPC!ES55="",IPC!ER55=""),"",AVERAGE(IPC!ER55:ET55))</f>
        <v>104.33333333333333</v>
      </c>
      <c r="CS54" s="27">
        <f>IF(OR(IPC!EW55="",IPC!EV55="",IPC!EU55=""),"",AVERAGE(IPC!EU55:EW55))</f>
        <v>107.53333333333335</v>
      </c>
      <c r="CT54" s="27">
        <f>IF(OR(IPC!EZ55="",IPC!EY55="",IPC!EX55=""),"",AVERAGE(IPC!EX55:EZ55))</f>
        <v>110.66666666666667</v>
      </c>
      <c r="CU54" s="27">
        <f>IF(OR(IPC!FC55="",IPC!FB55="",IPC!FA55=""),"",AVERAGE(IPC!FA55:FC55))</f>
        <v>110.89999999999999</v>
      </c>
      <c r="CV54" s="27">
        <f>IF(OR(IPC!FF55="",IPC!FE55="",IPC!FD55=""),"",AVERAGE(IPC!FD55:FF55))</f>
        <v>110.89999999999999</v>
      </c>
      <c r="CW54" s="27">
        <f>IF(OR(IPC!FI55="",IPC!FH55="",IPC!FG55=""),"",AVERAGE(IPC!FG55:FI55))</f>
        <v>111.16666666666667</v>
      </c>
      <c r="CX54" s="27">
        <f>IF(OR(IPC!FL55="",IPC!FK55="",IPC!FJ55=""),"",AVERAGE(IPC!FJ55:FL55))</f>
        <v>112.66666666666667</v>
      </c>
      <c r="CY54" s="27">
        <f>IF(OR(IPC!FO55="",IPC!FN55="",IPC!FM55=""),"",AVERAGE(IPC!FM55:FO55))</f>
        <v>113.96666666666665</v>
      </c>
      <c r="CZ54" s="27">
        <f>IF(OR(IPC!FR55="",IPC!FQ55="",IPC!FP55=""),"",AVERAGE(IPC!FP55:FR55))</f>
        <v>115.83333333333333</v>
      </c>
    </row>
    <row r="55" spans="1:104" s="20" customFormat="1" x14ac:dyDescent="0.25">
      <c r="B55" s="25" t="s">
        <v>84</v>
      </c>
      <c r="C55" s="26"/>
      <c r="AV55" s="20" t="str">
        <f>IF(OR(IPC!F56="",IPC!E56="",IPC!D56=""),"",AVERAGE(IPC!D56:F56))</f>
        <v/>
      </c>
      <c r="AW55" s="20" t="str">
        <f>IF(OR(IPC!I56="",IPC!H56="",IPC!G56=""),"",AVERAGE(IPC!G56:I56))</f>
        <v/>
      </c>
      <c r="AX55" s="20" t="str">
        <f>IF(OR(IPC!L56="",IPC!K56="",IPC!J56=""),"",AVERAGE(IPC!J56:L56))</f>
        <v/>
      </c>
      <c r="AY55" s="20" t="str">
        <f>IF(OR(IPC!O56="",IPC!N56="",IPC!M56=""),"",AVERAGE(IPC!M56:O56))</f>
        <v/>
      </c>
      <c r="AZ55" s="27">
        <f>IF(OR(IPC!R56="",IPC!Q56="",IPC!P56=""),"",AVERAGE(IPC!P56:R56))</f>
        <v>101.15586288500829</v>
      </c>
      <c r="BA55" s="27">
        <f>IF(OR(IPC!U56="",IPC!T56="",IPC!S56=""),"",AVERAGE(IPC!S56:U56))</f>
        <v>102.83044249282663</v>
      </c>
      <c r="BB55" s="27">
        <f>IF(OR(IPC!X56="",IPC!W56="",IPC!V56=""),"",AVERAGE(IPC!V56:X56))</f>
        <v>103.55539394528317</v>
      </c>
      <c r="BC55" s="27">
        <f>IF(OR(IPC!AA56="",IPC!Z56="",IPC!Y56=""),"",AVERAGE(IPC!Y56:AA56))</f>
        <v>103.82346798465683</v>
      </c>
      <c r="BD55" s="27">
        <f>IF(OR(IPC!AD56="",IPC!AC56="",IPC!AB56=""),"",AVERAGE(IPC!AB56:AD56))</f>
        <v>103.24393112455708</v>
      </c>
      <c r="BE55" s="27">
        <f>IF(OR(IPC!AG56="",IPC!AF56="",IPC!AE56=""),"",AVERAGE(IPC!AE56:AG56))</f>
        <v>102.99346529319818</v>
      </c>
      <c r="BF55" s="27">
        <f>IF(OR(IPC!AJ56="",IPC!AI56="",IPC!AH56=""),"",AVERAGE(IPC!AH56:AJ56))</f>
        <v>103.81990727470283</v>
      </c>
      <c r="BG55" s="27">
        <f>IF(OR(IPC!AM56="",IPC!AL56="",IPC!AK56=""),"",AVERAGE(IPC!AK56:AM56))</f>
        <v>106.53738030985544</v>
      </c>
      <c r="BH55" s="27">
        <f>IF(OR(IPC!AP56="",IPC!AO56="",IPC!AN56=""),"",AVERAGE(IPC!AN56:AP56))</f>
        <v>105.06637199675559</v>
      </c>
      <c r="BI55" s="27">
        <f>IF(OR(IPC!AS56="",IPC!AR56="",IPC!AQ56=""),"",AVERAGE(IPC!AQ56:AS56))</f>
        <v>105.49841200008665</v>
      </c>
      <c r="BJ55" s="27">
        <f>IF(OR(IPC!AV56="",IPC!AU56="",IPC!AT56=""),"",AVERAGE(IPC!AT56:AV56))</f>
        <v>108.77414670394732</v>
      </c>
      <c r="BK55" s="27">
        <f>IF(OR(IPC!AY56="",IPC!AX56="",IPC!AW56=""),"",AVERAGE(IPC!AW56:AY56))</f>
        <v>107.86396558380368</v>
      </c>
      <c r="BL55" s="27">
        <f>IF(OR(IPC!BB56="",IPC!BA56="",IPC!AZ56=""),"",AVERAGE(IPC!AZ56:BB56))</f>
        <v>108.87582613717518</v>
      </c>
      <c r="BM55" s="27">
        <f>IF(OR(IPC!BE56="",IPC!BD56="",IPC!BC56=""),"",AVERAGE(IPC!BC56:BE56))</f>
        <v>110.38835839068747</v>
      </c>
      <c r="BN55" s="27">
        <f>IF(OR(IPC!BH56="",IPC!BG56="",IPC!BF56=""),"",AVERAGE(IPC!BF56:BH56))</f>
        <v>109.51150539705856</v>
      </c>
      <c r="BO55" s="27">
        <f>IF(OR(IPC!BK56="",IPC!BJ56="",IPC!BI56=""),"",AVERAGE(IPC!BI56:BK56))</f>
        <v>108.31411973532109</v>
      </c>
      <c r="BP55" s="27">
        <f>IF(OR(IPC!BN56="",IPC!BM56="",IPC!BL56=""),"",AVERAGE(IPC!BL56:BN56))</f>
        <v>108.36425845892835</v>
      </c>
      <c r="BQ55" s="27">
        <f>IF(OR(IPC!BQ56="",IPC!BP56="",IPC!BO56=""),"",AVERAGE(IPC!BO56:BQ56))</f>
        <v>109.96138909092588</v>
      </c>
      <c r="BR55" s="27">
        <f>IF(OR(IPC!BT56="",IPC!BS56="",IPC!BR56=""),"",AVERAGE(IPC!BR56:BT56))</f>
        <v>110.73013713303267</v>
      </c>
      <c r="BS55" s="27">
        <f>IF(OR(IPC!BW56="",IPC!BV56="",IPC!BU56=""),"",AVERAGE(IPC!BU56:BW56))</f>
        <v>109.54298940387211</v>
      </c>
      <c r="BT55" s="27">
        <f>IF(OR(IPC!BZ56="",IPC!BY56="",IPC!BX56=""),"",AVERAGE(IPC!BX56:BZ56))</f>
        <v>110.26833830115316</v>
      </c>
      <c r="BU55" s="27">
        <f>IF(OR(IPC!CC56="",IPC!CB56="",IPC!CA56=""),"",AVERAGE(IPC!CA56:CC56))</f>
        <v>112.40841496710698</v>
      </c>
      <c r="BV55" s="27">
        <f>IF(OR(IPC!CF56="",IPC!CE56="",IPC!CD56=""),"",AVERAGE(IPC!CD56:CF56))</f>
        <v>113.71585129748932</v>
      </c>
      <c r="BW55" s="27">
        <f>IF(OR(IPC!CI56="",IPC!CH56="",IPC!CG56=""),"",AVERAGE(IPC!CG56:CI56))</f>
        <v>113.77580688062865</v>
      </c>
      <c r="BX55" s="27">
        <f>IF(OR(IPC!CL56="",IPC!CK56="",IPC!CJ56=""),"",AVERAGE(IPC!CJ56:CL56))</f>
        <v>115.27454706317758</v>
      </c>
      <c r="BY55" s="27">
        <f>IF(OR(IPC!CO56="",IPC!CN56="",IPC!CM56=""),"",AVERAGE(IPC!CM56:CO56))</f>
        <v>115.31912314347385</v>
      </c>
      <c r="BZ55" s="27">
        <f>IF(OR(IPC!CR56="",IPC!CQ56="",IPC!CP56=""),"",AVERAGE(IPC!CP56:CR56))</f>
        <v>115.13406373880299</v>
      </c>
      <c r="CA55" s="27">
        <f>IF(OR(IPC!CU56="",IPC!CT56="",IPC!CS56=""),"",AVERAGE(IPC!CS56:CU56))</f>
        <v>116.98270725271733</v>
      </c>
      <c r="CB55" s="27">
        <f>IF(OR(IPC!CX56="",IPC!CW56="",IPC!CV56=""),"",AVERAGE(IPC!CV56:CX56))</f>
        <v>117.52898229547702</v>
      </c>
      <c r="CC55" s="27">
        <f>IF(OR(IPC!DA56="",IPC!CZ56="",IPC!CY56=""),"",AVERAGE(IPC!CY56:DA56))</f>
        <v>117.87304820742214</v>
      </c>
      <c r="CD55" s="27">
        <f>IF(OR(IPC!DD56="",IPC!DC56="",IPC!DB56=""),"",AVERAGE(IPC!DB56:DD56))</f>
        <v>117.78167013206625</v>
      </c>
      <c r="CE55" s="27">
        <f>IF(OR(IPC!DG56="",IPC!DF56="",IPC!DE56=""),"",AVERAGE(IPC!DE56:DG56))</f>
        <v>118.74506391935734</v>
      </c>
      <c r="CF55" s="27">
        <f>IF(OR(IPC!DJ56="",IPC!DI56="",IPC!DH56=""),"",AVERAGE(IPC!DH56:DJ56))</f>
        <v>118.92456744761353</v>
      </c>
      <c r="CG55" s="27">
        <f>IF(OR(IPC!DM56="",IPC!DL56="",IPC!DK56=""),"",AVERAGE(IPC!DK56:DM56))</f>
        <v>120.77110301950057</v>
      </c>
      <c r="CH55" s="27">
        <f>IF(OR(IPC!DP56="",IPC!DO56="",IPC!DN56=""),"",AVERAGE(IPC!DN56:DP56))</f>
        <v>123.94882807015654</v>
      </c>
      <c r="CI55" s="27">
        <f>IF(OR(IPC!DS56="",IPC!DR56="",IPC!DQ56=""),"",AVERAGE(IPC!DQ56:DS56))</f>
        <v>125.44892232690624</v>
      </c>
      <c r="CJ55" s="27">
        <f>IF(OR(IPC!DV56="",IPC!DU56="",IPC!DT56=""),"",AVERAGE(IPC!DT56:DV56))</f>
        <v>125.33387281804723</v>
      </c>
      <c r="CK55" s="27">
        <f>IF(OR(IPC!DY56="",IPC!DX56="",IPC!DW56=""),"",AVERAGE(IPC!DW56:DY56))</f>
        <v>128.09120766168579</v>
      </c>
      <c r="CL55" s="27">
        <f>IF(OR(IPC!EB56="",IPC!EA56="",IPC!DZ56=""),"",AVERAGE(IPC!DZ56:EB56))</f>
        <v>128.92817929789655</v>
      </c>
      <c r="CM55" s="27">
        <f>IF(OR(IPC!EE56="",IPC!ED56="",IPC!EC56=""),"",AVERAGE(IPC!EC56:EE56))</f>
        <v>128.11309383158587</v>
      </c>
      <c r="CN55" s="27">
        <f>IF(OR(IPC!EH56="",IPC!EG56="",IPC!EF56=""),"",AVERAGE(IPC!EF56:EH56))</f>
        <v>129.57943905489321</v>
      </c>
      <c r="CO55" s="27">
        <f>IF(OR(IPC!EK56="",IPC!EJ56="",IPC!EI56=""),"",AVERAGE(IPC!EI56:EK56))</f>
        <v>130.74347856046839</v>
      </c>
      <c r="CP55" s="27">
        <f>IF(OR(IPC!EN56="",IPC!EM56="",IPC!EL56=""),"",AVERAGE(IPC!EL56:EN56))</f>
        <v>135.51517224920752</v>
      </c>
      <c r="CQ55" s="27">
        <f>IF(OR(IPC!EQ56="",IPC!EP56="",IPC!EO56=""),"",AVERAGE(IPC!EO56:EQ56))</f>
        <v>142.7402734846797</v>
      </c>
      <c r="CR55" s="27">
        <f>IF(OR(IPC!ET56="",IPC!ES56="",IPC!ER56=""),"",AVERAGE(IPC!ER56:ET56))</f>
        <v>104.7</v>
      </c>
      <c r="CS55" s="27">
        <f>IF(OR(IPC!EW56="",IPC!EV56="",IPC!EU56=""),"",AVERAGE(IPC!EU56:EW56))</f>
        <v>108.46666666666665</v>
      </c>
      <c r="CT55" s="27">
        <f>IF(OR(IPC!EZ56="",IPC!EY56="",IPC!EX56=""),"",AVERAGE(IPC!EX56:EZ56))</f>
        <v>109.43333333333334</v>
      </c>
      <c r="CU55" s="27">
        <f>IF(OR(IPC!FC56="",IPC!FB56="",IPC!FA56=""),"",AVERAGE(IPC!FA56:FC56))</f>
        <v>109.3</v>
      </c>
      <c r="CV55" s="27">
        <f>IF(OR(IPC!FF56="",IPC!FE56="",IPC!FD56=""),"",AVERAGE(IPC!FD56:FF56))</f>
        <v>111.56666666666666</v>
      </c>
      <c r="CW55" s="27">
        <f>IF(OR(IPC!FI56="",IPC!FH56="",IPC!FG56=""),"",AVERAGE(IPC!FG56:FI56))</f>
        <v>111.7</v>
      </c>
      <c r="CX55" s="27">
        <f>IF(OR(IPC!FL56="",IPC!FK56="",IPC!FJ56=""),"",AVERAGE(IPC!FJ56:FL56))</f>
        <v>111.8</v>
      </c>
      <c r="CY55" s="27">
        <f>IF(OR(IPC!FO56="",IPC!FN56="",IPC!FM56=""),"",AVERAGE(IPC!FM56:FO56))</f>
        <v>113.23333333333335</v>
      </c>
      <c r="CZ55" s="27">
        <f>IF(OR(IPC!FR56="",IPC!FQ56="",IPC!FP56=""),"",AVERAGE(IPC!FP56:FR56))</f>
        <v>113.2</v>
      </c>
    </row>
    <row r="56" spans="1:104" s="20" customFormat="1" x14ac:dyDescent="0.25">
      <c r="B56" s="25" t="s">
        <v>85</v>
      </c>
      <c r="C56" s="26"/>
      <c r="AV56" s="20" t="str">
        <f>IF(OR(IPC!F52="",IPC!E52="",IPC!D52=""),"",AVERAGE(IPC!D52:F52))</f>
        <v/>
      </c>
      <c r="AW56" s="20" t="str">
        <f>IF(OR(IPC!I52="",IPC!H52="",IPC!G52=""),"",AVERAGE(IPC!G52:I52))</f>
        <v/>
      </c>
      <c r="AX56" s="20" t="str">
        <f>IF(OR(IPC!L52="",IPC!K52="",IPC!J52=""),"",AVERAGE(IPC!J52:L52))</f>
        <v/>
      </c>
      <c r="AY56" s="20" t="str">
        <f>IF(OR(IPC!O52="",IPC!N52="",IPC!M52=""),"",AVERAGE(IPC!M52:O52))</f>
        <v/>
      </c>
      <c r="AZ56" s="27">
        <f>IF(OR(IPC!R52="",IPC!Q52="",IPC!P52=""),"",AVERAGE(IPC!P52:R52))</f>
        <v>100.96874712706699</v>
      </c>
      <c r="BA56" s="27">
        <f>IF(OR(IPC!U52="",IPC!T52="",IPC!S52=""),"",AVERAGE(IPC!S52:U52))</f>
        <v>101.33478395995779</v>
      </c>
      <c r="BB56" s="27">
        <f>IF(OR(IPC!X52="",IPC!W52="",IPC!V52=""),"",AVERAGE(IPC!V52:X52))</f>
        <v>103.69756761292638</v>
      </c>
      <c r="BC56" s="27">
        <f>IF(OR(IPC!AA52="",IPC!Z52="",IPC!Y52=""),"",AVERAGE(IPC!Y52:AA52))</f>
        <v>103.74855011014206</v>
      </c>
      <c r="BD56" s="27">
        <f>IF(OR(IPC!AD52="",IPC!AC52="",IPC!AB52=""),"",AVERAGE(IPC!AB52:AD52))</f>
        <v>103.83633898124999</v>
      </c>
      <c r="BE56" s="27">
        <f>IF(OR(IPC!AG52="",IPC!AF52="",IPC!AE52=""),"",AVERAGE(IPC!AE52:AG52))</f>
        <v>103.58551898009743</v>
      </c>
      <c r="BF56" s="27">
        <f>IF(OR(IPC!AJ52="",IPC!AI52="",IPC!AH52=""),"",AVERAGE(IPC!AH52:AJ52))</f>
        <v>103.60386959239013</v>
      </c>
      <c r="BG56" s="27">
        <f>IF(OR(IPC!AM52="",IPC!AL52="",IPC!AK52=""),"",AVERAGE(IPC!AK52:AM52))</f>
        <v>104.24357702757599</v>
      </c>
      <c r="BH56" s="27">
        <f>IF(OR(IPC!AP52="",IPC!AO52="",IPC!AN52=""),"",AVERAGE(IPC!AN52:AP52))</f>
        <v>104.52466133163379</v>
      </c>
      <c r="BI56" s="27">
        <f>IF(OR(IPC!AS52="",IPC!AR52="",IPC!AQ52=""),"",AVERAGE(IPC!AQ52:AS52))</f>
        <v>104.08210723128254</v>
      </c>
      <c r="BJ56" s="27">
        <f>IF(OR(IPC!AV52="",IPC!AU52="",IPC!AT52=""),"",AVERAGE(IPC!AT52:AV52))</f>
        <v>106.53268190212691</v>
      </c>
      <c r="BK56" s="27">
        <f>IF(OR(IPC!AY52="",IPC!AX52="",IPC!AW52=""),"",AVERAGE(IPC!AW52:AY52))</f>
        <v>108.30176373058538</v>
      </c>
      <c r="BL56" s="27">
        <f>IF(OR(IPC!BB52="",IPC!BA52="",IPC!AZ52=""),"",AVERAGE(IPC!AZ52:BB52))</f>
        <v>108.56235426174381</v>
      </c>
      <c r="BM56" s="27">
        <f>IF(OR(IPC!BE52="",IPC!BD52="",IPC!BC52=""),"",AVERAGE(IPC!BC52:BE52))</f>
        <v>110.2996186400041</v>
      </c>
      <c r="BN56" s="27">
        <f>IF(OR(IPC!BH52="",IPC!BG52="",IPC!BF52=""),"",AVERAGE(IPC!BF52:BH52))</f>
        <v>111.02780763693987</v>
      </c>
      <c r="BO56" s="27">
        <f>IF(OR(IPC!BK52="",IPC!BJ52="",IPC!BI52=""),"",AVERAGE(IPC!BI52:BK52))</f>
        <v>111.79805910025284</v>
      </c>
      <c r="BP56" s="27">
        <f>IF(OR(IPC!BN52="",IPC!BM52="",IPC!BL52=""),"",AVERAGE(IPC!BL52:BN52))</f>
        <v>111.72670354555892</v>
      </c>
      <c r="BQ56" s="27">
        <f>IF(OR(IPC!BQ52="",IPC!BP52="",IPC!BO52=""),"",AVERAGE(IPC!BO52:BQ52))</f>
        <v>112.47805601044716</v>
      </c>
      <c r="BR56" s="27">
        <f>IF(OR(IPC!BT52="",IPC!BS52="",IPC!BR52=""),"",AVERAGE(IPC!BR52:BT52))</f>
        <v>112.58866534389756</v>
      </c>
      <c r="BS56" s="27">
        <f>IF(OR(IPC!BW52="",IPC!BV52="",IPC!BU52=""),"",AVERAGE(IPC!BU52:BW52))</f>
        <v>112.36769221920129</v>
      </c>
      <c r="BT56" s="27">
        <f>IF(OR(IPC!BZ52="",IPC!BY52="",IPC!BX52=""),"",AVERAGE(IPC!BX52:BZ52))</f>
        <v>112.16692229064286</v>
      </c>
      <c r="BU56" s="27">
        <f>IF(OR(IPC!CC52="",IPC!CB52="",IPC!CA52=""),"",AVERAGE(IPC!CA52:CC52))</f>
        <v>111.87806381863406</v>
      </c>
      <c r="BV56" s="27">
        <f>IF(OR(IPC!CF52="",IPC!CE52="",IPC!CD52=""),"",AVERAGE(IPC!CD52:CF52))</f>
        <v>112.87137783871889</v>
      </c>
      <c r="BW56" s="27">
        <f>IF(OR(IPC!CI52="",IPC!CH52="",IPC!CG52=""),"",AVERAGE(IPC!CG52:CI52))</f>
        <v>113.78672415713784</v>
      </c>
      <c r="BX56" s="27">
        <f>IF(OR(IPC!CL52="",IPC!CK52="",IPC!CJ52=""),"",AVERAGE(IPC!CJ52:CL52))</f>
        <v>114.02415814145552</v>
      </c>
      <c r="BY56" s="27">
        <f>IF(OR(IPC!CO52="",IPC!CN52="",IPC!CM52=""),"",AVERAGE(IPC!CM52:CO52))</f>
        <v>113.86690416957371</v>
      </c>
      <c r="BZ56" s="27">
        <f>IF(OR(IPC!CR52="",IPC!CQ52="",IPC!CP52=""),"",AVERAGE(IPC!CP52:CR52))</f>
        <v>115.96419064903542</v>
      </c>
      <c r="CA56" s="27">
        <f>IF(OR(IPC!CU52="",IPC!CT52="",IPC!CS52=""),"",AVERAGE(IPC!CS52:CU52))</f>
        <v>115.85282519386563</v>
      </c>
      <c r="CB56" s="27">
        <f>IF(OR(IPC!CX52="",IPC!CW52="",IPC!CV52=""),"",AVERAGE(IPC!CV52:CX52))</f>
        <v>117.01327956520434</v>
      </c>
      <c r="CC56" s="27">
        <f>IF(OR(IPC!DA52="",IPC!CZ52="",IPC!CY52=""),"",AVERAGE(IPC!CY52:DA52))</f>
        <v>118.79712134470309</v>
      </c>
      <c r="CD56" s="27">
        <f>IF(OR(IPC!DD52="",IPC!DC52="",IPC!DB52=""),"",AVERAGE(IPC!DB52:DD52))</f>
        <v>119.19455304689166</v>
      </c>
      <c r="CE56" s="27">
        <f>IF(OR(IPC!DG52="",IPC!DF52="",IPC!DE52=""),"",AVERAGE(IPC!DE52:DG52))</f>
        <v>120.19927817481339</v>
      </c>
      <c r="CF56" s="27">
        <f>IF(OR(IPC!DJ52="",IPC!DI52="",IPC!DH52=""),"",AVERAGE(IPC!DH52:DJ52))</f>
        <v>122.20899689100266</v>
      </c>
      <c r="CG56" s="27">
        <f>IF(OR(IPC!DM52="",IPC!DL52="",IPC!DK52=""),"",AVERAGE(IPC!DK52:DM52))</f>
        <v>122.76991069047521</v>
      </c>
      <c r="CH56" s="27">
        <f>IF(OR(IPC!DP52="",IPC!DO52="",IPC!DN52=""),"",AVERAGE(IPC!DN52:DP52))</f>
        <v>123.75469730579897</v>
      </c>
      <c r="CI56" s="27">
        <f>IF(OR(IPC!DS52="",IPC!DR52="",IPC!DQ52=""),"",AVERAGE(IPC!DQ52:DS52))</f>
        <v>123.65579653350557</v>
      </c>
      <c r="CJ56" s="27">
        <f>IF(OR(IPC!DV52="",IPC!DU52="",IPC!DT52=""),"",AVERAGE(IPC!DT52:DV52))</f>
        <v>123.62438841705183</v>
      </c>
      <c r="CK56" s="27">
        <f>IF(OR(IPC!DY52="",IPC!DX52="",IPC!DW52=""),"",AVERAGE(IPC!DW52:DY52))</f>
        <v>123.98336480631542</v>
      </c>
      <c r="CL56" s="27">
        <f>IF(OR(IPC!EB52="",IPC!EA52="",IPC!DZ52=""),"",AVERAGE(IPC!DZ52:EB52))</f>
        <v>125.92578174401417</v>
      </c>
      <c r="CM56" s="27">
        <f>IF(OR(IPC!EE52="",IPC!ED52="",IPC!EC52=""),"",AVERAGE(IPC!EC52:EE52))</f>
        <v>127.18523894218207</v>
      </c>
      <c r="CN56" s="27">
        <f>IF(OR(IPC!EH52="",IPC!EG52="",IPC!EF52=""),"",AVERAGE(IPC!EF52:EH52))</f>
        <v>129.60659801491772</v>
      </c>
      <c r="CO56" s="27">
        <f>IF(OR(IPC!EK52="",IPC!EJ52="",IPC!EI52=""),"",AVERAGE(IPC!EI52:EK52))</f>
        <v>133.04181187940631</v>
      </c>
      <c r="CP56" s="27">
        <f>IF(OR(IPC!EN52="",IPC!EM52="",IPC!EL52=""),"",AVERAGE(IPC!EL52:EN52))</f>
        <v>136.43723762198354</v>
      </c>
      <c r="CQ56" s="27">
        <f>IF(OR(IPC!EQ52="",IPC!EP52="",IPC!EO52=""),"",AVERAGE(IPC!EO52:EQ52))</f>
        <v>137.20783451507597</v>
      </c>
      <c r="CR56" s="27">
        <f>IF(OR(IPC!ET52="",IPC!ES52="",IPC!ER52=""),"",AVERAGE(IPC!ER52:ET52))</f>
        <v>104.63333333333333</v>
      </c>
      <c r="CS56" s="27">
        <f>IF(OR(IPC!EW52="",IPC!EV52="",IPC!EU52=""),"",AVERAGE(IPC!EU52:EW52))</f>
        <v>106.83333333333333</v>
      </c>
      <c r="CT56" s="27">
        <f>IF(OR(IPC!EZ52="",IPC!EY52="",IPC!EX52=""),"",AVERAGE(IPC!EX52:EZ52))</f>
        <v>107.66666666666667</v>
      </c>
      <c r="CU56" s="27">
        <f>IF(OR(IPC!FC52="",IPC!FB52="",IPC!FA52=""),"",AVERAGE(IPC!FA52:FC52))</f>
        <v>108.3</v>
      </c>
      <c r="CV56" s="27">
        <f>IF(OR(IPC!FF52="",IPC!FE52="",IPC!FD52=""),"",AVERAGE(IPC!FD52:FF52))</f>
        <v>109.76666666666667</v>
      </c>
      <c r="CW56" s="27">
        <f>IF(OR(IPC!FI52="",IPC!FH52="",IPC!FG52=""),"",AVERAGE(IPC!FG52:FI52))</f>
        <v>111.43333333333334</v>
      </c>
      <c r="CX56" s="27">
        <f>IF(OR(IPC!FL52="",IPC!FK52="",IPC!FJ52=""),"",AVERAGE(IPC!FJ52:FL52))</f>
        <v>112.63333333333333</v>
      </c>
      <c r="CY56" s="27">
        <f>IF(OR(IPC!FO52="",IPC!FN52="",IPC!FM52=""),"",AVERAGE(IPC!FM52:FO52))</f>
        <v>113.8</v>
      </c>
      <c r="CZ56" s="27">
        <f>IF(OR(IPC!FR52="",IPC!FQ52="",IPC!FP52=""),"",AVERAGE(IPC!FP52:FR52))</f>
        <v>114.5</v>
      </c>
    </row>
    <row r="57" spans="1:104" s="20" customFormat="1" x14ac:dyDescent="0.25">
      <c r="B57" s="25" t="s">
        <v>86</v>
      </c>
      <c r="C57" s="26"/>
      <c r="AV57" s="20" t="str">
        <f>IF(OR(IPC!F54="",IPC!E54="",IPC!D54=""),"",AVERAGE(IPC!D54:F54))</f>
        <v/>
      </c>
      <c r="AW57" s="20" t="str">
        <f>IF(OR(IPC!I54="",IPC!H54="",IPC!G54=""),"",AVERAGE(IPC!G54:I54))</f>
        <v/>
      </c>
      <c r="AX57" s="20" t="str">
        <f>IF(OR(IPC!L54="",IPC!K54="",IPC!J54=""),"",AVERAGE(IPC!J54:L54))</f>
        <v/>
      </c>
      <c r="AY57" s="20" t="str">
        <f>IF(OR(IPC!O54="",IPC!N54="",IPC!M54=""),"",AVERAGE(IPC!M54:O54))</f>
        <v/>
      </c>
      <c r="AZ57" s="27">
        <f>IF(OR(IPC!R54="",IPC!Q54="",IPC!P54=""),"",AVERAGE(IPC!P54:R54))</f>
        <v>100.90625257389813</v>
      </c>
      <c r="BA57" s="27">
        <f>IF(OR(IPC!U54="",IPC!T54="",IPC!S54=""),"",AVERAGE(IPC!S54:U54))</f>
        <v>102.57831072694744</v>
      </c>
      <c r="BB57" s="27">
        <f>IF(OR(IPC!X54="",IPC!W54="",IPC!V54=""),"",AVERAGE(IPC!V54:X54))</f>
        <v>102.8965895485273</v>
      </c>
      <c r="BC57" s="27">
        <f>IF(OR(IPC!AA54="",IPC!Z54="",IPC!Y54=""),"",AVERAGE(IPC!Y54:AA54))</f>
        <v>104.88650748545412</v>
      </c>
      <c r="BD57" s="27">
        <f>IF(OR(IPC!AD54="",IPC!AC54="",IPC!AB54=""),"",AVERAGE(IPC!AB54:AD54))</f>
        <v>106.26653168533319</v>
      </c>
      <c r="BE57" s="27">
        <f>IF(OR(IPC!AG54="",IPC!AF54="",IPC!AE54=""),"",AVERAGE(IPC!AE54:AG54))</f>
        <v>105.55297722656347</v>
      </c>
      <c r="BF57" s="27">
        <f>IF(OR(IPC!AJ54="",IPC!AI54="",IPC!AH54=""),"",AVERAGE(IPC!AH54:AJ54))</f>
        <v>106.05289334509366</v>
      </c>
      <c r="BG57" s="27">
        <f>IF(OR(IPC!AM54="",IPC!AL54="",IPC!AK54=""),"",AVERAGE(IPC!AK54:AM54))</f>
        <v>106.13315576939452</v>
      </c>
      <c r="BH57" s="27">
        <f>IF(OR(IPC!AP54="",IPC!AO54="",IPC!AN54=""),"",AVERAGE(IPC!AN54:AP54))</f>
        <v>105.91784297545094</v>
      </c>
      <c r="BI57" s="27">
        <f>IF(OR(IPC!AS54="",IPC!AR54="",IPC!AQ54=""),"",AVERAGE(IPC!AQ54:AS54))</f>
        <v>106.55733825072072</v>
      </c>
      <c r="BJ57" s="27">
        <f>IF(OR(IPC!AV54="",IPC!AU54="",IPC!AT54=""),"",AVERAGE(IPC!AT54:AV54))</f>
        <v>108.57857132518352</v>
      </c>
      <c r="BK57" s="27">
        <f>IF(OR(IPC!AY54="",IPC!AX54="",IPC!AW54=""),"",AVERAGE(IPC!AW54:AY54))</f>
        <v>109.96004822886145</v>
      </c>
      <c r="BL57" s="27">
        <f>IF(OR(IPC!BB54="",IPC!BA54="",IPC!AZ54=""),"",AVERAGE(IPC!AZ54:BB54))</f>
        <v>110.44949011770863</v>
      </c>
      <c r="BM57" s="27">
        <f>IF(OR(IPC!BE54="",IPC!BD54="",IPC!BC54=""),"",AVERAGE(IPC!BC54:BE54))</f>
        <v>111.71184351637142</v>
      </c>
      <c r="BN57" s="27">
        <f>IF(OR(IPC!BH54="",IPC!BG54="",IPC!BF54=""),"",AVERAGE(IPC!BF54:BH54))</f>
        <v>111.92746344118352</v>
      </c>
      <c r="BO57" s="27">
        <f>IF(OR(IPC!BK54="",IPC!BJ54="",IPC!BI54=""),"",AVERAGE(IPC!BI54:BK54))</f>
        <v>111.87894113263502</v>
      </c>
      <c r="BP57" s="27">
        <f>IF(OR(IPC!BN54="",IPC!BM54="",IPC!BL54=""),"",AVERAGE(IPC!BL54:BN54))</f>
        <v>111.96370178210026</v>
      </c>
      <c r="BQ57" s="27">
        <f>IF(OR(IPC!BQ54="",IPC!BP54="",IPC!BO54=""),"",AVERAGE(IPC!BO54:BQ54))</f>
        <v>112.33100374614891</v>
      </c>
      <c r="BR57" s="27">
        <f>IF(OR(IPC!BT54="",IPC!BS54="",IPC!BR54=""),"",AVERAGE(IPC!BR54:BT54))</f>
        <v>112.46794179402144</v>
      </c>
      <c r="BS57" s="27">
        <f>IF(OR(IPC!BW54="",IPC!BV54="",IPC!BU54=""),"",AVERAGE(IPC!BU54:BW54))</f>
        <v>112.55841642960353</v>
      </c>
      <c r="BT57" s="27">
        <f>IF(OR(IPC!BZ54="",IPC!BY54="",IPC!BX54=""),"",AVERAGE(IPC!BX54:BZ54))</f>
        <v>113.16422079455266</v>
      </c>
      <c r="BU57" s="27">
        <f>IF(OR(IPC!CC54="",IPC!CB54="",IPC!CA54=""),"",AVERAGE(IPC!CA54:CC54))</f>
        <v>113.11249654886744</v>
      </c>
      <c r="BV57" s="27">
        <f>IF(OR(IPC!CF54="",IPC!CE54="",IPC!CD54=""),"",AVERAGE(IPC!CD54:CF54))</f>
        <v>113.43165722430463</v>
      </c>
      <c r="BW57" s="27">
        <f>IF(OR(IPC!CI54="",IPC!CH54="",IPC!CG54=""),"",AVERAGE(IPC!CG54:CI54))</f>
        <v>113.44708620338861</v>
      </c>
      <c r="BX57" s="27">
        <f>IF(OR(IPC!CL54="",IPC!CK54="",IPC!CJ54=""),"",AVERAGE(IPC!CJ54:CL54))</f>
        <v>113.59264819579465</v>
      </c>
      <c r="BY57" s="27">
        <f>IF(OR(IPC!CO54="",IPC!CN54="",IPC!CM54=""),"",AVERAGE(IPC!CM54:CO54))</f>
        <v>113.54378530620419</v>
      </c>
      <c r="BZ57" s="27">
        <f>IF(OR(IPC!CR54="",IPC!CQ54="",IPC!CP54=""),"",AVERAGE(IPC!CP54:CR54))</f>
        <v>113.6237840543062</v>
      </c>
      <c r="CA57" s="27">
        <f>IF(OR(IPC!CU54="",IPC!CT54="",IPC!CS54=""),"",AVERAGE(IPC!CS54:CU54))</f>
        <v>114.59348796033277</v>
      </c>
      <c r="CB57" s="27">
        <f>IF(OR(IPC!CX54="",IPC!CW54="",IPC!CV54=""),"",AVERAGE(IPC!CV54:CX54))</f>
        <v>116.71946656213497</v>
      </c>
      <c r="CC57" s="27">
        <f>IF(OR(IPC!DA54="",IPC!CZ54="",IPC!CY54=""),"",AVERAGE(IPC!CY54:DA54))</f>
        <v>116.71517561304148</v>
      </c>
      <c r="CD57" s="27">
        <f>IF(OR(IPC!DD54="",IPC!DC54="",IPC!DB54=""),"",AVERAGE(IPC!DB54:DD54))</f>
        <v>116.37886604795411</v>
      </c>
      <c r="CE57" s="27">
        <f>IF(OR(IPC!DG54="",IPC!DF54="",IPC!DE54=""),"",AVERAGE(IPC!DE54:DG54))</f>
        <v>117.15194716098115</v>
      </c>
      <c r="CF57" s="27">
        <f>IF(OR(IPC!DJ54="",IPC!DI54="",IPC!DH54=""),"",AVERAGE(IPC!DH54:DJ54))</f>
        <v>116.64666144130301</v>
      </c>
      <c r="CG57" s="27">
        <f>IF(OR(IPC!DM54="",IPC!DL54="",IPC!DK54=""),"",AVERAGE(IPC!DK54:DM54))</f>
        <v>117.06550335328886</v>
      </c>
      <c r="CH57" s="27">
        <f>IF(OR(IPC!DP54="",IPC!DO54="",IPC!DN54=""),"",AVERAGE(IPC!DN54:DP54))</f>
        <v>117.91748552969729</v>
      </c>
      <c r="CI57" s="27">
        <f>IF(OR(IPC!DS54="",IPC!DR54="",IPC!DQ54=""),"",AVERAGE(IPC!DQ54:DS54))</f>
        <v>118.86858915877815</v>
      </c>
      <c r="CJ57" s="27">
        <f>IF(OR(IPC!DV54="",IPC!DU54="",IPC!DT54=""),"",AVERAGE(IPC!DT54:DV54))</f>
        <v>119.82251251786214</v>
      </c>
      <c r="CK57" s="27">
        <f>IF(OR(IPC!DY54="",IPC!DX54="",IPC!DW54=""),"",AVERAGE(IPC!DW54:DY54))</f>
        <v>122.43184724419973</v>
      </c>
      <c r="CL57" s="27">
        <f>IF(OR(IPC!EB54="",IPC!EA54="",IPC!DZ54=""),"",AVERAGE(IPC!DZ54:EB54))</f>
        <v>122.90546448858505</v>
      </c>
      <c r="CM57" s="27">
        <f>IF(OR(IPC!EE54="",IPC!ED54="",IPC!EC54=""),"",AVERAGE(IPC!EC54:EE54))</f>
        <v>122.80959813133757</v>
      </c>
      <c r="CN57" s="27">
        <f>IF(OR(IPC!EH54="",IPC!EG54="",IPC!EF54=""),"",AVERAGE(IPC!EF54:EH54))</f>
        <v>126.86040964293481</v>
      </c>
      <c r="CO57" s="27">
        <f>IF(OR(IPC!EK54="",IPC!EJ54="",IPC!EI54=""),"",AVERAGE(IPC!EI54:EK54))</f>
        <v>127.56667236892172</v>
      </c>
      <c r="CP57" s="27">
        <f>IF(OR(IPC!EN54="",IPC!EM54="",IPC!EL54=""),"",AVERAGE(IPC!EL54:EN54))</f>
        <v>128.20218368698693</v>
      </c>
      <c r="CQ57" s="27">
        <f>IF(OR(IPC!EQ54="",IPC!EP54="",IPC!EO54=""),"",AVERAGE(IPC!EO54:EQ54))</f>
        <v>133.04860719286219</v>
      </c>
      <c r="CR57" s="27">
        <f>IF(OR(IPC!ET54="",IPC!ES54="",IPC!ER54=""),"",AVERAGE(IPC!ER54:ET54))</f>
        <v>105.09999999999998</v>
      </c>
      <c r="CS57" s="27">
        <f>IF(OR(IPC!EW54="",IPC!EV54="",IPC!EU54=""),"",AVERAGE(IPC!EU54:EW54))</f>
        <v>107</v>
      </c>
      <c r="CT57" s="27">
        <f>IF(OR(IPC!EZ54="",IPC!EY54="",IPC!EX54=""),"",AVERAGE(IPC!EX54:EZ54))</f>
        <v>108.26666666666667</v>
      </c>
      <c r="CU57" s="27">
        <f>IF(OR(IPC!FC54="",IPC!FB54="",IPC!FA54=""),"",AVERAGE(IPC!FA54:FC54))</f>
        <v>108.73333333333333</v>
      </c>
      <c r="CV57" s="27">
        <f>IF(OR(IPC!FF54="",IPC!FE54="",IPC!FD54=""),"",AVERAGE(IPC!FD54:FF54))</f>
        <v>109.96666666666665</v>
      </c>
      <c r="CW57" s="27">
        <f>IF(OR(IPC!FI54="",IPC!FH54="",IPC!FG54=""),"",AVERAGE(IPC!FG54:FI54))</f>
        <v>112</v>
      </c>
      <c r="CX57" s="27">
        <f>IF(OR(IPC!FL54="",IPC!FK54="",IPC!FJ54=""),"",AVERAGE(IPC!FJ54:FL54))</f>
        <v>113</v>
      </c>
      <c r="CY57" s="27">
        <f>IF(OR(IPC!FO54="",IPC!FN54="",IPC!FM54=""),"",AVERAGE(IPC!FM54:FO54))</f>
        <v>114.26666666666667</v>
      </c>
      <c r="CZ57" s="27">
        <f>IF(OR(IPC!FR54="",IPC!FQ54="",IPC!FP54=""),"",AVERAGE(IPC!FP54:FR54))</f>
        <v>114.66666666666667</v>
      </c>
    </row>
    <row r="58" spans="1:104" s="66" customFormat="1" x14ac:dyDescent="0.25">
      <c r="B58" s="67" t="s">
        <v>2</v>
      </c>
      <c r="C58" s="68">
        <v>10000</v>
      </c>
      <c r="AV58" s="66">
        <f>IF(OR(IPC!F58="",IPC!E58="",IPC!D58=""),"",AVERAGE(IPC!D58:F58))</f>
        <v>99.084359051335966</v>
      </c>
      <c r="AW58" s="66">
        <f>IF(OR(IPC!I58="",IPC!H58="",IPC!G58=""),"",AVERAGE(IPC!G58:I58))</f>
        <v>99.144401080756552</v>
      </c>
      <c r="AX58" s="66">
        <f>IF(OR(IPC!L58="",IPC!K58="",IPC!J58=""),"",AVERAGE(IPC!J58:L58))</f>
        <v>100.48033623536476</v>
      </c>
      <c r="AY58" s="66">
        <f>IF(OR(IPC!O58="",IPC!N58="",IPC!M58=""),"",AVERAGE(IPC!M58:O58))</f>
        <v>101.29090363254279</v>
      </c>
      <c r="AZ58" s="69">
        <f>IF(OR(IPC!R58="",IPC!Q58="",IPC!P58=""),"",AVERAGE(IPC!P58:R58))</f>
        <v>79.089694814139037</v>
      </c>
      <c r="BA58" s="69">
        <f>IF(OR(IPC!U58="",IPC!T58="",IPC!S58=""),"",AVERAGE(IPC!S58:U58))</f>
        <v>79.760316611554728</v>
      </c>
      <c r="BB58" s="69">
        <f>IF(OR(IPC!X58="",IPC!W58="",IPC!V58=""),"",AVERAGE(IPC!V58:X58))</f>
        <v>80.41267404863919</v>
      </c>
      <c r="BC58" s="69">
        <f>IF(OR(IPC!AA58="",IPC!Z58="",IPC!Y58=""),"",AVERAGE(IPC!Y58:AA58))</f>
        <v>81.024524597584715</v>
      </c>
      <c r="BD58" s="69">
        <f>IF(OR(IPC!AD58="",IPC!AC58="",IPC!AB58=""),"",AVERAGE(IPC!AB58:AD58))</f>
        <v>81.144751823036074</v>
      </c>
      <c r="BE58" s="69">
        <f>IF(OR(IPC!AG58="",IPC!AF58="",IPC!AE58=""),"",AVERAGE(IPC!AE58:AG58))</f>
        <v>81.292803948171638</v>
      </c>
      <c r="BF58" s="69">
        <f>IF(OR(IPC!AJ58="",IPC!AI58="",IPC!AH58=""),"",AVERAGE(IPC!AH58:AJ58))</f>
        <v>81.807740457923742</v>
      </c>
      <c r="BG58" s="69">
        <f>IF(OR(IPC!AM58="",IPC!AL58="",IPC!AK58=""),"",AVERAGE(IPC!AK58:AM58))</f>
        <v>82.608913622452448</v>
      </c>
      <c r="BH58" s="69">
        <f>IF(OR(IPC!AP58="",IPC!AO58="",IPC!AN58=""),"",AVERAGE(IPC!AN58:AP58))</f>
        <v>82.191631532477331</v>
      </c>
      <c r="BI58" s="69">
        <f>IF(OR(IPC!AS58="",IPC!AR58="",IPC!AQ58=""),"",AVERAGE(IPC!AQ58:AS58))</f>
        <v>82.094118658063209</v>
      </c>
      <c r="BJ58" s="69">
        <f>IF(OR(IPC!AV58="",IPC!AU58="",IPC!AT58=""),"",AVERAGE(IPC!AT58:AV58))</f>
        <v>84.042413116147529</v>
      </c>
      <c r="BK58" s="69">
        <f>IF(OR(IPC!AY58="",IPC!AX58="",IPC!AW58=""),"",AVERAGE(IPC!AW58:AY58))</f>
        <v>84.588860392608126</v>
      </c>
      <c r="BL58" s="69">
        <f>IF(OR(IPC!BB58="",IPC!BA58="",IPC!AZ58=""),"",AVERAGE(IPC!AZ58:BB58))</f>
        <v>84.587502141763437</v>
      </c>
      <c r="BM58" s="69">
        <f>IF(OR(IPC!BE58="",IPC!BD58="",IPC!BC58=""),"",AVERAGE(IPC!BC58:BE58))</f>
        <v>85.314125586094136</v>
      </c>
      <c r="BN58" s="69">
        <f>IF(OR(IPC!BH58="",IPC!BG58="",IPC!BF58=""),"",AVERAGE(IPC!BF58:BH58))</f>
        <v>85.889023270723783</v>
      </c>
      <c r="BO58" s="69">
        <f>IF(OR(IPC!BK58="",IPC!BJ58="",IPC!BI58=""),"",AVERAGE(IPC!BI58:BK58))</f>
        <v>86.043352579882708</v>
      </c>
      <c r="BP58" s="69">
        <f>IF(OR(IPC!BN58="",IPC!BM58="",IPC!BL58=""),"",AVERAGE(IPC!BL58:BN58))</f>
        <v>85.840905721669628</v>
      </c>
      <c r="BQ58" s="69">
        <f>IF(OR(IPC!BQ58="",IPC!BP58="",IPC!BO58=""),"",AVERAGE(IPC!BO58:BQ58))</f>
        <v>86.205991722345161</v>
      </c>
      <c r="BR58" s="69">
        <f>IF(OR(IPC!BT58="",IPC!BS58="",IPC!BR58=""),"",AVERAGE(IPC!BR58:BT58))</f>
        <v>86.429849639162413</v>
      </c>
      <c r="BS58" s="69">
        <f>IF(OR(IPC!BW58="",IPC!BV58="",IPC!BU58=""),"",AVERAGE(IPC!BU58:BW58))</f>
        <v>86.340771666775865</v>
      </c>
      <c r="BT58" s="69">
        <f>IF(OR(IPC!BZ58="",IPC!BY58="",IPC!BX58=""),"",AVERAGE(IPC!BX58:BZ58))</f>
        <v>86.223825821830943</v>
      </c>
      <c r="BU58" s="69">
        <f>IF(OR(IPC!CC58="",IPC!CB58="",IPC!CA58=""),"",AVERAGE(IPC!CA58:CC58))</f>
        <v>86.692591393250765</v>
      </c>
      <c r="BV58" s="69">
        <f>IF(OR(IPC!CF58="",IPC!CE58="",IPC!CD58=""),"",AVERAGE(IPC!CD58:CF58))</f>
        <v>87.022054168979096</v>
      </c>
      <c r="BW58" s="69">
        <f>IF(OR(IPC!CI58="",IPC!CH58="",IPC!CG58=""),"",AVERAGE(IPC!CG58:CI58))</f>
        <v>87.08837747991997</v>
      </c>
      <c r="BX58" s="69">
        <f>IF(OR(IPC!CL58="",IPC!CK58="",IPC!CJ58=""),"",AVERAGE(IPC!CJ58:CL58))</f>
        <v>86.93141882584564</v>
      </c>
      <c r="BY58" s="69">
        <f>IF(OR(IPC!CO58="",IPC!CN58="",IPC!CM58=""),"",AVERAGE(IPC!CM58:CO58))</f>
        <v>87.394817064581048</v>
      </c>
      <c r="BZ58" s="69">
        <f>IF(OR(IPC!CR58="",IPC!CQ58="",IPC!CP58=""),"",AVERAGE(IPC!CP58:CR58))</f>
        <v>87.770638226338974</v>
      </c>
      <c r="CA58" s="69">
        <f>IF(OR(IPC!CU58="",IPC!CT58="",IPC!CS58=""),"",AVERAGE(IPC!CS58:CU58))</f>
        <v>88.621618568334952</v>
      </c>
      <c r="CB58" s="69" t="e">
        <f>IF(OR(IPC!CV58="",IPC!#REF!="",IPC!#REF!=""),"",AVERAGE(IPC!CV58:CV58))</f>
        <v>#REF!</v>
      </c>
      <c r="CC58" s="69">
        <f>IF(OR(IPC!CY58="",IPC!CX58="",IPC!CW58=""),"",AVERAGE(IPC!CW58:CY58))</f>
        <v>89.195789371349449</v>
      </c>
      <c r="CD58" s="69">
        <f>IF(OR(IPC!DB58="",IPC!DA58="",IPC!CZ58=""),"",AVERAGE(IPC!CZ58:DB58))</f>
        <v>89.727381773285131</v>
      </c>
      <c r="CE58" s="69">
        <f>IF(OR(IPC!DE58="",IPC!DD58="",IPC!DC58=""),"",AVERAGE(IPC!DC58:DE58))</f>
        <v>90.282391597218989</v>
      </c>
      <c r="CF58" s="69">
        <f>IF(OR(IPC!DH58="",IPC!DG58="",IPC!DF58=""),"",AVERAGE(IPC!DF58:DH58))</f>
        <v>90.942674217713375</v>
      </c>
      <c r="CG58" s="69">
        <f>IF(OR(IPC!DK58="",IPC!DJ58="",IPC!DI58=""),"",AVERAGE(IPC!DI58:DK58))</f>
        <v>91.506425275957483</v>
      </c>
      <c r="CH58" s="69">
        <f>IF(OR(IPC!DN58="",IPC!DM58="",IPC!DL58=""),"",AVERAGE(IPC!DL58:DN58))</f>
        <v>91.897891324289219</v>
      </c>
      <c r="CI58" s="69">
        <f>IF(OR(IPC!DQ58="",IPC!DP58="",IPC!DO58=""),"",AVERAGE(IPC!DO58:DQ58))</f>
        <v>92.507082724444771</v>
      </c>
      <c r="CJ58" s="69">
        <f>IF(OR(IPC!DT58="",IPC!DS58="",IPC!DR58=""),"",AVERAGE(IPC!DR58:DT58))</f>
        <v>92.801038494806861</v>
      </c>
      <c r="CK58" s="69">
        <f>IF(OR(IPC!DW58="",IPC!DV58="",IPC!DU58=""),"",AVERAGE(IPC!DU58:DW58))</f>
        <v>93.166288902801014</v>
      </c>
      <c r="CL58" s="69">
        <f>IF(OR(IPC!DZ58="",IPC!DY58="",IPC!DX58=""),"",AVERAGE(IPC!DX58:DZ58))</f>
        <v>94.078874646412785</v>
      </c>
      <c r="CM58" s="69">
        <f>IF(OR(IPC!EC58="",IPC!EB58="",IPC!EA58=""),"",AVERAGE(IPC!EA58:EC58))</f>
        <v>94.620089620751614</v>
      </c>
      <c r="CN58" s="69">
        <f>IF(OR(IPC!EF58="",IPC!EE58="",IPC!ED58=""),"",AVERAGE(IPC!ED58:EF58))</f>
        <v>95.865378038323556</v>
      </c>
      <c r="CO58" s="69">
        <f>IF(OR(IPC!EI58="",IPC!EH58="",IPC!EG58=""),"",AVERAGE(IPC!EG58:EI58))</f>
        <v>100.49304755101029</v>
      </c>
      <c r="CP58" s="69">
        <f>IF(OR(IPC!EL58="",IPC!EK58="",IPC!EJ58=""),"",AVERAGE(IPC!EJ58:EL58))</f>
        <v>99.751479030028008</v>
      </c>
      <c r="CQ58" s="69">
        <f>IF(OR(IPC!EO58="",IPC!EN58="",IPC!EM58=""),"",AVERAGE(IPC!EM58:EO58))</f>
        <v>101.71664806419363</v>
      </c>
      <c r="CR58" s="69">
        <f>IF(OR(IPC!ER58="",IPC!EQ58="",IPC!EP58=""),"",AVERAGE(IPC!EP58:ER58))</f>
        <v>103.10593728770355</v>
      </c>
      <c r="CS58" s="69">
        <f>IF(OR(IPC!EU58="",IPC!ET58="",IPC!ES58=""),"",AVERAGE(IPC!ES58:EU58))</f>
        <v>105.786273599784</v>
      </c>
      <c r="CT58" s="69">
        <f>IF(OR(IPC!EX58="",IPC!EW58="",IPC!EV58=""),"",AVERAGE(IPC!EV58:EX58))</f>
        <v>107.58337979647968</v>
      </c>
      <c r="CU58" s="69">
        <f>IF(OR(IPC!FA58="",IPC!EZ58="",IPC!EY58=""),"",AVERAGE(IPC!EY58:FA58))</f>
        <v>108.86873802561304</v>
      </c>
      <c r="CV58" s="69">
        <f>IF(OR(IPC!FD58="",IPC!FC58="",IPC!FB58=""),"",AVERAGE(IPC!FB58:FD58))</f>
        <v>108.99713382561531</v>
      </c>
      <c r="CW58" s="69">
        <f>IF(OR(IPC!FG58="",IPC!FF58="",IPC!FE58=""),"",AVERAGE(IPC!FE58:FG58))</f>
        <v>110.86666666666667</v>
      </c>
      <c r="CX58" s="69">
        <f>IF(OR(IPC!FJ58="",IPC!FI58="",IPC!FH58=""),"",AVERAGE(IPC!FH58:FJ58))</f>
        <v>112.10822099090576</v>
      </c>
      <c r="CY58" s="69">
        <f>IF(OR(IPC!FM58="",IPC!FL58="",IPC!FK58=""),"",AVERAGE(IPC!FK58:FM58))</f>
        <v>113.45622306981011</v>
      </c>
      <c r="CZ58" s="69">
        <f>IF(OR(IPC!FP58="",IPC!FO58="",IPC!FN58=""),"",AVERAGE(IPC!FN58:FP58))</f>
        <v>114.40123410556357</v>
      </c>
    </row>
    <row r="60" spans="1:104" ht="13.8" thickBot="1" x14ac:dyDescent="0.3"/>
    <row r="61" spans="1:104" s="2" customFormat="1" ht="33" thickTop="1" thickBot="1" x14ac:dyDescent="0.55000000000000004">
      <c r="B61" s="2" t="s">
        <v>94</v>
      </c>
    </row>
    <row r="62" spans="1:104" ht="14.4" thickTop="1" thickBot="1" x14ac:dyDescent="0.3"/>
    <row r="63" spans="1:104" s="102" customFormat="1" ht="13.8" thickBot="1" x14ac:dyDescent="0.3">
      <c r="B63" s="103" t="s">
        <v>186</v>
      </c>
      <c r="C63" s="104" t="s">
        <v>95</v>
      </c>
      <c r="D63" s="101" t="s">
        <v>179</v>
      </c>
      <c r="E63" s="101" t="s">
        <v>180</v>
      </c>
      <c r="F63" s="104" t="s">
        <v>181</v>
      </c>
      <c r="G63" s="104" t="s">
        <v>182</v>
      </c>
      <c r="H63" s="104" t="s">
        <v>115</v>
      </c>
      <c r="I63" s="104" t="s">
        <v>116</v>
      </c>
      <c r="J63" s="104" t="s">
        <v>117</v>
      </c>
      <c r="K63" s="104" t="s">
        <v>118</v>
      </c>
      <c r="L63" s="104" t="s">
        <v>119</v>
      </c>
      <c r="M63" s="104" t="s">
        <v>120</v>
      </c>
      <c r="N63" s="104" t="s">
        <v>121</v>
      </c>
      <c r="O63" s="104" t="s">
        <v>122</v>
      </c>
      <c r="P63" s="104" t="s">
        <v>123</v>
      </c>
      <c r="Q63" s="104" t="s">
        <v>124</v>
      </c>
      <c r="R63" s="104" t="s">
        <v>125</v>
      </c>
      <c r="S63" s="104" t="s">
        <v>126</v>
      </c>
      <c r="T63" s="104" t="s">
        <v>127</v>
      </c>
      <c r="U63" s="104" t="s">
        <v>128</v>
      </c>
      <c r="V63" s="104" t="s">
        <v>129</v>
      </c>
      <c r="W63" s="104" t="s">
        <v>130</v>
      </c>
      <c r="X63" s="105" t="s">
        <v>131</v>
      </c>
      <c r="Y63" s="105" t="s">
        <v>132</v>
      </c>
      <c r="Z63" s="105" t="s">
        <v>133</v>
      </c>
      <c r="AA63" s="105" t="s">
        <v>134</v>
      </c>
      <c r="AB63" s="105" t="s">
        <v>135</v>
      </c>
      <c r="AC63" s="105" t="s">
        <v>136</v>
      </c>
      <c r="AD63" s="105" t="s">
        <v>137</v>
      </c>
      <c r="AE63" s="105" t="s">
        <v>138</v>
      </c>
      <c r="AF63" s="105" t="s">
        <v>139</v>
      </c>
      <c r="AG63" s="105" t="s">
        <v>140</v>
      </c>
      <c r="AH63" s="105" t="s">
        <v>141</v>
      </c>
      <c r="AI63" s="105" t="s">
        <v>142</v>
      </c>
      <c r="AJ63" s="105" t="s">
        <v>143</v>
      </c>
      <c r="AK63" s="105" t="s">
        <v>144</v>
      </c>
      <c r="AL63" s="105" t="s">
        <v>145</v>
      </c>
      <c r="AM63" s="105" t="s">
        <v>146</v>
      </c>
      <c r="AN63" s="105" t="s">
        <v>147</v>
      </c>
      <c r="AO63" s="105" t="s">
        <v>148</v>
      </c>
      <c r="AP63" s="105" t="str">
        <f t="shared" ref="AP63:CP63" si="2">AP4</f>
        <v>2009T3</v>
      </c>
      <c r="AQ63" s="105" t="str">
        <f t="shared" si="2"/>
        <v>2009T4</v>
      </c>
      <c r="AR63" s="105" t="str">
        <f t="shared" si="2"/>
        <v>2010T1</v>
      </c>
      <c r="AS63" s="105" t="str">
        <f t="shared" si="2"/>
        <v>2010T2</v>
      </c>
      <c r="AT63" s="105" t="str">
        <f t="shared" si="2"/>
        <v>2010T3</v>
      </c>
      <c r="AU63" s="105" t="str">
        <f t="shared" si="2"/>
        <v>2010T4</v>
      </c>
      <c r="AV63" s="105" t="str">
        <f t="shared" si="2"/>
        <v>2011T1</v>
      </c>
      <c r="AW63" s="105" t="str">
        <f t="shared" si="2"/>
        <v>2011T2</v>
      </c>
      <c r="AX63" s="105" t="str">
        <f t="shared" si="2"/>
        <v>2011T3</v>
      </c>
      <c r="AY63" s="105" t="str">
        <f t="shared" si="2"/>
        <v>2011T4</v>
      </c>
      <c r="AZ63" s="105" t="str">
        <f t="shared" si="2"/>
        <v>2012T1</v>
      </c>
      <c r="BA63" s="105" t="str">
        <f t="shared" si="2"/>
        <v>2012T2</v>
      </c>
      <c r="BB63" s="105" t="str">
        <f t="shared" si="2"/>
        <v>2012T3</v>
      </c>
      <c r="BC63" s="105" t="str">
        <f t="shared" si="2"/>
        <v>2012T4</v>
      </c>
      <c r="BD63" s="105" t="str">
        <f t="shared" si="2"/>
        <v>2013T1</v>
      </c>
      <c r="BE63" s="105" t="str">
        <f t="shared" si="2"/>
        <v>2013T2</v>
      </c>
      <c r="BF63" s="105" t="str">
        <f t="shared" si="2"/>
        <v>2013T3</v>
      </c>
      <c r="BG63" s="105" t="str">
        <f t="shared" si="2"/>
        <v>2013T4</v>
      </c>
      <c r="BH63" s="105" t="str">
        <f t="shared" si="2"/>
        <v>2014T1</v>
      </c>
      <c r="BI63" s="105" t="str">
        <f t="shared" si="2"/>
        <v>2014T2</v>
      </c>
      <c r="BJ63" s="105" t="str">
        <f t="shared" si="2"/>
        <v>2014T3</v>
      </c>
      <c r="BK63" s="105" t="str">
        <f t="shared" si="2"/>
        <v>2014T4</v>
      </c>
      <c r="BL63" s="105" t="str">
        <f t="shared" si="2"/>
        <v>2015T1</v>
      </c>
      <c r="BM63" s="105" t="str">
        <f t="shared" si="2"/>
        <v>2015T2</v>
      </c>
      <c r="BN63" s="105" t="str">
        <f t="shared" si="2"/>
        <v>2015T3</v>
      </c>
      <c r="BO63" s="105" t="str">
        <f t="shared" si="2"/>
        <v>2015T4</v>
      </c>
      <c r="BP63" s="105" t="str">
        <f t="shared" si="2"/>
        <v>2016T1</v>
      </c>
      <c r="BQ63" s="105" t="str">
        <f t="shared" si="2"/>
        <v>2016T2</v>
      </c>
      <c r="BR63" s="105" t="str">
        <f t="shared" si="2"/>
        <v>2016T3</v>
      </c>
      <c r="BS63" s="105" t="str">
        <f t="shared" si="2"/>
        <v>2016T4</v>
      </c>
      <c r="BT63" s="105" t="str">
        <f t="shared" si="2"/>
        <v>2017T1</v>
      </c>
      <c r="BU63" s="105" t="str">
        <f t="shared" si="2"/>
        <v>2017T2</v>
      </c>
      <c r="BV63" s="105" t="str">
        <f t="shared" si="2"/>
        <v>2017T3</v>
      </c>
      <c r="BW63" s="105" t="str">
        <f t="shared" si="2"/>
        <v>2017T4</v>
      </c>
      <c r="BX63" s="105" t="str">
        <f t="shared" si="2"/>
        <v>2018T1</v>
      </c>
      <c r="BY63" s="105" t="str">
        <f t="shared" si="2"/>
        <v>2018T2</v>
      </c>
      <c r="BZ63" s="105" t="str">
        <f t="shared" si="2"/>
        <v>2018T3</v>
      </c>
      <c r="CA63" s="105" t="str">
        <f t="shared" si="2"/>
        <v>2018T4</v>
      </c>
      <c r="CB63" s="105" t="str">
        <f t="shared" si="2"/>
        <v>2019T1</v>
      </c>
      <c r="CC63" s="105" t="str">
        <f t="shared" si="2"/>
        <v>2019T2</v>
      </c>
      <c r="CD63" s="105" t="str">
        <f t="shared" si="2"/>
        <v>2019T3</v>
      </c>
      <c r="CE63" s="105" t="str">
        <f t="shared" si="2"/>
        <v>2019T4</v>
      </c>
      <c r="CF63" s="105" t="str">
        <f t="shared" si="2"/>
        <v>2020T1</v>
      </c>
      <c r="CG63" s="105" t="str">
        <f t="shared" si="2"/>
        <v>2020T2</v>
      </c>
      <c r="CH63" s="105" t="str">
        <f t="shared" si="2"/>
        <v>2020T3</v>
      </c>
      <c r="CI63" s="105" t="str">
        <f t="shared" si="2"/>
        <v>2020T4</v>
      </c>
      <c r="CJ63" s="105" t="str">
        <f t="shared" si="2"/>
        <v>2021T1</v>
      </c>
      <c r="CK63" s="105" t="str">
        <f t="shared" si="2"/>
        <v>2021T2</v>
      </c>
      <c r="CL63" s="105" t="str">
        <f t="shared" si="2"/>
        <v>2021T3</v>
      </c>
      <c r="CM63" s="105" t="str">
        <f t="shared" si="2"/>
        <v>2021T4</v>
      </c>
      <c r="CN63" s="105" t="str">
        <f t="shared" si="2"/>
        <v>2022T1</v>
      </c>
      <c r="CO63" s="105" t="str">
        <f t="shared" si="2"/>
        <v>2022T2</v>
      </c>
      <c r="CP63" s="105" t="str">
        <f t="shared" si="2"/>
        <v>2022T3</v>
      </c>
      <c r="CQ63" s="105" t="str">
        <f t="shared" ref="CQ63:CZ63" si="3">CQ4</f>
        <v>2022T4</v>
      </c>
      <c r="CR63" s="105" t="str">
        <f t="shared" si="3"/>
        <v>2023T1</v>
      </c>
      <c r="CS63" s="105" t="str">
        <f t="shared" si="3"/>
        <v>2023T2</v>
      </c>
      <c r="CT63" s="105" t="str">
        <f t="shared" si="3"/>
        <v>2023T3</v>
      </c>
      <c r="CU63" s="105" t="str">
        <f t="shared" si="3"/>
        <v>2023T4</v>
      </c>
      <c r="CV63" s="105" t="str">
        <f t="shared" si="3"/>
        <v>2024T1</v>
      </c>
      <c r="CW63" s="105" t="str">
        <f t="shared" si="3"/>
        <v>2024T2</v>
      </c>
      <c r="CX63" s="105" t="str">
        <f t="shared" si="3"/>
        <v>2024T3</v>
      </c>
      <c r="CY63" s="105" t="str">
        <f t="shared" si="3"/>
        <v>2024T4</v>
      </c>
      <c r="CZ63" s="105" t="str">
        <f t="shared" si="3"/>
        <v>2025T1</v>
      </c>
    </row>
    <row r="64" spans="1:104" s="1" customFormat="1" ht="10.199999999999999" x14ac:dyDescent="0.2">
      <c r="A64" s="30"/>
      <c r="B64" s="73" t="s">
        <v>41</v>
      </c>
      <c r="C64" s="71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 t="str">
        <f>IF(OR(IPC!F64="",IPC!E64="",IPC!D64=""),"",AVERAGE(IPC!D64:F64))</f>
        <v/>
      </c>
      <c r="AW64" s="7" t="str">
        <f>IF(OR(IPC!I64="",IPC!H64="",IPC!G64=""),"",AVERAGE(IPC!G64:I64))</f>
        <v/>
      </c>
      <c r="AX64" s="7" t="str">
        <f>IF(OR(IPC!L64="",IPC!K64="",IPC!J64=""),"",AVERAGE(IPC!J64:L64))</f>
        <v/>
      </c>
      <c r="AY64" s="7" t="str">
        <f>IF(OR(IPC!O64="",IPC!N64="",IPC!M64=""),"",AVERAGE(IPC!M64:O64))</f>
        <v/>
      </c>
      <c r="AZ64" s="7" t="str">
        <f>IF(OR(IPC!R64="",IPC!Q64="",IPC!P64=""),"",AVERAGE(IPC!P64:R64))</f>
        <v/>
      </c>
      <c r="BA64" s="7" t="str">
        <f>IF(OR(IPC!U64="",IPC!T64="",IPC!S64=""),"",AVERAGE(IPC!S64:U64))</f>
        <v/>
      </c>
      <c r="BB64" s="7" t="str">
        <f>IF(OR(IPC!X64="",IPC!W64="",IPC!V64=""),"",AVERAGE(IPC!V64:X64))</f>
        <v/>
      </c>
      <c r="BC64" s="7" t="str">
        <f>IF(OR(IPC!AA64="",IPC!Z64="",IPC!Y64=""),"",AVERAGE(IPC!Y64:AA64))</f>
        <v/>
      </c>
      <c r="BD64" s="7" t="str">
        <f>IF(OR(IPC!AD64="",IPC!AC64="",IPC!AB64=""),"",AVERAGE(IPC!AB64:AD64))</f>
        <v/>
      </c>
      <c r="BE64" s="7" t="str">
        <f>IF(OR(IPC!AG64="",IPC!AF64="",IPC!AE64=""),"",AVERAGE(IPC!AE64:AG64))</f>
        <v/>
      </c>
      <c r="BF64" s="7" t="str">
        <f>IF(OR(IPC!AJ64="",IPC!AI64="",IPC!AH64=""),"",AVERAGE(IPC!AH64:AJ64))</f>
        <v/>
      </c>
      <c r="BG64" s="7" t="str">
        <f>IF(OR(IPC!AM64="",IPC!AL64="",IPC!AK64=""),"",AVERAGE(IPC!AK64:AM64))</f>
        <v/>
      </c>
      <c r="BH64" s="7" t="str">
        <f>IF(OR(IPC!AP64="",IPC!AO64="",IPC!AN64=""),"",AVERAGE(IPC!AN64:AP64))</f>
        <v/>
      </c>
      <c r="BI64" s="7" t="str">
        <f>IF(OR(IPC!AS64="",IPC!AR64="",IPC!AQ64=""),"",AVERAGE(IPC!AQ64:AS64))</f>
        <v/>
      </c>
      <c r="BJ64" s="7" t="str">
        <f>IF(OR(IPC!AV64="",IPC!AU64="",IPC!AT64=""),"",AVERAGE(IPC!AT64:AV64))</f>
        <v/>
      </c>
      <c r="BK64" s="7" t="str">
        <f>IF(OR(IPC!AY64="",IPC!AX64="",IPC!AW64=""),"",AVERAGE(IPC!AW64:AY64))</f>
        <v/>
      </c>
      <c r="BL64" s="7" t="str">
        <f>IF(OR(IPC!BB64="",IPC!BA64="",IPC!AZ64=""),"",AVERAGE(IPC!AZ64:BB64))</f>
        <v/>
      </c>
      <c r="BM64" s="7" t="str">
        <f>IF(OR(IPC!BE64="",IPC!BD64="",IPC!BC64=""),"",AVERAGE(IPC!BC64:BE64))</f>
        <v/>
      </c>
      <c r="BN64" s="7" t="str">
        <f>IF(OR(IPC!BH64="",IPC!BG64="",IPC!BF64=""),"",AVERAGE(IPC!BF64:BH64))</f>
        <v/>
      </c>
      <c r="BO64" s="7" t="str">
        <f>IF(OR(IPC!BK64="",IPC!BJ64="",IPC!BI64=""),"",AVERAGE(IPC!BI64:BK64))</f>
        <v/>
      </c>
      <c r="BP64" s="7" t="str">
        <f>IF(OR(IPC!BN64="",IPC!BM64="",IPC!BL64=""),"",AVERAGE(IPC!BL64:BN64))</f>
        <v/>
      </c>
      <c r="BQ64" s="7" t="str">
        <f>IF(OR(IPC!BQ64="",IPC!BP64="",IPC!BO64=""),"",AVERAGE(IPC!BO64:BQ64))</f>
        <v/>
      </c>
      <c r="BR64" s="7" t="str">
        <f>IF(OR(IPC!BT64="",IPC!BS64="",IPC!BR64=""),"",AVERAGE(IPC!BR64:BT64))</f>
        <v/>
      </c>
      <c r="BS64" s="7" t="str">
        <f>IF(OR(IPC!BW64="",IPC!BV64="",IPC!BU64=""),"",AVERAGE(IPC!BU64:BW64))</f>
        <v/>
      </c>
      <c r="BT64" s="7" t="str">
        <f>IF(OR(IPC!BZ64="",IPC!BY64="",IPC!BX64=""),"",AVERAGE(IPC!BX64:BZ64))</f>
        <v/>
      </c>
      <c r="BU64" s="7" t="str">
        <f>IF(OR(IPC!CC64="",IPC!CB64="",IPC!CA64=""),"",AVERAGE(IPC!CA64:CC64))</f>
        <v/>
      </c>
      <c r="BV64" s="7" t="str">
        <f>IF(OR(IPC!CF64="",IPC!CE64="",IPC!CD64=""),"",AVERAGE(IPC!CD64:CF64))</f>
        <v/>
      </c>
      <c r="BW64" s="7" t="str">
        <f>IF(OR(IPC!CI64="",IPC!CH64="",IPC!CG64=""),"",AVERAGE(IPC!CG64:CI64))</f>
        <v/>
      </c>
      <c r="BX64" s="7">
        <f>IF(OR(IPC!CL64="",IPC!CK64="",IPC!CJ64=""),"",AVERAGE(IPC!CJ64:CL64))</f>
        <v>96.227561079715443</v>
      </c>
      <c r="BY64" s="7">
        <f>IF(OR(IPC!CO64="",IPC!CN64="",IPC!CM64=""),"",AVERAGE(IPC!CM64:CO64))</f>
        <v>96.790089138176214</v>
      </c>
      <c r="BZ64" s="7">
        <f>IF(OR(IPC!CR64="",IPC!CQ64="",IPC!CP64=""),"",AVERAGE(IPC!CP64:CR64))</f>
        <v>96.849207692759094</v>
      </c>
      <c r="CA64" s="7">
        <f>IF(OR(IPC!CU64="",IPC!CT64="",IPC!CS64=""),"",AVERAGE(IPC!CS64:CU64))</f>
        <v>99.672553751359558</v>
      </c>
      <c r="CB64" s="7">
        <f>IF(OR(IPC!CX64="",IPC!CW64="",IPC!CV64=""),"",AVERAGE(IPC!CV64:CX64))</f>
        <v>100.92228402589421</v>
      </c>
      <c r="CC64" s="7">
        <f>IF(OR(IPC!DA64="",IPC!CZ64="",IPC!CY64=""),"",AVERAGE(IPC!CY64:DA64))</f>
        <v>100.3932702766204</v>
      </c>
      <c r="CD64" s="7">
        <f>IF(OR(IPC!DD64="",IPC!DC64="",IPC!DB64=""),"",AVERAGE(IPC!DB64:DD64))</f>
        <v>99.683645121852734</v>
      </c>
      <c r="CE64" s="7">
        <f>IF(OR(IPC!DG64="",IPC!DF64="",IPC!DE64=""),"",AVERAGE(IPC!DE64:DG64))</f>
        <v>99.000800575632567</v>
      </c>
      <c r="CF64" s="7">
        <f>IF(OR(IPC!DJ64="",IPC!DI64="",IPC!DH64=""),"",AVERAGE(IPC!DH64:DJ64))</f>
        <v>100.48764674706786</v>
      </c>
      <c r="CG64" s="7">
        <f>IF(OR(IPC!DM64="",IPC!DL64="",IPC!DK64=""),"",AVERAGE(IPC!DK64:DM64))</f>
        <v>103.66178316776681</v>
      </c>
      <c r="CH64" s="7">
        <f>IF(OR(IPC!DP64="",IPC!DO64="",IPC!DN64=""),"",AVERAGE(IPC!DN64:DP64))</f>
        <v>102.31678616074349</v>
      </c>
      <c r="CI64" s="7">
        <f>IF(OR(IPC!DS64="",IPC!DR64="",IPC!DQ64=""),"",AVERAGE(IPC!DQ64:DS64))</f>
        <v>102.74922119451942</v>
      </c>
      <c r="CJ64" s="7">
        <f>IF(OR(IPC!DV64="",IPC!DU64="",IPC!DT64=""),"",AVERAGE(IPC!DT64:DV64))</f>
        <v>105.01693423666667</v>
      </c>
      <c r="CK64" s="7">
        <f>IF(OR(IPC!DY64="",IPC!DX64="",IPC!DW64=""),"",AVERAGE(IPC!DW64:DY64))</f>
        <v>106.84517125333332</v>
      </c>
      <c r="CL64" s="7">
        <f>IF(OR(IPC!EB64="",IPC!EA64="",IPC!DZ64=""),"",AVERAGE(IPC!DZ64:EB64))</f>
        <v>104.93201864333334</v>
      </c>
      <c r="CM64" s="7">
        <f>IF(OR(IPC!EE64="",IPC!ED64="",IPC!EC64=""),"",AVERAGE(IPC!EC64:EE64))</f>
        <v>103.91687662666665</v>
      </c>
      <c r="CN64" s="7">
        <f>IF(OR(IPC!EH64="",IPC!EG64="",IPC!EF64=""),"",AVERAGE(IPC!EF64:EH64))</f>
        <v>107.10317466922623</v>
      </c>
      <c r="CO64" s="7">
        <f>IF(OR(IPC!EK64="",IPC!EJ64="",IPC!EI64=""),"",AVERAGE(IPC!EI64:EK64))</f>
        <v>113.77251383714632</v>
      </c>
      <c r="CP64" s="7">
        <f>IF(OR(IPC!EN64="",IPC!EM64="",IPC!EL64=""),"",AVERAGE(IPC!EL64:EN64))</f>
        <v>111.45493055351228</v>
      </c>
      <c r="CQ64" s="7">
        <f>IF(OR(IPC!EQ64="",IPC!EP64="",IPC!EO64=""),"",AVERAGE(IPC!EO64:EQ64))</f>
        <v>111.85357967172212</v>
      </c>
      <c r="CR64" s="7">
        <f>IF(OR(IPC!ET64="",IPC!ES64="",IPC!ER64=""),"",AVERAGE(IPC!ER64:ET64))</f>
        <v>115.53867289783346</v>
      </c>
      <c r="CS64" s="7">
        <f>IF(OR(IPC!EW64="",IPC!EV64="",IPC!EU64=""),"",AVERAGE(IPC!EU64:EW64))</f>
        <v>114.44047785987919</v>
      </c>
      <c r="CT64" s="7">
        <f>IF(OR(IPC!EZ64="",IPC!EY64="",IPC!EX64=""),"",AVERAGE(IPC!EX64:EZ64))</f>
        <v>113.20873478827832</v>
      </c>
      <c r="CU64" s="7">
        <f>IF(OR(IPC!FC64="",IPC!FB64="",IPC!FA64=""),"",AVERAGE(IPC!FA64:FC64))</f>
        <v>114.25018310042583</v>
      </c>
      <c r="CV64" s="7">
        <f>IF(OR(IPC!FF64="",IPC!FE64="",IPC!FD64=""),"",AVERAGE(IPC!FD64:FF64))</f>
        <v>115.52673845534069</v>
      </c>
      <c r="CW64" s="7">
        <f>IF(OR(IPC!FI64="",IPC!FH64="",IPC!FG64=""),"",AVERAGE(IPC!FG64:FI64))</f>
        <v>115.52975605546936</v>
      </c>
      <c r="CX64" s="7">
        <f>IF(OR(IPC!FL64="",IPC!FK64="",IPC!FJ64=""),"",AVERAGE(IPC!FJ64:FL64))</f>
        <v>115.18975287893676</v>
      </c>
      <c r="CY64" s="7">
        <f>IF(OR(IPC!FO64="",IPC!FN64="",IPC!FM64=""),"",AVERAGE(IPC!FM64:FO64))</f>
        <v>117.95782734221109</v>
      </c>
      <c r="CZ64" s="7">
        <f>IF(OR(IPC!FR64="",IPC!FQ64="",IPC!FP64=""),"",AVERAGE(IPC!FP64:FR64))</f>
        <v>118.51991382663077</v>
      </c>
    </row>
    <row r="65" spans="1:104" s="1" customFormat="1" ht="10.199999999999999" x14ac:dyDescent="0.2">
      <c r="A65" s="30"/>
      <c r="B65" s="73" t="s">
        <v>42</v>
      </c>
      <c r="C65" s="71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 t="str">
        <f>IF(OR(IPC!F65="",IPC!E65="",IPC!D65=""),"",AVERAGE(IPC!D65:F65))</f>
        <v/>
      </c>
      <c r="AW65" s="7" t="str">
        <f>IF(OR(IPC!I65="",IPC!H65="",IPC!G65=""),"",AVERAGE(IPC!G65:I65))</f>
        <v/>
      </c>
      <c r="AX65" s="7" t="str">
        <f>IF(OR(IPC!L65="",IPC!K65="",IPC!J65=""),"",AVERAGE(IPC!J65:L65))</f>
        <v/>
      </c>
      <c r="AY65" s="7" t="str">
        <f>IF(OR(IPC!O65="",IPC!N65="",IPC!M65=""),"",AVERAGE(IPC!M65:O65))</f>
        <v/>
      </c>
      <c r="AZ65" s="7" t="str">
        <f>IF(OR(IPC!R65="",IPC!Q65="",IPC!P65=""),"",AVERAGE(IPC!P65:R65))</f>
        <v/>
      </c>
      <c r="BA65" s="7" t="str">
        <f>IF(OR(IPC!U65="",IPC!T65="",IPC!S65=""),"",AVERAGE(IPC!S65:U65))</f>
        <v/>
      </c>
      <c r="BB65" s="7" t="str">
        <f>IF(OR(IPC!X65="",IPC!W65="",IPC!V65=""),"",AVERAGE(IPC!V65:X65))</f>
        <v/>
      </c>
      <c r="BC65" s="7" t="str">
        <f>IF(OR(IPC!AA65="",IPC!Z65="",IPC!Y65=""),"",AVERAGE(IPC!Y65:AA65))</f>
        <v/>
      </c>
      <c r="BD65" s="7" t="str">
        <f>IF(OR(IPC!AD65="",IPC!AC65="",IPC!AB65=""),"",AVERAGE(IPC!AB65:AD65))</f>
        <v/>
      </c>
      <c r="BE65" s="7" t="str">
        <f>IF(OR(IPC!AG65="",IPC!AF65="",IPC!AE65=""),"",AVERAGE(IPC!AE65:AG65))</f>
        <v/>
      </c>
      <c r="BF65" s="7" t="str">
        <f>IF(OR(IPC!AJ65="",IPC!AI65="",IPC!AH65=""),"",AVERAGE(IPC!AH65:AJ65))</f>
        <v/>
      </c>
      <c r="BG65" s="7" t="str">
        <f>IF(OR(IPC!AM65="",IPC!AL65="",IPC!AK65=""),"",AVERAGE(IPC!AK65:AM65))</f>
        <v/>
      </c>
      <c r="BH65" s="7" t="str">
        <f>IF(OR(IPC!AP65="",IPC!AO65="",IPC!AN65=""),"",AVERAGE(IPC!AN65:AP65))</f>
        <v/>
      </c>
      <c r="BI65" s="7" t="str">
        <f>IF(OR(IPC!AS65="",IPC!AR65="",IPC!AQ65=""),"",AVERAGE(IPC!AQ65:AS65))</f>
        <v/>
      </c>
      <c r="BJ65" s="7" t="str">
        <f>IF(OR(IPC!AV65="",IPC!AU65="",IPC!AT65=""),"",AVERAGE(IPC!AT65:AV65))</f>
        <v/>
      </c>
      <c r="BK65" s="7" t="str">
        <f>IF(OR(IPC!AY65="",IPC!AX65="",IPC!AW65=""),"",AVERAGE(IPC!AW65:AY65))</f>
        <v/>
      </c>
      <c r="BL65" s="7" t="str">
        <f>IF(OR(IPC!BB65="",IPC!BA65="",IPC!AZ65=""),"",AVERAGE(IPC!AZ65:BB65))</f>
        <v/>
      </c>
      <c r="BM65" s="7" t="str">
        <f>IF(OR(IPC!BE65="",IPC!BD65="",IPC!BC65=""),"",AVERAGE(IPC!BC65:BE65))</f>
        <v/>
      </c>
      <c r="BN65" s="7" t="str">
        <f>IF(OR(IPC!BH65="",IPC!BG65="",IPC!BF65=""),"",AVERAGE(IPC!BF65:BH65))</f>
        <v/>
      </c>
      <c r="BO65" s="7" t="str">
        <f>IF(OR(IPC!BK65="",IPC!BJ65="",IPC!BI65=""),"",AVERAGE(IPC!BI65:BK65))</f>
        <v/>
      </c>
      <c r="BP65" s="7" t="str">
        <f>IF(OR(IPC!BN65="",IPC!BM65="",IPC!BL65=""),"",AVERAGE(IPC!BL65:BN65))</f>
        <v/>
      </c>
      <c r="BQ65" s="7" t="str">
        <f>IF(OR(IPC!BQ65="",IPC!BP65="",IPC!BO65=""),"",AVERAGE(IPC!BO65:BQ65))</f>
        <v/>
      </c>
      <c r="BR65" s="7" t="str">
        <f>IF(OR(IPC!BT65="",IPC!BS65="",IPC!BR65=""),"",AVERAGE(IPC!BR65:BT65))</f>
        <v/>
      </c>
      <c r="BS65" s="7" t="str">
        <f>IF(OR(IPC!BW65="",IPC!BV65="",IPC!BU65=""),"",AVERAGE(IPC!BU65:BW65))</f>
        <v/>
      </c>
      <c r="BT65" s="7" t="str">
        <f>IF(OR(IPC!BZ65="",IPC!BY65="",IPC!BX65=""),"",AVERAGE(IPC!BX65:BZ65))</f>
        <v/>
      </c>
      <c r="BU65" s="7" t="str">
        <f>IF(OR(IPC!CC65="",IPC!CB65="",IPC!CA65=""),"",AVERAGE(IPC!CA65:CC65))</f>
        <v/>
      </c>
      <c r="BV65" s="7" t="str">
        <f>IF(OR(IPC!CF65="",IPC!CE65="",IPC!CD65=""),"",AVERAGE(IPC!CD65:CF65))</f>
        <v/>
      </c>
      <c r="BW65" s="7" t="str">
        <f>IF(OR(IPC!CI65="",IPC!CH65="",IPC!CG65=""),"",AVERAGE(IPC!CG65:CI65))</f>
        <v/>
      </c>
      <c r="BX65" s="7">
        <f>IF(OR(IPC!CL65="",IPC!CK65="",IPC!CJ65=""),"",AVERAGE(IPC!CJ65:CL65))</f>
        <v>99.733016361142589</v>
      </c>
      <c r="BY65" s="7">
        <f>IF(OR(IPC!CO65="",IPC!CN65="",IPC!CM65=""),"",AVERAGE(IPC!CM65:CO65))</f>
        <v>99.83216582980252</v>
      </c>
      <c r="BZ65" s="7">
        <f>IF(OR(IPC!CR65="",IPC!CQ65="",IPC!CP65=""),"",AVERAGE(IPC!CP65:CR65))</f>
        <v>100.09947364456509</v>
      </c>
      <c r="CA65" s="7">
        <f>IF(OR(IPC!CU65="",IPC!CT65="",IPC!CS65=""),"",AVERAGE(IPC!CS65:CU65))</f>
        <v>100.33534416448977</v>
      </c>
      <c r="CB65" s="7">
        <f>IF(OR(IPC!CX65="",IPC!CW65="",IPC!CV65=""),"",AVERAGE(IPC!CV65:CX65))</f>
        <v>100.73184374336212</v>
      </c>
      <c r="CC65" s="7">
        <f>IF(OR(IPC!DA65="",IPC!CZ65="",IPC!CY65=""),"",AVERAGE(IPC!CY65:DA65))</f>
        <v>101.20327797443593</v>
      </c>
      <c r="CD65" s="7">
        <f>IF(OR(IPC!DD65="",IPC!DC65="",IPC!DB65=""),"",AVERAGE(IPC!DB65:DD65))</f>
        <v>101.64794372699282</v>
      </c>
      <c r="CE65" s="7">
        <f>IF(OR(IPC!DG65="",IPC!DF65="",IPC!DE65=""),"",AVERAGE(IPC!DE65:DG65))</f>
        <v>102.63278432176263</v>
      </c>
      <c r="CF65" s="7">
        <f>IF(OR(IPC!DJ65="",IPC!DI65="",IPC!DH65=""),"",AVERAGE(IPC!DH65:DJ65))</f>
        <v>101.33333333333333</v>
      </c>
      <c r="CG65" s="7">
        <f>IF(OR(IPC!DM65="",IPC!DL65="",IPC!DK65=""),"",AVERAGE(IPC!DK65:DM65))</f>
        <v>102.89999999999999</v>
      </c>
      <c r="CH65" s="7">
        <f>IF(OR(IPC!DP65="",IPC!DO65="",IPC!DN65=""),"",AVERAGE(IPC!DN65:DP65))</f>
        <v>101.13333333333333</v>
      </c>
      <c r="CI65" s="7">
        <f>IF(OR(IPC!DS65="",IPC!DR65="",IPC!DQ65=""),"",AVERAGE(IPC!DQ65:DS65))</f>
        <v>101.73333333333333</v>
      </c>
      <c r="CJ65" s="7">
        <f>IF(OR(IPC!DV65="",IPC!DU65="",IPC!DT65=""),"",AVERAGE(IPC!DT65:DV65))</f>
        <v>103.5</v>
      </c>
      <c r="CK65" s="7">
        <f>IF(OR(IPC!DY65="",IPC!DX65="",IPC!DW65=""),"",AVERAGE(IPC!DW65:DY65))</f>
        <v>103.89999999999999</v>
      </c>
      <c r="CL65" s="7">
        <f>IF(OR(IPC!EB65="",IPC!EA65="",IPC!DZ65=""),"",AVERAGE(IPC!DZ65:EB65))</f>
        <v>103.83333333333333</v>
      </c>
      <c r="CM65" s="7">
        <f>IF(OR(IPC!EE65="",IPC!ED65="",IPC!EC65=""),"",AVERAGE(IPC!EC65:EE65))</f>
        <v>103.86666666666667</v>
      </c>
      <c r="CN65" s="7">
        <f>IF(OR(IPC!EH65="",IPC!EG65="",IPC!EF65=""),"",AVERAGE(IPC!EF65:EH65))</f>
        <v>106.05935541459617</v>
      </c>
      <c r="CO65" s="7">
        <f>IF(OR(IPC!EK65="",IPC!EJ65="",IPC!EI65=""),"",AVERAGE(IPC!EI65:EK65))</f>
        <v>107.26998529741439</v>
      </c>
      <c r="CP65" s="7">
        <f>IF(OR(IPC!EN65="",IPC!EM65="",IPC!EL65=""),"",AVERAGE(IPC!EL65:EN65))</f>
        <v>107.12301019832006</v>
      </c>
      <c r="CQ65" s="7">
        <f>IF(OR(IPC!EQ65="",IPC!EP65="",IPC!EO65=""),"",AVERAGE(IPC!EO65:EQ65))</f>
        <v>107.26702220084456</v>
      </c>
      <c r="CR65" s="7">
        <f>IF(OR(IPC!ET65="",IPC!ES65="",IPC!ER65=""),"",AVERAGE(IPC!ER65:ET65))</f>
        <v>109.42958208956965</v>
      </c>
      <c r="CS65" s="7">
        <f>IF(OR(IPC!EW65="",IPC!EV65="",IPC!EU65=""),"",AVERAGE(IPC!EU65:EW65))</f>
        <v>111.36182773762683</v>
      </c>
      <c r="CT65" s="7">
        <f>IF(OR(IPC!EZ65="",IPC!EY65="",IPC!EX65=""),"",AVERAGE(IPC!EX65:EZ65))</f>
        <v>112.55828748651486</v>
      </c>
      <c r="CU65" s="7">
        <f>IF(OR(IPC!FC65="",IPC!FB65="",IPC!FA65=""),"",AVERAGE(IPC!FA65:FC65))</f>
        <v>112.76539586652036</v>
      </c>
      <c r="CV65" s="7">
        <f>IF(OR(IPC!FF65="",IPC!FE65="",IPC!FD65=""),"",AVERAGE(IPC!FD65:FF65))</f>
        <v>112.07158675140896</v>
      </c>
      <c r="CW65" s="7">
        <f>IF(OR(IPC!FI65="",IPC!FH65="",IPC!FG65=""),"",AVERAGE(IPC!FG65:FI65))</f>
        <v>114.88785520297188</v>
      </c>
      <c r="CX65" s="7">
        <f>IF(OR(IPC!FL65="",IPC!FK65="",IPC!FJ65=""),"",AVERAGE(IPC!FJ65:FL65))</f>
        <v>115.93976567973526</v>
      </c>
      <c r="CY65" s="7">
        <f>IF(OR(IPC!FO65="",IPC!FN65="",IPC!FM65=""),"",AVERAGE(IPC!FM65:FO65))</f>
        <v>116.89887112822841</v>
      </c>
      <c r="CZ65" s="7">
        <f>IF(OR(IPC!FR65="",IPC!FQ65="",IPC!FP65=""),"",AVERAGE(IPC!FP65:FR65))</f>
        <v>119.02673904530968</v>
      </c>
    </row>
    <row r="66" spans="1:104" s="1" customFormat="1" ht="10.199999999999999" x14ac:dyDescent="0.2">
      <c r="A66" s="30"/>
      <c r="B66" s="73" t="s">
        <v>43</v>
      </c>
      <c r="C66" s="71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 t="str">
        <f>IF(OR(IPC!F66="",IPC!E66="",IPC!D66=""),"",AVERAGE(IPC!D66:F66))</f>
        <v/>
      </c>
      <c r="AW66" s="7" t="str">
        <f>IF(OR(IPC!I66="",IPC!H66="",IPC!G66=""),"",AVERAGE(IPC!G66:I66))</f>
        <v/>
      </c>
      <c r="AX66" s="7" t="str">
        <f>IF(OR(IPC!L66="",IPC!K66="",IPC!J66=""),"",AVERAGE(IPC!J66:L66))</f>
        <v/>
      </c>
      <c r="AY66" s="7" t="str">
        <f>IF(OR(IPC!O66="",IPC!N66="",IPC!M66=""),"",AVERAGE(IPC!M66:O66))</f>
        <v/>
      </c>
      <c r="AZ66" s="7" t="str">
        <f>IF(OR(IPC!R66="",IPC!Q66="",IPC!P66=""),"",AVERAGE(IPC!P66:R66))</f>
        <v/>
      </c>
      <c r="BA66" s="7" t="str">
        <f>IF(OR(IPC!U66="",IPC!T66="",IPC!S66=""),"",AVERAGE(IPC!S66:U66))</f>
        <v/>
      </c>
      <c r="BB66" s="7" t="str">
        <f>IF(OR(IPC!X66="",IPC!W66="",IPC!V66=""),"",AVERAGE(IPC!V66:X66))</f>
        <v/>
      </c>
      <c r="BC66" s="7" t="str">
        <f>IF(OR(IPC!AA66="",IPC!Z66="",IPC!Y66=""),"",AVERAGE(IPC!Y66:AA66))</f>
        <v/>
      </c>
      <c r="BD66" s="7" t="str">
        <f>IF(OR(IPC!AD66="",IPC!AC66="",IPC!AB66=""),"",AVERAGE(IPC!AB66:AD66))</f>
        <v/>
      </c>
      <c r="BE66" s="7" t="str">
        <f>IF(OR(IPC!AG66="",IPC!AF66="",IPC!AE66=""),"",AVERAGE(IPC!AE66:AG66))</f>
        <v/>
      </c>
      <c r="BF66" s="7" t="str">
        <f>IF(OR(IPC!AJ66="",IPC!AI66="",IPC!AH66=""),"",AVERAGE(IPC!AH66:AJ66))</f>
        <v/>
      </c>
      <c r="BG66" s="7" t="str">
        <f>IF(OR(IPC!AM66="",IPC!AL66="",IPC!AK66=""),"",AVERAGE(IPC!AK66:AM66))</f>
        <v/>
      </c>
      <c r="BH66" s="7" t="str">
        <f>IF(OR(IPC!AP66="",IPC!AO66="",IPC!AN66=""),"",AVERAGE(IPC!AN66:AP66))</f>
        <v/>
      </c>
      <c r="BI66" s="7" t="str">
        <f>IF(OR(IPC!AS66="",IPC!AR66="",IPC!AQ66=""),"",AVERAGE(IPC!AQ66:AS66))</f>
        <v/>
      </c>
      <c r="BJ66" s="7" t="str">
        <f>IF(OR(IPC!AV66="",IPC!AU66="",IPC!AT66=""),"",AVERAGE(IPC!AT66:AV66))</f>
        <v/>
      </c>
      <c r="BK66" s="7" t="str">
        <f>IF(OR(IPC!AY66="",IPC!AX66="",IPC!AW66=""),"",AVERAGE(IPC!AW66:AY66))</f>
        <v/>
      </c>
      <c r="BL66" s="7" t="str">
        <f>IF(OR(IPC!BB66="",IPC!BA66="",IPC!AZ66=""),"",AVERAGE(IPC!AZ66:BB66))</f>
        <v/>
      </c>
      <c r="BM66" s="7" t="str">
        <f>IF(OR(IPC!BE66="",IPC!BD66="",IPC!BC66=""),"",AVERAGE(IPC!BC66:BE66))</f>
        <v/>
      </c>
      <c r="BN66" s="7" t="str">
        <f>IF(OR(IPC!BH66="",IPC!BG66="",IPC!BF66=""),"",AVERAGE(IPC!BF66:BH66))</f>
        <v/>
      </c>
      <c r="BO66" s="7" t="str">
        <f>IF(OR(IPC!BK66="",IPC!BJ66="",IPC!BI66=""),"",AVERAGE(IPC!BI66:BK66))</f>
        <v/>
      </c>
      <c r="BP66" s="7" t="str">
        <f>IF(OR(IPC!BN66="",IPC!BM66="",IPC!BL66=""),"",AVERAGE(IPC!BL66:BN66))</f>
        <v/>
      </c>
      <c r="BQ66" s="7" t="str">
        <f>IF(OR(IPC!BQ66="",IPC!BP66="",IPC!BO66=""),"",AVERAGE(IPC!BO66:BQ66))</f>
        <v/>
      </c>
      <c r="BR66" s="7" t="str">
        <f>IF(OR(IPC!BT66="",IPC!BS66="",IPC!BR66=""),"",AVERAGE(IPC!BR66:BT66))</f>
        <v/>
      </c>
      <c r="BS66" s="7" t="str">
        <f>IF(OR(IPC!BW66="",IPC!BV66="",IPC!BU66=""),"",AVERAGE(IPC!BU66:BW66))</f>
        <v/>
      </c>
      <c r="BT66" s="7" t="str">
        <f>IF(OR(IPC!BZ66="",IPC!BY66="",IPC!BX66=""),"",AVERAGE(IPC!BX66:BZ66))</f>
        <v/>
      </c>
      <c r="BU66" s="7" t="str">
        <f>IF(OR(IPC!CC66="",IPC!CB66="",IPC!CA66=""),"",AVERAGE(IPC!CA66:CC66))</f>
        <v/>
      </c>
      <c r="BV66" s="7" t="str">
        <f>IF(OR(IPC!CF66="",IPC!CE66="",IPC!CD66=""),"",AVERAGE(IPC!CD66:CF66))</f>
        <v/>
      </c>
      <c r="BW66" s="7" t="str">
        <f>IF(OR(IPC!CI66="",IPC!CH66="",IPC!CG66=""),"",AVERAGE(IPC!CG66:CI66))</f>
        <v/>
      </c>
      <c r="BX66" s="7">
        <f>IF(OR(IPC!CL66="",IPC!CK66="",IPC!CJ66=""),"",AVERAGE(IPC!CJ66:CL66))</f>
        <v>97.269646910301446</v>
      </c>
      <c r="BY66" s="7">
        <f>IF(OR(IPC!CO66="",IPC!CN66="",IPC!CM66=""),"",AVERAGE(IPC!CM66:CO66))</f>
        <v>99.797668858708604</v>
      </c>
      <c r="BZ66" s="7">
        <f>IF(OR(IPC!CR66="",IPC!CQ66="",IPC!CP66=""),"",AVERAGE(IPC!CP66:CR66))</f>
        <v>101.07323702644747</v>
      </c>
      <c r="CA66" s="7">
        <f>IF(OR(IPC!CU66="",IPC!CT66="",IPC!CS66=""),"",AVERAGE(IPC!CS66:CU66))</f>
        <v>101.83039811770313</v>
      </c>
      <c r="CB66" s="7">
        <f>IF(OR(IPC!CX66="",IPC!CW66="",IPC!CV66=""),"",AVERAGE(IPC!CV66:CX66))</f>
        <v>100.08593533333334</v>
      </c>
      <c r="CC66" s="7">
        <f>IF(OR(IPC!DA66="",IPC!CZ66="",IPC!CY66=""),"",AVERAGE(IPC!CY66:DA66))</f>
        <v>100.85634633333332</v>
      </c>
      <c r="CD66" s="7">
        <f>IF(OR(IPC!DD66="",IPC!DC66="",IPC!DB66=""),"",AVERAGE(IPC!DB66:DD66))</f>
        <v>100.84923700000002</v>
      </c>
      <c r="CE66" s="7">
        <f>IF(OR(IPC!DG66="",IPC!DF66="",IPC!DE66=""),"",AVERAGE(IPC!DE66:DG66))</f>
        <v>100.91341766666666</v>
      </c>
      <c r="CF66" s="7">
        <f>IF(OR(IPC!DJ66="",IPC!DI66="",IPC!DH66=""),"",AVERAGE(IPC!DH66:DJ66))</f>
        <v>101.03333333333335</v>
      </c>
      <c r="CG66" s="7">
        <f>IF(OR(IPC!DM66="",IPC!DL66="",IPC!DK66=""),"",AVERAGE(IPC!DK66:DM66))</f>
        <v>101.93276766666668</v>
      </c>
      <c r="CH66" s="7">
        <f>IF(OR(IPC!DP66="",IPC!DO66="",IPC!DN66=""),"",AVERAGE(IPC!DN66:DP66))</f>
        <v>102.7</v>
      </c>
      <c r="CI66" s="7">
        <f>IF(OR(IPC!DS66="",IPC!DR66="",IPC!DQ66=""),"",AVERAGE(IPC!DQ66:DS66))</f>
        <v>102.69333333333334</v>
      </c>
      <c r="CJ66" s="7">
        <f>IF(OR(IPC!DV66="",IPC!DU66="",IPC!DT66=""),"",AVERAGE(IPC!DT66:DV66))</f>
        <v>102.69999999999999</v>
      </c>
      <c r="CK66" s="7">
        <f>IF(OR(IPC!DY66="",IPC!DX66="",IPC!DW66=""),"",AVERAGE(IPC!DW66:DY66))</f>
        <v>102.88</v>
      </c>
      <c r="CL66" s="7">
        <f>IF(OR(IPC!EB66="",IPC!EA66="",IPC!DZ66=""),"",AVERAGE(IPC!DZ66:EB66))</f>
        <v>103.33333333333333</v>
      </c>
      <c r="CM66" s="7">
        <f>IF(OR(IPC!EE66="",IPC!ED66="",IPC!EC66=""),"",AVERAGE(IPC!EC66:EE66))</f>
        <v>103.96666666666665</v>
      </c>
      <c r="CN66" s="7">
        <f>IF(OR(IPC!EH66="",IPC!EG66="",IPC!EF66=""),"",AVERAGE(IPC!EF66:EH66))</f>
        <v>105.15466666666667</v>
      </c>
      <c r="CO66" s="7">
        <f>IF(OR(IPC!EK66="",IPC!EJ66="",IPC!EI66=""),"",AVERAGE(IPC!EI66:EK66))</f>
        <v>106.52333333333333</v>
      </c>
      <c r="CP66" s="7">
        <f>IF(OR(IPC!EN66="",IPC!EM66="",IPC!EL66=""),"",AVERAGE(IPC!EL66:EN66))</f>
        <v>108.96</v>
      </c>
      <c r="CQ66" s="7">
        <f>IF(OR(IPC!EQ66="",IPC!EP66="",IPC!EO66=""),"",AVERAGE(IPC!EO66:EQ66))</f>
        <v>109.74</v>
      </c>
      <c r="CR66" s="7">
        <f>IF(OR(IPC!ET66="",IPC!ES66="",IPC!ER66=""),"",AVERAGE(IPC!ER66:ET66))</f>
        <v>110.21</v>
      </c>
      <c r="CS66" s="7">
        <f>IF(OR(IPC!EW66="",IPC!EV66="",IPC!EU66=""),"",AVERAGE(IPC!EU66:EW66))</f>
        <v>111.19541860580433</v>
      </c>
      <c r="CT66" s="7">
        <f>IF(OR(IPC!EZ66="",IPC!EY66="",IPC!EX66=""),"",AVERAGE(IPC!EX66:EZ66))</f>
        <v>112.14197874069167</v>
      </c>
      <c r="CU66" s="7">
        <f>IF(OR(IPC!FC66="",IPC!FB66="",IPC!FA66=""),"",AVERAGE(IPC!FA66:FC66))</f>
        <v>112.36068407694434</v>
      </c>
      <c r="CV66" s="7">
        <f>IF(OR(IPC!FF66="",IPC!FE66="",IPC!FD66=""),"",AVERAGE(IPC!FD66:FF66))</f>
        <v>112.47746944427433</v>
      </c>
      <c r="CW66" s="7">
        <f>IF(OR(IPC!FI66="",IPC!FH66="",IPC!FG66=""),"",AVERAGE(IPC!FG66:FI66))</f>
        <v>112.66644001007035</v>
      </c>
      <c r="CX66" s="7">
        <f>IF(OR(IPC!FL66="",IPC!FK66="",IPC!FJ66=""),"",AVERAGE(IPC!FJ66:FL66))</f>
        <v>112.71062707901001</v>
      </c>
      <c r="CY66" s="7">
        <f>IF(OR(IPC!FO66="",IPC!FN66="",IPC!FM66=""),"",AVERAGE(IPC!FM66:FO66))</f>
        <v>113.36666666666667</v>
      </c>
      <c r="CZ66" s="7">
        <f>IF(OR(IPC!FR66="",IPC!FQ66="",IPC!FP66=""),"",AVERAGE(IPC!FP66:FR66))</f>
        <v>114.00536549886067</v>
      </c>
    </row>
    <row r="67" spans="1:104" s="1" customFormat="1" ht="10.199999999999999" x14ac:dyDescent="0.2">
      <c r="A67" s="30"/>
      <c r="B67" s="73" t="s">
        <v>44</v>
      </c>
      <c r="C67" s="71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 t="str">
        <f>IF(OR(IPC!F67="",IPC!E67="",IPC!D67=""),"",AVERAGE(IPC!D67:F67))</f>
        <v/>
      </c>
      <c r="AW67" s="7" t="str">
        <f>IF(OR(IPC!I67="",IPC!H67="",IPC!G67=""),"",AVERAGE(IPC!G67:I67))</f>
        <v/>
      </c>
      <c r="AX67" s="7" t="str">
        <f>IF(OR(IPC!L67="",IPC!K67="",IPC!J67=""),"",AVERAGE(IPC!J67:L67))</f>
        <v/>
      </c>
      <c r="AY67" s="7" t="str">
        <f>IF(OR(IPC!O67="",IPC!N67="",IPC!M67=""),"",AVERAGE(IPC!M67:O67))</f>
        <v/>
      </c>
      <c r="AZ67" s="7" t="str">
        <f>IF(OR(IPC!R67="",IPC!Q67="",IPC!P67=""),"",AVERAGE(IPC!P67:R67))</f>
        <v/>
      </c>
      <c r="BA67" s="7" t="str">
        <f>IF(OR(IPC!U67="",IPC!T67="",IPC!S67=""),"",AVERAGE(IPC!S67:U67))</f>
        <v/>
      </c>
      <c r="BB67" s="7" t="str">
        <f>IF(OR(IPC!X67="",IPC!W67="",IPC!V67=""),"",AVERAGE(IPC!V67:X67))</f>
        <v/>
      </c>
      <c r="BC67" s="7" t="str">
        <f>IF(OR(IPC!AA67="",IPC!Z67="",IPC!Y67=""),"",AVERAGE(IPC!Y67:AA67))</f>
        <v/>
      </c>
      <c r="BD67" s="7" t="str">
        <f>IF(OR(IPC!AD67="",IPC!AC67="",IPC!AB67=""),"",AVERAGE(IPC!AB67:AD67))</f>
        <v/>
      </c>
      <c r="BE67" s="7" t="str">
        <f>IF(OR(IPC!AG67="",IPC!AF67="",IPC!AE67=""),"",AVERAGE(IPC!AE67:AG67))</f>
        <v/>
      </c>
      <c r="BF67" s="7" t="str">
        <f>IF(OR(IPC!AJ67="",IPC!AI67="",IPC!AH67=""),"",AVERAGE(IPC!AH67:AJ67))</f>
        <v/>
      </c>
      <c r="BG67" s="7" t="str">
        <f>IF(OR(IPC!AM67="",IPC!AL67="",IPC!AK67=""),"",AVERAGE(IPC!AK67:AM67))</f>
        <v/>
      </c>
      <c r="BH67" s="7" t="str">
        <f>IF(OR(IPC!AP67="",IPC!AO67="",IPC!AN67=""),"",AVERAGE(IPC!AN67:AP67))</f>
        <v/>
      </c>
      <c r="BI67" s="7" t="str">
        <f>IF(OR(IPC!AS67="",IPC!AR67="",IPC!AQ67=""),"",AVERAGE(IPC!AQ67:AS67))</f>
        <v/>
      </c>
      <c r="BJ67" s="7" t="str">
        <f>IF(OR(IPC!AV67="",IPC!AU67="",IPC!AT67=""),"",AVERAGE(IPC!AT67:AV67))</f>
        <v/>
      </c>
      <c r="BK67" s="7" t="str">
        <f>IF(OR(IPC!AY67="",IPC!AX67="",IPC!AW67=""),"",AVERAGE(IPC!AW67:AY67))</f>
        <v/>
      </c>
      <c r="BL67" s="7" t="str">
        <f>IF(OR(IPC!BB67="",IPC!BA67="",IPC!AZ67=""),"",AVERAGE(IPC!AZ67:BB67))</f>
        <v/>
      </c>
      <c r="BM67" s="7" t="str">
        <f>IF(OR(IPC!BE67="",IPC!BD67="",IPC!BC67=""),"",AVERAGE(IPC!BC67:BE67))</f>
        <v/>
      </c>
      <c r="BN67" s="7" t="str">
        <f>IF(OR(IPC!BH67="",IPC!BG67="",IPC!BF67=""),"",AVERAGE(IPC!BF67:BH67))</f>
        <v/>
      </c>
      <c r="BO67" s="7" t="str">
        <f>IF(OR(IPC!BK67="",IPC!BJ67="",IPC!BI67=""),"",AVERAGE(IPC!BI67:BK67))</f>
        <v/>
      </c>
      <c r="BP67" s="7" t="str">
        <f>IF(OR(IPC!BN67="",IPC!BM67="",IPC!BL67=""),"",AVERAGE(IPC!BL67:BN67))</f>
        <v/>
      </c>
      <c r="BQ67" s="7" t="str">
        <f>IF(OR(IPC!BQ67="",IPC!BP67="",IPC!BO67=""),"",AVERAGE(IPC!BO67:BQ67))</f>
        <v/>
      </c>
      <c r="BR67" s="7" t="str">
        <f>IF(OR(IPC!BT67="",IPC!BS67="",IPC!BR67=""),"",AVERAGE(IPC!BR67:BT67))</f>
        <v/>
      </c>
      <c r="BS67" s="7" t="str">
        <f>IF(OR(IPC!BW67="",IPC!BV67="",IPC!BU67=""),"",AVERAGE(IPC!BU67:BW67))</f>
        <v/>
      </c>
      <c r="BT67" s="7" t="str">
        <f>IF(OR(IPC!BZ67="",IPC!BY67="",IPC!BX67=""),"",AVERAGE(IPC!BX67:BZ67))</f>
        <v/>
      </c>
      <c r="BU67" s="7" t="str">
        <f>IF(OR(IPC!CC67="",IPC!CB67="",IPC!CA67=""),"",AVERAGE(IPC!CA67:CC67))</f>
        <v/>
      </c>
      <c r="BV67" s="7" t="str">
        <f>IF(OR(IPC!CF67="",IPC!CE67="",IPC!CD67=""),"",AVERAGE(IPC!CD67:CF67))</f>
        <v/>
      </c>
      <c r="BW67" s="7" t="str">
        <f>IF(OR(IPC!CI67="",IPC!CH67="",IPC!CG67=""),"",AVERAGE(IPC!CG67:CI67))</f>
        <v/>
      </c>
      <c r="BX67" s="7">
        <f>IF(OR(IPC!CL67="",IPC!CK67="",IPC!CJ67=""),"",AVERAGE(IPC!CJ67:CL67))</f>
        <v>134.36333333333332</v>
      </c>
      <c r="BY67" s="7">
        <f>IF(OR(IPC!CO67="",IPC!CN67="",IPC!CM67=""),"",AVERAGE(IPC!CM67:CO67))</f>
        <v>136.73666666666665</v>
      </c>
      <c r="BZ67" s="7">
        <f>IF(OR(IPC!CR67="",IPC!CQ67="",IPC!CP67=""),"",AVERAGE(IPC!CP67:CR67))</f>
        <v>137.53333333333333</v>
      </c>
      <c r="CA67" s="7">
        <f>IF(OR(IPC!CU67="",IPC!CT67="",IPC!CS67=""),"",AVERAGE(IPC!CS67:CU67))</f>
        <v>138.33666666666667</v>
      </c>
      <c r="CB67" s="7">
        <f>IF(OR(IPC!CX67="",IPC!CW67="",IPC!CV67=""),"",AVERAGE(IPC!CV67:CX67))</f>
        <v>137.83333333333334</v>
      </c>
      <c r="CC67" s="7">
        <f>IF(OR(IPC!DA67="",IPC!CZ67="",IPC!CY67=""),"",AVERAGE(IPC!CY67:DA67))</f>
        <v>136.56666666666666</v>
      </c>
      <c r="CD67" s="7">
        <f>IF(OR(IPC!DD67="",IPC!DC67="",IPC!DB67=""),"",AVERAGE(IPC!DB67:DD67))</f>
        <v>136.36666666666665</v>
      </c>
      <c r="CE67" s="7">
        <f>IF(OR(IPC!DG67="",IPC!DF67="",IPC!DE67=""),"",AVERAGE(IPC!DE67:DG67))</f>
        <v>142.82961438482414</v>
      </c>
      <c r="CF67" s="7">
        <f>IF(OR(IPC!DJ67="",IPC!DI67="",IPC!DH67=""),"",AVERAGE(IPC!DH67:DJ67))</f>
        <v>145.15</v>
      </c>
      <c r="CG67" s="7">
        <f>IF(OR(IPC!DM67="",IPC!DL67="",IPC!DK67=""),"",AVERAGE(IPC!DK67:DM67))</f>
        <v>145.99666666666667</v>
      </c>
      <c r="CH67" s="7">
        <f>IF(OR(IPC!DP67="",IPC!DO67="",IPC!DN67=""),"",AVERAGE(IPC!DN67:DP67))</f>
        <v>145.24333333333334</v>
      </c>
      <c r="CI67" s="7">
        <f>IF(OR(IPC!DS67="",IPC!DR67="",IPC!DQ67=""),"",AVERAGE(IPC!DQ67:DS67))</f>
        <v>143.78</v>
      </c>
      <c r="CJ67" s="7">
        <f>IF(OR(IPC!DV67="",IPC!DU67="",IPC!DT67=""),"",AVERAGE(IPC!DT67:DV67))</f>
        <v>143.45000000000002</v>
      </c>
      <c r="CK67" s="7">
        <f>IF(OR(IPC!DY67="",IPC!DX67="",IPC!DW67=""),"",AVERAGE(IPC!DW67:DY67))</f>
        <v>143.77666666666664</v>
      </c>
      <c r="CL67" s="7">
        <f>IF(OR(IPC!EB67="",IPC!EA67="",IPC!DZ67=""),"",AVERAGE(IPC!DZ67:EB67))</f>
        <v>145.33666666666667</v>
      </c>
      <c r="CM67" s="7">
        <f>IF(OR(IPC!EE67="",IPC!ED67="",IPC!EC67=""),"",AVERAGE(IPC!EC67:EE67))</f>
        <v>147.03333333333333</v>
      </c>
      <c r="CN67" s="7">
        <f>IF(OR(IPC!EH67="",IPC!EG67="",IPC!EF67=""),"",AVERAGE(IPC!EF67:EH67))</f>
        <v>148.35333333333332</v>
      </c>
      <c r="CO67" s="7">
        <f>IF(OR(IPC!EK67="",IPC!EJ67="",IPC!EI67=""),"",AVERAGE(IPC!EI67:EK67))</f>
        <v>151.34</v>
      </c>
      <c r="CP67" s="7">
        <f>IF(OR(IPC!EN67="",IPC!EM67="",IPC!EL67=""),"",AVERAGE(IPC!EL67:EN67))</f>
        <v>153.7930263725757</v>
      </c>
      <c r="CQ67" s="7">
        <f>IF(OR(IPC!EQ67="",IPC!EP67="",IPC!EO67=""),"",AVERAGE(IPC!EO67:EQ67))</f>
        <v>154.58000000000001</v>
      </c>
      <c r="CR67" s="7">
        <f>IF(OR(IPC!ET67="",IPC!ES67="",IPC!ER67=""),"",AVERAGE(IPC!ER67:ET67))</f>
        <v>154.75666666666666</v>
      </c>
      <c r="CS67" s="7">
        <f>IF(OR(IPC!EW67="",IPC!EV67="",IPC!EU67=""),"",AVERAGE(IPC!EU67:EW67))</f>
        <v>153.98666666666665</v>
      </c>
      <c r="CT67" s="7">
        <f>IF(OR(IPC!EZ67="",IPC!EY67="",IPC!EX67=""),"",AVERAGE(IPC!EX67:EZ67))</f>
        <v>156.16852382666664</v>
      </c>
      <c r="CU67" s="7">
        <f>IF(OR(IPC!FC67="",IPC!FB67="",IPC!FA67=""),"",AVERAGE(IPC!FA67:FC67))</f>
        <v>157.73179929</v>
      </c>
      <c r="CV67" s="7">
        <f>IF(OR(IPC!FF67="",IPC!FE67="",IPC!FD67=""),"",AVERAGE(IPC!FD67:FF67))</f>
        <v>158.75922256000001</v>
      </c>
      <c r="CW67" s="7">
        <f>IF(OR(IPC!FI67="",IPC!FH67="",IPC!FG67=""),"",AVERAGE(IPC!FG67:FI67))</f>
        <v>159.93088773666665</v>
      </c>
      <c r="CX67" s="7">
        <f>IF(OR(IPC!FL67="",IPC!FK67="",IPC!FJ67=""),"",AVERAGE(IPC!FJ67:FL67))</f>
        <v>161.40145534333334</v>
      </c>
      <c r="CY67" s="7">
        <f>IF(OR(IPC!FO67="",IPC!FN67="",IPC!FM67=""),"",AVERAGE(IPC!FM67:FO67))</f>
        <v>163.45552954333334</v>
      </c>
      <c r="CZ67" s="7">
        <f>IF(OR(IPC!FR67="",IPC!FQ67="",IPC!FP67=""),"",AVERAGE(IPC!FP67:FR67))</f>
        <v>163.5107920612152</v>
      </c>
    </row>
    <row r="68" spans="1:104" s="1" customFormat="1" ht="10.199999999999999" x14ac:dyDescent="0.2">
      <c r="A68" s="30"/>
      <c r="B68" s="73" t="s">
        <v>45</v>
      </c>
      <c r="C68" s="71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 t="str">
        <f>IF(OR(IPC!F68="",IPC!E68="",IPC!D68=""),"",AVERAGE(IPC!D68:F68))</f>
        <v/>
      </c>
      <c r="AW68" s="7" t="str">
        <f>IF(OR(IPC!I68="",IPC!H68="",IPC!G68=""),"",AVERAGE(IPC!G68:I68))</f>
        <v/>
      </c>
      <c r="AX68" s="7" t="str">
        <f>IF(OR(IPC!L68="",IPC!K68="",IPC!J68=""),"",AVERAGE(IPC!J68:L68))</f>
        <v/>
      </c>
      <c r="AY68" s="7" t="str">
        <f>IF(OR(IPC!O68="",IPC!N68="",IPC!M68=""),"",AVERAGE(IPC!M68:O68))</f>
        <v/>
      </c>
      <c r="AZ68" s="7" t="str">
        <f>IF(OR(IPC!R68="",IPC!Q68="",IPC!P68=""),"",AVERAGE(IPC!P68:R68))</f>
        <v/>
      </c>
      <c r="BA68" s="7" t="str">
        <f>IF(OR(IPC!U68="",IPC!T68="",IPC!S68=""),"",AVERAGE(IPC!S68:U68))</f>
        <v/>
      </c>
      <c r="BB68" s="7" t="str">
        <f>IF(OR(IPC!X68="",IPC!W68="",IPC!V68=""),"",AVERAGE(IPC!V68:X68))</f>
        <v/>
      </c>
      <c r="BC68" s="7" t="str">
        <f>IF(OR(IPC!AA68="",IPC!Z68="",IPC!Y68=""),"",AVERAGE(IPC!Y68:AA68))</f>
        <v/>
      </c>
      <c r="BD68" s="7" t="str">
        <f>IF(OR(IPC!AD68="",IPC!AC68="",IPC!AB68=""),"",AVERAGE(IPC!AB68:AD68))</f>
        <v/>
      </c>
      <c r="BE68" s="7" t="str">
        <f>IF(OR(IPC!AG68="",IPC!AF68="",IPC!AE68=""),"",AVERAGE(IPC!AE68:AG68))</f>
        <v/>
      </c>
      <c r="BF68" s="7" t="str">
        <f>IF(OR(IPC!AJ68="",IPC!AI68="",IPC!AH68=""),"",AVERAGE(IPC!AH68:AJ68))</f>
        <v/>
      </c>
      <c r="BG68" s="7" t="str">
        <f>IF(OR(IPC!AM68="",IPC!AL68="",IPC!AK68=""),"",AVERAGE(IPC!AK68:AM68))</f>
        <v/>
      </c>
      <c r="BH68" s="7" t="str">
        <f>IF(OR(IPC!AP68="",IPC!AO68="",IPC!AN68=""),"",AVERAGE(IPC!AN68:AP68))</f>
        <v/>
      </c>
      <c r="BI68" s="7" t="str">
        <f>IF(OR(IPC!AS68="",IPC!AR68="",IPC!AQ68=""),"",AVERAGE(IPC!AQ68:AS68))</f>
        <v/>
      </c>
      <c r="BJ68" s="7" t="str">
        <f>IF(OR(IPC!AV68="",IPC!AU68="",IPC!AT68=""),"",AVERAGE(IPC!AT68:AV68))</f>
        <v/>
      </c>
      <c r="BK68" s="7" t="str">
        <f>IF(OR(IPC!AY68="",IPC!AX68="",IPC!AW68=""),"",AVERAGE(IPC!AW68:AY68))</f>
        <v/>
      </c>
      <c r="BL68" s="7" t="str">
        <f>IF(OR(IPC!BB68="",IPC!BA68="",IPC!AZ68=""),"",AVERAGE(IPC!AZ68:BB68))</f>
        <v/>
      </c>
      <c r="BM68" s="7" t="str">
        <f>IF(OR(IPC!BE68="",IPC!BD68="",IPC!BC68=""),"",AVERAGE(IPC!BC68:BE68))</f>
        <v/>
      </c>
      <c r="BN68" s="7" t="str">
        <f>IF(OR(IPC!BH68="",IPC!BG68="",IPC!BF68=""),"",AVERAGE(IPC!BF68:BH68))</f>
        <v/>
      </c>
      <c r="BO68" s="7" t="str">
        <f>IF(OR(IPC!BK68="",IPC!BJ68="",IPC!BI68=""),"",AVERAGE(IPC!BI68:BK68))</f>
        <v/>
      </c>
      <c r="BP68" s="7" t="str">
        <f>IF(OR(IPC!BN68="",IPC!BM68="",IPC!BL68=""),"",AVERAGE(IPC!BL68:BN68))</f>
        <v/>
      </c>
      <c r="BQ68" s="7" t="str">
        <f>IF(OR(IPC!BQ68="",IPC!BP68="",IPC!BO68=""),"",AVERAGE(IPC!BO68:BQ68))</f>
        <v/>
      </c>
      <c r="BR68" s="7" t="str">
        <f>IF(OR(IPC!BT68="",IPC!BS68="",IPC!BR68=""),"",AVERAGE(IPC!BR68:BT68))</f>
        <v/>
      </c>
      <c r="BS68" s="7" t="str">
        <f>IF(OR(IPC!BW68="",IPC!BV68="",IPC!BU68=""),"",AVERAGE(IPC!BU68:BW68))</f>
        <v/>
      </c>
      <c r="BT68" s="7" t="str">
        <f>IF(OR(IPC!BZ68="",IPC!BY68="",IPC!BX68=""),"",AVERAGE(IPC!BX68:BZ68))</f>
        <v/>
      </c>
      <c r="BU68" s="7" t="str">
        <f>IF(OR(IPC!CC68="",IPC!CB68="",IPC!CA68=""),"",AVERAGE(IPC!CA68:CC68))</f>
        <v/>
      </c>
      <c r="BV68" s="7" t="str">
        <f>IF(OR(IPC!CF68="",IPC!CE68="",IPC!CD68=""),"",AVERAGE(IPC!CD68:CF68))</f>
        <v/>
      </c>
      <c r="BW68" s="7" t="str">
        <f>IF(OR(IPC!CI68="",IPC!CH68="",IPC!CG68=""),"",AVERAGE(IPC!CG68:CI68))</f>
        <v/>
      </c>
      <c r="BX68" s="7">
        <f>IF(OR(IPC!CL68="",IPC!CK68="",IPC!CJ68=""),"",AVERAGE(IPC!CJ68:CL68))</f>
        <v>94.168205399742192</v>
      </c>
      <c r="BY68" s="7">
        <f>IF(OR(IPC!CO68="",IPC!CN68="",IPC!CM68=""),"",AVERAGE(IPC!CM68:CO68))</f>
        <v>99.853441890438773</v>
      </c>
      <c r="BZ68" s="7">
        <f>IF(OR(IPC!CR68="",IPC!CQ68="",IPC!CP68=""),"",AVERAGE(IPC!CP68:CR68))</f>
        <v>100.80656646963064</v>
      </c>
      <c r="CA68" s="7">
        <f>IF(OR(IPC!CU68="",IPC!CT68="",IPC!CS68=""),"",AVERAGE(IPC!CS68:CU68))</f>
        <v>100.40853770273127</v>
      </c>
      <c r="CB68" s="7">
        <f>IF(OR(IPC!CX68="",IPC!CW68="",IPC!CV68=""),"",AVERAGE(IPC!CV68:CX68))</f>
        <v>96.799756846803021</v>
      </c>
      <c r="CC68" s="7">
        <f>IF(OR(IPC!DA68="",IPC!CZ68="",IPC!CY68=""),"",AVERAGE(IPC!CY68:DA68))</f>
        <v>98.560152134651204</v>
      </c>
      <c r="CD68" s="7">
        <f>IF(OR(IPC!DD68="",IPC!DC68="",IPC!DB68=""),"",AVERAGE(IPC!DB68:DD68))</f>
        <v>98.205020109814697</v>
      </c>
      <c r="CE68" s="7">
        <f>IF(OR(IPC!DG68="",IPC!DF68="",IPC!DE68=""),"",AVERAGE(IPC!DE68:DG68))</f>
        <v>97.835780296873679</v>
      </c>
      <c r="CF68" s="7">
        <f>IF(OR(IPC!DJ68="",IPC!DI68="",IPC!DH68=""),"",AVERAGE(IPC!DH68:DJ68))</f>
        <v>92.825608286859634</v>
      </c>
      <c r="CG68" s="7">
        <f>IF(OR(IPC!DM68="",IPC!DL68="",IPC!DK68=""),"",AVERAGE(IPC!DK68:DM68))</f>
        <v>95.697353540234985</v>
      </c>
      <c r="CH68" s="7">
        <f>IF(OR(IPC!DP68="",IPC!DO68="",IPC!DN68=""),"",AVERAGE(IPC!DN68:DP68))</f>
        <v>97.295793475399805</v>
      </c>
      <c r="CI68" s="7">
        <f>IF(OR(IPC!DS68="",IPC!DR68="",IPC!DQ68=""),"",AVERAGE(IPC!DQ68:DS68))</f>
        <v>95.16581456767301</v>
      </c>
      <c r="CJ68" s="7">
        <f>IF(OR(IPC!DV68="",IPC!DU68="",IPC!DT68=""),"",AVERAGE(IPC!DT68:DV68))</f>
        <v>93.042321319844064</v>
      </c>
      <c r="CK68" s="7">
        <f>IF(OR(IPC!DY68="",IPC!DX68="",IPC!DW68=""),"",AVERAGE(IPC!DW68:DY68))</f>
        <v>94.746006343849658</v>
      </c>
      <c r="CL68" s="7">
        <f>IF(OR(IPC!EB68="",IPC!EA68="",IPC!DZ68=""),"",AVERAGE(IPC!DZ68:EB68))</f>
        <v>95.763121897352377</v>
      </c>
      <c r="CM68" s="7">
        <f>IF(OR(IPC!EE68="",IPC!ED68="",IPC!EC68=""),"",AVERAGE(IPC!EC68:EE68))</f>
        <v>94.405937701853588</v>
      </c>
      <c r="CN68" s="7">
        <f>IF(OR(IPC!EH68="",IPC!EG68="",IPC!EF68=""),"",AVERAGE(IPC!EF68:EH68))</f>
        <v>95.418291088833158</v>
      </c>
      <c r="CO68" s="7">
        <f>IF(OR(IPC!EK68="",IPC!EJ68="",IPC!EI68=""),"",AVERAGE(IPC!EI68:EK68))</f>
        <v>99.250131521563034</v>
      </c>
      <c r="CP68" s="7">
        <f>IF(OR(IPC!EN68="",IPC!EM68="",IPC!EL68=""),"",AVERAGE(IPC!EL68:EN68))</f>
        <v>102.46151808641675</v>
      </c>
      <c r="CQ68" s="7">
        <f>IF(OR(IPC!EQ68="",IPC!EP68="",IPC!EO68=""),"",AVERAGE(IPC!EO68:EQ68))</f>
        <v>102.87005930318715</v>
      </c>
      <c r="CR68" s="7">
        <f>IF(OR(IPC!ET68="",IPC!ES68="",IPC!ER68=""),"",AVERAGE(IPC!ER68:ET68))</f>
        <v>102.11100053030577</v>
      </c>
      <c r="CS68" s="7">
        <f>IF(OR(IPC!EW68="",IPC!EV68="",IPC!EU68=""),"",AVERAGE(IPC!EU68:EW68))</f>
        <v>102.71162029519068</v>
      </c>
      <c r="CT68" s="7">
        <f>IF(OR(IPC!EZ68="",IPC!EY68="",IPC!EX68=""),"",AVERAGE(IPC!EX68:EZ68))</f>
        <v>104.94599808447229</v>
      </c>
      <c r="CU68" s="7">
        <f>IF(OR(IPC!FC68="",IPC!FB68="",IPC!FA68=""),"",AVERAGE(IPC!FA68:FC68))</f>
        <v>106.66980388134137</v>
      </c>
      <c r="CV68" s="7">
        <f>IF(OR(IPC!FF68="",IPC!FE68="",IPC!FD68=""),"",AVERAGE(IPC!FD68:FF68))</f>
        <v>105.96456500697663</v>
      </c>
      <c r="CW68" s="7">
        <f>IF(OR(IPC!FI68="",IPC!FH68="",IPC!FG68=""),"",AVERAGE(IPC!FG68:FI68))</f>
        <v>109.20550175955971</v>
      </c>
      <c r="CX68" s="7">
        <f>IF(OR(IPC!FL68="",IPC!FK68="",IPC!FJ68=""),"",AVERAGE(IPC!FJ68:FL68))</f>
        <v>113.27896032815032</v>
      </c>
      <c r="CY68" s="7">
        <f>IF(OR(IPC!FO68="",IPC!FN68="",IPC!FM68=""),"",AVERAGE(IPC!FM68:FO68))</f>
        <v>111.75118397599942</v>
      </c>
      <c r="CZ68" s="7">
        <f>IF(OR(IPC!FR68="",IPC!FQ68="",IPC!FP68=""),"",AVERAGE(IPC!FP68:FR68))</f>
        <v>106.87578894528944</v>
      </c>
    </row>
    <row r="69" spans="1:104" s="66" customFormat="1" x14ac:dyDescent="0.25">
      <c r="B69" s="67" t="s">
        <v>46</v>
      </c>
      <c r="C69" s="68"/>
      <c r="AV69" s="66" t="str">
        <f>IF(OR(IPC!F69="",IPC!E69="",IPC!D69=""),"",AVERAGE(IPC!D69:F69))</f>
        <v/>
      </c>
      <c r="AW69" s="66" t="str">
        <f>IF(OR(IPC!I69="",IPC!H69="",IPC!G69=""),"",AVERAGE(IPC!G69:I69))</f>
        <v/>
      </c>
      <c r="AX69" s="66" t="str">
        <f>IF(OR(IPC!L69="",IPC!K69="",IPC!J69=""),"",AVERAGE(IPC!J69:L69))</f>
        <v/>
      </c>
      <c r="AY69" s="66" t="str">
        <f>IF(OR(IPC!O69="",IPC!N69="",IPC!M69=""),"",AVERAGE(IPC!M69:O69))</f>
        <v/>
      </c>
      <c r="AZ69" s="66" t="str">
        <f>IF(OR(IPC!R69="",IPC!Q69="",IPC!P69=""),"",AVERAGE(IPC!P69:R69))</f>
        <v/>
      </c>
      <c r="BA69" s="66" t="str">
        <f>IF(OR(IPC!U69="",IPC!T69="",IPC!S69=""),"",AVERAGE(IPC!S69:U69))</f>
        <v/>
      </c>
      <c r="BB69" s="66" t="str">
        <f>IF(OR(IPC!X69="",IPC!W69="",IPC!V69=""),"",AVERAGE(IPC!V69:X69))</f>
        <v/>
      </c>
      <c r="BC69" s="66" t="str">
        <f>IF(OR(IPC!AA69="",IPC!Z69="",IPC!Y69=""),"",AVERAGE(IPC!Y69:AA69))</f>
        <v/>
      </c>
      <c r="BD69" s="66" t="str">
        <f>IF(OR(IPC!AD69="",IPC!AC69="",IPC!AB69=""),"",AVERAGE(IPC!AB69:AD69))</f>
        <v/>
      </c>
      <c r="BE69" s="66" t="str">
        <f>IF(OR(IPC!AG69="",IPC!AF69="",IPC!AE69=""),"",AVERAGE(IPC!AE69:AG69))</f>
        <v/>
      </c>
      <c r="BF69" s="66" t="str">
        <f>IF(OR(IPC!AJ69="",IPC!AI69="",IPC!AH69=""),"",AVERAGE(IPC!AH69:AJ69))</f>
        <v/>
      </c>
      <c r="BG69" s="66" t="str">
        <f>IF(OR(IPC!AM69="",IPC!AL69="",IPC!AK69=""),"",AVERAGE(IPC!AK69:AM69))</f>
        <v/>
      </c>
      <c r="BH69" s="66" t="str">
        <f>IF(OR(IPC!AP69="",IPC!AO69="",IPC!AN69=""),"",AVERAGE(IPC!AN69:AP69))</f>
        <v/>
      </c>
      <c r="BI69" s="66" t="str">
        <f>IF(OR(IPC!AS69="",IPC!AR69="",IPC!AQ69=""),"",AVERAGE(IPC!AQ69:AS69))</f>
        <v/>
      </c>
      <c r="BJ69" s="66" t="str">
        <f>IF(OR(IPC!AV69="",IPC!AU69="",IPC!AT69=""),"",AVERAGE(IPC!AT69:AV69))</f>
        <v/>
      </c>
      <c r="BK69" s="66" t="str">
        <f>IF(OR(IPC!AY69="",IPC!AX69="",IPC!AW69=""),"",AVERAGE(IPC!AW69:AY69))</f>
        <v/>
      </c>
      <c r="BL69" s="66" t="str">
        <f>IF(OR(IPC!BB69="",IPC!BA69="",IPC!AZ69=""),"",AVERAGE(IPC!AZ69:BB69))</f>
        <v/>
      </c>
      <c r="BM69" s="66" t="str">
        <f>IF(OR(IPC!BE69="",IPC!BD69="",IPC!BC69=""),"",AVERAGE(IPC!BC69:BE69))</f>
        <v/>
      </c>
      <c r="BN69" s="66" t="str">
        <f>IF(OR(IPC!BH69="",IPC!BG69="",IPC!BF69=""),"",AVERAGE(IPC!BF69:BH69))</f>
        <v/>
      </c>
      <c r="BO69" s="66" t="str">
        <f>IF(OR(IPC!BK69="",IPC!BJ69="",IPC!BI69=""),"",AVERAGE(IPC!BI69:BK69))</f>
        <v/>
      </c>
      <c r="BP69" s="66" t="str">
        <f>IF(OR(IPC!BN69="",IPC!BM69="",IPC!BL69=""),"",AVERAGE(IPC!BL69:BN69))</f>
        <v/>
      </c>
      <c r="BQ69" s="66" t="str">
        <f>IF(OR(IPC!BQ69="",IPC!BP69="",IPC!BO69=""),"",AVERAGE(IPC!BO69:BQ69))</f>
        <v/>
      </c>
      <c r="BR69" s="66" t="str">
        <f>IF(OR(IPC!BT69="",IPC!BS69="",IPC!BR69=""),"",AVERAGE(IPC!BR69:BT69))</f>
        <v/>
      </c>
      <c r="BS69" s="66" t="str">
        <f>IF(OR(IPC!BW69="",IPC!BV69="",IPC!BU69=""),"",AVERAGE(IPC!BU69:BW69))</f>
        <v/>
      </c>
      <c r="BT69" s="66" t="str">
        <f>IF(OR(IPC!BZ69="",IPC!BY69="",IPC!BX69=""),"",AVERAGE(IPC!BX69:BZ69))</f>
        <v/>
      </c>
      <c r="BU69" s="66" t="str">
        <f>IF(OR(IPC!CC69="",IPC!CB69="",IPC!CA69=""),"",AVERAGE(IPC!CA69:CC69))</f>
        <v/>
      </c>
      <c r="BV69" s="66" t="str">
        <f>IF(OR(IPC!CF69="",IPC!CE69="",IPC!CD69=""),"",AVERAGE(IPC!CD69:CF69))</f>
        <v/>
      </c>
      <c r="BW69" s="66" t="str">
        <f>IF(OR(IPC!CI69="",IPC!CH69="",IPC!CG69=""),"",AVERAGE(IPC!CG69:CI69))</f>
        <v/>
      </c>
      <c r="BX69" s="66">
        <f>IF(OR(IPC!CL69="",IPC!CK69="",IPC!CJ69=""),"",AVERAGE(IPC!CJ69:CL69))</f>
        <v>96.227561079715471</v>
      </c>
      <c r="BY69" s="66">
        <f>IF(OR(IPC!CO69="",IPC!CN69="",IPC!CM69=""),"",AVERAGE(IPC!CM69:CO69))</f>
        <v>96.790089138176242</v>
      </c>
      <c r="BZ69" s="66">
        <f>IF(OR(IPC!CR69="",IPC!CQ69="",IPC!CP69=""),"",AVERAGE(IPC!CP69:CR69))</f>
        <v>96.849207692759123</v>
      </c>
      <c r="CA69" s="66">
        <f>IF(OR(IPC!CU69="",IPC!CT69="",IPC!CS69=""),"",AVERAGE(IPC!CS69:CU69))</f>
        <v>99.672553751359587</v>
      </c>
      <c r="CB69" s="66">
        <f>IF(OR(IPC!CX69="",IPC!CW69="",IPC!CV69=""),"",AVERAGE(IPC!CV69:CX69))</f>
        <v>100.92228402589421</v>
      </c>
      <c r="CC69" s="66">
        <f>IF(OR(IPC!DA69="",IPC!CZ69="",IPC!CY69=""),"",AVERAGE(IPC!CY69:DA69))</f>
        <v>100.39327027662041</v>
      </c>
      <c r="CD69" s="66">
        <f>IF(OR(IPC!DD69="",IPC!DC69="",IPC!DB69=""),"",AVERAGE(IPC!DB69:DD69))</f>
        <v>99.683645121852749</v>
      </c>
      <c r="CE69" s="66">
        <f>IF(OR(IPC!DG69="",IPC!DF69="",IPC!DE69=""),"",AVERAGE(IPC!DE69:DG69))</f>
        <v>99.000800575632596</v>
      </c>
      <c r="CF69" s="66">
        <f>IF(OR(IPC!DJ69="",IPC!DI69="",IPC!DH69=""),"",AVERAGE(IPC!DH69:DJ69))</f>
        <v>100.4876467470679</v>
      </c>
      <c r="CG69" s="66">
        <f>IF(OR(IPC!DM69="",IPC!DL69="",IPC!DK69=""),"",AVERAGE(IPC!DK69:DM69))</f>
        <v>103.66178316776681</v>
      </c>
      <c r="CH69" s="66">
        <f>IF(OR(IPC!DP69="",IPC!DO69="",IPC!DN69=""),"",AVERAGE(IPC!DN69:DP69))</f>
        <v>102.3167861607435</v>
      </c>
      <c r="CI69" s="66">
        <f>IF(OR(IPC!DS69="",IPC!DR69="",IPC!DQ69=""),"",AVERAGE(IPC!DQ69:DS69))</f>
        <v>102.74922119451942</v>
      </c>
      <c r="CJ69" s="66">
        <f>IF(OR(IPC!DV69="",IPC!DU69="",IPC!DT69=""),"",AVERAGE(IPC!DT69:DV69))</f>
        <v>105.0169342366667</v>
      </c>
      <c r="CK69" s="66">
        <f>IF(OR(IPC!DY69="",IPC!DX69="",IPC!DW69=""),"",AVERAGE(IPC!DW69:DY69))</f>
        <v>106.84517125333333</v>
      </c>
      <c r="CL69" s="66">
        <f>IF(OR(IPC!EB69="",IPC!EA69="",IPC!DZ69=""),"",AVERAGE(IPC!DZ69:EB69))</f>
        <v>104.93201864333334</v>
      </c>
      <c r="CM69" s="66">
        <f>IF(OR(IPC!EE69="",IPC!ED69="",IPC!EC69=""),"",AVERAGE(IPC!EC69:EE69))</f>
        <v>103.91687662666668</v>
      </c>
      <c r="CN69" s="66">
        <f>IF(OR(IPC!EH69="",IPC!EG69="",IPC!EF69=""),"",AVERAGE(IPC!EF69:EH69))</f>
        <v>107.10317466922623</v>
      </c>
      <c r="CO69" s="66">
        <f>IF(OR(IPC!EK69="",IPC!EJ69="",IPC!EI69=""),"",AVERAGE(IPC!EI69:EK69))</f>
        <v>113.77251383714633</v>
      </c>
      <c r="CP69" s="66">
        <f>IF(OR(IPC!EN69="",IPC!EM69="",IPC!EL69=""),"",AVERAGE(IPC!EL69:EN69))</f>
        <v>111.45493055351231</v>
      </c>
      <c r="CQ69" s="66">
        <f>IF(OR(IPC!EQ69="",IPC!EP69="",IPC!EO69=""),"",AVERAGE(IPC!EO69:EQ69))</f>
        <v>111.85357967172213</v>
      </c>
      <c r="CR69" s="66">
        <f>IF(OR(IPC!ET69="",IPC!ES69="",IPC!ER69=""),"",AVERAGE(IPC!ER69:ET69))</f>
        <v>115.53867289783348</v>
      </c>
      <c r="CS69" s="66">
        <f>IF(OR(IPC!EW69="",IPC!EV69="",IPC!EU69=""),"",AVERAGE(IPC!EU69:EW69))</f>
        <v>114.44047785987919</v>
      </c>
      <c r="CT69" s="66">
        <f>IF(OR(IPC!EZ69="",IPC!EY69="",IPC!EX69=""),"",AVERAGE(IPC!EX69:EZ69))</f>
        <v>113.20873478827833</v>
      </c>
      <c r="CU69" s="66">
        <f>IF(OR(IPC!FC69="",IPC!FB69="",IPC!FA69=""),"",AVERAGE(IPC!FA69:FC69))</f>
        <v>114.25018310042587</v>
      </c>
      <c r="CV69" s="66">
        <f>IF(OR(IPC!FF69="",IPC!FE69="",IPC!FD69=""),"",AVERAGE(IPC!FD69:FF69))</f>
        <v>115.52673845534071</v>
      </c>
      <c r="CW69" s="66">
        <f>IF(OR(IPC!FI69="",IPC!FH69="",IPC!FG69=""),"",AVERAGE(IPC!FG69:FI69))</f>
        <v>115.52975605546938</v>
      </c>
      <c r="CX69" s="66">
        <f>IF(OR(IPC!FL69="",IPC!FK69="",IPC!FJ69=""),"",AVERAGE(IPC!FJ69:FL69))</f>
        <v>115.18975287893676</v>
      </c>
      <c r="CY69" s="66">
        <f>IF(OR(IPC!FO69="",IPC!FN69="",IPC!FM69=""),"",AVERAGE(IPC!FM69:FO69))</f>
        <v>117.9578273422111</v>
      </c>
      <c r="CZ69" s="66">
        <f>IF(OR(IPC!FR69="",IPC!FQ69="",IPC!FP69=""),"",AVERAGE(IPC!FP69:FR69))</f>
        <v>118.5199138266308</v>
      </c>
    </row>
    <row r="70" spans="1:104" s="1" customFormat="1" ht="10.199999999999999" x14ac:dyDescent="0.2">
      <c r="A70" s="30"/>
      <c r="B70" s="30" t="s">
        <v>50</v>
      </c>
      <c r="C70" s="71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>
        <f>IF(OR(IPC!F70="",IPC!E70="",IPC!D70=""),"",AVERAGE(IPC!D70:F70))</f>
        <v>104.26666666666665</v>
      </c>
      <c r="AW70" s="7">
        <f>IF(OR(IPC!I70="",IPC!H70="",IPC!G70=""),"",AVERAGE(IPC!G70:I70))</f>
        <v>105.63333333333333</v>
      </c>
      <c r="AX70" s="7">
        <f>IF(OR(IPC!L70="",IPC!K70="",IPC!J70=""),"",AVERAGE(IPC!J70:L70))</f>
        <v>106.03333333333335</v>
      </c>
      <c r="AY70" s="7">
        <f>IF(OR(IPC!O70="",IPC!N70="",IPC!M70=""),"",AVERAGE(IPC!M70:O70))</f>
        <v>106.19999999999999</v>
      </c>
      <c r="AZ70" s="7">
        <f>IF(OR(IPC!R70="",IPC!Q70="",IPC!P70=""),"",AVERAGE(IPC!P70:R70))</f>
        <v>106.96666666666665</v>
      </c>
      <c r="BA70" s="7">
        <f>IF(OR(IPC!U70="",IPC!T70="",IPC!S70=""),"",AVERAGE(IPC!S70:U70))</f>
        <v>107.63333333333333</v>
      </c>
      <c r="BB70" s="7">
        <f>IF(OR(IPC!X70="",IPC!W70="",IPC!V70=""),"",AVERAGE(IPC!V70:X70))</f>
        <v>108.66666666666667</v>
      </c>
      <c r="BC70" s="7">
        <f>IF(OR(IPC!AA70="",IPC!Z70="",IPC!Y70=""),"",AVERAGE(IPC!Y70:AA70))</f>
        <v>109.5</v>
      </c>
      <c r="BD70" s="7">
        <f>IF(OR(IPC!AD70="",IPC!AC70="",IPC!AB70=""),"",AVERAGE(IPC!AB70:AD70))</f>
        <v>109.43333333333334</v>
      </c>
      <c r="BE70" s="7">
        <f>IF(OR(IPC!AG70="",IPC!AF70="",IPC!AE70=""),"",AVERAGE(IPC!AE70:AG70))</f>
        <v>109.8</v>
      </c>
      <c r="BF70" s="7">
        <f>IF(OR(IPC!AJ70="",IPC!AI70="",IPC!AH70=""),"",AVERAGE(IPC!AH70:AJ70))</f>
        <v>110.26666666666667</v>
      </c>
      <c r="BG70" s="7">
        <f>IF(OR(IPC!AM70="",IPC!AL70="",IPC!AK70=""),"",AVERAGE(IPC!AK70:AM70))</f>
        <v>109.94916666666666</v>
      </c>
      <c r="BH70" s="7">
        <f>IF(OR(IPC!AP70="",IPC!AO70="",IPC!AN70=""),"",AVERAGE(IPC!AN70:AP70))</f>
        <v>109.21453333333334</v>
      </c>
      <c r="BI70" s="7">
        <f>IF(OR(IPC!AS70="",IPC!AR70="",IPC!AQ70=""),"",AVERAGE(IPC!AQ70:AS70))</f>
        <v>109.53333333333335</v>
      </c>
      <c r="BJ70" s="7">
        <f>IF(OR(IPC!AV70="",IPC!AU70="",IPC!AT70=""),"",AVERAGE(IPC!AT70:AV70))</f>
        <v>110.01</v>
      </c>
      <c r="BK70" s="7">
        <f>IF(OR(IPC!AY70="",IPC!AX70="",IPC!AW70=""),"",AVERAGE(IPC!AW70:AY70))</f>
        <v>109.99333333333334</v>
      </c>
      <c r="BL70" s="7" t="str">
        <f>IF(OR(IPC!BB70="",IPC!BA70="",IPC!AZ70=""),"",AVERAGE(IPC!AZ70:BB70))</f>
        <v/>
      </c>
      <c r="BM70" s="7" t="str">
        <f>IF(OR(IPC!BE70="",IPC!BD70="",IPC!BC70=""),"",AVERAGE(IPC!BC70:BE70))</f>
        <v/>
      </c>
      <c r="BN70" s="7" t="str">
        <f>IF(OR(IPC!BH70="",IPC!BG70="",IPC!BF70=""),"",AVERAGE(IPC!BF70:BH70))</f>
        <v/>
      </c>
      <c r="BO70" s="7" t="str">
        <f>IF(OR(IPC!BK70="",IPC!BJ70="",IPC!BI70=""),"",AVERAGE(IPC!BI70:BK70))</f>
        <v/>
      </c>
      <c r="BP70" s="7">
        <f>IF(OR(IPC!BN70="",IPC!BM70="",IPC!BL70=""),"",AVERAGE(IPC!BL70:BN70))</f>
        <v>100.67999999999999</v>
      </c>
      <c r="BQ70" s="7">
        <f>IF(OR(IPC!BQ70="",IPC!BP70="",IPC!BO70=""),"",AVERAGE(IPC!BO70:BQ70))</f>
        <v>101.96</v>
      </c>
      <c r="BR70" s="7">
        <f>IF(OR(IPC!BT70="",IPC!BS70="",IPC!BR70=""),"",AVERAGE(IPC!BR70:BT70))</f>
        <v>101.40000000000002</v>
      </c>
      <c r="BS70" s="7">
        <f>IF(OR(IPC!BW70="",IPC!BV70="",IPC!BU70=""),"",AVERAGE(IPC!BU70:BW70))</f>
        <v>101.33999999999999</v>
      </c>
      <c r="BT70" s="7">
        <f>IF(OR(IPC!BZ70="",IPC!BY70="",IPC!BX70=""),"",AVERAGE(IPC!BX70:BZ70))</f>
        <v>101.58333333333333</v>
      </c>
      <c r="BU70" s="7">
        <f>IF(OR(IPC!CC70="",IPC!CB70="",IPC!CA70=""),"",AVERAGE(IPC!CA70:CC70))</f>
        <v>102.28666666666668</v>
      </c>
      <c r="BV70" s="7">
        <f>IF(OR(IPC!CF70="",IPC!CE70="",IPC!CD70=""),"",AVERAGE(IPC!CD70:CF70))</f>
        <v>102.89333333333333</v>
      </c>
      <c r="BW70" s="7">
        <f>IF(OR(IPC!CI70="",IPC!CH70="",IPC!CG70=""),"",AVERAGE(IPC!CG70:CI70))</f>
        <v>102.92666666666666</v>
      </c>
      <c r="BX70" s="7">
        <f>IF(OR(IPC!CL70="",IPC!CK70="",IPC!CJ70=""),"",AVERAGE(IPC!CJ70:CL70))</f>
        <v>103.05666666666666</v>
      </c>
      <c r="BY70" s="7">
        <f>IF(OR(IPC!CO70="",IPC!CN70="",IPC!CM70=""),"",AVERAGE(IPC!CM70:CO70))</f>
        <v>103.73333333333333</v>
      </c>
      <c r="BZ70" s="7">
        <f>IF(OR(IPC!CR70="",IPC!CQ70="",IPC!CP70=""),"",AVERAGE(IPC!CP70:CR70))</f>
        <v>104.09333333333332</v>
      </c>
      <c r="CA70" s="7">
        <f>IF(OR(IPC!CU70="",IPC!CT70="",IPC!CS70=""),"",AVERAGE(IPC!CS70:CU70))</f>
        <v>103.77999999999999</v>
      </c>
      <c r="CB70" s="7">
        <f>IF(OR(IPC!CX70="",IPC!CW70="",IPC!CV70=""),"",AVERAGE(IPC!CV70:CX70))</f>
        <v>102.49333333333334</v>
      </c>
      <c r="CC70" s="7">
        <f>IF(OR(IPC!DA70="",IPC!CZ70="",IPC!CY70=""),"",AVERAGE(IPC!CY70:DA70))</f>
        <v>102.96</v>
      </c>
      <c r="CD70" s="7">
        <f>IF(OR(IPC!DD70="",IPC!DC70="",IPC!DB70=""),"",AVERAGE(IPC!DB70:DD70))</f>
        <v>103.02333333333335</v>
      </c>
      <c r="CE70" s="7">
        <f>IF(OR(IPC!DG70="",IPC!DF70="",IPC!DE70=""),"",AVERAGE(IPC!DE70:DG70))</f>
        <v>103.13333333333333</v>
      </c>
      <c r="CF70" s="7">
        <f>IF(OR(IPC!DJ70="",IPC!DI70="",IPC!DH70=""),"",AVERAGE(IPC!DH70:DJ70))</f>
        <v>103.73666666666666</v>
      </c>
      <c r="CG70" s="7">
        <f>IF(OR(IPC!DM70="",IPC!DL70="",IPC!DK70=""),"",AVERAGE(IPC!DK70:DM70))</f>
        <v>104.75</v>
      </c>
      <c r="CH70" s="7">
        <f>IF(OR(IPC!DP70="",IPC!DO70="",IPC!DN70=""),"",AVERAGE(IPC!DN70:DP70))</f>
        <v>106.01666666666667</v>
      </c>
      <c r="CI70" s="7">
        <f>IF(OR(IPC!DS70="",IPC!DR70="",IPC!DQ70=""),"",AVERAGE(IPC!DQ70:DS70))</f>
        <v>105.91666666666667</v>
      </c>
      <c r="CJ70" s="7">
        <f>IF(OR(IPC!DV70="",IPC!DU70="",IPC!DT70=""),"",AVERAGE(IPC!DT70:DV70))</f>
        <v>105.99666666666667</v>
      </c>
      <c r="CK70" s="7">
        <f>IF(OR(IPC!DY70="",IPC!DX70="",IPC!DW70=""),"",AVERAGE(IPC!DW70:DY70))</f>
        <v>108.25</v>
      </c>
      <c r="CL70" s="7">
        <f>IF(OR(IPC!EB70="",IPC!EA70="",IPC!DZ70=""),"",AVERAGE(IPC!DZ70:EB70))</f>
        <v>110.04</v>
      </c>
      <c r="CM70" s="7">
        <f>IF(OR(IPC!EE70="",IPC!ED70="",IPC!EC70=""),"",AVERAGE(IPC!EC70:EE70))</f>
        <v>111.13333333333333</v>
      </c>
      <c r="CN70" s="7">
        <f>IF(OR(IPC!EH70="",IPC!EG70="",IPC!EF70=""),"",AVERAGE(IPC!EF70:EH70))</f>
        <v>112.76666666666667</v>
      </c>
      <c r="CO70" s="7">
        <f>IF(OR(IPC!EK70="",IPC!EJ70="",IPC!EI70=""),"",AVERAGE(IPC!EI70:EK70))</f>
        <v>115.86666666666667</v>
      </c>
      <c r="CP70" s="7">
        <f>IF(OR(IPC!EN70="",IPC!EM70="",IPC!EL70=""),"",AVERAGE(IPC!EL70:EN70))</f>
        <v>119.3</v>
      </c>
      <c r="CQ70" s="7">
        <f>IF(OR(IPC!EQ70="",IPC!EP70="",IPC!EO70=""),"",AVERAGE(IPC!EO70:EQ70))</f>
        <v>119.83333333333333</v>
      </c>
      <c r="CR70" s="7">
        <f>IF(OR(IPC!ET70="",IPC!ES70="",IPC!ER70=""),"",AVERAGE(IPC!ER70:ET70))</f>
        <v>119.3</v>
      </c>
      <c r="CS70" s="7">
        <f>IF(OR(IPC!EW70="",IPC!EV70="",IPC!EU70=""),"",AVERAGE(IPC!EU70:EW70))</f>
        <v>120.5</v>
      </c>
      <c r="CT70" s="7">
        <f>IF(OR(IPC!EZ70="",IPC!EY70="",IPC!EX70=""),"",AVERAGE(IPC!EX70:EZ70))</f>
        <v>122.75999999999999</v>
      </c>
      <c r="CU70" s="7">
        <f>IF(OR(IPC!FC70="",IPC!FB70="",IPC!FA70=""),"",AVERAGE(IPC!FA70:FC70))</f>
        <v>122.61</v>
      </c>
      <c r="CV70" s="7">
        <f>IF(OR(IPC!FF70="",IPC!FE70="",IPC!FD70=""),"",AVERAGE(IPC!FD70:FF70))</f>
        <v>122.69333333333333</v>
      </c>
      <c r="CW70" s="7">
        <f>IF(OR(IPC!FI70="",IPC!FH70="",IPC!FG70=""),"",AVERAGE(IPC!FG70:FI70))</f>
        <v>125.52666666666669</v>
      </c>
      <c r="CX70" s="7">
        <f>IF(OR(IPC!FL70="",IPC!FK70="",IPC!FJ70=""),"",AVERAGE(IPC!FJ70:FL70))</f>
        <v>127.83666666666666</v>
      </c>
      <c r="CY70" s="7">
        <f>IF(OR(IPC!FO70="",IPC!FN70="",IPC!FM70=""),"",AVERAGE(IPC!FM70:FO70))</f>
        <v>126.12</v>
      </c>
      <c r="CZ70" s="7" t="str">
        <f>IF(OR(IPC!FR70="",IPC!FQ70="",IPC!FP70=""),"",AVERAGE(IPC!FP70:FR70))</f>
        <v/>
      </c>
    </row>
    <row r="71" spans="1:104" s="1" customFormat="1" ht="10.199999999999999" x14ac:dyDescent="0.2">
      <c r="A71" s="30"/>
      <c r="B71" s="30" t="s">
        <v>51</v>
      </c>
      <c r="C71" s="71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>
        <f>IF(OR(IPC!F71="",IPC!E71="",IPC!D71=""),"",AVERAGE(IPC!D71:F71))</f>
        <v>111.35000000000001</v>
      </c>
      <c r="AW71" s="7">
        <f>IF(OR(IPC!I71="",IPC!H71="",IPC!G71=""),"",AVERAGE(IPC!G71:I71))</f>
        <v>113.11000000000001</v>
      </c>
      <c r="AX71" s="7">
        <f>IF(OR(IPC!L71="",IPC!K71="",IPC!J71=""),"",AVERAGE(IPC!J71:L71))</f>
        <v>112.85333333333334</v>
      </c>
      <c r="AY71" s="7">
        <f>IF(OR(IPC!O71="",IPC!N71="",IPC!M71=""),"",AVERAGE(IPC!M71:O71))</f>
        <v>114.06666666666668</v>
      </c>
      <c r="AZ71" s="7">
        <f>IF(OR(IPC!R71="",IPC!Q71="",IPC!P71=""),"",AVERAGE(IPC!P71:R71))</f>
        <v>114.35666666666667</v>
      </c>
      <c r="BA71" s="7">
        <f>IF(OR(IPC!U71="",IPC!T71="",IPC!S71=""),"",AVERAGE(IPC!S71:U71))</f>
        <v>115.93333333333332</v>
      </c>
      <c r="BB71" s="7">
        <f>IF(OR(IPC!X71="",IPC!W71="",IPC!V71=""),"",AVERAGE(IPC!V71:X71))</f>
        <v>115.8</v>
      </c>
      <c r="BC71" s="7">
        <f>IF(OR(IPC!AA71="",IPC!Z71="",IPC!Y71=""),"",AVERAGE(IPC!Y71:AA71))</f>
        <v>116.75333333333333</v>
      </c>
      <c r="BD71" s="7">
        <f>IF(OR(IPC!AD71="",IPC!AC71="",IPC!AB71=""),"",AVERAGE(IPC!AB71:AD71))</f>
        <v>116.47333333333331</v>
      </c>
      <c r="BE71" s="7">
        <f>IF(OR(IPC!AG71="",IPC!AF71="",IPC!AE71=""),"",AVERAGE(IPC!AE71:AG71))</f>
        <v>117.60000000000001</v>
      </c>
      <c r="BF71" s="7">
        <f>IF(OR(IPC!AJ71="",IPC!AI71="",IPC!AH71=""),"",AVERAGE(IPC!AH71:AJ71))</f>
        <v>117.38999999999999</v>
      </c>
      <c r="BG71" s="7">
        <f>IF(OR(IPC!AM71="",IPC!AL71="",IPC!AK71=""),"",AVERAGE(IPC!AK71:AM71))</f>
        <v>117.74333333333334</v>
      </c>
      <c r="BH71" s="7">
        <f>IF(OR(IPC!AP71="",IPC!AO71="",IPC!AN71=""),"",AVERAGE(IPC!AN71:AP71))</f>
        <v>117.27666666666666</v>
      </c>
      <c r="BI71" s="7">
        <f>IF(OR(IPC!AS71="",IPC!AR71="",IPC!AQ71=""),"",AVERAGE(IPC!AQ71:AS71))</f>
        <v>118.26666666666667</v>
      </c>
      <c r="BJ71" s="7">
        <f>IF(OR(IPC!AV71="",IPC!AU71="",IPC!AT71=""),"",AVERAGE(IPC!AT71:AV71))</f>
        <v>117.80333333333334</v>
      </c>
      <c r="BK71" s="7">
        <f>IF(OR(IPC!AY71="",IPC!AX71="",IPC!AW71=""),"",AVERAGE(IPC!AW71:AY71))</f>
        <v>117.94</v>
      </c>
      <c r="BL71" s="7" t="str">
        <f>IF(OR(IPC!BB71="",IPC!BA71="",IPC!AZ71=""),"",AVERAGE(IPC!AZ71:BB71))</f>
        <v/>
      </c>
      <c r="BM71" s="7" t="str">
        <f>IF(OR(IPC!BE71="",IPC!BD71="",IPC!BC71=""),"",AVERAGE(IPC!BC71:BE71))</f>
        <v/>
      </c>
      <c r="BN71" s="7" t="str">
        <f>IF(OR(IPC!BH71="",IPC!BG71="",IPC!BF71=""),"",AVERAGE(IPC!BF71:BH71))</f>
        <v/>
      </c>
      <c r="BO71" s="7" t="str">
        <f>IF(OR(IPC!BK71="",IPC!BJ71="",IPC!BI71=""),"",AVERAGE(IPC!BI71:BK71))</f>
        <v/>
      </c>
      <c r="BP71" s="7" t="str">
        <f>IF(OR(IPC!BN71="",IPC!BM71="",IPC!BL71=""),"",AVERAGE(IPC!BL71:BN71))</f>
        <v/>
      </c>
      <c r="BQ71" s="7" t="str">
        <f>IF(OR(IPC!BQ71="",IPC!BP71="",IPC!BO71=""),"",AVERAGE(IPC!BO71:BQ71))</f>
        <v/>
      </c>
      <c r="BR71" s="7" t="str">
        <f>IF(OR(IPC!BT71="",IPC!BS71="",IPC!BR71=""),"",AVERAGE(IPC!BR71:BT71))</f>
        <v/>
      </c>
      <c r="BS71" s="7" t="str">
        <f>IF(OR(IPC!BW71="",IPC!BV71="",IPC!BU71=""),"",AVERAGE(IPC!BU71:BW71))</f>
        <v/>
      </c>
      <c r="BT71" s="7" t="str">
        <f>IF(OR(IPC!BZ71="",IPC!BY71="",IPC!BX71=""),"",AVERAGE(IPC!BX71:BZ71))</f>
        <v/>
      </c>
      <c r="BU71" s="7" t="str">
        <f>IF(OR(IPC!CC71="",IPC!CB71="",IPC!CA71=""),"",AVERAGE(IPC!CA71:CC71))</f>
        <v/>
      </c>
      <c r="BV71" s="7" t="str">
        <f>IF(OR(IPC!CF71="",IPC!CE71="",IPC!CD71=""),"",AVERAGE(IPC!CD71:CF71))</f>
        <v/>
      </c>
      <c r="BW71" s="7" t="str">
        <f>IF(OR(IPC!CI71="",IPC!CH71="",IPC!CG71=""),"",AVERAGE(IPC!CG71:CI71))</f>
        <v/>
      </c>
      <c r="BX71" s="7" t="str">
        <f>IF(OR(IPC!CL71="",IPC!CK71="",IPC!CJ71=""),"",AVERAGE(IPC!CJ71:CL71))</f>
        <v/>
      </c>
      <c r="BY71" s="7" t="str">
        <f>IF(OR(IPC!CO71="",IPC!CN71="",IPC!CM71=""),"",AVERAGE(IPC!CM71:CO71))</f>
        <v/>
      </c>
      <c r="BZ71" s="7" t="str">
        <f>IF(OR(IPC!CR71="",IPC!CQ71="",IPC!CP71=""),"",AVERAGE(IPC!CP71:CR71))</f>
        <v/>
      </c>
      <c r="CA71" s="7" t="str">
        <f>IF(OR(IPC!CU71="",IPC!CT71="",IPC!CS71=""),"",AVERAGE(IPC!CS71:CU71))</f>
        <v/>
      </c>
      <c r="CB71" s="7" t="str">
        <f>IF(OR(IPC!CX71="",IPC!CW71="",IPC!CV71=""),"",AVERAGE(IPC!CV71:CX71))</f>
        <v/>
      </c>
      <c r="CC71" s="7" t="str">
        <f>IF(OR(IPC!DA71="",IPC!CZ71="",IPC!CY71=""),"",AVERAGE(IPC!CY71:DA71))</f>
        <v/>
      </c>
      <c r="CD71" s="7" t="str">
        <f>IF(OR(IPC!DD71="",IPC!DC71="",IPC!DB71=""),"",AVERAGE(IPC!DB71:DD71))</f>
        <v/>
      </c>
      <c r="CE71" s="7" t="str">
        <f>IF(OR(IPC!DG71="",IPC!DF71="",IPC!DE71=""),"",AVERAGE(IPC!DE71:DG71))</f>
        <v/>
      </c>
      <c r="CF71" s="7" t="str">
        <f>IF(OR(IPC!DJ71="",IPC!DI71="",IPC!DH71=""),"",AVERAGE(IPC!DH71:DJ71))</f>
        <v/>
      </c>
      <c r="CG71" s="7" t="str">
        <f>IF(OR(IPC!DM71="",IPC!DL71="",IPC!DK71=""),"",AVERAGE(IPC!DK71:DM71))</f>
        <v/>
      </c>
      <c r="CH71" s="7" t="str">
        <f>IF(OR(IPC!DP71="",IPC!DO71="",IPC!DN71=""),"",AVERAGE(IPC!DN71:DP71))</f>
        <v/>
      </c>
      <c r="CI71" s="7" t="str">
        <f>IF(OR(IPC!DS71="",IPC!DR71="",IPC!DQ71=""),"",AVERAGE(IPC!DQ71:DS71))</f>
        <v/>
      </c>
      <c r="CJ71" s="7" t="str">
        <f>IF(OR(IPC!DV71="",IPC!DU71="",IPC!DT71=""),"",AVERAGE(IPC!DT71:DV71))</f>
        <v/>
      </c>
      <c r="CK71" s="7" t="str">
        <f>IF(OR(IPC!DY71="",IPC!DX71="",IPC!DW71=""),"",AVERAGE(IPC!DW71:DY71))</f>
        <v/>
      </c>
      <c r="CL71" s="7" t="str">
        <f>IF(OR(IPC!EB71="",IPC!EA71="",IPC!DZ71=""),"",AVERAGE(IPC!DZ71:EB71))</f>
        <v/>
      </c>
      <c r="CM71" s="7" t="str">
        <f>IF(OR(IPC!EE71="",IPC!ED71="",IPC!EC71=""),"",AVERAGE(IPC!EC71:EE71))</f>
        <v/>
      </c>
      <c r="CN71" s="7" t="str">
        <f>IF(OR(IPC!EH71="",IPC!EG71="",IPC!EF71=""),"",AVERAGE(IPC!EF71:EH71))</f>
        <v/>
      </c>
      <c r="CO71" s="7" t="str">
        <f>IF(OR(IPC!EK71="",IPC!EJ71="",IPC!EI71=""),"",AVERAGE(IPC!EI71:EK71))</f>
        <v/>
      </c>
      <c r="CP71" s="7">
        <f>IF(OR(IPC!EN71="",IPC!EM71="",IPC!EL71=""),"",AVERAGE(IPC!EL71:EN71))</f>
        <v>118.08333333333333</v>
      </c>
      <c r="CQ71" s="7">
        <f>IF(OR(IPC!EQ71="",IPC!EP71="",IPC!EO71=""),"",AVERAGE(IPC!EO71:EQ71))</f>
        <v>120.83333333333333</v>
      </c>
      <c r="CR71" s="7">
        <f>IF(OR(IPC!ET71="",IPC!ES71="",IPC!ER71=""),"",AVERAGE(IPC!ER71:ET71))</f>
        <v>121.28333333333335</v>
      </c>
      <c r="CS71" s="7" t="str">
        <f>IF(OR(IPC!EW71="",IPC!EV71="",IPC!EU71=""),"",AVERAGE(IPC!EU71:EW71))</f>
        <v/>
      </c>
      <c r="CT71" s="7">
        <f>IF(OR(IPC!EZ71="",IPC!EY71="",IPC!EX71=""),"",AVERAGE(IPC!EX71:EZ71))</f>
        <v>123.81280666666665</v>
      </c>
      <c r="CU71" s="7">
        <f>IF(OR(IPC!FC71="",IPC!FB71="",IPC!FA71=""),"",AVERAGE(IPC!FA71:FC71))</f>
        <v>124.3</v>
      </c>
      <c r="CV71" s="7">
        <f>IF(OR(IPC!FF71="",IPC!FE71="",IPC!FD71=""),"",AVERAGE(IPC!FD71:FF71))</f>
        <v>124.5</v>
      </c>
      <c r="CW71" s="7">
        <f>IF(OR(IPC!FI71="",IPC!FH71="",IPC!FG71=""),"",AVERAGE(IPC!FG71:FI71))</f>
        <v>126.28000000000002</v>
      </c>
      <c r="CX71" s="7">
        <f>IF(OR(IPC!FL71="",IPC!FK71="",IPC!FJ71=""),"",AVERAGE(IPC!FJ71:FL71))</f>
        <v>126.62</v>
      </c>
      <c r="CY71" s="7">
        <f>IF(OR(IPC!FO71="",IPC!FN71="",IPC!FM71=""),"",AVERAGE(IPC!FM71:FO71))</f>
        <v>126.90666666666668</v>
      </c>
      <c r="CZ71" s="7">
        <f>IF(OR(IPC!FR71="",IPC!FQ71="",IPC!FP71=""),"",AVERAGE(IPC!FP71:FR71))</f>
        <v>127.33999999999999</v>
      </c>
    </row>
    <row r="72" spans="1:104" s="1" customFormat="1" ht="10.199999999999999" x14ac:dyDescent="0.2">
      <c r="A72" s="30"/>
      <c r="B72" s="73" t="s">
        <v>52</v>
      </c>
      <c r="C72" s="71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>
        <f>IF(OR(IPC!F72="",IPC!E72="",IPC!D72=""),"",AVERAGE(IPC!D72:F72))</f>
        <v>95.19</v>
      </c>
      <c r="AW72" s="7">
        <f>IF(OR(IPC!I72="",IPC!H72="",IPC!G72=""),"",AVERAGE(IPC!G72:I72))</f>
        <v>96.313333333333333</v>
      </c>
      <c r="AX72" s="7">
        <f>IF(OR(IPC!L72="",IPC!K72="",IPC!J72=""),"",AVERAGE(IPC!J72:L72))</f>
        <v>96.266666666666666</v>
      </c>
      <c r="AY72" s="7">
        <f>IF(OR(IPC!O72="",IPC!N72="",IPC!M72=""),"",AVERAGE(IPC!M72:O72))</f>
        <v>97.030000000000015</v>
      </c>
      <c r="AZ72" s="7">
        <f>IF(OR(IPC!R72="",IPC!Q72="",IPC!P72=""),"",AVERAGE(IPC!P72:R72))</f>
        <v>97.636666666666656</v>
      </c>
      <c r="BA72" s="7">
        <f>IF(OR(IPC!U72="",IPC!T72="",IPC!S72=""),"",AVERAGE(IPC!S72:U72))</f>
        <v>98.543333333333337</v>
      </c>
      <c r="BB72" s="7">
        <f>IF(OR(IPC!X72="",IPC!W72="",IPC!V72=""),"",AVERAGE(IPC!V72:X72))</f>
        <v>98.44</v>
      </c>
      <c r="BC72" s="7">
        <f>IF(OR(IPC!AA72="",IPC!Z72="",IPC!Y72=""),"",AVERAGE(IPC!Y72:AA72))</f>
        <v>98.716666666666654</v>
      </c>
      <c r="BD72" s="7">
        <f>IF(OR(IPC!AD72="",IPC!AC72="",IPC!AB72=""),"",AVERAGE(IPC!AB72:AD72))</f>
        <v>98.816666666666663</v>
      </c>
      <c r="BE72" s="7">
        <f>IF(OR(IPC!AG72="",IPC!AF72="",IPC!AE72=""),"",AVERAGE(IPC!AE72:AG72))</f>
        <v>99.436666666666667</v>
      </c>
      <c r="BF72" s="7">
        <f>IF(OR(IPC!AJ72="",IPC!AI72="",IPC!AH72=""),"",AVERAGE(IPC!AH72:AJ72))</f>
        <v>99.486666666666665</v>
      </c>
      <c r="BG72" s="7">
        <f>IF(OR(IPC!AM72="",IPC!AL72="",IPC!AK72=""),"",AVERAGE(IPC!AK72:AM72))</f>
        <v>99.490000000000009</v>
      </c>
      <c r="BH72" s="7">
        <f>IF(OR(IPC!AP72="",IPC!AO72="",IPC!AN72=""),"",AVERAGE(IPC!AN72:AP72))</f>
        <v>99.666666666666671</v>
      </c>
      <c r="BI72" s="7">
        <f>IF(OR(IPC!AS72="",IPC!AR72="",IPC!AQ72=""),"",AVERAGE(IPC!AQ72:AS72))</f>
        <v>100.18333333333332</v>
      </c>
      <c r="BJ72" s="7">
        <f>IF(OR(IPC!AV72="",IPC!AU72="",IPC!AT72=""),"",AVERAGE(IPC!AT72:AV72))</f>
        <v>99.976666666666674</v>
      </c>
      <c r="BK72" s="7">
        <f>IF(OR(IPC!AY72="",IPC!AX72="",IPC!AW72=""),"",AVERAGE(IPC!AW72:AY72))</f>
        <v>99.83</v>
      </c>
      <c r="BL72" s="7">
        <f>IF(OR(IPC!BB72="",IPC!BA72="",IPC!AZ72=""),"",AVERAGE(IPC!AZ72:BB72))</f>
        <v>99.43</v>
      </c>
      <c r="BM72" s="7">
        <f>IF(OR(IPC!BE72="",IPC!BD72="",IPC!BC72=""),"",AVERAGE(IPC!BC72:BE72))</f>
        <v>100.45</v>
      </c>
      <c r="BN72" s="7">
        <f>IF(OR(IPC!BH72="",IPC!BG72="",IPC!BF72=""),"",AVERAGE(IPC!BF72:BH72))</f>
        <v>100.11666666666667</v>
      </c>
      <c r="BO72" s="7">
        <f>IF(OR(IPC!BK72="",IPC!BJ72="",IPC!BI72=""),"",AVERAGE(IPC!BI72:BK72))</f>
        <v>100.00666666666666</v>
      </c>
      <c r="BP72" s="7">
        <f>IF(OR(IPC!BN72="",IPC!BM72="",IPC!BL72=""),"",AVERAGE(IPC!BL72:BN72))</f>
        <v>99.473333333333315</v>
      </c>
      <c r="BQ72" s="7">
        <f>IF(OR(IPC!BQ72="",IPC!BP72="",IPC!BO72=""),"",AVERAGE(IPC!BO72:BQ72))</f>
        <v>100.54333333333334</v>
      </c>
      <c r="BR72" s="7">
        <f>IF(OR(IPC!BT72="",IPC!BS72="",IPC!BR72=""),"",AVERAGE(IPC!BR72:BT72))</f>
        <v>100.54333333333334</v>
      </c>
      <c r="BS72" s="7">
        <f>IF(OR(IPC!BW72="",IPC!BV72="",IPC!BU72=""),"",AVERAGE(IPC!BU72:BW72))</f>
        <v>100.66333333333334</v>
      </c>
      <c r="BT72" s="7">
        <f>IF(OR(IPC!BZ72="",IPC!BY72="",IPC!BX72=""),"",AVERAGE(IPC!BX72:BZ72))</f>
        <v>100.92333333333333</v>
      </c>
      <c r="BU72" s="7">
        <f>IF(OR(IPC!CC72="",IPC!CB72="",IPC!CA72=""),"",AVERAGE(IPC!CA72:CC72))</f>
        <v>101.58</v>
      </c>
      <c r="BV72" s="7">
        <f>IF(OR(IPC!CF72="",IPC!CE72="",IPC!CD72=""),"",AVERAGE(IPC!CD72:CF72))</f>
        <v>101.49666666666667</v>
      </c>
      <c r="BW72" s="7">
        <f>IF(OR(IPC!CI72="",IPC!CH72="",IPC!CG72=""),"",AVERAGE(IPC!CG72:CI72))</f>
        <v>101.88666666666666</v>
      </c>
      <c r="BX72" s="7">
        <f>IF(OR(IPC!CL72="",IPC!CK72="",IPC!CJ72=""),"",AVERAGE(IPC!CJ72:CL72))</f>
        <v>102.44333333333334</v>
      </c>
      <c r="BY72" s="7">
        <f>IF(OR(IPC!CO72="",IPC!CN72="",IPC!CM72=""),"",AVERAGE(IPC!CM72:CO72))</f>
        <v>103.76</v>
      </c>
      <c r="BZ72" s="7">
        <f>IF(OR(IPC!CR72="",IPC!CQ72="",IPC!CP72=""),"",AVERAGE(IPC!CP72:CR72))</f>
        <v>104.08999999999999</v>
      </c>
      <c r="CA72" s="7">
        <f>IF(OR(IPC!CU72="",IPC!CT72="",IPC!CS72=""),"",AVERAGE(IPC!CS72:CU72))</f>
        <v>104.11333333333334</v>
      </c>
      <c r="CB72" s="7">
        <f>IF(OR(IPC!CX72="",IPC!CW72="",IPC!CV72=""),"",AVERAGE(IPC!CV72:CX72))</f>
        <v>103.90333333333332</v>
      </c>
      <c r="CC72" s="7">
        <f>IF(OR(IPC!DA72="",IPC!CZ72="",IPC!CY72=""),"",AVERAGE(IPC!CY72:DA72))</f>
        <v>105.11333333333334</v>
      </c>
      <c r="CD72" s="7">
        <f>IF(OR(IPC!DD72="",IPC!DC72="",IPC!DB72=""),"",AVERAGE(IPC!DB72:DD72))</f>
        <v>105.08666666666666</v>
      </c>
      <c r="CE72" s="7">
        <f>IF(OR(IPC!DG72="",IPC!DF72="",IPC!DE72=""),"",AVERAGE(IPC!DE72:DG72))</f>
        <v>104.65333333333332</v>
      </c>
      <c r="CF72" s="7">
        <f>IF(OR(IPC!DJ72="",IPC!DI72="",IPC!DH72=""),"",AVERAGE(IPC!DH72:DJ72))</f>
        <v>104.55333333333333</v>
      </c>
      <c r="CG72" s="7">
        <f>IF(OR(IPC!DM72="",IPC!DL72="",IPC!DK72=""),"",AVERAGE(IPC!DK72:DM72))</f>
        <v>104.68666666666667</v>
      </c>
      <c r="CH72" s="7">
        <f>IF(OR(IPC!DP72="",IPC!DO72="",IPC!DN72=""),"",AVERAGE(IPC!DN72:DP72))</f>
        <v>104.94333333333333</v>
      </c>
      <c r="CI72" s="7">
        <f>IF(OR(IPC!DS72="",IPC!DR72="",IPC!DQ72=""),"",AVERAGE(IPC!DQ72:DS72))</f>
        <v>104.73333333333333</v>
      </c>
      <c r="CJ72" s="7">
        <f>IF(OR(IPC!DV72="",IPC!DU72="",IPC!DT72=""),"",AVERAGE(IPC!DT72:DV72))</f>
        <v>105.33</v>
      </c>
      <c r="CK72" s="7">
        <f>IF(OR(IPC!DY72="",IPC!DX72="",IPC!DW72=""),"",AVERAGE(IPC!DW72:DY72))</f>
        <v>106.13333333333333</v>
      </c>
      <c r="CL72" s="7">
        <f>IF(OR(IPC!EB72="",IPC!EA72="",IPC!DZ72=""),"",AVERAGE(IPC!DZ72:EB72))</f>
        <v>106.75333333333333</v>
      </c>
      <c r="CM72" s="7">
        <f>IF(OR(IPC!EE72="",IPC!ED72="",IPC!EC72=""),"",AVERAGE(IPC!EC72:EE72))</f>
        <v>107.58</v>
      </c>
      <c r="CN72" s="7">
        <f>IF(OR(IPC!EH72="",IPC!EG72="",IPC!EF72=""),"",AVERAGE(IPC!EF72:EH72))</f>
        <v>109.18333333333334</v>
      </c>
      <c r="CO72" s="7">
        <f>IF(OR(IPC!EK72="",IPC!EJ72="",IPC!EI72=""),"",AVERAGE(IPC!EI72:EK72))</f>
        <v>111.77</v>
      </c>
      <c r="CP72" s="7">
        <f>IF(OR(IPC!EN72="",IPC!EM72="",IPC!EL72=""),"",AVERAGE(IPC!EL72:EN72))</f>
        <v>112.99666666666667</v>
      </c>
      <c r="CQ72" s="7">
        <f>IF(OR(IPC!EQ72="",IPC!EP72="",IPC!EO72=""),"",AVERAGE(IPC!EO72:EQ72))</f>
        <v>114.10666666666668</v>
      </c>
      <c r="CR72" s="7">
        <f>IF(OR(IPC!ET72="",IPC!ES72="",IPC!ER72=""),"",AVERAGE(IPC!ER72:ET72))</f>
        <v>115.72333333333334</v>
      </c>
      <c r="CS72" s="7">
        <f>IF(OR(IPC!EW72="",IPC!EV72="",IPC!EU72=""),"",AVERAGE(IPC!EU72:EW72))</f>
        <v>117.53000000000002</v>
      </c>
      <c r="CT72" s="7">
        <f>IF(OR(IPC!EZ72="",IPC!EY72="",IPC!EX72=""),"",AVERAGE(IPC!EX72:EZ72))</f>
        <v>118.15333333333332</v>
      </c>
      <c r="CU72" s="7">
        <f>IF(OR(IPC!FC72="",IPC!FB72="",IPC!FA72=""),"",AVERAGE(IPC!FA72:FC72))</f>
        <v>118.68333333333334</v>
      </c>
      <c r="CV72" s="7">
        <f>IF(OR(IPC!FF72="",IPC!FE72="",IPC!FD72=""),"",AVERAGE(IPC!FD72:FF72))</f>
        <v>119.2</v>
      </c>
      <c r="CW72" s="7">
        <f>IF(OR(IPC!FI72="",IPC!FH72="",IPC!FG72=""),"",AVERAGE(IPC!FG72:FI72))</f>
        <v>120.12666666666667</v>
      </c>
      <c r="CX72" s="7">
        <f>IF(OR(IPC!FL72="",IPC!FK72="",IPC!FJ72=""),"",AVERAGE(IPC!FJ72:FL72))</f>
        <v>120.34666666666668</v>
      </c>
      <c r="CY72" s="7">
        <f>IF(OR(IPC!FO72="",IPC!FN72="",IPC!FM72=""),"",AVERAGE(IPC!FM72:FO72))</f>
        <v>119.88333333333333</v>
      </c>
      <c r="CZ72" s="7">
        <f>IF(OR(IPC!FR72="",IPC!FQ72="",IPC!FP72=""),"",AVERAGE(IPC!FP72:FR72))</f>
        <v>120.22666666666667</v>
      </c>
    </row>
    <row r="73" spans="1:104" s="1" customFormat="1" ht="10.199999999999999" x14ac:dyDescent="0.2">
      <c r="A73" s="32"/>
      <c r="B73" s="31" t="s">
        <v>53</v>
      </c>
      <c r="C73" s="71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>
        <f>IF(OR(IPC!F73="",IPC!E73="",IPC!D73=""),"",AVERAGE(IPC!D73:F73))</f>
        <v>221.66633333333334</v>
      </c>
      <c r="AW73" s="7">
        <f>IF(OR(IPC!I73="",IPC!H73="",IPC!G73=""),"",AVERAGE(IPC!G73:I73))</f>
        <v>225.53066666666666</v>
      </c>
      <c r="AX73" s="7">
        <f>IF(OR(IPC!L73="",IPC!K73="",IPC!J73=""),"",AVERAGE(IPC!J73:L73))</f>
        <v>226.452</v>
      </c>
      <c r="AY73" s="7">
        <f>IF(OR(IPC!O73="",IPC!N73="",IPC!M73=""),"",AVERAGE(IPC!M73:O73))</f>
        <v>226.35733333333334</v>
      </c>
      <c r="AZ73" s="7">
        <f>IF(OR(IPC!R73="",IPC!Q73="",IPC!P73=""),"",AVERAGE(IPC!P73:R73))</f>
        <v>227.90666666666667</v>
      </c>
      <c r="BA73" s="7">
        <f>IF(OR(IPC!U73="",IPC!T73="",IPC!S73=""),"",AVERAGE(IPC!S73:U73))</f>
        <v>229.79266666666663</v>
      </c>
      <c r="BB73" s="7">
        <f>IF(OR(IPC!X73="",IPC!W73="",IPC!V73=""),"",AVERAGE(IPC!V73:X73))</f>
        <v>230.29666666666665</v>
      </c>
      <c r="BC73" s="7">
        <f>IF(OR(IPC!AA73="",IPC!Z73="",IPC!Y73=""),"",AVERAGE(IPC!Y73:AA73))</f>
        <v>230.37966666666668</v>
      </c>
      <c r="BD73" s="7">
        <f>IF(OR(IPC!AD73="",IPC!AC73="",IPC!AB73=""),"",AVERAGE(IPC!AB73:AD73))</f>
        <v>231.73966666666669</v>
      </c>
      <c r="BE73" s="7">
        <f>IF(OR(IPC!AG73="",IPC!AF73="",IPC!AE73=""),"",AVERAGE(IPC!AE73:AG73))</f>
        <v>232.99333333333334</v>
      </c>
      <c r="BF73" s="7">
        <f>IF(OR(IPC!AJ73="",IPC!AI73="",IPC!AH73=""),"",AVERAGE(IPC!AH73:AJ73))</f>
        <v>233.87400000000002</v>
      </c>
      <c r="BG73" s="7">
        <f>IF(OR(IPC!AM73="",IPC!AL73="",IPC!AK73=""),"",AVERAGE(IPC!AK73:AM73))</f>
        <v>233.22133333333332</v>
      </c>
      <c r="BH73" s="7">
        <f>IF(OR(IPC!AP73="",IPC!AO73="",IPC!AN73=""),"",AVERAGE(IPC!AN73:AP73))</f>
        <v>234.99666666666667</v>
      </c>
      <c r="BI73" s="7">
        <f>IF(OR(IPC!AS73="",IPC!AR73="",IPC!AQ73=""),"",AVERAGE(IPC!AQ73:AS73))</f>
        <v>237.77166666666665</v>
      </c>
      <c r="BJ73" s="7">
        <f>IF(OR(IPC!AV73="",IPC!AU73="",IPC!AT73=""),"",AVERAGE(IPC!AT73:AV73))</f>
        <v>238.04433333333336</v>
      </c>
      <c r="BK73" s="7">
        <f>IF(OR(IPC!AY73="",IPC!AX73="",IPC!AW73=""),"",AVERAGE(IPC!AW73:AY73))</f>
        <v>236.13199999999998</v>
      </c>
      <c r="BL73" s="7">
        <f>IF(OR(IPC!BB73="",IPC!BA73="",IPC!AZ73=""),"",AVERAGE(IPC!AZ73:BB73))</f>
        <v>234.84933333333333</v>
      </c>
      <c r="BM73" s="7">
        <f>IF(OR(IPC!BE73="",IPC!BD73="",IPC!BC73=""),"",AVERAGE(IPC!BC73:BE73))</f>
        <v>237.68066666666667</v>
      </c>
      <c r="BN73" s="7">
        <f>IF(OR(IPC!BH73="",IPC!BG73="",IPC!BF73=""),"",AVERAGE(IPC!BF73:BH73))</f>
        <v>238.30499999999998</v>
      </c>
      <c r="BO73" s="7">
        <f>IF(OR(IPC!BK73="",IPC!BJ73="",IPC!BI73=""),"",AVERAGE(IPC!BI73:BK73))</f>
        <v>237.23299999999998</v>
      </c>
      <c r="BP73" s="7">
        <f>IF(OR(IPC!BN73="",IPC!BM73="",IPC!BL73=""),"",AVERAGE(IPC!BL73:BN73))</f>
        <v>237.38633333333334</v>
      </c>
      <c r="BQ73" s="7">
        <f>IF(OR(IPC!BQ73="",IPC!BP73="",IPC!BO73=""),"",AVERAGE(IPC!BO73:BQ73))</f>
        <v>240.17833333333331</v>
      </c>
      <c r="BR73" s="7">
        <f>IF(OR(IPC!BT73="",IPC!BS73="",IPC!BR73=""),"",AVERAGE(IPC!BR73:BT73))</f>
        <v>240.976</v>
      </c>
      <c r="BS73" s="7">
        <f>IF(OR(IPC!BW73="",IPC!BV73="",IPC!BU73=""),"",AVERAGE(IPC!BU73:BW73))</f>
        <v>241.50466666666668</v>
      </c>
      <c r="BT73" s="7">
        <f>IF(OR(IPC!BZ73="",IPC!BY73="",IPC!BX73=""),"",AVERAGE(IPC!BX73:BZ73))</f>
        <v>243.4143333333333</v>
      </c>
      <c r="BU73" s="7">
        <f>IF(OR(IPC!CC73="",IPC!CB73="",IPC!CA73=""),"",AVERAGE(IPC!CA73:CC73))</f>
        <v>244.73733333333334</v>
      </c>
      <c r="BV73" s="7">
        <f>IF(OR(IPC!CF73="",IPC!CE73="",IPC!CD73=""),"",AVERAGE(IPC!CD73:CF73))</f>
        <v>245.708</v>
      </c>
      <c r="BW73" s="7">
        <f>IF(OR(IPC!CI73="",IPC!CH73="",IPC!CG73=""),"",AVERAGE(IPC!CG73:CI73))</f>
        <v>246.61866666666666</v>
      </c>
      <c r="BX73" s="7">
        <f>IF(OR(IPC!CL73="",IPC!CK73="",IPC!CJ73=""),"",AVERAGE(IPC!CJ73:CL73))</f>
        <v>248.804</v>
      </c>
      <c r="BY73" s="7">
        <f>IF(OR(IPC!CO73="",IPC!CN73="",IPC!CM73=""),"",AVERAGE(IPC!CM73:CO73))</f>
        <v>251.37433333333334</v>
      </c>
      <c r="BZ73" s="7">
        <f>IF(OR(IPC!CR73="",IPC!CQ73="",IPC!CP73=""),"",AVERAGE(IPC!CP73:CR73))</f>
        <v>252.197</v>
      </c>
      <c r="CA73" s="7">
        <f>IF(OR(IPC!CU73="",IPC!CT73="",IPC!CS73=""),"",AVERAGE(IPC!CS73:CU73))</f>
        <v>252.05199999999999</v>
      </c>
      <c r="CB73" s="7">
        <f>IF(OR(IPC!CX73="",IPC!CW73="",IPC!CV73=""),"",AVERAGE(IPC!CV73:CX73))</f>
        <v>252.89666666666668</v>
      </c>
      <c r="CC73" s="7">
        <f>IF(OR(IPC!DA73="",IPC!CZ73="",IPC!CY73=""),"",AVERAGE(IPC!CY73:DA73))</f>
        <v>255.92766666666662</v>
      </c>
      <c r="CD73" s="7" t="str">
        <f>IF(OR(IPC!DD73="",IPC!DC73="",IPC!DB73=""),"",AVERAGE(IPC!DB73:DD73))</f>
        <v/>
      </c>
      <c r="CE73" s="7" t="str">
        <f>IF(OR(IPC!DG73="",IPC!DF73="",IPC!DE73=""),"",AVERAGE(IPC!DE73:DG73))</f>
        <v/>
      </c>
      <c r="CF73" s="7" t="str">
        <f>IF(OR(IPC!DJ73="",IPC!DI73="",IPC!DH73=""),"",AVERAGE(IPC!DH73:DJ73))</f>
        <v/>
      </c>
      <c r="CG73" s="7" t="str">
        <f>IF(OR(IPC!DM73="",IPC!DL73="",IPC!DK73=""),"",AVERAGE(IPC!DK73:DM73))</f>
        <v/>
      </c>
      <c r="CH73" s="7" t="str">
        <f>IF(OR(IPC!DP73="",IPC!DO73="",IPC!DN73=""),"",AVERAGE(IPC!DN73:DP73))</f>
        <v/>
      </c>
      <c r="CI73" s="7" t="str">
        <f>IF(OR(IPC!DS73="",IPC!DR73="",IPC!DQ73=""),"",AVERAGE(IPC!DQ73:DS73))</f>
        <v/>
      </c>
      <c r="CJ73" s="7" t="str">
        <f>IF(OR(IPC!DV73="",IPC!DU73="",IPC!DT73=""),"",AVERAGE(IPC!DT73:DV73))</f>
        <v/>
      </c>
      <c r="CK73" s="7">
        <f>IF(OR(IPC!DY73="",IPC!DX73="",IPC!DW73=""),"",AVERAGE(IPC!DW73:DY73))</f>
        <v>269.31666666666666</v>
      </c>
      <c r="CL73" s="7">
        <f>IF(OR(IPC!EB73="",IPC!EA73="",IPC!DZ73=""),"",AVERAGE(IPC!DZ73:EB73))</f>
        <v>273.62666666666661</v>
      </c>
      <c r="CM73" s="7">
        <f>IF(OR(IPC!EE73="",IPC!ED73="",IPC!EC73=""),"",AVERAGE(IPC!EC73:EE73))</f>
        <v>277.77999999999997</v>
      </c>
      <c r="CN73" s="7">
        <f>IF(OR(IPC!EH73="",IPC!EG73="",IPC!EF73=""),"",AVERAGE(IPC!EF73:EH73))</f>
        <v>284.12333333333333</v>
      </c>
      <c r="CO73" s="7">
        <f>IF(OR(IPC!EK73="",IPC!EJ73="",IPC!EI73=""),"",AVERAGE(IPC!EI73:EK73))</f>
        <v>292.57333333333332</v>
      </c>
      <c r="CP73" s="7">
        <f>IF(OR(IPC!EN73="",IPC!EM73="",IPC!EL73=""),"",AVERAGE(IPC!EL73:EN73))</f>
        <v>296.42</v>
      </c>
      <c r="CQ73" s="7">
        <f>IF(OR(IPC!EQ73="",IPC!EP73="",IPC!EO73=""),"",AVERAGE(IPC!EO73:EQ73))</f>
        <v>297.50666666666666</v>
      </c>
      <c r="CR73" s="7">
        <f>IF(OR(IPC!ET73="",IPC!ES73="",IPC!ER73=""),"",AVERAGE(IPC!ER73:ET73))</f>
        <v>300.61666666666662</v>
      </c>
      <c r="CS73" s="7">
        <f>IF(OR(IPC!EW73="",IPC!EV73="",IPC!EU73=""),"",AVERAGE(IPC!EU73:EW73))</f>
        <v>304.22000000000003</v>
      </c>
      <c r="CT73" s="7">
        <f>IF(OR(IPC!EZ73="",IPC!EY73="",IPC!EX73=""),"",AVERAGE(IPC!EX73:EZ73))</f>
        <v>306.83333333333331</v>
      </c>
      <c r="CU73" s="7">
        <f>IF(OR(IPC!FC73="",IPC!FB73="",IPC!FA73=""),"",AVERAGE(IPC!FA73:FC73))</f>
        <v>307.18</v>
      </c>
      <c r="CV73" s="7">
        <f>IF(OR(IPC!FF73="",IPC!FE73="",IPC!FD73=""),"",AVERAGE(IPC!FD73:FF73))</f>
        <v>310.34999999999997</v>
      </c>
      <c r="CW73" s="7">
        <f>IF(OR(IPC!FI73="",IPC!FH73="",IPC!FG73=""),"",AVERAGE(IPC!FG73:FI73))</f>
        <v>313.93333333333334</v>
      </c>
      <c r="CX73" s="7">
        <f>IF(OR(IPC!FL73="",IPC!FK73="",IPC!FJ73=""),"",AVERAGE(IPC!FJ73:FL73))</f>
        <v>314.88000000000005</v>
      </c>
      <c r="CY73" s="7">
        <f>IF(OR(IPC!FO73="",IPC!FN73="",IPC!FM73=""),"",AVERAGE(IPC!FM73:FO73))</f>
        <v>315.5866666666667</v>
      </c>
      <c r="CZ73" s="7">
        <f>IF(OR(IPC!FR73="",IPC!FQ73="",IPC!FP73=""),"",AVERAGE(IPC!FP73:FR73))</f>
        <v>318.8533333333333</v>
      </c>
    </row>
    <row r="74" spans="1:104" s="1" customFormat="1" ht="10.199999999999999" x14ac:dyDescent="0.2">
      <c r="A74" s="32"/>
      <c r="B74" s="31" t="s">
        <v>72</v>
      </c>
      <c r="C74" s="72" t="s">
        <v>96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>
        <f>IF(OR(IPC!F74="",IPC!E74="",IPC!D74=""),"",AVERAGE(IPC!D74:F74))</f>
        <v>116.86666666666667</v>
      </c>
      <c r="AW74" s="7">
        <f>IF(OR(IPC!I74="",IPC!H74="",IPC!G74=""),"",AVERAGE(IPC!G74:I74))</f>
        <v>118.76666666666667</v>
      </c>
      <c r="AX74" s="7">
        <f>IF(OR(IPC!L74="",IPC!K74="",IPC!J74=""),"",AVERAGE(IPC!J74:L74))</f>
        <v>122.2</v>
      </c>
      <c r="AY74" s="7">
        <f>IF(OR(IPC!O74="",IPC!N74="",IPC!M74=""),"",AVERAGE(IPC!M74:O74))</f>
        <v>125.10000000000001</v>
      </c>
      <c r="AZ74" s="7">
        <f>IF(OR(IPC!R74="",IPC!Q74="",IPC!P74=""),"",AVERAGE(IPC!P74:R74))</f>
        <v>131.1</v>
      </c>
      <c r="BA74" s="7">
        <f>IF(OR(IPC!U74="",IPC!T74="",IPC!S74=""),"",AVERAGE(IPC!S74:U74))</f>
        <v>133.96666666666667</v>
      </c>
      <c r="BB74" s="7">
        <f>IF(OR(IPC!X74="",IPC!W74="",IPC!V74=""),"",AVERAGE(IPC!V74:X74))</f>
        <v>136.76666666666665</v>
      </c>
      <c r="BC74" s="7">
        <f>IF(OR(IPC!AA74="",IPC!Z74="",IPC!Y74=""),"",AVERAGE(IPC!Y74:AA74))</f>
        <v>140.13333333333333</v>
      </c>
      <c r="BD74" s="7">
        <f>IF(OR(IPC!AD74="",IPC!AC74="",IPC!AB74=""),"",AVERAGE(IPC!AB74:AD74))</f>
        <v>142.96666666666667</v>
      </c>
      <c r="BE74" s="7">
        <f>IF(OR(IPC!AG74="",IPC!AF74="",IPC!AE74=""),"",AVERAGE(IPC!AE74:AG74))</f>
        <v>145.73333333333335</v>
      </c>
      <c r="BF74" s="7">
        <f>IF(OR(IPC!AJ74="",IPC!AI74="",IPC!AH74=""),"",AVERAGE(IPC!AH74:AJ74))</f>
        <v>148.03616666666667</v>
      </c>
      <c r="BG74" s="7">
        <f>IF(OR(IPC!AM74="",IPC!AL74="",IPC!AK74=""),"",AVERAGE(IPC!AK74:AM74))</f>
        <v>151.13333333333335</v>
      </c>
      <c r="BH74" s="7">
        <f>IF(OR(IPC!AP74="",IPC!AO74="",IPC!AN74=""),"",AVERAGE(IPC!AN74:AP74))</f>
        <v>154.16666666666666</v>
      </c>
      <c r="BI74" s="7">
        <f>IF(OR(IPC!AS74="",IPC!AR74="",IPC!AQ74=""),"",AVERAGE(IPC!AQ74:AS74))</f>
        <v>157.4</v>
      </c>
      <c r="BJ74" s="7">
        <f>IF(OR(IPC!AV74="",IPC!AU74="",IPC!AT74=""),"",AVERAGE(IPC!AT74:AV74))</f>
        <v>160.46666666666667</v>
      </c>
      <c r="BK74" s="7">
        <f>IF(OR(IPC!AY74="",IPC!AX74="",IPC!AW74=""),"",AVERAGE(IPC!AW74:AY74))</f>
        <v>163.20000000000002</v>
      </c>
      <c r="BL74" s="7">
        <f>IF(OR(IPC!BB74="",IPC!BA74="",IPC!AZ74=""),"",AVERAGE(IPC!AZ74:BB74))</f>
        <v>167.0291308813735</v>
      </c>
      <c r="BM74" s="7">
        <f>IF(OR(IPC!BE74="",IPC!BD74="",IPC!BC74=""),"",AVERAGE(IPC!BC74:BE74))</f>
        <v>171.48377490286768</v>
      </c>
      <c r="BN74" s="7">
        <f>IF(OR(IPC!BH74="",IPC!BG74="",IPC!BF74=""),"",AVERAGE(IPC!BF74:BH74))</f>
        <v>175.4093521083793</v>
      </c>
      <c r="BO74" s="7">
        <f>IF(OR(IPC!BK74="",IPC!BJ74="",IPC!BI74=""),"",AVERAGE(IPC!BI74:BK74))</f>
        <v>178.57231794057705</v>
      </c>
      <c r="BP74" s="7">
        <f>IF(OR(IPC!BN74="",IPC!BM74="",IPC!BL74=""),"",AVERAGE(IPC!BL74:BN74))</f>
        <v>185.84518465559756</v>
      </c>
      <c r="BQ74" s="7">
        <f>IF(OR(IPC!BQ74="",IPC!BP74="",IPC!BO74=""),"",AVERAGE(IPC!BO74:BQ74))</f>
        <v>197.66737413464875</v>
      </c>
      <c r="BR74" s="7">
        <f>IF(OR(IPC!BT74="",IPC!BS74="",IPC!BR74=""),"",AVERAGE(IPC!BR74:BT74))</f>
        <v>206.15998216065509</v>
      </c>
      <c r="BS74" s="7">
        <f>IF(OR(IPC!BW74="",IPC!BV74="",IPC!BU74=""),"",AVERAGE(IPC!BU74:BW74))</f>
        <v>211.52161098466703</v>
      </c>
      <c r="BT74" s="7">
        <f>IF(OR(IPC!BZ74="",IPC!BY74="",IPC!BX74=""),"",AVERAGE(IPC!BX74:BZ74))</f>
        <v>219.12531469718093</v>
      </c>
      <c r="BU74" s="7">
        <f>IF(OR(IPC!CC74="",IPC!CB74="",IPC!CA74=""),"",AVERAGE(IPC!CA74:CC74))</f>
        <v>230.32703055624347</v>
      </c>
      <c r="BV74" s="7">
        <f>IF(OR(IPC!CF74="",IPC!CE74="",IPC!CD74=""),"",AVERAGE(IPC!CD74:CF74))</f>
        <v>239.17495004309799</v>
      </c>
      <c r="BW74" s="7">
        <f>IF(OR(IPC!CI74="",IPC!CH74="",IPC!CG74=""),"",AVERAGE(IPC!CG74:CI74))</f>
        <v>244.78204848216512</v>
      </c>
      <c r="BX74" s="7">
        <f>IF(OR(IPC!CL74="",IPC!CK74="",IPC!CJ74=""),"",AVERAGE(IPC!CJ74:CL74))</f>
        <v>250.36156724453477</v>
      </c>
      <c r="BY74" s="7">
        <f>IF(OR(IPC!CO74="",IPC!CN74="",IPC!CM74=""),"",AVERAGE(IPC!CM74:CO74))</f>
        <v>257.4283063156206</v>
      </c>
      <c r="BZ74" s="7">
        <f>IF(OR(IPC!CR74="",IPC!CQ74="",IPC!CP74=""),"",AVERAGE(IPC!CP74:CR74))</f>
        <v>266.0061859709611</v>
      </c>
      <c r="CA74" s="7">
        <f>IF(OR(IPC!CU74="",IPC!CT74="",IPC!CS74=""),"",AVERAGE(IPC!CS74:CU74))</f>
        <v>272.51013862043703</v>
      </c>
      <c r="CB74" s="7">
        <f>IF(OR(IPC!CX74="",IPC!CW74="",IPC!CV74=""),"",AVERAGE(IPC!CV74:CX74))</f>
        <v>278.66666666666669</v>
      </c>
      <c r="CC74" s="7">
        <f>IF(OR(IPC!DA74="",IPC!CZ74="",IPC!CY74=""),"",AVERAGE(IPC!CY74:DA74))</f>
        <v>286.59999999999997</v>
      </c>
      <c r="CD74" s="7">
        <f>IF(OR(IPC!DD74="",IPC!DC74="",IPC!DB74=""),"",AVERAGE(IPC!DB74:DD74))</f>
        <v>295.56666666666666</v>
      </c>
      <c r="CE74" s="7">
        <f>IF(OR(IPC!DG74="",IPC!DF74="",IPC!DE74=""),"",AVERAGE(IPC!DE74:DG74))</f>
        <v>304.73333333333335</v>
      </c>
      <c r="CF74" s="7">
        <f>IF(OR(IPC!DJ74="",IPC!DI74="",IPC!DH74=""),"",AVERAGE(IPC!DH74:DJ74))</f>
        <v>312.66666666666669</v>
      </c>
      <c r="CG74" s="7">
        <f>IF(OR(IPC!DM74="",IPC!DL74="",IPC!DK74=""),"",AVERAGE(IPC!DK74:DM74))</f>
        <v>322.23333333333329</v>
      </c>
      <c r="CH74" s="7">
        <f>IF(OR(IPC!DP74="",IPC!DO74="",IPC!DN74=""),"",AVERAGE(IPC!DN74:DP74))</f>
        <v>334.73333333333335</v>
      </c>
      <c r="CI74" s="7">
        <f>IF(OR(IPC!DS74="",IPC!DR74="",IPC!DQ74=""),"",AVERAGE(IPC!DQ74:DS74))</f>
        <v>350.3</v>
      </c>
      <c r="CJ74" s="7">
        <f>IF(OR(IPC!DV74="",IPC!DU74="",IPC!DT74=""),"",AVERAGE(IPC!DT74:DV74))</f>
        <v>366.83333333333331</v>
      </c>
      <c r="CK74" s="7">
        <f>IF(OR(IPC!DY74="",IPC!DX74="",IPC!DW74=""),"",AVERAGE(IPC!DW74:DY74))</f>
        <v>380</v>
      </c>
      <c r="CL74" s="7">
        <f>IF(OR(IPC!EB74="",IPC!EA74="",IPC!DZ74=""),"",AVERAGE(IPC!DZ74:EB74))</f>
        <v>391.66666666666669</v>
      </c>
      <c r="CM74" s="7">
        <f>IF(OR(IPC!EE74="",IPC!ED74="",IPC!EC74=""),"",AVERAGE(IPC!EC74:EE74))</f>
        <v>405.2</v>
      </c>
      <c r="CN74" s="7">
        <f>IF(OR(IPC!EH74="",IPC!EG74="",IPC!EF74=""),"",AVERAGE(IPC!EF74:EH74))</f>
        <v>424.59999999999997</v>
      </c>
      <c r="CO74" s="7" t="str">
        <f>IF(OR(IPC!EK74="",IPC!EJ74="",IPC!EI74=""),"",AVERAGE(IPC!EI74:EK74))</f>
        <v/>
      </c>
      <c r="CP74" s="7">
        <f>IF(OR(IPC!EN74="",IPC!EM74="",IPC!EL74=""),"",AVERAGE(IPC!EL74:EN74))</f>
        <v>471.20000000000005</v>
      </c>
      <c r="CQ74" s="7">
        <f>IF(OR(IPC!EQ74="",IPC!EP74="",IPC!EO74=""),"",AVERAGE(IPC!EO74:EQ74))</f>
        <v>491.5</v>
      </c>
      <c r="CR74" s="7">
        <f>IF(OR(IPC!ET74="",IPC!ES74="",IPC!ER74=""),"",AVERAGE(IPC!ER74:ET74))</f>
        <v>517.80000000000007</v>
      </c>
      <c r="CS74" s="7">
        <f>IF(OR(IPC!EW74="",IPC!EV74="",IPC!EU74=""),"",AVERAGE(IPC!EU74:EW74))</f>
        <v>547.86666666666667</v>
      </c>
      <c r="CT74" s="7">
        <f>IF(OR(IPC!EZ74="",IPC!EY74="",IPC!EX74=""),"",AVERAGE(IPC!EX74:EZ74))</f>
        <v>591.63333333333333</v>
      </c>
      <c r="CU74" s="7">
        <f>IF(OR(IPC!FC74="",IPC!FB74="",IPC!FA74=""),"",AVERAGE(IPC!FA74:FC74))</f>
        <v>629.90882666666676</v>
      </c>
      <c r="CV74" s="7">
        <f>IF(OR(IPC!FF74="",IPC!FE74="",IPC!FD74=""),"",AVERAGE(IPC!FD74:FF74))</f>
        <v>681.52539999999999</v>
      </c>
      <c r="CW74" s="7">
        <f>IF(OR(IPC!FI74="",IPC!FH74="",IPC!FG74=""),"",AVERAGE(IPC!FG74:FI74))</f>
        <v>733.9</v>
      </c>
      <c r="CX74" s="7">
        <f>IF(OR(IPC!FL74="",IPC!FK74="",IPC!FJ74=""),"",AVERAGE(IPC!FJ74:FL74))</f>
        <v>785.30000000000007</v>
      </c>
      <c r="CY74" s="7" t="str">
        <f>IF(OR(IPC!FO74="",IPC!FN74="",IPC!FM74=""),"",AVERAGE(IPC!FM74:FO74))</f>
        <v/>
      </c>
      <c r="CZ74" s="7">
        <f>IF(OR(IPC!FR74="",IPC!FQ74="",IPC!FP74=""),"",AVERAGE(IPC!FP74:FR74))</f>
        <v>113.652586</v>
      </c>
    </row>
    <row r="75" spans="1:104" s="1" customFormat="1" ht="10.199999999999999" x14ac:dyDescent="0.2">
      <c r="A75" s="32"/>
      <c r="B75" s="31" t="s">
        <v>73</v>
      </c>
      <c r="C75" s="71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</row>
    <row r="76" spans="1:104" s="4" customFormat="1" ht="10.199999999999999" x14ac:dyDescent="0.2">
      <c r="A76" s="32"/>
      <c r="B76" s="32"/>
      <c r="C76" s="71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92"/>
  <sheetViews>
    <sheetView zoomScaleNormal="100" workbookViewId="0">
      <pane xSplit="3" ySplit="4" topLeftCell="AF5" activePane="bottomRight" state="frozen"/>
      <selection pane="topRight" activeCell="D1" sqref="D1"/>
      <selection pane="bottomLeft" activeCell="A5" sqref="A5"/>
      <selection pane="bottomRight" activeCell="AK5" sqref="AK5:AP18"/>
    </sheetView>
  </sheetViews>
  <sheetFormatPr baseColWidth="10" defaultColWidth="9.44140625" defaultRowHeight="13.2" x14ac:dyDescent="0.25"/>
  <cols>
    <col min="1" max="1" width="4.6640625" customWidth="1"/>
    <col min="2" max="2" width="32.44140625" customWidth="1"/>
    <col min="3" max="3" width="13.109375" customWidth="1"/>
  </cols>
  <sheetData>
    <row r="1" spans="1:44" s="1" customFormat="1" ht="10.8" thickBot="1" x14ac:dyDescent="0.25"/>
    <row r="2" spans="1:44" s="2" customFormat="1" ht="33" thickTop="1" thickBot="1" x14ac:dyDescent="0.55000000000000004">
      <c r="B2" s="2" t="s">
        <v>92</v>
      </c>
    </row>
    <row r="3" spans="1:44" s="1" customFormat="1" ht="11.4" thickTop="1" thickBot="1" x14ac:dyDescent="0.25"/>
    <row r="4" spans="1:44" s="24" customFormat="1" ht="13.8" thickBot="1" x14ac:dyDescent="0.3">
      <c r="A4" s="24" t="s">
        <v>8</v>
      </c>
      <c r="B4" s="21" t="s">
        <v>0</v>
      </c>
      <c r="C4" s="22" t="s">
        <v>1</v>
      </c>
      <c r="D4" s="24">
        <v>1992</v>
      </c>
      <c r="E4" s="24">
        <v>1993</v>
      </c>
      <c r="F4" s="24">
        <v>1994</v>
      </c>
      <c r="G4" s="24">
        <v>1995</v>
      </c>
      <c r="H4" s="24">
        <v>1996</v>
      </c>
      <c r="I4" s="24">
        <v>1997</v>
      </c>
      <c r="J4" s="24">
        <v>1998</v>
      </c>
      <c r="K4" s="24">
        <v>1999</v>
      </c>
      <c r="L4" s="24">
        <v>2000</v>
      </c>
      <c r="M4" s="24">
        <v>2001</v>
      </c>
      <c r="N4" s="24">
        <v>2002</v>
      </c>
      <c r="O4" s="24">
        <v>2003</v>
      </c>
      <c r="P4" s="24">
        <v>2004</v>
      </c>
      <c r="Q4" s="24">
        <v>2005</v>
      </c>
      <c r="R4" s="24">
        <v>2006</v>
      </c>
      <c r="S4" s="24">
        <v>2007</v>
      </c>
      <c r="T4" s="24">
        <v>2008</v>
      </c>
      <c r="U4" s="24">
        <v>2009</v>
      </c>
      <c r="V4" s="24">
        <v>2010</v>
      </c>
      <c r="W4" s="24">
        <v>2011</v>
      </c>
      <c r="X4" s="24">
        <v>2012</v>
      </c>
      <c r="Y4" s="24">
        <v>2013</v>
      </c>
      <c r="Z4" s="24">
        <v>2014</v>
      </c>
      <c r="AA4" s="24">
        <v>2015</v>
      </c>
      <c r="AB4" s="24">
        <v>2016</v>
      </c>
      <c r="AC4" s="24">
        <v>2017</v>
      </c>
      <c r="AD4" s="24">
        <v>2018</v>
      </c>
      <c r="AE4" s="24">
        <v>2019</v>
      </c>
      <c r="AF4" s="24">
        <v>2020</v>
      </c>
      <c r="AG4" s="24">
        <v>2021</v>
      </c>
      <c r="AH4" s="24">
        <v>2022</v>
      </c>
      <c r="AI4" s="24">
        <v>2023</v>
      </c>
      <c r="AJ4" s="24">
        <v>2024</v>
      </c>
      <c r="AK4" s="24">
        <v>2025</v>
      </c>
      <c r="AL4" s="24">
        <v>2026</v>
      </c>
      <c r="AM4" s="24">
        <v>2027</v>
      </c>
      <c r="AN4" s="24">
        <v>2028</v>
      </c>
      <c r="AO4" s="24">
        <v>2029</v>
      </c>
      <c r="AP4" s="24">
        <v>2030</v>
      </c>
    </row>
    <row r="5" spans="1:44" s="1" customFormat="1" x14ac:dyDescent="0.25">
      <c r="A5" s="11" t="s">
        <v>9</v>
      </c>
      <c r="B5" s="1" t="s">
        <v>256</v>
      </c>
      <c r="C5" s="70">
        <v>31.82</v>
      </c>
      <c r="W5" s="7"/>
      <c r="X5" s="7">
        <f>+AVERAGE(IPC!P5:AA5)</f>
        <v>73.499932966946375</v>
      </c>
      <c r="Y5" s="7">
        <f>+AVERAGE(IPC!AB5:AM5)</f>
        <v>75.892518430727264</v>
      </c>
      <c r="Z5" s="7">
        <f>+AVERAGE(IPC!AN5:AY5)</f>
        <v>76.467103191455436</v>
      </c>
      <c r="AA5" s="7">
        <f>+AVERAGE(IPC!AZ5:BK5)</f>
        <v>78.024869198119987</v>
      </c>
      <c r="AB5" s="7">
        <f>+AVERAGE(IPC!BL5:BW5)</f>
        <v>78.866883178703219</v>
      </c>
      <c r="AC5" s="7">
        <f>+AVERAGE(IPC!BX5:CI5)</f>
        <v>78.879421002988508</v>
      </c>
      <c r="AD5" s="7">
        <f>+AVERAGE(IPC!CJ5:CU5)</f>
        <v>79.837348561011666</v>
      </c>
      <c r="AE5" s="7">
        <f>+AVERAGE(IPC!CV5:DG5)</f>
        <v>82.151615472906215</v>
      </c>
      <c r="AF5" s="7">
        <f>+AVERAGE(IPC!DH5:DS5)</f>
        <v>85.073882134907805</v>
      </c>
      <c r="AG5" s="7">
        <f>+AVERAGE(IPC!DT5:EE5)</f>
        <v>88.692936620220976</v>
      </c>
      <c r="AH5" s="7">
        <f>+AVERAGE(IPC!EF5:EQ5)</f>
        <v>100</v>
      </c>
      <c r="AI5" s="7">
        <f>+AVERAGE(IPC!ER5:FC5)</f>
        <v>110.82876055063083</v>
      </c>
      <c r="AJ5" s="7">
        <f>+AVERAGE(IPC!FD5:FO5)</f>
        <v>116.93494757315524</v>
      </c>
      <c r="AK5" s="219">
        <v>117.529192971456</v>
      </c>
      <c r="AL5" s="219">
        <v>118.028860375119</v>
      </c>
      <c r="AM5" s="219">
        <v>118.52852777878201</v>
      </c>
      <c r="AN5" s="219">
        <v>119.028195182445</v>
      </c>
      <c r="AO5" s="219">
        <v>119.527862586108</v>
      </c>
      <c r="AP5" s="219">
        <v>120.027529989771</v>
      </c>
      <c r="AQ5"/>
      <c r="AR5"/>
    </row>
    <row r="6" spans="1:44" s="1" customFormat="1" x14ac:dyDescent="0.25">
      <c r="A6" s="11"/>
      <c r="B6" s="1" t="s">
        <v>97</v>
      </c>
      <c r="C6" s="70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219"/>
      <c r="AL6" s="219"/>
      <c r="AM6" s="219"/>
      <c r="AN6" s="219"/>
      <c r="AO6" s="219"/>
      <c r="AP6" s="219"/>
      <c r="AQ6"/>
      <c r="AR6"/>
    </row>
    <row r="7" spans="1:44" s="1" customFormat="1" x14ac:dyDescent="0.25">
      <c r="A7" s="11"/>
      <c r="B7" s="1" t="s">
        <v>98</v>
      </c>
      <c r="C7" s="70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219"/>
      <c r="AL7" s="219"/>
      <c r="AM7" s="219"/>
      <c r="AN7" s="219"/>
      <c r="AO7" s="219"/>
      <c r="AP7" s="219"/>
      <c r="AQ7"/>
      <c r="AR7"/>
    </row>
    <row r="8" spans="1:44" s="1" customFormat="1" x14ac:dyDescent="0.25">
      <c r="A8" s="11" t="s">
        <v>11</v>
      </c>
      <c r="B8" s="1" t="s">
        <v>234</v>
      </c>
      <c r="C8" s="70">
        <v>1.36</v>
      </c>
      <c r="W8" s="7"/>
      <c r="X8" s="7">
        <f>+AVERAGE(IPC!P8:AA8)</f>
        <v>72.28854841044857</v>
      </c>
      <c r="Y8" s="7">
        <f>+AVERAGE(IPC!AB8:AM8)</f>
        <v>74.46234655170575</v>
      </c>
      <c r="Z8" s="7">
        <f>+AVERAGE(IPC!AN8:AY8)</f>
        <v>75.490803506042923</v>
      </c>
      <c r="AA8" s="7">
        <f>+AVERAGE(IPC!AZ8:BK8)</f>
        <v>82.239848608761463</v>
      </c>
      <c r="AB8" s="7">
        <f>+AVERAGE(IPC!BL8:BW8)</f>
        <v>84.705732812648492</v>
      </c>
      <c r="AC8" s="7">
        <f>+AVERAGE(IPC!BX8:CI8)</f>
        <v>85.919021923073856</v>
      </c>
      <c r="AD8" s="7">
        <f>+AVERAGE(IPC!CJ8:CU8)</f>
        <v>87.183049787622124</v>
      </c>
      <c r="AE8" s="7">
        <f>+AVERAGE(IPC!CV8:DG8)</f>
        <v>91.317335664698092</v>
      </c>
      <c r="AF8" s="7">
        <f>+AVERAGE(IPC!DH8:DS8)</f>
        <v>94.081631773069191</v>
      </c>
      <c r="AG8" s="7">
        <f>+AVERAGE(IPC!DT8:EE8)</f>
        <v>96.034708112305267</v>
      </c>
      <c r="AH8" s="7">
        <f>+AVERAGE(IPC!EF8:EQ8)</f>
        <v>100.00000000000001</v>
      </c>
      <c r="AI8" s="7">
        <f>+AVERAGE(IPC!ER8:FC8)</f>
        <v>103.40420321676959</v>
      </c>
      <c r="AJ8" s="7">
        <f>+AVERAGE(IPC!FD8:FO8)</f>
        <v>105.90880494287353</v>
      </c>
      <c r="AK8" s="219">
        <v>105.94681587925299</v>
      </c>
      <c r="AL8" s="219">
        <v>106.943683096672</v>
      </c>
      <c r="AM8" s="219">
        <v>107.940550314091</v>
      </c>
      <c r="AN8" s="219">
        <v>108.93741753150999</v>
      </c>
      <c r="AO8" s="219">
        <v>109.934284748929</v>
      </c>
      <c r="AP8" s="219">
        <v>110.931151966348</v>
      </c>
      <c r="AQ8"/>
      <c r="AR8"/>
    </row>
    <row r="9" spans="1:44" s="1" customFormat="1" x14ac:dyDescent="0.25">
      <c r="A9" s="11" t="s">
        <v>13</v>
      </c>
      <c r="B9" s="1" t="s">
        <v>14</v>
      </c>
      <c r="C9" s="70">
        <v>9.84</v>
      </c>
      <c r="W9" s="7"/>
      <c r="X9" s="7">
        <f>+AVERAGE(IPC!P9:AA9)</f>
        <v>84.336001530488318</v>
      </c>
      <c r="Y9" s="7">
        <f>+AVERAGE(IPC!AB9:AM9)</f>
        <v>85.404879619497947</v>
      </c>
      <c r="Z9" s="7">
        <f>+AVERAGE(IPC!AN9:AY9)</f>
        <v>86.733100110881921</v>
      </c>
      <c r="AA9" s="7">
        <f>+AVERAGE(IPC!AZ9:BK9)</f>
        <v>86.874578329115238</v>
      </c>
      <c r="AB9" s="7">
        <f>+AVERAGE(IPC!BL9:BW9)</f>
        <v>86.936050117554018</v>
      </c>
      <c r="AC9" s="7">
        <f>+AVERAGE(IPC!BX9:CI9)</f>
        <v>87.768662905991064</v>
      </c>
      <c r="AD9" s="7">
        <f>+AVERAGE(IPC!CJ9:CU9)</f>
        <v>89.4281133767944</v>
      </c>
      <c r="AE9" s="7">
        <f>+AVERAGE(IPC!CV9:DG9)</f>
        <v>91.966344545278346</v>
      </c>
      <c r="AF9" s="7">
        <f>+AVERAGE(IPC!DH9:DS9)</f>
        <v>94.121237186490418</v>
      </c>
      <c r="AG9" s="7">
        <f>+AVERAGE(IPC!DT9:EE9)</f>
        <v>96.193360129084439</v>
      </c>
      <c r="AH9" s="7">
        <f>+AVERAGE(IPC!EF9:EQ9)</f>
        <v>100.00000000000001</v>
      </c>
      <c r="AI9" s="7">
        <f>+AVERAGE(IPC!ER9:FC9)</f>
        <v>104.34352805116585</v>
      </c>
      <c r="AJ9" s="7">
        <f>+AVERAGE(IPC!FD9:FO9)</f>
        <v>106.96102586259644</v>
      </c>
      <c r="AK9" s="219">
        <v>107.875607867589</v>
      </c>
      <c r="AL9" s="219">
        <v>107.002662697633</v>
      </c>
      <c r="AM9" s="219">
        <v>106.129717527677</v>
      </c>
      <c r="AN9" s="219">
        <v>105.256772357721</v>
      </c>
      <c r="AO9" s="219">
        <v>104.38382718776499</v>
      </c>
      <c r="AP9" s="219">
        <v>103.510882017809</v>
      </c>
      <c r="AQ9"/>
      <c r="AR9"/>
    </row>
    <row r="10" spans="1:44" s="1" customFormat="1" ht="20.399999999999999" x14ac:dyDescent="0.25">
      <c r="A10" s="11" t="s">
        <v>15</v>
      </c>
      <c r="B10" s="12" t="s">
        <v>79</v>
      </c>
      <c r="C10" s="70">
        <v>12.89</v>
      </c>
      <c r="W10" s="7"/>
      <c r="X10" s="7">
        <f>+AVERAGE(IPC!P10:AA10)</f>
        <v>82.790997854743267</v>
      </c>
      <c r="Y10" s="7">
        <f>+AVERAGE(IPC!AB10:AM10)</f>
        <v>85.069767485288523</v>
      </c>
      <c r="Z10" s="7">
        <f>+AVERAGE(IPC!AN10:AY10)</f>
        <v>86.775289416017984</v>
      </c>
      <c r="AA10" s="7">
        <f>+AVERAGE(IPC!AZ10:BK10)</f>
        <v>89.320479385885889</v>
      </c>
      <c r="AB10" s="7">
        <f>+AVERAGE(IPC!BL10:BW10)</f>
        <v>90.605183619199806</v>
      </c>
      <c r="AC10" s="7">
        <f>+AVERAGE(IPC!BX10:CI10)</f>
        <v>91.683298579513249</v>
      </c>
      <c r="AD10" s="7">
        <f>+AVERAGE(IPC!CJ10:CU10)</f>
        <v>92.053939141365561</v>
      </c>
      <c r="AE10" s="7">
        <f>+AVERAGE(IPC!CV10:DG10)</f>
        <v>93.59197731927793</v>
      </c>
      <c r="AF10" s="7">
        <f>+AVERAGE(IPC!DH10:DS10)</f>
        <v>96.420846234294061</v>
      </c>
      <c r="AG10" s="7">
        <f>+AVERAGE(IPC!DT10:EE10)</f>
        <v>98.177991002598688</v>
      </c>
      <c r="AH10" s="7">
        <f>+AVERAGE(IPC!EF10:EQ10)</f>
        <v>100</v>
      </c>
      <c r="AI10" s="7">
        <f>+AVERAGE(IPC!ER10:FC10)</f>
        <v>103.42053332395032</v>
      </c>
      <c r="AJ10" s="7">
        <f>+AVERAGE(IPC!FD10:FO10)</f>
        <v>106.81053247803062</v>
      </c>
      <c r="AK10" s="219">
        <v>108.62836466570501</v>
      </c>
      <c r="AL10" s="219">
        <v>108.668760267423</v>
      </c>
      <c r="AM10" s="219">
        <v>108.709155869141</v>
      </c>
      <c r="AN10" s="219">
        <v>108.749551470859</v>
      </c>
      <c r="AO10" s="219">
        <v>108.78994707257699</v>
      </c>
      <c r="AP10" s="219">
        <v>108.830342674295</v>
      </c>
      <c r="AQ10"/>
      <c r="AR10"/>
    </row>
    <row r="11" spans="1:44" s="1" customFormat="1" ht="21" x14ac:dyDescent="0.25">
      <c r="A11" s="11" t="s">
        <v>17</v>
      </c>
      <c r="B11" s="13" t="s">
        <v>78</v>
      </c>
      <c r="C11" s="70">
        <v>5.0999999999999996</v>
      </c>
      <c r="W11" s="7"/>
      <c r="X11" s="7">
        <f>+AVERAGE(IPC!P11:AA11)</f>
        <v>85.228990347347576</v>
      </c>
      <c r="Y11" s="7">
        <f>+AVERAGE(IPC!AB11:AM11)</f>
        <v>86.99673723276517</v>
      </c>
      <c r="Z11" s="7">
        <f>+AVERAGE(IPC!AN11:AY11)</f>
        <v>87.337594468708176</v>
      </c>
      <c r="AA11" s="7">
        <f>+AVERAGE(IPC!AZ11:BK11)</f>
        <v>88.61078531764845</v>
      </c>
      <c r="AB11" s="7">
        <f>+AVERAGE(IPC!BL11:BW11)</f>
        <v>89.168848367964969</v>
      </c>
      <c r="AC11" s="7">
        <f>+AVERAGE(IPC!BX11:CI11)</f>
        <v>89.436146796512858</v>
      </c>
      <c r="AD11" s="7">
        <f>+AVERAGE(IPC!CJ11:CU11)</f>
        <v>90.233908292716293</v>
      </c>
      <c r="AE11" s="7">
        <f>+AVERAGE(IPC!CV11:DG11)</f>
        <v>91.928797259939913</v>
      </c>
      <c r="AF11" s="7">
        <f>+AVERAGE(IPC!DH11:DS11)</f>
        <v>93.3365144165749</v>
      </c>
      <c r="AG11" s="7">
        <f>+AVERAGE(IPC!DT11:EE11)</f>
        <v>94.660780200795216</v>
      </c>
      <c r="AH11" s="7">
        <f>+AVERAGE(IPC!EF11:EQ11)</f>
        <v>100.00000000000001</v>
      </c>
      <c r="AI11" s="7">
        <f>+AVERAGE(IPC!ER11:FC11)</f>
        <v>107.17845301088323</v>
      </c>
      <c r="AJ11" s="7">
        <f>+AVERAGE(IPC!FD11:FO11)</f>
        <v>109.29469775326896</v>
      </c>
      <c r="AK11" s="219">
        <v>109.76932757845501</v>
      </c>
      <c r="AL11" s="219">
        <v>110.589171522705</v>
      </c>
      <c r="AM11" s="219">
        <v>111.409015466955</v>
      </c>
      <c r="AN11" s="219">
        <v>112.22885941120499</v>
      </c>
      <c r="AO11" s="219">
        <v>113.048703355455</v>
      </c>
      <c r="AP11" s="219">
        <v>113.868547299705</v>
      </c>
      <c r="AQ11"/>
      <c r="AR11"/>
    </row>
    <row r="12" spans="1:44" s="1" customFormat="1" x14ac:dyDescent="0.25">
      <c r="A12" s="11" t="s">
        <v>19</v>
      </c>
      <c r="B12" s="1" t="s">
        <v>33</v>
      </c>
      <c r="C12" s="70">
        <v>4.78</v>
      </c>
      <c r="W12" s="7"/>
      <c r="X12" s="7">
        <f>+AVERAGE(IPC!P12:AA12)</f>
        <v>96.505988336391894</v>
      </c>
      <c r="Y12" s="7">
        <f>+AVERAGE(IPC!AB12:AM12)</f>
        <v>97.039505796214755</v>
      </c>
      <c r="Z12" s="7">
        <f>+AVERAGE(IPC!AN12:AY12)</f>
        <v>97.75567426332158</v>
      </c>
      <c r="AA12" s="7">
        <f>+AVERAGE(IPC!AZ12:BK12)</f>
        <v>98.220225009717794</v>
      </c>
      <c r="AB12" s="7">
        <f>+AVERAGE(IPC!BL12:BW12)</f>
        <v>97.911633126361494</v>
      </c>
      <c r="AC12" s="7">
        <f>+AVERAGE(IPC!BX12:CI12)</f>
        <v>98.205591368180464</v>
      </c>
      <c r="AD12" s="7">
        <f>+AVERAGE(IPC!CJ12:CU12)</f>
        <v>98.644907549035551</v>
      </c>
      <c r="AE12" s="7">
        <f>+AVERAGE(IPC!CV12:DG12)</f>
        <v>99.196704521707161</v>
      </c>
      <c r="AF12" s="7">
        <f>+AVERAGE(IPC!DH12:DS12)</f>
        <v>99.419676052874351</v>
      </c>
      <c r="AG12" s="7">
        <f>+AVERAGE(IPC!DT12:EE12)</f>
        <v>99.576327596907788</v>
      </c>
      <c r="AH12" s="7">
        <f>+AVERAGE(IPC!EF12:EQ12)</f>
        <v>100.00000000000001</v>
      </c>
      <c r="AI12" s="7">
        <f>+AVERAGE(IPC!ER12:FC12)</f>
        <v>100.84936628742219</v>
      </c>
      <c r="AJ12" s="7">
        <f>+AVERAGE(IPC!FD12:FO12)</f>
        <v>101.49197818768276</v>
      </c>
      <c r="AK12" s="219">
        <v>101.70791991809401</v>
      </c>
      <c r="AL12" s="219">
        <v>102.17046595914</v>
      </c>
      <c r="AM12" s="219">
        <v>102.633012000186</v>
      </c>
      <c r="AN12" s="219">
        <v>103.095558041232</v>
      </c>
      <c r="AO12" s="219">
        <v>103.55810408227801</v>
      </c>
      <c r="AP12" s="219">
        <v>104.020650123324</v>
      </c>
      <c r="AQ12"/>
      <c r="AR12"/>
    </row>
    <row r="13" spans="1:44" s="1" customFormat="1" x14ac:dyDescent="0.25">
      <c r="A13" s="11" t="s">
        <v>21</v>
      </c>
      <c r="B13" s="1" t="s">
        <v>22</v>
      </c>
      <c r="C13" s="70">
        <v>11.27</v>
      </c>
      <c r="W13" s="7"/>
      <c r="X13" s="7">
        <f>+AVERAGE(IPC!P13:AA13)</f>
        <v>78.128833433456634</v>
      </c>
      <c r="Y13" s="7">
        <f>+AVERAGE(IPC!AB13:AM13)</f>
        <v>79.598609225941701</v>
      </c>
      <c r="Z13" s="7">
        <f>+AVERAGE(IPC!AN13:AY13)</f>
        <v>85.740412337541727</v>
      </c>
      <c r="AA13" s="7">
        <f>+AVERAGE(IPC!AZ13:BK13)</f>
        <v>92.188167604589538</v>
      </c>
      <c r="AB13" s="7">
        <f>+AVERAGE(IPC!BL13:BW13)</f>
        <v>91.537951561375905</v>
      </c>
      <c r="AC13" s="7">
        <f>+AVERAGE(IPC!BX13:CI13)</f>
        <v>92.256733750178583</v>
      </c>
      <c r="AD13" s="7">
        <f>+AVERAGE(IPC!CJ13:CU13)</f>
        <v>92.889790298680609</v>
      </c>
      <c r="AE13" s="7">
        <f>+AVERAGE(IPC!CV13:DG13)</f>
        <v>94.684187705329251</v>
      </c>
      <c r="AF13" s="7">
        <f>+AVERAGE(IPC!DH13:DS13)</f>
        <v>96.601466042609346</v>
      </c>
      <c r="AG13" s="7">
        <f>+AVERAGE(IPC!DT13:EE13)</f>
        <v>97.387992926091556</v>
      </c>
      <c r="AH13" s="7">
        <f>+AVERAGE(IPC!EF13:EQ13)</f>
        <v>100</v>
      </c>
      <c r="AI13" s="7">
        <f>+AVERAGE(IPC!ER13:FC13)</f>
        <v>115.0070790575204</v>
      </c>
      <c r="AJ13" s="7">
        <f>+AVERAGE(IPC!FD13:FO13)</f>
        <v>129.08867546507136</v>
      </c>
      <c r="AK13" s="219">
        <v>128.44669535783899</v>
      </c>
      <c r="AL13" s="219">
        <v>129.013874926906</v>
      </c>
      <c r="AM13" s="219">
        <v>129.58105449597301</v>
      </c>
      <c r="AN13" s="219">
        <v>130.14823406503999</v>
      </c>
      <c r="AO13" s="219">
        <v>130.71541363410699</v>
      </c>
      <c r="AP13" s="219">
        <v>131.282593203174</v>
      </c>
      <c r="AQ13"/>
      <c r="AR13"/>
    </row>
    <row r="14" spans="1:44" s="1" customFormat="1" x14ac:dyDescent="0.25">
      <c r="A14" s="11" t="s">
        <v>23</v>
      </c>
      <c r="B14" s="1" t="s">
        <v>24</v>
      </c>
      <c r="C14" s="70">
        <v>4.59</v>
      </c>
      <c r="W14" s="7"/>
      <c r="X14" s="7">
        <f>+AVERAGE(IPC!P14:AA14)</f>
        <v>107.70894585228508</v>
      </c>
      <c r="Y14" s="7">
        <f>+AVERAGE(IPC!AB14:AM14)</f>
        <v>104.58979918306794</v>
      </c>
      <c r="Z14" s="7">
        <f>+AVERAGE(IPC!AN14:AY14)</f>
        <v>101.98464978267475</v>
      </c>
      <c r="AA14" s="7">
        <f>+AVERAGE(IPC!AZ14:BK14)</f>
        <v>99.201748437981351</v>
      </c>
      <c r="AB14" s="7">
        <f>+AVERAGE(IPC!BL14:BW14)</f>
        <v>97.003111252610907</v>
      </c>
      <c r="AC14" s="7">
        <f>+AVERAGE(IPC!BX14:CI14)</f>
        <v>97.674922018854701</v>
      </c>
      <c r="AD14" s="7">
        <f>+AVERAGE(IPC!CJ14:CU14)</f>
        <v>97.8958396215058</v>
      </c>
      <c r="AE14" s="7">
        <f>+AVERAGE(IPC!CV14:DG14)</f>
        <v>98.179548449211879</v>
      </c>
      <c r="AF14" s="7">
        <f>+AVERAGE(IPC!DH14:DS14)</f>
        <v>98.815971263563412</v>
      </c>
      <c r="AG14" s="7">
        <f>+AVERAGE(IPC!DT14:EE14)</f>
        <v>99.250836863258868</v>
      </c>
      <c r="AH14" s="7">
        <f>+AVERAGE(IPC!EF14:EQ14)</f>
        <v>100</v>
      </c>
      <c r="AI14" s="7">
        <f>+AVERAGE(IPC!ER14:FC14)</f>
        <v>100.37328296791172</v>
      </c>
      <c r="AJ14" s="7">
        <f>+AVERAGE(IPC!FD14:FO14)</f>
        <v>100.40538186940262</v>
      </c>
      <c r="AK14" s="219">
        <v>101.15919677063199</v>
      </c>
      <c r="AL14" s="219">
        <v>101.63206149493899</v>
      </c>
      <c r="AM14" s="219">
        <v>102.104926219246</v>
      </c>
      <c r="AN14" s="219">
        <v>102.577790943553</v>
      </c>
      <c r="AO14" s="219">
        <v>103.050655667859</v>
      </c>
      <c r="AP14" s="219">
        <v>103.52352039216601</v>
      </c>
      <c r="AQ14"/>
      <c r="AR14"/>
    </row>
    <row r="15" spans="1:44" s="1" customFormat="1" x14ac:dyDescent="0.25">
      <c r="A15" s="11" t="s">
        <v>25</v>
      </c>
      <c r="B15" s="1" t="s">
        <v>26</v>
      </c>
      <c r="C15" s="70">
        <v>3.35</v>
      </c>
      <c r="W15" s="7"/>
      <c r="X15" s="7">
        <f>+AVERAGE(IPC!P15:AA15)</f>
        <v>90.710898648393879</v>
      </c>
      <c r="Y15" s="7">
        <f>+AVERAGE(IPC!AB15:AM15)</f>
        <v>90.926370101502926</v>
      </c>
      <c r="Z15" s="7">
        <f>+AVERAGE(IPC!AN15:AY15)</f>
        <v>91.57354781983355</v>
      </c>
      <c r="AA15" s="7">
        <f>+AVERAGE(IPC!AZ15:BK15)</f>
        <v>91.960180146923378</v>
      </c>
      <c r="AB15" s="7">
        <f>+AVERAGE(IPC!BL15:BW15)</f>
        <v>93.300446128187559</v>
      </c>
      <c r="AC15" s="7">
        <f>+AVERAGE(IPC!BX15:CI15)</f>
        <v>93.895965680140748</v>
      </c>
      <c r="AD15" s="7">
        <f>+AVERAGE(IPC!CJ15:CU15)</f>
        <v>94.681653584980566</v>
      </c>
      <c r="AE15" s="7">
        <f>+AVERAGE(IPC!CV15:DG15)</f>
        <v>95.905573899793296</v>
      </c>
      <c r="AF15" s="7">
        <f>+AVERAGE(IPC!DH15:DS15)</f>
        <v>97.396881166783984</v>
      </c>
      <c r="AG15" s="7">
        <f>+AVERAGE(IPC!DT15:EE15)</f>
        <v>98.331618802974688</v>
      </c>
      <c r="AH15" s="7">
        <f>+AVERAGE(IPC!EF15:EQ15)</f>
        <v>99.999999999999986</v>
      </c>
      <c r="AI15" s="7">
        <f>+AVERAGE(IPC!ER15:FC15)</f>
        <v>101.87271146466992</v>
      </c>
      <c r="AJ15" s="7">
        <f>+AVERAGE(IPC!FD15:FO15)</f>
        <v>102.72788638477554</v>
      </c>
      <c r="AK15" s="219">
        <v>104.293188738059</v>
      </c>
      <c r="AL15" s="219">
        <v>105.699115438505</v>
      </c>
      <c r="AM15" s="219">
        <v>107.10504213895</v>
      </c>
      <c r="AN15" s="219">
        <v>108.510968839396</v>
      </c>
      <c r="AO15" s="219">
        <v>109.91689553984099</v>
      </c>
      <c r="AP15" s="219">
        <v>111.322822240287</v>
      </c>
      <c r="AQ15"/>
      <c r="AR15"/>
    </row>
    <row r="16" spans="1:44" s="1" customFormat="1" x14ac:dyDescent="0.25">
      <c r="A16" s="11">
        <v>10</v>
      </c>
      <c r="B16" s="1" t="s">
        <v>27</v>
      </c>
      <c r="C16" s="70">
        <v>3.07</v>
      </c>
      <c r="W16" s="7"/>
      <c r="X16" s="7">
        <f>+AVERAGE(IPC!P16:AA16)</f>
        <v>84.748048486347002</v>
      </c>
      <c r="Y16" s="7">
        <f>+AVERAGE(IPC!AB16:AM16)</f>
        <v>87.299534068926178</v>
      </c>
      <c r="Z16" s="7">
        <f>+AVERAGE(IPC!AN16:AY16)</f>
        <v>88.226117041745383</v>
      </c>
      <c r="AA16" s="7">
        <f>+AVERAGE(IPC!AZ16:BK16)</f>
        <v>90.180901395908634</v>
      </c>
      <c r="AB16" s="7">
        <f>+AVERAGE(IPC!BL16:BW16)</f>
        <v>92.530560692942217</v>
      </c>
      <c r="AC16" s="7">
        <f>+AVERAGE(IPC!BX16:CI16)</f>
        <v>93.452374159484108</v>
      </c>
      <c r="AD16" s="7">
        <f>+AVERAGE(IPC!CJ16:CU16)</f>
        <v>94.596593285999987</v>
      </c>
      <c r="AE16" s="7">
        <f>+AVERAGE(IPC!CV16:DG16)</f>
        <v>95.763528964895229</v>
      </c>
      <c r="AF16" s="7">
        <f>+AVERAGE(IPC!DH16:DS16)</f>
        <v>96.387430070612254</v>
      </c>
      <c r="AG16" s="7">
        <f>+AVERAGE(IPC!DT16:EE16)</f>
        <v>97.538506640035692</v>
      </c>
      <c r="AH16" s="7">
        <f>+AVERAGE(IPC!EF16:EQ16)</f>
        <v>100.00000000000001</v>
      </c>
      <c r="AI16" s="7">
        <f>+AVERAGE(IPC!ER16:FC16)</f>
        <v>103.15930417261352</v>
      </c>
      <c r="AJ16" s="7">
        <f>+AVERAGE(IPC!FD16:FO16)</f>
        <v>105.15879532467669</v>
      </c>
      <c r="AK16" s="219">
        <v>106.643272275293</v>
      </c>
      <c r="AL16" s="219">
        <v>107.636227917147</v>
      </c>
      <c r="AM16" s="219">
        <v>108.62918355900101</v>
      </c>
      <c r="AN16" s="219">
        <v>109.622139200855</v>
      </c>
      <c r="AO16" s="219">
        <v>110.615094842709</v>
      </c>
      <c r="AP16" s="219">
        <v>111.60805048456299</v>
      </c>
      <c r="AQ16"/>
      <c r="AR16"/>
    </row>
    <row r="17" spans="1:44" s="1" customFormat="1" x14ac:dyDescent="0.25">
      <c r="A17" s="11">
        <v>11</v>
      </c>
      <c r="B17" s="1" t="s">
        <v>28</v>
      </c>
      <c r="C17" s="70">
        <v>6.69</v>
      </c>
      <c r="W17" s="7"/>
      <c r="X17" s="7">
        <f>+AVERAGE(IPC!P17:AA17)</f>
        <v>72.165087949166107</v>
      </c>
      <c r="Y17" s="7">
        <f>+AVERAGE(IPC!AB17:AM17)</f>
        <v>73.530162078960927</v>
      </c>
      <c r="Z17" s="7">
        <f>+AVERAGE(IPC!AN17:AY17)</f>
        <v>76.14303779358103</v>
      </c>
      <c r="AA17" s="7">
        <f>+AVERAGE(IPC!AZ17:BK17)</f>
        <v>80.599258354895468</v>
      </c>
      <c r="AB17" s="7">
        <f>+AVERAGE(IPC!BL17:BW17)</f>
        <v>83.381144544860391</v>
      </c>
      <c r="AC17" s="7">
        <f>+AVERAGE(IPC!BX17:CI17)</f>
        <v>84.15879262187336</v>
      </c>
      <c r="AD17" s="7">
        <f>+AVERAGE(IPC!CJ17:CU17)</f>
        <v>85.63003643004221</v>
      </c>
      <c r="AE17" s="7">
        <f>+AVERAGE(IPC!CV17:DG17)</f>
        <v>90.540543048551513</v>
      </c>
      <c r="AF17" s="7">
        <f>+AVERAGE(IPC!DH17:DS17)</f>
        <v>92.619915086001456</v>
      </c>
      <c r="AG17" s="7">
        <f>+AVERAGE(IPC!DT17:EE17)</f>
        <v>94.054475312158203</v>
      </c>
      <c r="AH17" s="7">
        <f>+AVERAGE(IPC!EF17:EQ17)</f>
        <v>99.999999999999986</v>
      </c>
      <c r="AI17" s="7">
        <f>+AVERAGE(IPC!ER17:FC17)</f>
        <v>104.9508726339151</v>
      </c>
      <c r="AJ17" s="7">
        <f>+AVERAGE(IPC!FD17:FO17)</f>
        <v>106.9544573978249</v>
      </c>
      <c r="AK17" s="219">
        <v>108.687507487537</v>
      </c>
      <c r="AL17" s="219">
        <v>109.25916374690701</v>
      </c>
      <c r="AM17" s="219">
        <v>109.83082000627699</v>
      </c>
      <c r="AN17" s="219">
        <v>110.402476265647</v>
      </c>
      <c r="AO17" s="219">
        <v>110.974132525017</v>
      </c>
      <c r="AP17" s="219">
        <v>111.545788784387</v>
      </c>
      <c r="AQ17"/>
      <c r="AR17"/>
    </row>
    <row r="18" spans="1:44" s="1" customFormat="1" x14ac:dyDescent="0.25">
      <c r="A18" s="11">
        <v>12</v>
      </c>
      <c r="B18" s="1" t="s">
        <v>29</v>
      </c>
      <c r="C18" s="70">
        <v>5.24</v>
      </c>
      <c r="W18" s="7"/>
      <c r="X18" s="7">
        <f>+AVERAGE(IPC!P18:AA18)</f>
        <v>82.762880761443441</v>
      </c>
      <c r="Y18" s="7">
        <f>+AVERAGE(IPC!AB18:AM18)</f>
        <v>83.929275643076849</v>
      </c>
      <c r="Z18" s="7">
        <f>+AVERAGE(IPC!AN18:AY18)</f>
        <v>84.699399967924222</v>
      </c>
      <c r="AA18" s="7">
        <f>+AVERAGE(IPC!AZ18:BK18)</f>
        <v>86.956094572368201</v>
      </c>
      <c r="AB18" s="7">
        <f>+AVERAGE(IPC!BL18:BW18)</f>
        <v>88.492605321017109</v>
      </c>
      <c r="AC18" s="7">
        <f>+AVERAGE(IPC!BX18:CI18)</f>
        <v>90.15474211028031</v>
      </c>
      <c r="AD18" s="7">
        <f>+AVERAGE(IPC!CJ18:CU18)</f>
        <v>91.512122794149604</v>
      </c>
      <c r="AE18" s="7">
        <f>+AVERAGE(IPC!CV18:DG18)</f>
        <v>93.847267472330245</v>
      </c>
      <c r="AF18" s="7">
        <f>+AVERAGE(IPC!DH18:DS18)</f>
        <v>95.1078359072187</v>
      </c>
      <c r="AG18" s="7">
        <f>+AVERAGE(IPC!DT18:EE18)</f>
        <v>96.132626948716037</v>
      </c>
      <c r="AH18" s="7">
        <f>+AVERAGE(IPC!EF18:EQ18)</f>
        <v>100</v>
      </c>
      <c r="AI18" s="7">
        <f>+AVERAGE(IPC!ER18:FC18)</f>
        <v>105.29055036443079</v>
      </c>
      <c r="AJ18" s="7">
        <f>+AVERAGE(IPC!FD18:FO18)</f>
        <v>107.73348381195012</v>
      </c>
      <c r="AK18" s="219">
        <v>108.06995389621</v>
      </c>
      <c r="AL18" s="219">
        <v>109.03699955681</v>
      </c>
      <c r="AM18" s="219">
        <v>110.00404521741</v>
      </c>
      <c r="AN18" s="219">
        <v>110.97109087801</v>
      </c>
      <c r="AO18" s="219">
        <v>111.93813653861</v>
      </c>
      <c r="AP18" s="219">
        <v>112.90518219921</v>
      </c>
      <c r="AQ18"/>
      <c r="AR18"/>
    </row>
    <row r="19" spans="1:44" s="79" customFormat="1" x14ac:dyDescent="0.25">
      <c r="A19" s="66"/>
      <c r="B19" s="66" t="s">
        <v>2</v>
      </c>
      <c r="C19" s="77" t="s">
        <v>269</v>
      </c>
      <c r="W19" s="78"/>
      <c r="X19" s="78">
        <f>+AVERAGE(IPC!P19:AA19)</f>
        <v>80.071802517979435</v>
      </c>
      <c r="Y19" s="78">
        <f>+AVERAGE(IPC!AB19:AM19)</f>
        <v>81.713552462895976</v>
      </c>
      <c r="Z19" s="78">
        <f>+AVERAGE(IPC!AN19:AY19)</f>
        <v>83.229255924824045</v>
      </c>
      <c r="AA19" s="78">
        <f>+AVERAGE(IPC!AZ19:BK19)</f>
        <v>85.458500894616009</v>
      </c>
      <c r="AB19" s="78">
        <f>+AVERAGE(IPC!BL19:BW19)</f>
        <v>86.204379687488256</v>
      </c>
      <c r="AC19" s="78">
        <f>+AVERAGE(IPC!BX19:CI19)</f>
        <v>86.756712215995194</v>
      </c>
      <c r="AD19" s="78">
        <f>+AVERAGE(IPC!CJ19:CU19)</f>
        <v>87.679623171275168</v>
      </c>
      <c r="AE19" s="78">
        <f>+AVERAGE(IPC!CV19:DG19)</f>
        <v>89.833323616389052</v>
      </c>
      <c r="AF19" s="78">
        <f>+AVERAGE(IPC!DH19:DS19)</f>
        <v>92.034713432362537</v>
      </c>
      <c r="AG19" s="78">
        <f>+AVERAGE(IPC!DT19:EE19)</f>
        <v>94.116498291750119</v>
      </c>
      <c r="AH19" s="78">
        <f>+AVERAGE(IPC!EF19:EQ19)</f>
        <v>100</v>
      </c>
      <c r="AI19" s="78">
        <f>+AVERAGE(IPC!ER19:FC19)</f>
        <v>107.36331607638573</v>
      </c>
      <c r="AJ19" s="78">
        <f>+AVERAGE(IPC!FD19:FO19)</f>
        <v>112.23308620823654</v>
      </c>
      <c r="AK19" s="221">
        <f>SUMPRODUCT($C5:$C18,AK5:AK18)/100</f>
        <v>112.73667601289597</v>
      </c>
      <c r="AL19" s="221">
        <f t="shared" ref="AL19:AP19" si="0">SUMPRODUCT($C5:$C18,AL5:AL18)/100</f>
        <v>113.1445834124716</v>
      </c>
      <c r="AM19" s="221">
        <f t="shared" si="0"/>
        <v>113.55249081204727</v>
      </c>
      <c r="AN19" s="221">
        <f t="shared" si="0"/>
        <v>113.96039821162297</v>
      </c>
      <c r="AO19" s="221">
        <f t="shared" si="0"/>
        <v>114.36830561119858</v>
      </c>
      <c r="AP19" s="221">
        <f t="shared" si="0"/>
        <v>114.77621301077426</v>
      </c>
    </row>
    <row r="20" spans="1:44" s="124" customFormat="1" ht="10.8" x14ac:dyDescent="0.25">
      <c r="C20" s="15"/>
      <c r="D20" s="125"/>
      <c r="AJ20" s="197"/>
    </row>
    <row r="21" spans="1:44" s="3" customFormat="1" ht="10.199999999999999" x14ac:dyDescent="0.2">
      <c r="B21" s="3" t="s">
        <v>3</v>
      </c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</row>
    <row r="22" spans="1:44" s="81" customFormat="1" ht="10.199999999999999" x14ac:dyDescent="0.2">
      <c r="B22" s="81" t="s">
        <v>4</v>
      </c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</row>
    <row r="23" spans="1:44" s="74" customFormat="1" ht="10.199999999999999" x14ac:dyDescent="0.2"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</row>
    <row r="24" spans="1:44" s="3" customFormat="1" ht="10.199999999999999" x14ac:dyDescent="0.2">
      <c r="B24" s="3" t="s">
        <v>104</v>
      </c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1:44" s="3" customFormat="1" ht="10.199999999999999" x14ac:dyDescent="0.2">
      <c r="B25" s="83" t="s">
        <v>105</v>
      </c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1:44" s="3" customFormat="1" ht="10.199999999999999" x14ac:dyDescent="0.2">
      <c r="B26" s="3" t="s">
        <v>106</v>
      </c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1:44" s="81" customFormat="1" ht="10.199999999999999" x14ac:dyDescent="0.2">
      <c r="B27" s="81" t="s">
        <v>107</v>
      </c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</row>
    <row r="28" spans="1:44" s="74" customFormat="1" ht="10.199999999999999" x14ac:dyDescent="0.2"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</row>
    <row r="29" spans="1:44" s="3" customFormat="1" ht="10.199999999999999" x14ac:dyDescent="0.2">
      <c r="B29" s="3" t="s">
        <v>108</v>
      </c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</row>
    <row r="30" spans="1:44" s="3" customFormat="1" ht="10.199999999999999" x14ac:dyDescent="0.2">
      <c r="B30" s="3" t="s">
        <v>109</v>
      </c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</row>
    <row r="31" spans="1:44" s="81" customFormat="1" ht="10.199999999999999" x14ac:dyDescent="0.2">
      <c r="B31" s="81" t="s">
        <v>110</v>
      </c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</row>
    <row r="32" spans="1:44" s="74" customFormat="1" ht="10.199999999999999" x14ac:dyDescent="0.2"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</row>
    <row r="33" spans="2:36" s="3" customFormat="1" ht="10.199999999999999" x14ac:dyDescent="0.2">
      <c r="B33" s="3" t="s">
        <v>111</v>
      </c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</row>
    <row r="34" spans="2:36" s="3" customFormat="1" ht="10.199999999999999" x14ac:dyDescent="0.2">
      <c r="B34" s="3" t="s">
        <v>112</v>
      </c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</row>
    <row r="35" spans="2:36" s="3" customFormat="1" ht="10.199999999999999" x14ac:dyDescent="0.2">
      <c r="B35" s="3" t="s">
        <v>113</v>
      </c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</row>
    <row r="36" spans="2:36" s="81" customFormat="1" ht="10.199999999999999" x14ac:dyDescent="0.2">
      <c r="B36" s="81" t="s">
        <v>114</v>
      </c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</row>
    <row r="37" spans="2:36" s="124" customFormat="1" ht="10.8" x14ac:dyDescent="0.25">
      <c r="C37" s="15"/>
      <c r="D37" s="125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J37" s="197"/>
    </row>
    <row r="38" spans="2:36" s="124" customFormat="1" ht="10.199999999999999" x14ac:dyDescent="0.2">
      <c r="B38" s="9" t="s">
        <v>5</v>
      </c>
      <c r="C38" s="9"/>
      <c r="D38" s="125"/>
      <c r="X38" s="16">
        <f>+AVERAGE(IPC!P38:AA38)</f>
        <v>84.287724925453446</v>
      </c>
      <c r="Y38" s="16">
        <f>+AVERAGE(IPC!AB38:AM38)</f>
        <v>85.467833816087008</v>
      </c>
      <c r="Z38" s="16">
        <f>+AVERAGE(IPC!AN38:AY38)</f>
        <v>87.307126223716764</v>
      </c>
      <c r="AA38" s="16">
        <f>+AVERAGE(IPC!AZ38:BK38)</f>
        <v>89.667326544178493</v>
      </c>
      <c r="AB38" s="16">
        <f>+AVERAGE(IPC!BL38:BW38)</f>
        <v>90.295592536583243</v>
      </c>
      <c r="AC38" s="16">
        <f>+AVERAGE(IPC!BX38:CI38)</f>
        <v>91.123247775443261</v>
      </c>
      <c r="AD38" s="16">
        <f>+AVERAGE(IPC!CJ38:CU38)</f>
        <v>92.006832470418615</v>
      </c>
      <c r="AE38" s="16">
        <f>+AVERAGE(IPC!CV38:DG38)</f>
        <v>94.00156427063321</v>
      </c>
      <c r="AF38" s="16">
        <f>+AVERAGE(IPC!DH38:DS38)</f>
        <v>95.792203882192823</v>
      </c>
      <c r="AG38" s="16">
        <f>+AVERAGE(IPC!DT38:EE38)</f>
        <v>97.042337350654066</v>
      </c>
      <c r="AH38" s="16">
        <f>+AVERAGE(IPC!EF38:EQ38)</f>
        <v>100.51506012059781</v>
      </c>
      <c r="AJ38" s="197"/>
    </row>
    <row r="39" spans="2:36" s="124" customFormat="1" ht="10.199999999999999" x14ac:dyDescent="0.2">
      <c r="B39" s="9" t="s">
        <v>6</v>
      </c>
      <c r="C39" s="9"/>
      <c r="D39" s="125"/>
      <c r="X39" s="16">
        <f>+AVERAGE(IPC!P39:AA39)</f>
        <v>81.201318602846797</v>
      </c>
      <c r="Y39" s="16">
        <f>+AVERAGE(IPC!AB39:AM39)</f>
        <v>82.779449116084663</v>
      </c>
      <c r="Z39" s="16">
        <f>+AVERAGE(IPC!AN39:AY39)</f>
        <v>83.6187156817427</v>
      </c>
      <c r="AA39" s="16">
        <f>+AVERAGE(IPC!AZ39:BK39)</f>
        <v>85.171971292263535</v>
      </c>
      <c r="AB39" s="16">
        <f>+AVERAGE(IPC!BL39:BW39)</f>
        <v>86.039276544504432</v>
      </c>
      <c r="AC39" s="16">
        <f>+AVERAGE(IPC!BX39:CI39)</f>
        <v>86.588446075513403</v>
      </c>
      <c r="AD39" s="16">
        <f>+AVERAGE(IPC!CJ39:CU39)</f>
        <v>87.530512029509794</v>
      </c>
      <c r="AE39" s="16">
        <f>+AVERAGE(IPC!CV39:DG39)</f>
        <v>89.665279622231409</v>
      </c>
      <c r="AF39" s="16">
        <f>+AVERAGE(IPC!DH39:DS39)</f>
        <v>91.840510177853787</v>
      </c>
      <c r="AG39" s="16">
        <f>+AVERAGE(IPC!DT39:EE39)</f>
        <v>94.004205156609643</v>
      </c>
      <c r="AH39" s="16">
        <f>+AVERAGE(IPC!EF39:EQ39)</f>
        <v>100.58850485529263</v>
      </c>
      <c r="AJ39" s="197"/>
    </row>
    <row r="40" spans="2:36" s="124" customFormat="1" ht="10.199999999999999" x14ac:dyDescent="0.2">
      <c r="B40" s="9" t="s">
        <v>7</v>
      </c>
      <c r="C40" s="9"/>
      <c r="D40" s="125"/>
      <c r="X40" s="16">
        <f>+AVERAGE(IPC!P40:AA40)</f>
        <v>85.507382404188363</v>
      </c>
      <c r="Y40" s="16">
        <f>+AVERAGE(IPC!AB40:AM40)</f>
        <v>86.630127984615157</v>
      </c>
      <c r="Z40" s="16">
        <f>+AVERAGE(IPC!AN40:AY40)</f>
        <v>87.617385677190555</v>
      </c>
      <c r="AA40" s="16">
        <f>+AVERAGE(IPC!AZ40:BK40)</f>
        <v>89.168119396913809</v>
      </c>
      <c r="AB40" s="16">
        <f>+AVERAGE(IPC!BL40:BW40)</f>
        <v>90.049565718635378</v>
      </c>
      <c r="AC40" s="16">
        <f>+AVERAGE(IPC!BX40:CI40)</f>
        <v>90.898781303201702</v>
      </c>
      <c r="AD40" s="16">
        <f>+AVERAGE(IPC!CJ40:CU40)</f>
        <v>91.831978583149024</v>
      </c>
      <c r="AE40" s="16">
        <f>+AVERAGE(IPC!CV40:DG40)</f>
        <v>93.866383000047662</v>
      </c>
      <c r="AF40" s="16">
        <f>+AVERAGE(IPC!DH40:DS40)</f>
        <v>95.623924416591095</v>
      </c>
      <c r="AG40" s="16">
        <f>+AVERAGE(IPC!DT40:EE40)</f>
        <v>96.973886492541567</v>
      </c>
      <c r="AH40" s="16">
        <f>+AVERAGE(IPC!EF40:EQ40)</f>
        <v>100.35599464997917</v>
      </c>
      <c r="AJ40" s="197"/>
    </row>
    <row r="41" spans="2:36" s="124" customFormat="1" ht="10.199999999999999" x14ac:dyDescent="0.2">
      <c r="B41" s="9"/>
      <c r="C41" s="9"/>
      <c r="D41" s="125"/>
      <c r="AJ41" s="197"/>
    </row>
    <row r="42" spans="2:36" s="63" customFormat="1" ht="10.199999999999999" x14ac:dyDescent="0.2">
      <c r="B42" s="63" t="s">
        <v>80</v>
      </c>
      <c r="C42" s="64"/>
      <c r="W42" s="65">
        <f>+AVERAGE(IPC!D42:O42)</f>
        <v>222.06666666666663</v>
      </c>
      <c r="X42" s="65">
        <f>+AVERAGE(IPC!P42:AA42)</f>
        <v>202.38288478176196</v>
      </c>
      <c r="Y42" s="65">
        <f>+AVERAGE(IPC!AB42:AM42)</f>
        <v>181.45856216927098</v>
      </c>
      <c r="Z42" s="65">
        <f>+AVERAGE(IPC!AN42:AY42)</f>
        <v>184.82443432372588</v>
      </c>
      <c r="AA42" s="65">
        <f>+AVERAGE(IPC!AZ42:BK42)</f>
        <v>189.77484431997729</v>
      </c>
      <c r="AB42" s="65">
        <f>+AVERAGE(IPC!BL42:BW42)</f>
        <v>191.43119249268224</v>
      </c>
      <c r="AC42" s="65">
        <f>+AVERAGE(IPC!BX42:CI42)</f>
        <v>192.6577389276533</v>
      </c>
      <c r="AD42" s="65">
        <f>+AVERAGE(IPC!CJ42:CU42)</f>
        <v>194.70721652234499</v>
      </c>
      <c r="AE42" s="65">
        <f>+AVERAGE(IPC!CV42:DG42)</f>
        <v>199.48986731079455</v>
      </c>
      <c r="AF42" s="65">
        <f>+AVERAGE(IPC!DH42:DS42)</f>
        <v>204.37842029546641</v>
      </c>
      <c r="AG42" s="65">
        <f>+AVERAGE(IPC!DT42:EE42)</f>
        <v>209.00137053987979</v>
      </c>
      <c r="AH42" s="63">
        <f>+AVERAGE(IPC!EF42:EQ42)</f>
        <v>223.6036624272468</v>
      </c>
    </row>
    <row r="43" spans="2:36" s="1" customFormat="1" ht="10.199999999999999" x14ac:dyDescent="0.2"/>
    <row r="44" spans="2:36" s="1" customFormat="1" ht="10.8" thickBot="1" x14ac:dyDescent="0.25"/>
    <row r="45" spans="2:36" s="2" customFormat="1" ht="33" thickTop="1" thickBot="1" x14ac:dyDescent="0.55000000000000004">
      <c r="B45" s="2" t="s">
        <v>93</v>
      </c>
    </row>
    <row r="46" spans="2:36" s="20" customFormat="1" ht="14.4" thickTop="1" thickBot="1" x14ac:dyDescent="0.3"/>
    <row r="47" spans="2:36" s="24" customFormat="1" ht="13.8" thickBot="1" x14ac:dyDescent="0.3">
      <c r="B47" s="21" t="s">
        <v>34</v>
      </c>
      <c r="C47" s="22" t="s">
        <v>1</v>
      </c>
      <c r="D47" s="24">
        <f>D4</f>
        <v>1992</v>
      </c>
      <c r="E47" s="24">
        <f>E4</f>
        <v>1993</v>
      </c>
      <c r="F47" s="24">
        <f t="shared" ref="F47:AI47" si="1">F4</f>
        <v>1994</v>
      </c>
      <c r="G47" s="24">
        <f t="shared" si="1"/>
        <v>1995</v>
      </c>
      <c r="H47" s="24">
        <f t="shared" si="1"/>
        <v>1996</v>
      </c>
      <c r="I47" s="24">
        <f t="shared" si="1"/>
        <v>1997</v>
      </c>
      <c r="J47" s="24">
        <f t="shared" si="1"/>
        <v>1998</v>
      </c>
      <c r="K47" s="24">
        <f t="shared" si="1"/>
        <v>1999</v>
      </c>
      <c r="L47" s="24">
        <f t="shared" si="1"/>
        <v>2000</v>
      </c>
      <c r="M47" s="24">
        <f t="shared" si="1"/>
        <v>2001</v>
      </c>
      <c r="N47" s="24">
        <f t="shared" si="1"/>
        <v>2002</v>
      </c>
      <c r="O47" s="24">
        <f t="shared" si="1"/>
        <v>2003</v>
      </c>
      <c r="P47" s="24">
        <f t="shared" si="1"/>
        <v>2004</v>
      </c>
      <c r="Q47" s="24">
        <f t="shared" si="1"/>
        <v>2005</v>
      </c>
      <c r="R47" s="24">
        <f t="shared" si="1"/>
        <v>2006</v>
      </c>
      <c r="S47" s="24">
        <f t="shared" si="1"/>
        <v>2007</v>
      </c>
      <c r="T47" s="24">
        <f t="shared" si="1"/>
        <v>2008</v>
      </c>
      <c r="U47" s="24">
        <f t="shared" si="1"/>
        <v>2009</v>
      </c>
      <c r="V47" s="24">
        <f t="shared" si="1"/>
        <v>2010</v>
      </c>
      <c r="W47" s="24">
        <f t="shared" si="1"/>
        <v>2011</v>
      </c>
      <c r="X47" s="24">
        <f t="shared" si="1"/>
        <v>2012</v>
      </c>
      <c r="Y47" s="24">
        <f t="shared" si="1"/>
        <v>2013</v>
      </c>
      <c r="Z47" s="24">
        <f t="shared" si="1"/>
        <v>2014</v>
      </c>
      <c r="AA47" s="24">
        <f t="shared" si="1"/>
        <v>2015</v>
      </c>
      <c r="AB47" s="24">
        <f t="shared" si="1"/>
        <v>2016</v>
      </c>
      <c r="AC47" s="24">
        <f t="shared" si="1"/>
        <v>2017</v>
      </c>
      <c r="AD47" s="24">
        <f t="shared" si="1"/>
        <v>2018</v>
      </c>
      <c r="AE47" s="24">
        <f t="shared" si="1"/>
        <v>2019</v>
      </c>
      <c r="AF47" s="24">
        <f t="shared" si="1"/>
        <v>2020</v>
      </c>
      <c r="AG47" s="24">
        <f t="shared" si="1"/>
        <v>2021</v>
      </c>
      <c r="AH47" s="24">
        <f t="shared" si="1"/>
        <v>2022</v>
      </c>
      <c r="AI47" s="24">
        <f t="shared" si="1"/>
        <v>2023</v>
      </c>
      <c r="AJ47" s="24">
        <f t="shared" ref="AJ47" si="2">AJ4</f>
        <v>2024</v>
      </c>
    </row>
    <row r="48" spans="2:36" s="20" customFormat="1" x14ac:dyDescent="0.25">
      <c r="B48" s="25" t="s">
        <v>35</v>
      </c>
      <c r="C48" s="26"/>
      <c r="W48" s="20">
        <v>100</v>
      </c>
      <c r="X48" s="27">
        <f>+AVERAGE(IPC!P48:AA48)</f>
        <v>101.01266283788716</v>
      </c>
      <c r="Y48" s="27">
        <f>+AVERAGE(IPC!AB48:AM48)</f>
        <v>103.36433739000169</v>
      </c>
      <c r="Z48" s="27">
        <f>+AVERAGE(IPC!AN48:AY48)</f>
        <v>105.31833373931151</v>
      </c>
      <c r="AA48" s="27">
        <f>+AVERAGE(IPC!AZ48:BK48)</f>
        <v>108.36616013568813</v>
      </c>
      <c r="AB48" s="27">
        <f>+AVERAGE(IPC!BL48:BW48)</f>
        <v>109.79164769527382</v>
      </c>
      <c r="AC48" s="27">
        <f>+AVERAGE(IPC!BX48:CI48)</f>
        <v>110.63602422929432</v>
      </c>
      <c r="AD48" s="27">
        <f>+AVERAGE(IPC!CJ48:CU48)</f>
        <v>111.88369647391971</v>
      </c>
      <c r="AE48" s="27">
        <f>+AVERAGE(IPC!CV48:DG48)</f>
        <v>114.51355067357035</v>
      </c>
      <c r="AF48" s="27">
        <f>+AVERAGE(IPC!DH48:DS48)</f>
        <v>116.77911360533896</v>
      </c>
      <c r="AG48" s="27">
        <f>+AVERAGE(IPC!DT48:EE48)</f>
        <v>118.93539932998904</v>
      </c>
      <c r="AH48" s="27">
        <f>+AVERAGE(IPC!EF48:EQ48)</f>
        <v>126.25494654410163</v>
      </c>
    </row>
    <row r="49" spans="1:36" s="20" customFormat="1" x14ac:dyDescent="0.25">
      <c r="B49" s="25" t="s">
        <v>36</v>
      </c>
      <c r="C49" s="26"/>
      <c r="W49" s="20">
        <v>100</v>
      </c>
      <c r="X49" s="27">
        <f>+AVERAGE(IPC!P49:AA49)</f>
        <v>102.06878975152081</v>
      </c>
      <c r="Y49" s="27">
        <f>+AVERAGE(IPC!AB49:AM49)</f>
        <v>104.14196526590196</v>
      </c>
      <c r="Z49" s="27">
        <f>+AVERAGE(IPC!AN49:AY49)</f>
        <v>107.15462854351649</v>
      </c>
      <c r="AA49" s="27">
        <f>+AVERAGE(IPC!AZ49:BK49)</f>
        <v>109.78644080207486</v>
      </c>
      <c r="AB49" s="27">
        <f>+AVERAGE(IPC!BL49:BW49)</f>
        <v>110.67288188109099</v>
      </c>
      <c r="AC49" s="27">
        <f>+AVERAGE(IPC!BX49:CI49)</f>
        <v>110.91401283144886</v>
      </c>
      <c r="AD49" s="27">
        <f>+AVERAGE(IPC!CJ49:CU49)</f>
        <v>111.71217129842738</v>
      </c>
      <c r="AE49" s="27">
        <f>+AVERAGE(IPC!CV49:DG49)</f>
        <v>114.38876721643108</v>
      </c>
      <c r="AF49" s="27">
        <f>+AVERAGE(IPC!DH49:DS49)</f>
        <v>116.97777480916257</v>
      </c>
      <c r="AG49" s="27">
        <f>+AVERAGE(IPC!DT49:EE49)</f>
        <v>119.17972149907787</v>
      </c>
      <c r="AH49" s="27">
        <f>+AVERAGE(IPC!EF49:EQ49)</f>
        <v>125.92452484871713</v>
      </c>
    </row>
    <row r="50" spans="1:36" s="20" customFormat="1" x14ac:dyDescent="0.25">
      <c r="B50" s="25" t="s">
        <v>37</v>
      </c>
      <c r="C50" s="26"/>
      <c r="W50" s="20">
        <v>100</v>
      </c>
      <c r="X50" s="27">
        <f>+AVERAGE(IPC!P51:AA51)</f>
        <v>103.03798069506298</v>
      </c>
      <c r="Y50" s="27">
        <f>+AVERAGE(IPC!AB51:AM51)</f>
        <v>105.70757032178403</v>
      </c>
      <c r="Z50" s="27">
        <f>+AVERAGE(IPC!AN51:AY51)</f>
        <v>106.34793901235879</v>
      </c>
      <c r="AA50" s="27">
        <f>+AVERAGE(IPC!AZ51:BK51)</f>
        <v>108.00538545334861</v>
      </c>
      <c r="AB50" s="27">
        <f>+AVERAGE(IPC!BL51:BW51)</f>
        <v>109.67985702938513</v>
      </c>
      <c r="AC50" s="27">
        <f>+AVERAGE(IPC!BX51:CI51)</f>
        <v>110.79277674714729</v>
      </c>
      <c r="AD50" s="27">
        <f>+AVERAGE(IPC!CJ51:CU51)</f>
        <v>111.36197965496591</v>
      </c>
      <c r="AE50" s="27">
        <f>+AVERAGE(IPC!CV51:DG51)</f>
        <v>114.40556677835112</v>
      </c>
      <c r="AF50" s="27">
        <f>+AVERAGE(IPC!DH51:DS51)</f>
        <v>117.39268834406971</v>
      </c>
      <c r="AG50" s="27">
        <f>+AVERAGE(IPC!DT51:EE51)</f>
        <v>120.17053604028195</v>
      </c>
      <c r="AH50" s="27">
        <f>+AVERAGE(IPC!EF51:EQ51)</f>
        <v>128.92112564471697</v>
      </c>
    </row>
    <row r="51" spans="1:36" s="20" customFormat="1" x14ac:dyDescent="0.25">
      <c r="B51" s="25" t="s">
        <v>38</v>
      </c>
      <c r="C51" s="26"/>
      <c r="W51" s="20">
        <v>100</v>
      </c>
      <c r="X51" s="27">
        <f>+AVERAGE(IPC!P57:AA57)</f>
        <v>102.94165608843035</v>
      </c>
      <c r="Y51" s="27">
        <f>+AVERAGE(IPC!AB57:AM57)</f>
        <v>105.68354925094496</v>
      </c>
      <c r="Z51" s="27">
        <f>+AVERAGE(IPC!AN57:AY57)</f>
        <v>106.25797752414273</v>
      </c>
      <c r="AA51" s="27">
        <f>+AVERAGE(IPC!AZ57:BK57)</f>
        <v>109.38555358648581</v>
      </c>
      <c r="AB51" s="27">
        <f>+AVERAGE(IPC!BL57:BW57)</f>
        <v>110.2989003110719</v>
      </c>
      <c r="AC51" s="27">
        <f>+AVERAGE(IPC!BX57:CI57)</f>
        <v>110.5286650537174</v>
      </c>
      <c r="AD51" s="27">
        <f>+AVERAGE(IPC!CJ57:CU57)</f>
        <v>111.70629859516909</v>
      </c>
      <c r="AE51" s="27">
        <f>+AVERAGE(IPC!CV57:DG57)</f>
        <v>117.03268736608241</v>
      </c>
      <c r="AF51" s="27">
        <f>+AVERAGE(IPC!DH57:DS57)</f>
        <v>119.61137949976222</v>
      </c>
      <c r="AG51" s="27">
        <f>+AVERAGE(IPC!DT57:EE57)</f>
        <v>124.1323363525306</v>
      </c>
      <c r="AH51" s="27">
        <f>+AVERAGE(IPC!EF57:EQ57)</f>
        <v>132.54490914686266</v>
      </c>
    </row>
    <row r="52" spans="1:36" s="20" customFormat="1" x14ac:dyDescent="0.25">
      <c r="B52" s="25" t="s">
        <v>39</v>
      </c>
      <c r="C52" s="26"/>
      <c r="W52" s="20">
        <v>100</v>
      </c>
      <c r="X52" s="27">
        <f>+AVERAGE(IPC!P53:AA53)</f>
        <v>102.71830461012347</v>
      </c>
      <c r="Y52" s="27">
        <f>+AVERAGE(IPC!AB53:AM53)</f>
        <v>103.34528597681695</v>
      </c>
      <c r="Z52" s="27">
        <f>+AVERAGE(IPC!AN53:AY53)</f>
        <v>105.33070168172692</v>
      </c>
      <c r="AA52" s="27">
        <f>+AVERAGE(IPC!AZ53:BK53)</f>
        <v>109.15841613148552</v>
      </c>
      <c r="AB52" s="27">
        <f>+AVERAGE(IPC!BL53:BW53)</f>
        <v>109.02777788011105</v>
      </c>
      <c r="AC52" s="27">
        <f>+AVERAGE(IPC!BX53:CI53)</f>
        <v>109.88017464101</v>
      </c>
      <c r="AD52" s="27">
        <f>+AVERAGE(IPC!CJ53:CU53)</f>
        <v>111.59305676276659</v>
      </c>
      <c r="AE52" s="27">
        <f>+AVERAGE(IPC!CV53:DG53)</f>
        <v>113.50361313742862</v>
      </c>
      <c r="AF52" s="27">
        <f>+AVERAGE(IPC!DH53:DS53)</f>
        <v>116.54082307751965</v>
      </c>
      <c r="AG52" s="27">
        <f>+AVERAGE(IPC!DT53:EE53)</f>
        <v>118.95205785643215</v>
      </c>
      <c r="AH52" s="27">
        <f>+AVERAGE(IPC!EF53:EQ53)</f>
        <v>125.42642687249617</v>
      </c>
    </row>
    <row r="53" spans="1:36" s="20" customFormat="1" x14ac:dyDescent="0.25">
      <c r="B53" s="25" t="s">
        <v>82</v>
      </c>
      <c r="C53" s="26"/>
      <c r="W53" s="20">
        <v>100</v>
      </c>
      <c r="X53" s="27">
        <f>+AVERAGE(IPC!P50:AA50)</f>
        <v>105.49314316668489</v>
      </c>
      <c r="Y53" s="27">
        <f>+AVERAGE(IPC!AB50:AM50)</f>
        <v>107.84598764356041</v>
      </c>
      <c r="Z53" s="27">
        <f>+AVERAGE(IPC!AN50:AY50)</f>
        <v>108.79465921410382</v>
      </c>
      <c r="AA53" s="27">
        <f>+AVERAGE(IPC!AZ50:BK50)</f>
        <v>110.90527382500649</v>
      </c>
      <c r="AB53" s="27">
        <f>+AVERAGE(IPC!BL50:BW50)</f>
        <v>109.84916009139256</v>
      </c>
      <c r="AC53" s="27">
        <f>+AVERAGE(IPC!BX50:CI50)</f>
        <v>110.97908767436526</v>
      </c>
      <c r="AD53" s="27">
        <f>+AVERAGE(IPC!CJ50:CU50)</f>
        <v>111.74743646737754</v>
      </c>
      <c r="AE53" s="27">
        <f>+AVERAGE(IPC!CV50:DG50)</f>
        <v>112.47964248079478</v>
      </c>
      <c r="AF53" s="27">
        <f>+AVERAGE(IPC!DH50:DS50)</f>
        <v>116.25880251284985</v>
      </c>
      <c r="AG53" s="27">
        <f>+AVERAGE(IPC!DT50:EE50)</f>
        <v>120.00759230632713</v>
      </c>
      <c r="AH53" s="27">
        <f>+AVERAGE(IPC!EF50:EQ50)</f>
        <v>127.70104218284257</v>
      </c>
    </row>
    <row r="54" spans="1:36" s="20" customFormat="1" x14ac:dyDescent="0.25">
      <c r="B54" s="25" t="s">
        <v>83</v>
      </c>
      <c r="C54" s="26"/>
      <c r="W54" s="20">
        <v>100</v>
      </c>
      <c r="X54" s="27">
        <f>+AVERAGE(IPC!P55:AA55)</f>
        <v>102.64840132856226</v>
      </c>
      <c r="Y54" s="27">
        <f>+AVERAGE(IPC!AB55:AM55)</f>
        <v>103.65018087039851</v>
      </c>
      <c r="Z54" s="27">
        <f>+AVERAGE(IPC!AN55:AY55)</f>
        <v>105.44142024617133</v>
      </c>
      <c r="AA54" s="27">
        <f>+AVERAGE(IPC!AZ55:BK55)</f>
        <v>106.71111272131834</v>
      </c>
      <c r="AB54" s="27">
        <f>+AVERAGE(IPC!BL55:BW55)</f>
        <v>108.17636402531365</v>
      </c>
      <c r="AC54" s="27">
        <f>+AVERAGE(IPC!BX55:CI55)</f>
        <v>108.55895601696085</v>
      </c>
      <c r="AD54" s="27">
        <f>+AVERAGE(IPC!CJ55:CU55)</f>
        <v>109.96743261817828</v>
      </c>
      <c r="AE54" s="27">
        <f>+AVERAGE(IPC!CV55:DG55)</f>
        <v>112.48638746861712</v>
      </c>
      <c r="AF54" s="27">
        <f>+AVERAGE(IPC!DH55:DS55)</f>
        <v>115.05283462138077</v>
      </c>
      <c r="AG54" s="27">
        <f>+AVERAGE(IPC!DT55:EE55)</f>
        <v>116.19600319728147</v>
      </c>
      <c r="AH54" s="27">
        <f>+AVERAGE(IPC!EF55:EQ55)</f>
        <v>124.75332808142927</v>
      </c>
    </row>
    <row r="55" spans="1:36" s="20" customFormat="1" x14ac:dyDescent="0.25">
      <c r="B55" s="25" t="s">
        <v>84</v>
      </c>
      <c r="C55" s="26"/>
      <c r="W55" s="20">
        <v>100</v>
      </c>
      <c r="X55" s="27">
        <f>+AVERAGE(IPC!P56:AA56)</f>
        <v>102.84129182694373</v>
      </c>
      <c r="Y55" s="27">
        <f>+AVERAGE(IPC!AB56:AM56)</f>
        <v>104.14867100057836</v>
      </c>
      <c r="Z55" s="27">
        <f>+AVERAGE(IPC!AN56:AY56)</f>
        <v>106.80072407114831</v>
      </c>
      <c r="AA55" s="27">
        <f>+AVERAGE(IPC!AZ56:BK56)</f>
        <v>109.27245241506057</v>
      </c>
      <c r="AB55" s="27">
        <f>+AVERAGE(IPC!BL56:BW56)</f>
        <v>109.64969352168976</v>
      </c>
      <c r="AC55" s="27">
        <f>+AVERAGE(IPC!BX56:CI56)</f>
        <v>112.54210286159453</v>
      </c>
      <c r="AD55" s="27">
        <f>+AVERAGE(IPC!CJ56:CU56)</f>
        <v>115.67761029954295</v>
      </c>
      <c r="AE55" s="27">
        <f>+AVERAGE(IPC!CV56:DG56)</f>
        <v>117.98219113858069</v>
      </c>
      <c r="AF55" s="27">
        <f>+AVERAGE(IPC!DH56:DS56)</f>
        <v>122.27335521604421</v>
      </c>
      <c r="AG55" s="27">
        <f>+AVERAGE(IPC!DT56:EE56)</f>
        <v>127.61658840230388</v>
      </c>
      <c r="AH55" s="27">
        <f>+AVERAGE(IPC!EF56:EQ56)</f>
        <v>134.64459083731222</v>
      </c>
    </row>
    <row r="56" spans="1:36" s="20" customFormat="1" ht="12" customHeight="1" x14ac:dyDescent="0.25">
      <c r="B56" s="25" t="s">
        <v>85</v>
      </c>
      <c r="C56" s="26"/>
      <c r="W56" s="20">
        <v>100</v>
      </c>
      <c r="X56" s="27">
        <f>+AVERAGE(IPC!P52:AA52)</f>
        <v>102.43741220252332</v>
      </c>
      <c r="Y56" s="27">
        <f>+AVERAGE(IPC!AB52:AM52)</f>
        <v>103.81732614532841</v>
      </c>
      <c r="Z56" s="27">
        <f>+AVERAGE(IPC!AN52:AY52)</f>
        <v>105.86030354890717</v>
      </c>
      <c r="AA56" s="27">
        <f>+AVERAGE(IPC!AZ52:BK52)</f>
        <v>110.42195990973516</v>
      </c>
      <c r="AB56" s="27">
        <f>+AVERAGE(IPC!BL52:BW52)</f>
        <v>112.29027927977624</v>
      </c>
      <c r="AC56" s="27">
        <f>+AVERAGE(IPC!BX52:CI52)</f>
        <v>112.67577202628341</v>
      </c>
      <c r="AD56" s="27">
        <f>+AVERAGE(IPC!CJ52:CU52)</f>
        <v>114.92701953848257</v>
      </c>
      <c r="AE56" s="27">
        <f>+AVERAGE(IPC!CV52:DG52)</f>
        <v>118.8010580329031</v>
      </c>
      <c r="AF56" s="27">
        <f>+AVERAGE(IPC!DH52:DS52)</f>
        <v>123.09735035519562</v>
      </c>
      <c r="AG56" s="27">
        <f>+AVERAGE(IPC!DT52:EE52)</f>
        <v>125.1796934773909</v>
      </c>
      <c r="AH56" s="27">
        <f>+AVERAGE(IPC!EF52:EQ52)</f>
        <v>134.07337050784588</v>
      </c>
    </row>
    <row r="57" spans="1:36" s="20" customFormat="1" x14ac:dyDescent="0.25">
      <c r="B57" s="25" t="s">
        <v>86</v>
      </c>
      <c r="C57" s="26"/>
      <c r="W57" s="20">
        <v>100</v>
      </c>
      <c r="X57" s="27">
        <f>+AVERAGE(IPC!P54:AA54)</f>
        <v>102.81691508370677</v>
      </c>
      <c r="Y57" s="27">
        <f>+AVERAGE(IPC!AB54:AM54)</f>
        <v>106.0013895065962</v>
      </c>
      <c r="Z57" s="27">
        <f>+AVERAGE(IPC!AN54:AY54)</f>
        <v>107.75345019505416</v>
      </c>
      <c r="AA57" s="27">
        <f>+AVERAGE(IPC!AZ54:BK54)</f>
        <v>111.49193455197464</v>
      </c>
      <c r="AB57" s="27">
        <f>+AVERAGE(IPC!BL54:BW54)</f>
        <v>112.33026593796853</v>
      </c>
      <c r="AC57" s="27">
        <f>+AVERAGE(IPC!BX54:CI54)</f>
        <v>113.28886519277832</v>
      </c>
      <c r="AD57" s="27">
        <f>+AVERAGE(IPC!CJ54:CU54)</f>
        <v>113.83842637915943</v>
      </c>
      <c r="AE57" s="27">
        <f>+AVERAGE(IPC!CV54:DG54)</f>
        <v>116.74136384602794</v>
      </c>
      <c r="AF57" s="27">
        <f>+AVERAGE(IPC!DH54:DS54)</f>
        <v>117.62455987076684</v>
      </c>
      <c r="AG57" s="27">
        <f>+AVERAGE(IPC!DT54:EE54)</f>
        <v>121.99235559549612</v>
      </c>
      <c r="AH57" s="27">
        <f>+AVERAGE(IPC!EF54:EQ54)</f>
        <v>128.91946822292644</v>
      </c>
    </row>
    <row r="58" spans="1:36" s="66" customFormat="1" x14ac:dyDescent="0.25">
      <c r="B58" s="67" t="s">
        <v>2</v>
      </c>
      <c r="C58" s="68">
        <v>10000</v>
      </c>
      <c r="W58" s="66">
        <f>+AVERAGE(IPC!D58:O58)</f>
        <v>100.00000000000001</v>
      </c>
      <c r="X58" s="69">
        <f>+AVERAGE(IPC!P58:AA58)</f>
        <v>80.071802517979435</v>
      </c>
      <c r="Y58" s="69">
        <f>+AVERAGE(IPC!AB58:AM58)</f>
        <v>81.713552462895976</v>
      </c>
      <c r="Z58" s="69">
        <f>+AVERAGE(IPC!AN58:AY58)</f>
        <v>83.229255924824045</v>
      </c>
      <c r="AA58" s="69">
        <f>+AVERAGE(IPC!AZ58:BK58)</f>
        <v>85.458500894616009</v>
      </c>
      <c r="AB58" s="69">
        <f>+AVERAGE(IPC!BL58:BW58)</f>
        <v>86.204379687488256</v>
      </c>
      <c r="AC58" s="69">
        <f>+AVERAGE(IPC!BX58:CI58)</f>
        <v>86.756712215995194</v>
      </c>
      <c r="AD58" s="69">
        <f>+AVERAGE(IPC!CJ58:CU58)</f>
        <v>87.679623171275168</v>
      </c>
      <c r="AE58" s="69">
        <f>+AVERAGE(IPC!CV58:DG58)</f>
        <v>89.833323616389052</v>
      </c>
      <c r="AF58" s="69">
        <f>+AVERAGE(IPC!DH58:DS58)</f>
        <v>92.034713432362537</v>
      </c>
      <c r="AG58" s="69">
        <f>+AVERAGE(IPC!DT58:EE58)</f>
        <v>94.116498291750119</v>
      </c>
      <c r="AH58" s="69">
        <f>+AVERAGE(IPC!EF58:EQ58)</f>
        <v>100.69213258507062</v>
      </c>
    </row>
    <row r="60" spans="1:36" ht="13.8" thickBot="1" x14ac:dyDescent="0.3"/>
    <row r="61" spans="1:36" s="2" customFormat="1" ht="33" thickTop="1" thickBot="1" x14ac:dyDescent="0.55000000000000004">
      <c r="B61" s="2" t="s">
        <v>94</v>
      </c>
    </row>
    <row r="62" spans="1:36" ht="14.4" thickTop="1" thickBot="1" x14ac:dyDescent="0.3"/>
    <row r="63" spans="1:36" s="24" customFormat="1" ht="13.8" thickBot="1" x14ac:dyDescent="0.3">
      <c r="B63" s="21"/>
      <c r="C63" s="22" t="s">
        <v>95</v>
      </c>
      <c r="D63" s="24">
        <f t="shared" ref="D63:AI63" si="3">D4</f>
        <v>1992</v>
      </c>
      <c r="E63" s="24">
        <f t="shared" si="3"/>
        <v>1993</v>
      </c>
      <c r="F63" s="24">
        <f t="shared" si="3"/>
        <v>1994</v>
      </c>
      <c r="G63" s="24">
        <f t="shared" si="3"/>
        <v>1995</v>
      </c>
      <c r="H63" s="24">
        <f t="shared" si="3"/>
        <v>1996</v>
      </c>
      <c r="I63" s="24">
        <f t="shared" si="3"/>
        <v>1997</v>
      </c>
      <c r="J63" s="24">
        <f t="shared" si="3"/>
        <v>1998</v>
      </c>
      <c r="K63" s="24">
        <f t="shared" si="3"/>
        <v>1999</v>
      </c>
      <c r="L63" s="24">
        <f t="shared" si="3"/>
        <v>2000</v>
      </c>
      <c r="M63" s="24">
        <f t="shared" si="3"/>
        <v>2001</v>
      </c>
      <c r="N63" s="24">
        <f t="shared" si="3"/>
        <v>2002</v>
      </c>
      <c r="O63" s="24">
        <f t="shared" si="3"/>
        <v>2003</v>
      </c>
      <c r="P63" s="24">
        <f t="shared" si="3"/>
        <v>2004</v>
      </c>
      <c r="Q63" s="24">
        <f t="shared" si="3"/>
        <v>2005</v>
      </c>
      <c r="R63" s="24">
        <f t="shared" si="3"/>
        <v>2006</v>
      </c>
      <c r="S63" s="24">
        <f t="shared" si="3"/>
        <v>2007</v>
      </c>
      <c r="T63" s="24">
        <f t="shared" si="3"/>
        <v>2008</v>
      </c>
      <c r="U63" s="24">
        <f t="shared" si="3"/>
        <v>2009</v>
      </c>
      <c r="V63" s="24">
        <f t="shared" si="3"/>
        <v>2010</v>
      </c>
      <c r="W63" s="24">
        <f t="shared" si="3"/>
        <v>2011</v>
      </c>
      <c r="X63" s="24">
        <f t="shared" si="3"/>
        <v>2012</v>
      </c>
      <c r="Y63" s="24">
        <f t="shared" si="3"/>
        <v>2013</v>
      </c>
      <c r="Z63" s="24">
        <f t="shared" si="3"/>
        <v>2014</v>
      </c>
      <c r="AA63" s="24">
        <f t="shared" si="3"/>
        <v>2015</v>
      </c>
      <c r="AB63" s="24">
        <f t="shared" si="3"/>
        <v>2016</v>
      </c>
      <c r="AC63" s="24">
        <f t="shared" si="3"/>
        <v>2017</v>
      </c>
      <c r="AD63" s="24">
        <f t="shared" si="3"/>
        <v>2018</v>
      </c>
      <c r="AE63" s="24">
        <f t="shared" si="3"/>
        <v>2019</v>
      </c>
      <c r="AF63" s="24">
        <f t="shared" si="3"/>
        <v>2020</v>
      </c>
      <c r="AG63" s="24">
        <f t="shared" si="3"/>
        <v>2021</v>
      </c>
      <c r="AH63" s="24">
        <f t="shared" si="3"/>
        <v>2022</v>
      </c>
      <c r="AI63" s="24">
        <f t="shared" si="3"/>
        <v>2023</v>
      </c>
      <c r="AJ63" s="24">
        <f t="shared" ref="AJ63" si="4">AJ4</f>
        <v>2024</v>
      </c>
    </row>
    <row r="64" spans="1:36" s="109" customFormat="1" ht="10.199999999999999" x14ac:dyDescent="0.2">
      <c r="A64" s="30"/>
      <c r="B64" s="73" t="s">
        <v>41</v>
      </c>
      <c r="C64" s="71"/>
      <c r="W64" s="109" t="e">
        <f>+AVERAGE(IPC!D64:O64)</f>
        <v>#DIV/0!</v>
      </c>
      <c r="X64" s="109" t="e">
        <f>+AVERAGE(IPC!P64:AA64)</f>
        <v>#DIV/0!</v>
      </c>
      <c r="Y64" s="109" t="e">
        <f>+AVERAGE(IPC!AB64:AM64)</f>
        <v>#DIV/0!</v>
      </c>
      <c r="Z64" s="109" t="e">
        <f>+AVERAGE(IPC!AN64:AY64)</f>
        <v>#DIV/0!</v>
      </c>
      <c r="AA64" s="109" t="e">
        <f>+AVERAGE(IPC!AZ64:BK64)</f>
        <v>#DIV/0!</v>
      </c>
      <c r="AB64" s="109" t="e">
        <f>+AVERAGE(IPC!BL64:BW64)</f>
        <v>#DIV/0!</v>
      </c>
      <c r="AC64" s="109" t="e">
        <f>+AVERAGE(IPC!BX64:CI64)</f>
        <v>#DIV/0!</v>
      </c>
      <c r="AD64" s="109">
        <f>+AVERAGE(IPC!CJ64:CU64)</f>
        <v>97.384852915502563</v>
      </c>
      <c r="AE64" s="109">
        <f>+AVERAGE(IPC!CV64:DG64)</f>
        <v>99.999999999999986</v>
      </c>
      <c r="AF64" s="109">
        <f>+AVERAGE(IPC!DH64:DS64)</f>
        <v>102.30385931752438</v>
      </c>
      <c r="AG64" s="109">
        <f>+AVERAGE(IPC!DT64:EE64)</f>
        <v>105.17775018999998</v>
      </c>
      <c r="AH64" s="109">
        <f>+AVERAGE(IPC!EF64:EQ64)</f>
        <v>111.04604968290174</v>
      </c>
    </row>
    <row r="65" spans="1:34" s="109" customFormat="1" ht="10.199999999999999" x14ac:dyDescent="0.2">
      <c r="A65" s="30"/>
      <c r="B65" s="73" t="s">
        <v>42</v>
      </c>
      <c r="C65" s="71"/>
      <c r="W65" s="109" t="e">
        <f>+AVERAGE(IPC!D65:O65)</f>
        <v>#DIV/0!</v>
      </c>
      <c r="X65" s="109" t="e">
        <f>+AVERAGE(IPC!P65:AA65)</f>
        <v>#DIV/0!</v>
      </c>
      <c r="Y65" s="109" t="e">
        <f>+AVERAGE(IPC!AB65:AM65)</f>
        <v>#DIV/0!</v>
      </c>
      <c r="Z65" s="109" t="e">
        <f>+AVERAGE(IPC!AN65:AY65)</f>
        <v>#DIV/0!</v>
      </c>
      <c r="AA65" s="109" t="e">
        <f>+AVERAGE(IPC!AZ65:BK65)</f>
        <v>#DIV/0!</v>
      </c>
      <c r="AB65" s="109" t="e">
        <f>+AVERAGE(IPC!BL65:BW65)</f>
        <v>#DIV/0!</v>
      </c>
      <c r="AC65" s="109" t="e">
        <f>+AVERAGE(IPC!BX65:CI65)</f>
        <v>#DIV/0!</v>
      </c>
      <c r="AD65" s="109">
        <f>+AVERAGE(IPC!CJ65:CU65)</f>
        <v>100</v>
      </c>
      <c r="AE65" s="109">
        <f>+AVERAGE(IPC!CV65:DG65)</f>
        <v>101.55396244163836</v>
      </c>
      <c r="AF65" s="109">
        <f>+AVERAGE(IPC!DH65:DS65)</f>
        <v>101.77500000000002</v>
      </c>
      <c r="AG65" s="109">
        <f>+AVERAGE(IPC!DT65:EE65)</f>
        <v>103.77499999999999</v>
      </c>
      <c r="AH65" s="109">
        <f>+AVERAGE(IPC!EF65:EQ65)</f>
        <v>106.92984327779379</v>
      </c>
    </row>
    <row r="66" spans="1:34" s="109" customFormat="1" ht="10.199999999999999" x14ac:dyDescent="0.2">
      <c r="A66" s="30"/>
      <c r="B66" s="73" t="s">
        <v>43</v>
      </c>
      <c r="C66" s="71"/>
      <c r="W66" s="109" t="e">
        <f>+AVERAGE(IPC!D66:O66)</f>
        <v>#DIV/0!</v>
      </c>
      <c r="X66" s="109" t="e">
        <f>+AVERAGE(IPC!P66:AA66)</f>
        <v>#DIV/0!</v>
      </c>
      <c r="Y66" s="109" t="e">
        <f>+AVERAGE(IPC!AB66:AM66)</f>
        <v>#DIV/0!</v>
      </c>
      <c r="Z66" s="109" t="e">
        <f>+AVERAGE(IPC!AN66:AY66)</f>
        <v>#DIV/0!</v>
      </c>
      <c r="AA66" s="109" t="e">
        <f>+AVERAGE(IPC!AZ66:BK66)</f>
        <v>#DIV/0!</v>
      </c>
      <c r="AB66" s="109" t="e">
        <f>+AVERAGE(IPC!BL66:BW66)</f>
        <v>#DIV/0!</v>
      </c>
      <c r="AC66" s="109" t="e">
        <f>+AVERAGE(IPC!BX66:CI66)</f>
        <v>#DIV/0!</v>
      </c>
      <c r="AD66" s="109">
        <f>+AVERAGE(IPC!CJ66:CU66)</f>
        <v>99.992737728290152</v>
      </c>
      <c r="AE66" s="109">
        <f>+AVERAGE(IPC!CV66:DG66)</f>
        <v>100.67623408333334</v>
      </c>
      <c r="AF66" s="109">
        <f>+AVERAGE(IPC!DH66:DS66)</f>
        <v>102.08985858333335</v>
      </c>
      <c r="AG66" s="109">
        <f>+AVERAGE(IPC!DT66:EE66)</f>
        <v>103.21999999999998</v>
      </c>
      <c r="AH66" s="109">
        <f>+AVERAGE(IPC!EF66:EQ66)</f>
        <v>107.5945</v>
      </c>
    </row>
    <row r="67" spans="1:34" s="109" customFormat="1" ht="10.199999999999999" x14ac:dyDescent="0.2">
      <c r="A67" s="30"/>
      <c r="B67" s="73" t="s">
        <v>44</v>
      </c>
      <c r="C67" s="71"/>
      <c r="W67" s="109" t="e">
        <f>+AVERAGE(IPC!D67:O67)</f>
        <v>#DIV/0!</v>
      </c>
      <c r="X67" s="109" t="e">
        <f>+AVERAGE(IPC!P67:AA67)</f>
        <v>#DIV/0!</v>
      </c>
      <c r="Y67" s="109" t="e">
        <f>+AVERAGE(IPC!AB67:AM67)</f>
        <v>#DIV/0!</v>
      </c>
      <c r="Z67" s="109" t="e">
        <f>+AVERAGE(IPC!AN67:AY67)</f>
        <v>#DIV/0!</v>
      </c>
      <c r="AA67" s="109" t="e">
        <f>+AVERAGE(IPC!AZ67:BK67)</f>
        <v>#DIV/0!</v>
      </c>
      <c r="AB67" s="109" t="e">
        <f>+AVERAGE(IPC!BL67:BW67)</f>
        <v>#DIV/0!</v>
      </c>
      <c r="AC67" s="109" t="e">
        <f>+AVERAGE(IPC!BX67:CI67)</f>
        <v>#DIV/0!</v>
      </c>
      <c r="AD67" s="109">
        <f>+AVERAGE(IPC!CJ67:CU67)</f>
        <v>136.74250000000001</v>
      </c>
      <c r="AE67" s="109">
        <f>+AVERAGE(IPC!CV67:DG67)</f>
        <v>138.3990702628727</v>
      </c>
      <c r="AF67" s="109">
        <f>+AVERAGE(IPC!DH67:DS67)</f>
        <v>145.04249999999999</v>
      </c>
      <c r="AG67" s="109">
        <f>+AVERAGE(IPC!DT67:EE67)</f>
        <v>144.89916666666667</v>
      </c>
      <c r="AH67" s="109">
        <f>+AVERAGE(IPC!EF67:EQ67)</f>
        <v>152.01658992647722</v>
      </c>
    </row>
    <row r="68" spans="1:34" s="109" customFormat="1" ht="10.199999999999999" x14ac:dyDescent="0.2">
      <c r="A68" s="30"/>
      <c r="B68" s="73" t="s">
        <v>45</v>
      </c>
      <c r="C68" s="71"/>
      <c r="W68" s="109" t="e">
        <f>+AVERAGE(IPC!D68:O68)</f>
        <v>#DIV/0!</v>
      </c>
      <c r="X68" s="109" t="e">
        <f>+AVERAGE(IPC!P68:AA68)</f>
        <v>#DIV/0!</v>
      </c>
      <c r="Y68" s="109" t="e">
        <f>+AVERAGE(IPC!AB68:AM68)</f>
        <v>#DIV/0!</v>
      </c>
      <c r="Z68" s="109" t="e">
        <f>+AVERAGE(IPC!AN68:AY68)</f>
        <v>#DIV/0!</v>
      </c>
      <c r="AA68" s="109" t="e">
        <f>+AVERAGE(IPC!AZ68:BK68)</f>
        <v>#DIV/0!</v>
      </c>
      <c r="AB68" s="109" t="e">
        <f>+AVERAGE(IPC!BL68:BW68)</f>
        <v>#DIV/0!</v>
      </c>
      <c r="AC68" s="109" t="e">
        <f>+AVERAGE(IPC!BX68:CI68)</f>
        <v>#DIV/0!</v>
      </c>
      <c r="AD68" s="109">
        <f>+AVERAGE(IPC!CJ68:CU68)</f>
        <v>98.809187865635707</v>
      </c>
      <c r="AE68" s="109">
        <f>+AVERAGE(IPC!CV68:DG68)</f>
        <v>97.850177347035654</v>
      </c>
      <c r="AF68" s="109">
        <f>+AVERAGE(IPC!DH68:DS68)</f>
        <v>95.246142467541873</v>
      </c>
      <c r="AG68" s="109">
        <f>+AVERAGE(IPC!DT68:EE68)</f>
        <v>94.489346815724915</v>
      </c>
      <c r="AH68" s="109">
        <f>+AVERAGE(IPC!EF68:EQ68)</f>
        <v>100.00000000000001</v>
      </c>
    </row>
    <row r="69" spans="1:34" s="110" customFormat="1" x14ac:dyDescent="0.25">
      <c r="A69" s="66"/>
      <c r="B69" s="67" t="s">
        <v>46</v>
      </c>
      <c r="C69" s="68"/>
      <c r="W69" s="110" t="e">
        <f>+AVERAGE(IPC!D69:O69)</f>
        <v>#DIV/0!</v>
      </c>
      <c r="X69" s="110" t="e">
        <f>+AVERAGE(IPC!P69:AA69)</f>
        <v>#DIV/0!</v>
      </c>
      <c r="Y69" s="110" t="e">
        <f>+AVERAGE(IPC!AB69:AM69)</f>
        <v>#DIV/0!</v>
      </c>
      <c r="Z69" s="110" t="e">
        <f>+AVERAGE(IPC!AN69:AY69)</f>
        <v>#DIV/0!</v>
      </c>
      <c r="AA69" s="110" t="e">
        <f>+AVERAGE(IPC!AZ69:BK69)</f>
        <v>#DIV/0!</v>
      </c>
      <c r="AB69" s="110" t="e">
        <f>+AVERAGE(IPC!BL69:BW69)</f>
        <v>#DIV/0!</v>
      </c>
      <c r="AC69" s="110" t="e">
        <f>+AVERAGE(IPC!BX69:CI69)</f>
        <v>#DIV/0!</v>
      </c>
      <c r="AD69" s="110">
        <f>+AVERAGE(IPC!CJ69:CU69)</f>
        <v>97.384852915502606</v>
      </c>
      <c r="AE69" s="110">
        <f>+AVERAGE(IPC!CV69:DG69)</f>
        <v>99.999999999999986</v>
      </c>
      <c r="AF69" s="110">
        <f>+AVERAGE(IPC!DH69:DS69)</f>
        <v>102.30385931752441</v>
      </c>
      <c r="AG69" s="110">
        <f>+AVERAGE(IPC!DT69:EE69)</f>
        <v>105.17775019</v>
      </c>
      <c r="AH69" s="110">
        <f>+AVERAGE(IPC!EF69:EQ69)</f>
        <v>111.04604968290175</v>
      </c>
    </row>
    <row r="70" spans="1:34" s="109" customFormat="1" ht="10.199999999999999" x14ac:dyDescent="0.2">
      <c r="A70" s="30"/>
      <c r="B70" s="30" t="s">
        <v>50</v>
      </c>
      <c r="C70" s="71"/>
      <c r="W70" s="109">
        <f>+AVERAGE(IPC!D70:O70)</f>
        <v>105.53333333333332</v>
      </c>
      <c r="X70" s="109">
        <f>+AVERAGE(IPC!P70:AA70)</f>
        <v>108.19166666666666</v>
      </c>
      <c r="Y70" s="109">
        <f>+AVERAGE(IPC!AB70:AM70)</f>
        <v>109.86229166666665</v>
      </c>
      <c r="Z70" s="109">
        <f>+AVERAGE(IPC!AN70:AY70)</f>
        <v>109.6878</v>
      </c>
      <c r="AA70" s="109" t="e">
        <f>+AVERAGE(IPC!AZ70:BK70)</f>
        <v>#DIV/0!</v>
      </c>
      <c r="AB70" s="109">
        <f>+AVERAGE(IPC!BL70:BW70)</f>
        <v>101.34499999999998</v>
      </c>
      <c r="AC70" s="109">
        <f>+AVERAGE(IPC!BX70:CI70)</f>
        <v>102.4225</v>
      </c>
      <c r="AD70" s="109">
        <f>+AVERAGE(IPC!CJ70:CU70)</f>
        <v>103.66583333333334</v>
      </c>
      <c r="AE70" s="109">
        <f>+AVERAGE(IPC!CV70:DG70)</f>
        <v>102.90250000000002</v>
      </c>
      <c r="AF70" s="109">
        <f>+AVERAGE(IPC!DH70:DS70)</f>
        <v>105.105</v>
      </c>
      <c r="AG70" s="109">
        <f>+AVERAGE(IPC!DT70:EE70)</f>
        <v>108.855</v>
      </c>
      <c r="AH70" s="109">
        <f>+AVERAGE(IPC!EF70:EQ70)</f>
        <v>116.94166666666666</v>
      </c>
    </row>
    <row r="71" spans="1:34" s="109" customFormat="1" ht="10.199999999999999" x14ac:dyDescent="0.2">
      <c r="A71" s="30"/>
      <c r="B71" s="30" t="s">
        <v>51</v>
      </c>
      <c r="C71" s="71"/>
      <c r="W71" s="109">
        <f>+AVERAGE(IPC!D71:O71)</f>
        <v>112.84499999999998</v>
      </c>
      <c r="X71" s="109">
        <f>+AVERAGE(IPC!P71:AA71)</f>
        <v>115.71083333333333</v>
      </c>
      <c r="Y71" s="109">
        <f>+AVERAGE(IPC!AB71:AM71)</f>
        <v>117.30166666666668</v>
      </c>
      <c r="Z71" s="109">
        <f>+AVERAGE(IPC!AN71:AY71)</f>
        <v>117.82166666666666</v>
      </c>
      <c r="AA71" s="109" t="e">
        <f>+AVERAGE(IPC!AZ71:BK71)</f>
        <v>#DIV/0!</v>
      </c>
      <c r="AB71" s="109" t="e">
        <f>+AVERAGE(IPC!BL71:BW71)</f>
        <v>#DIV/0!</v>
      </c>
      <c r="AC71" s="109" t="e">
        <f>+AVERAGE(IPC!BX71:CI71)</f>
        <v>#DIV/0!</v>
      </c>
      <c r="AD71" s="109" t="e">
        <f>+AVERAGE(IPC!CJ71:CU71)</f>
        <v>#DIV/0!</v>
      </c>
      <c r="AE71" s="109" t="e">
        <f>+AVERAGE(IPC!CV71:DG71)</f>
        <v>#DIV/0!</v>
      </c>
      <c r="AF71" s="109" t="e">
        <f>+AVERAGE(IPC!DH71:DS71)</f>
        <v>#DIV/0!</v>
      </c>
      <c r="AG71" s="109" t="e">
        <f>+AVERAGE(IPC!DT71:EE71)</f>
        <v>#DIV/0!</v>
      </c>
      <c r="AH71" s="109">
        <f>+AVERAGE(IPC!EF71:EQ71)</f>
        <v>127.67999999999999</v>
      </c>
    </row>
    <row r="72" spans="1:34" s="109" customFormat="1" ht="10.199999999999999" x14ac:dyDescent="0.2">
      <c r="A72" s="30"/>
      <c r="B72" s="73" t="s">
        <v>52</v>
      </c>
      <c r="C72" s="71" t="s">
        <v>206</v>
      </c>
      <c r="W72" s="109">
        <f>+AVERAGE(IPC!D72:O72)</f>
        <v>96.2</v>
      </c>
      <c r="X72" s="109">
        <f>+AVERAGE(IPC!P72:AA72)</f>
        <v>98.334166666666661</v>
      </c>
      <c r="Y72" s="109">
        <f>+AVERAGE(IPC!AB72:AM72)</f>
        <v>99.307500000000005</v>
      </c>
      <c r="Z72" s="109">
        <f>+AVERAGE(IPC!AN72:AY72)</f>
        <v>99.914166666666645</v>
      </c>
      <c r="AA72" s="109">
        <f>+AVERAGE(IPC!AZ72:BK72)</f>
        <v>100.00083333333332</v>
      </c>
      <c r="AB72" s="109">
        <f>+AVERAGE(IPC!BL72:BW72)</f>
        <v>100.30583333333334</v>
      </c>
      <c r="AC72" s="109">
        <f>+AVERAGE(IPC!BX72:CI72)</f>
        <v>101.47166666666668</v>
      </c>
      <c r="AD72" s="109">
        <f>+AVERAGE(IPC!CJ72:CU72)</f>
        <v>103.60166666666667</v>
      </c>
      <c r="AE72" s="109">
        <f>+AVERAGE(IPC!CV72:DG72)</f>
        <v>104.68916666666667</v>
      </c>
      <c r="AF72" s="109">
        <f>+AVERAGE(IPC!DH72:DS72)</f>
        <v>104.72916666666667</v>
      </c>
      <c r="AG72" s="109">
        <f>+AVERAGE(IPC!DT72:EE72)</f>
        <v>106.44916666666667</v>
      </c>
      <c r="AH72" s="109">
        <f>+AVERAGE(IPC!EF72:EQ72)</f>
        <v>112.01416666666667</v>
      </c>
    </row>
    <row r="73" spans="1:34" s="109" customFormat="1" ht="10.199999999999999" x14ac:dyDescent="0.2">
      <c r="A73" s="32"/>
      <c r="B73" s="31" t="s">
        <v>53</v>
      </c>
      <c r="C73" s="71" t="s">
        <v>205</v>
      </c>
      <c r="W73" s="109">
        <f>+AVERAGE(IPC!D73:O73)</f>
        <v>225.00158333333331</v>
      </c>
      <c r="X73" s="109">
        <f>+AVERAGE(IPC!P73:AA73)</f>
        <v>229.5939166666667</v>
      </c>
      <c r="Y73" s="109">
        <f>+AVERAGE(IPC!AB73:AM73)</f>
        <v>232.95708333333332</v>
      </c>
      <c r="Z73" s="109">
        <f>+AVERAGE(IPC!AN73:AY73)</f>
        <v>236.73616666666666</v>
      </c>
      <c r="AA73" s="109">
        <f>+AVERAGE(IPC!AZ73:BK73)</f>
        <v>237.01700000000002</v>
      </c>
      <c r="AB73" s="109">
        <f>+AVERAGE(IPC!BL73:BW73)</f>
        <v>240.01133333333328</v>
      </c>
      <c r="AC73" s="109">
        <f>+AVERAGE(IPC!BX73:CI73)</f>
        <v>245.11958333333334</v>
      </c>
      <c r="AD73" s="109">
        <f>+AVERAGE(IPC!CJ73:CU73)</f>
        <v>251.10683333333338</v>
      </c>
      <c r="AE73" s="109">
        <f>+AVERAGE(IPC!CV73:DG73)</f>
        <v>254.72057142857142</v>
      </c>
      <c r="AF73" s="109" t="e">
        <f>+AVERAGE(IPC!DH73:DS73)</f>
        <v>#DIV/0!</v>
      </c>
      <c r="AG73" s="109">
        <f>+AVERAGE(IPC!DT73:EE73)</f>
        <v>273.57444444444445</v>
      </c>
      <c r="AH73" s="109">
        <f>+AVERAGE(IPC!EF73:EQ73)</f>
        <v>292.65583333333331</v>
      </c>
    </row>
    <row r="74" spans="1:34" s="109" customFormat="1" ht="10.199999999999999" x14ac:dyDescent="0.2">
      <c r="A74" s="32"/>
      <c r="B74" s="31" t="s">
        <v>72</v>
      </c>
      <c r="C74" s="72" t="s">
        <v>96</v>
      </c>
      <c r="W74" s="109">
        <f>+AVERAGE(IPC!D74:O74)</f>
        <v>120.73333333333333</v>
      </c>
      <c r="X74" s="109">
        <f>+AVERAGE(IPC!P74:AA74)</f>
        <v>135.49166666666665</v>
      </c>
      <c r="Y74" s="109">
        <f>+AVERAGE(IPC!AB74:AM74)</f>
        <v>146.96737499999998</v>
      </c>
      <c r="Z74" s="109">
        <f>+AVERAGE(IPC!AN74:AY74)</f>
        <v>158.80833333333334</v>
      </c>
      <c r="AA74" s="109">
        <f>+AVERAGE(IPC!AZ74:BK74)</f>
        <v>173.12364395829937</v>
      </c>
      <c r="AB74" s="109">
        <f>+AVERAGE(IPC!BL74:BW74)</f>
        <v>200.29853798389206</v>
      </c>
      <c r="AC74" s="109">
        <f>+AVERAGE(IPC!BX74:CI74)</f>
        <v>233.35233594467186</v>
      </c>
      <c r="AD74" s="109">
        <f>+AVERAGE(IPC!CJ74:CU74)</f>
        <v>261.57654953788835</v>
      </c>
      <c r="AE74" s="109">
        <f>+AVERAGE(IPC!CV74:DG74)</f>
        <v>291.39166666666671</v>
      </c>
      <c r="AF74" s="109">
        <f>+AVERAGE(IPC!DH74:DS74)</f>
        <v>329.98333333333335</v>
      </c>
      <c r="AG74" s="109">
        <f>+AVERAGE(IPC!DT74:EE74)</f>
        <v>385.92500000000001</v>
      </c>
      <c r="AH74" s="109">
        <f>+AVERAGE(IPC!EF74:EQ74)</f>
        <v>460.40909090909082</v>
      </c>
    </row>
    <row r="75" spans="1:34" s="109" customFormat="1" ht="10.199999999999999" x14ac:dyDescent="0.2">
      <c r="A75" s="32"/>
      <c r="B75" s="31" t="s">
        <v>73</v>
      </c>
      <c r="C75" s="108" t="s">
        <v>204</v>
      </c>
      <c r="W75" s="109" t="e">
        <f>+AVERAGE(IPC!D75:O75)</f>
        <v>#DIV/0!</v>
      </c>
      <c r="X75" s="109" t="e">
        <f>+AVERAGE(IPC!P75:AA75)</f>
        <v>#DIV/0!</v>
      </c>
      <c r="Y75" s="109" t="e">
        <f>+AVERAGE(IPC!AB75:AM75)</f>
        <v>#DIV/0!</v>
      </c>
      <c r="Z75" s="109" t="e">
        <f>+AVERAGE(IPC!AN75:AY75)</f>
        <v>#DIV/0!</v>
      </c>
      <c r="AA75" s="109">
        <f>+AVERAGE(IPC!AZ75:BK75)</f>
        <v>125.66416666666667</v>
      </c>
      <c r="AB75" s="109">
        <f>+AVERAGE(IPC!BL75:BW75)</f>
        <v>128.54666666666668</v>
      </c>
      <c r="AC75" s="109">
        <f>+AVERAGE(IPC!BX75:CI75)</f>
        <v>169.6825</v>
      </c>
      <c r="AD75" s="109">
        <f>+AVERAGE(IPC!CJ75:CU75)</f>
        <v>226.30999999999997</v>
      </c>
      <c r="AE75" s="109">
        <f>+AVERAGE(IPC!CV75:DG75)</f>
        <v>235.37285714285716</v>
      </c>
      <c r="AF75" s="109">
        <f>+AVERAGE(IPC!DH75:DS75)</f>
        <v>254.04734572724195</v>
      </c>
      <c r="AG75" s="109">
        <f>+AVERAGE(IPC!DT75:EE75)</f>
        <v>262.61696869441522</v>
      </c>
      <c r="AH75" s="109">
        <f>+AVERAGE(IPC!EF75:EQ75)</f>
        <v>268.68711829616001</v>
      </c>
    </row>
    <row r="76" spans="1:34" s="112" customFormat="1" ht="10.199999999999999" x14ac:dyDescent="0.2">
      <c r="A76" s="31"/>
      <c r="B76" s="31" t="s">
        <v>200</v>
      </c>
      <c r="C76" s="107" t="s">
        <v>207</v>
      </c>
      <c r="W76" s="112" t="e">
        <f>+AVERAGE(IPC!D76:O76)</f>
        <v>#DIV/0!</v>
      </c>
      <c r="X76" s="112" t="e">
        <f>+AVERAGE(IPC!P76:AA76)</f>
        <v>#DIV/0!</v>
      </c>
      <c r="Y76" s="112">
        <f>+AVERAGE(IPC!AB76:AM76)</f>
        <v>112.07272727272726</v>
      </c>
      <c r="Z76" s="112">
        <f>+AVERAGE(IPC!AN76:AY76)</f>
        <v>128.9</v>
      </c>
      <c r="AA76" s="112">
        <f>+AVERAGE(IPC!AZ76:BK76)</f>
        <v>151.00833333333333</v>
      </c>
      <c r="AB76" s="112">
        <f>+AVERAGE(IPC!BL76:BW76)</f>
        <v>177.38333333333333</v>
      </c>
      <c r="AC76" s="112">
        <f>+AVERAGE(IPC!BX76:CI76)</f>
        <v>199.33333333333334</v>
      </c>
      <c r="AD76" s="112">
        <f>+AVERAGE(IPC!CJ76:CU76)</f>
        <v>368.94166666666661</v>
      </c>
      <c r="AE76" s="112">
        <f>+AVERAGE(IPC!CV76:DG76)</f>
        <v>229</v>
      </c>
      <c r="AF76" s="112" t="e">
        <f>+AVERAGE(IPC!DH76:DS76)</f>
        <v>#DIV/0!</v>
      </c>
      <c r="AG76" s="112" t="e">
        <f>+AVERAGE(IPC!DT76:EE76)</f>
        <v>#DIV/0!</v>
      </c>
      <c r="AH76" s="112">
        <f>+AVERAGE(IPC!EF76:EQ76)</f>
        <v>138.88555555555556</v>
      </c>
    </row>
    <row r="77" spans="1:34" s="112" customFormat="1" ht="10.199999999999999" x14ac:dyDescent="0.2">
      <c r="A77" s="31"/>
      <c r="B77" s="31" t="s">
        <v>201</v>
      </c>
      <c r="C77" s="107" t="s">
        <v>208</v>
      </c>
      <c r="W77" s="112">
        <f>+AVERAGE(IPC!D79:O79)</f>
        <v>123.02000000000002</v>
      </c>
      <c r="X77" s="112">
        <f>+AVERAGE(IPC!P79:AA79)</f>
        <v>131.125</v>
      </c>
      <c r="Y77" s="112">
        <f>+AVERAGE(IPC!AB79:AM79)</f>
        <v>138.36083333333335</v>
      </c>
      <c r="Z77" s="112">
        <f>+AVERAGE(IPC!AN79:AY79)</f>
        <v>144.78833333333333</v>
      </c>
      <c r="AA77" s="112">
        <f>+AVERAGE(IPC!AZ79:BK79)</f>
        <v>154.47999999999999</v>
      </c>
      <c r="AB77" s="112">
        <f>+AVERAGE(IPC!BL79:BW79)</f>
        <v>171.29250000000002</v>
      </c>
      <c r="AC77" s="112">
        <f>+AVERAGE(IPC!BX79:CI79)</f>
        <v>202.50166666666667</v>
      </c>
      <c r="AD77" s="112">
        <f>+AVERAGE(IPC!CJ79:CU79)</f>
        <v>236.8175</v>
      </c>
      <c r="AE77" s="112">
        <f>+AVERAGE(IPC!CV79:DG79)</f>
        <v>260.97666666666669</v>
      </c>
      <c r="AF77" s="112" t="e">
        <f>+AVERAGE(IPC!DH79:DS79)</f>
        <v>#DIV/0!</v>
      </c>
      <c r="AG77" s="112" t="e">
        <f>+AVERAGE(IPC!DT79:EE79)</f>
        <v>#DIV/0!</v>
      </c>
      <c r="AH77" s="112">
        <f>+AVERAGE(IPC!EF79:EQ79)</f>
        <v>388.46199999999999</v>
      </c>
    </row>
    <row r="78" spans="1:34" x14ac:dyDescent="0.25">
      <c r="B78" s="106" t="s">
        <v>202</v>
      </c>
      <c r="W78" t="e">
        <f>+AVERAGE(IPC!D77:O77)</f>
        <v>#DIV/0!</v>
      </c>
      <c r="X78" t="e">
        <f>+AVERAGE(IPC!P77:AA77)</f>
        <v>#DIV/0!</v>
      </c>
      <c r="Y78" t="e">
        <f>+AVERAGE(IPC!AB77:AM77)</f>
        <v>#DIV/0!</v>
      </c>
      <c r="Z78" t="e">
        <f>+AVERAGE(IPC!AN77:AY77)</f>
        <v>#DIV/0!</v>
      </c>
      <c r="AA78" t="e">
        <f>+AVERAGE(IPC!AZ77:BK77)</f>
        <v>#DIV/0!</v>
      </c>
      <c r="AB78" t="e">
        <f>+AVERAGE(IPC!BL77:BW77)</f>
        <v>#DIV/0!</v>
      </c>
      <c r="AC78" t="e">
        <f>+AVERAGE(IPC!BX77:CI77)</f>
        <v>#DIV/0!</v>
      </c>
      <c r="AD78" t="e">
        <f>+AVERAGE(IPC!CJ77:CU77)</f>
        <v>#DIV/0!</v>
      </c>
      <c r="AE78" t="e">
        <f>+AVERAGE(IPC!CV77:DG77)</f>
        <v>#DIV/0!</v>
      </c>
      <c r="AF78">
        <f>+AVERAGE(IPC!DH77:DS77)</f>
        <v>108.6875</v>
      </c>
      <c r="AG78">
        <f>+AVERAGE(IPC!DT77:EE77)</f>
        <v>115.33250000000002</v>
      </c>
      <c r="AH78">
        <f>+AVERAGE(IPC!EF77:EQ77)</f>
        <v>125.38444444444445</v>
      </c>
    </row>
    <row r="79" spans="1:34" x14ac:dyDescent="0.25">
      <c r="B79" s="106" t="s">
        <v>203</v>
      </c>
      <c r="W79" t="e">
        <f>+AVERAGE(IPC!D78:O78)</f>
        <v>#DIV/0!</v>
      </c>
      <c r="X79" t="e">
        <f>+AVERAGE(IPC!P78:AA78)</f>
        <v>#DIV/0!</v>
      </c>
      <c r="Y79" t="e">
        <f>+AVERAGE(IPC!AB78:AM78)</f>
        <v>#DIV/0!</v>
      </c>
      <c r="Z79" t="e">
        <f>+AVERAGE(IPC!AN78:AY78)</f>
        <v>#DIV/0!</v>
      </c>
      <c r="AA79" t="e">
        <f>+AVERAGE(IPC!AZ78:BK78)</f>
        <v>#DIV/0!</v>
      </c>
      <c r="AB79" t="e">
        <f>+AVERAGE(IPC!BL78:BW78)</f>
        <v>#DIV/0!</v>
      </c>
      <c r="AC79" t="e">
        <f>+AVERAGE(IPC!BX78:CI78)</f>
        <v>#DIV/0!</v>
      </c>
      <c r="AD79" t="e">
        <f>+AVERAGE(IPC!CJ78:CU78)</f>
        <v>#DIV/0!</v>
      </c>
      <c r="AE79" t="e">
        <f>+AVERAGE(IPC!CV78:DG78)</f>
        <v>#DIV/0!</v>
      </c>
      <c r="AF79" t="e">
        <f>+AVERAGE(IPC!DH78:DS78)</f>
        <v>#DIV/0!</v>
      </c>
      <c r="AG79" t="e">
        <f>+AVERAGE(IPC!DT78:EE78)</f>
        <v>#DIV/0!</v>
      </c>
      <c r="AH79">
        <f>+AVERAGE(IPC!EF78:EQ78)</f>
        <v>137.73333333333335</v>
      </c>
    </row>
    <row r="81" spans="1:38" x14ac:dyDescent="0.25">
      <c r="B81" s="126" t="s">
        <v>213</v>
      </c>
      <c r="C81" s="42" t="s">
        <v>1</v>
      </c>
    </row>
    <row r="82" spans="1:38" x14ac:dyDescent="0.25">
      <c r="B82" t="s">
        <v>215</v>
      </c>
      <c r="C82" s="46">
        <v>0.33618963855426687</v>
      </c>
      <c r="D82" s="127">
        <v>44.539554461471603</v>
      </c>
      <c r="E82" s="127">
        <v>51.046818392265301</v>
      </c>
      <c r="F82" s="127">
        <v>63.4292398842776</v>
      </c>
      <c r="G82" s="127">
        <v>74.079786373752796</v>
      </c>
      <c r="H82" s="127">
        <v>80.238157756706499</v>
      </c>
      <c r="I82" s="127">
        <v>82.473965983628702</v>
      </c>
      <c r="J82" s="127">
        <v>81.836288815473395</v>
      </c>
      <c r="K82" s="127">
        <v>80.689375583136098</v>
      </c>
      <c r="L82" s="127">
        <v>80.970022290301202</v>
      </c>
      <c r="M82" s="127">
        <v>81.552298456301003</v>
      </c>
      <c r="N82" s="127">
        <v>80.955359361403097</v>
      </c>
      <c r="O82" s="127">
        <v>81.868214816715493</v>
      </c>
      <c r="P82" s="127">
        <v>84.999377204753898</v>
      </c>
      <c r="Q82" s="127">
        <v>86.509318106505901</v>
      </c>
      <c r="R82" s="127">
        <v>87.936229612535897</v>
      </c>
      <c r="S82" s="127">
        <v>92.171913494060803</v>
      </c>
      <c r="T82" s="127">
        <v>97.633331061501593</v>
      </c>
      <c r="U82" s="127">
        <v>96.922399071383495</v>
      </c>
      <c r="V82" s="127">
        <v>100</v>
      </c>
      <c r="W82" s="127">
        <v>105.553898922575</v>
      </c>
      <c r="X82" s="127">
        <v>108.318908982374</v>
      </c>
      <c r="Y82" s="127">
        <v>111.158001765192</v>
      </c>
      <c r="Z82" s="127">
        <v>113.29406019983701</v>
      </c>
      <c r="AA82" s="127">
        <v>114.922122819496</v>
      </c>
      <c r="AB82" s="127">
        <v>117.220567369674</v>
      </c>
      <c r="AC82" s="127">
        <v>119.088050428682</v>
      </c>
      <c r="AD82" s="127">
        <v>121.55887786611299</v>
      </c>
      <c r="AE82" s="127">
        <v>125.08315438207499</v>
      </c>
      <c r="AF82" s="127">
        <v>128.109443605623</v>
      </c>
    </row>
    <row r="83" spans="1:38" x14ac:dyDescent="0.25">
      <c r="B83" t="s">
        <v>52</v>
      </c>
      <c r="C83" s="46">
        <v>0.13926289891530905</v>
      </c>
      <c r="D83" s="127">
        <v>75.212479543894901</v>
      </c>
      <c r="E83" s="127">
        <v>76.795298175227401</v>
      </c>
      <c r="F83" s="127">
        <v>78.066656108676895</v>
      </c>
      <c r="G83" s="127">
        <v>79.469109081630904</v>
      </c>
      <c r="H83" s="127">
        <v>81.044889053124294</v>
      </c>
      <c r="I83" s="127">
        <v>82.020623273328795</v>
      </c>
      <c r="J83" s="127">
        <v>82.554681588625499</v>
      </c>
      <c r="K83" s="127">
        <v>82.998117158493002</v>
      </c>
      <c r="L83" s="127">
        <v>84.389132309208406</v>
      </c>
      <c r="M83" s="127">
        <v>85.768709637685006</v>
      </c>
      <c r="N83" s="127">
        <v>87.418395537489701</v>
      </c>
      <c r="O83" s="127">
        <v>89.252846258072495</v>
      </c>
      <c r="P83" s="127">
        <v>91.164722236886107</v>
      </c>
      <c r="Q83" s="127">
        <v>92.756339193017695</v>
      </c>
      <c r="R83" s="127">
        <v>94.310123352513699</v>
      </c>
      <c r="S83" s="127">
        <v>95.713456157947505</v>
      </c>
      <c r="T83" s="127">
        <v>98.405743546428795</v>
      </c>
      <c r="U83" s="127">
        <v>98.491967129458601</v>
      </c>
      <c r="V83" s="127">
        <v>100</v>
      </c>
      <c r="W83" s="127">
        <v>102.11159795175</v>
      </c>
      <c r="X83" s="127">
        <v>104.107058016154</v>
      </c>
      <c r="Y83" s="127">
        <v>105.006246810607</v>
      </c>
      <c r="Z83" s="127">
        <v>105.539425293424</v>
      </c>
      <c r="AA83" s="127">
        <v>105.579017755019</v>
      </c>
      <c r="AB83" s="127">
        <v>105.77258090059701</v>
      </c>
      <c r="AC83" s="127">
        <v>106.864453008147</v>
      </c>
      <c r="AD83" s="127">
        <v>108.842316422953</v>
      </c>
      <c r="AE83" s="127">
        <v>110.04856675289</v>
      </c>
      <c r="AF83" s="127">
        <v>110.572946910908</v>
      </c>
    </row>
    <row r="84" spans="1:38" x14ac:dyDescent="0.25">
      <c r="B84" t="s">
        <v>75</v>
      </c>
      <c r="C84" s="46">
        <v>9.0426584424616402E-2</v>
      </c>
      <c r="D84" s="127">
        <v>3.94421805096668</v>
      </c>
      <c r="E84" s="127">
        <v>6.1989402721623996</v>
      </c>
      <c r="F84" s="127">
        <v>9.7343018438086801</v>
      </c>
      <c r="G84" s="127">
        <v>16.824329486878501</v>
      </c>
      <c r="H84" s="127">
        <v>21.748523483038198</v>
      </c>
      <c r="I84" s="127">
        <v>23.603645179508</v>
      </c>
      <c r="J84" s="127">
        <v>25.963154802667699</v>
      </c>
      <c r="K84" s="127">
        <v>27.681493332577599</v>
      </c>
      <c r="L84" s="127">
        <v>29.6007321383724</v>
      </c>
      <c r="M84" s="127">
        <v>35.187469597556998</v>
      </c>
      <c r="N84" s="127">
        <v>39.718411989856598</v>
      </c>
      <c r="O84" s="127">
        <v>45.291613614850199</v>
      </c>
      <c r="P84" s="127">
        <v>52.084465141670499</v>
      </c>
      <c r="Q84" s="127">
        <v>61.388570117053</v>
      </c>
      <c r="R84" s="127">
        <v>66.437915997245796</v>
      </c>
      <c r="S84" s="127">
        <v>70.017596205340098</v>
      </c>
      <c r="T84" s="127">
        <v>78.126386657485995</v>
      </c>
      <c r="U84" s="127">
        <v>87.9351235559636</v>
      </c>
      <c r="V84" s="127">
        <v>100</v>
      </c>
      <c r="W84" s="127">
        <v>110.82458137485311</v>
      </c>
      <c r="X84" s="127">
        <v>124.37389835487663</v>
      </c>
      <c r="Y84" s="127">
        <v>134.93867508813159</v>
      </c>
      <c r="Z84" s="127">
        <v>145.7981418918919</v>
      </c>
      <c r="AA84" s="127">
        <v>158.93525998824913</v>
      </c>
      <c r="AB84" s="127">
        <v>183.88109576968273</v>
      </c>
      <c r="AC84" s="127">
        <v>214.22591069330201</v>
      </c>
      <c r="AD84" s="127">
        <v>240.13476792009402</v>
      </c>
      <c r="AE84" s="127">
        <v>267.50330493537018</v>
      </c>
      <c r="AF84" s="127">
        <v>302.93863836662752</v>
      </c>
      <c r="AG84">
        <v>354.16697267920091</v>
      </c>
      <c r="AH84">
        <v>401.10990746180966</v>
      </c>
      <c r="AI84">
        <v>448.33100763807289</v>
      </c>
      <c r="AJ84">
        <v>448.33100763807289</v>
      </c>
      <c r="AK84">
        <v>558.55519242068158</v>
      </c>
      <c r="AL84">
        <v>622.78936545240902</v>
      </c>
    </row>
    <row r="85" spans="1:38" x14ac:dyDescent="0.25">
      <c r="B85" t="s">
        <v>217</v>
      </c>
      <c r="C85" s="46">
        <v>7.1209519195882379E-2</v>
      </c>
      <c r="D85" s="127">
        <v>29.2124945523449</v>
      </c>
      <c r="E85" s="127">
        <v>31.060737091425899</v>
      </c>
      <c r="F85" s="127">
        <v>34.243821411653201</v>
      </c>
      <c r="G85" s="127">
        <v>37.745213169114201</v>
      </c>
      <c r="H85" s="127">
        <v>41.133658455708201</v>
      </c>
      <c r="I85" s="127">
        <v>44.080577451444803</v>
      </c>
      <c r="J85" s="127">
        <v>49.9128076740881</v>
      </c>
      <c r="K85" s="127">
        <v>52.243646139270503</v>
      </c>
      <c r="L85" s="127">
        <v>54.338321648507801</v>
      </c>
      <c r="M85" s="127">
        <v>56.391926101373798</v>
      </c>
      <c r="N85" s="127">
        <v>58.815172903837002</v>
      </c>
      <c r="O85" s="127">
        <v>61.053595452392202</v>
      </c>
      <c r="P85" s="127">
        <v>63.353638086215</v>
      </c>
      <c r="Q85" s="127">
        <v>66.043851255329201</v>
      </c>
      <c r="R85" s="127">
        <v>69.872098531501607</v>
      </c>
      <c r="S85" s="127">
        <v>74.324964471814397</v>
      </c>
      <c r="T85" s="127">
        <v>80.530554239696798</v>
      </c>
      <c r="U85" s="127">
        <v>89.294173377546201</v>
      </c>
      <c r="V85" s="127">
        <v>100</v>
      </c>
      <c r="W85" s="127">
        <v>108.858360966367</v>
      </c>
      <c r="X85" s="127">
        <v>118.995736617717</v>
      </c>
      <c r="Y85" s="127">
        <v>132.161037923262</v>
      </c>
      <c r="Z85" s="127">
        <v>140.949086340153</v>
      </c>
      <c r="AA85" s="127">
        <v>147.865420572581</v>
      </c>
      <c r="AB85" s="127">
        <v>155.18212147548201</v>
      </c>
      <c r="AC85" s="127">
        <v>160.346851524588</v>
      </c>
      <c r="AD85" s="127">
        <v>166.67264491806799</v>
      </c>
      <c r="AE85" s="127">
        <v>172.87832831040501</v>
      </c>
      <c r="AF85" s="127">
        <v>184.328815085944</v>
      </c>
    </row>
    <row r="86" spans="1:38" x14ac:dyDescent="0.25">
      <c r="B86" t="s">
        <v>220</v>
      </c>
      <c r="C86" s="46">
        <v>7.0822163021171877E-2</v>
      </c>
      <c r="D86" s="127">
        <v>54.777450818907901</v>
      </c>
      <c r="E86" s="127">
        <v>56.591784989794903</v>
      </c>
      <c r="F86" s="127">
        <v>59.4483962375744</v>
      </c>
      <c r="G86" s="127">
        <v>62.907212018669703</v>
      </c>
      <c r="H86" s="127">
        <v>66.559042073263498</v>
      </c>
      <c r="I86" s="127">
        <v>70.303518979136697</v>
      </c>
      <c r="J86" s="127">
        <v>75.924094623416494</v>
      </c>
      <c r="K86" s="127">
        <v>76.140270609734898</v>
      </c>
      <c r="L86" s="127">
        <v>77.352400247306306</v>
      </c>
      <c r="M86" s="127">
        <v>78.6108533105172</v>
      </c>
      <c r="N86" s="127">
        <v>79.159013847253306</v>
      </c>
      <c r="O86" s="127">
        <v>80.587319471143104</v>
      </c>
      <c r="P86" s="127">
        <v>82.810843901847207</v>
      </c>
      <c r="Q86" s="127">
        <v>86.570761949600296</v>
      </c>
      <c r="R86" s="127">
        <v>90.585458838371494</v>
      </c>
      <c r="S86" s="127">
        <v>92.615968995577006</v>
      </c>
      <c r="T86" s="127">
        <v>97.680663532180404</v>
      </c>
      <c r="U86" s="127">
        <v>96.854562441607001</v>
      </c>
      <c r="V86" s="127">
        <v>100</v>
      </c>
      <c r="W86" s="127">
        <v>103.808790581396</v>
      </c>
      <c r="X86" s="127">
        <v>106.93852129306801</v>
      </c>
      <c r="Y86" s="127">
        <v>109.275006271572</v>
      </c>
      <c r="Z86" s="127">
        <v>111.34592261312601</v>
      </c>
      <c r="AA86" s="127">
        <v>110.34333613031001</v>
      </c>
      <c r="AB86" s="127">
        <v>110.55094679111799</v>
      </c>
      <c r="AC86" s="127">
        <v>111.286809151122</v>
      </c>
      <c r="AD86" s="127">
        <v>112.47078677806201</v>
      </c>
      <c r="AE86" s="127">
        <v>113.265649996346</v>
      </c>
      <c r="AF86" s="127">
        <v>112.307493787832</v>
      </c>
    </row>
    <row r="87" spans="1:38" x14ac:dyDescent="0.25">
      <c r="B87" t="s">
        <v>218</v>
      </c>
      <c r="C87" s="46">
        <v>6.8745551014620501E-2</v>
      </c>
      <c r="D87" s="127">
        <v>68.5812532413768</v>
      </c>
      <c r="E87" s="127">
        <v>70.353517064427194</v>
      </c>
      <c r="F87" s="127">
        <v>72.324489795918396</v>
      </c>
      <c r="G87" s="127">
        <v>73.715452155003803</v>
      </c>
      <c r="H87" s="127">
        <v>75.273640441464096</v>
      </c>
      <c r="I87" s="127">
        <v>76.861346411056601</v>
      </c>
      <c r="J87" s="127">
        <v>78.367164966744596</v>
      </c>
      <c r="K87" s="127">
        <v>80.057685133794905</v>
      </c>
      <c r="L87" s="127">
        <v>81.947464674679495</v>
      </c>
      <c r="M87" s="127">
        <v>85.353071232951507</v>
      </c>
      <c r="N87" s="127">
        <v>88.159079949411804</v>
      </c>
      <c r="O87" s="127">
        <v>90.003366482571593</v>
      </c>
      <c r="P87" s="127">
        <v>91.140691675689396</v>
      </c>
      <c r="Q87" s="127">
        <v>92.679265196939198</v>
      </c>
      <c r="R87" s="127">
        <v>93.700128290281796</v>
      </c>
      <c r="S87" s="127">
        <v>95.212315867051203</v>
      </c>
      <c r="T87" s="127">
        <v>97.579771989045298</v>
      </c>
      <c r="U87" s="127">
        <v>98.740753546179903</v>
      </c>
      <c r="V87" s="127">
        <v>100</v>
      </c>
      <c r="W87" s="127">
        <v>102.341070177514</v>
      </c>
      <c r="X87" s="127">
        <v>104.854103924227</v>
      </c>
      <c r="Y87" s="127">
        <v>107.48268991056101</v>
      </c>
      <c r="Z87" s="127">
        <v>108.531758668693</v>
      </c>
      <c r="AA87" s="127">
        <v>109.183218539311</v>
      </c>
      <c r="AB87" s="127">
        <v>109.528965398018</v>
      </c>
      <c r="AC87" s="127">
        <v>111.042062834942</v>
      </c>
      <c r="AD87" s="127">
        <v>112.933662096136</v>
      </c>
      <c r="AE87" s="127">
        <v>115.907994941178</v>
      </c>
      <c r="AF87" s="127">
        <v>117.38287825161299</v>
      </c>
    </row>
    <row r="88" spans="1:38" x14ac:dyDescent="0.25">
      <c r="B88" t="s">
        <v>221</v>
      </c>
      <c r="C88" s="46">
        <v>6.4463311703936488E-2</v>
      </c>
      <c r="D88" s="127">
        <v>64.349060980652496</v>
      </c>
      <c r="E88" s="127">
        <v>66.248424521891593</v>
      </c>
      <c r="F88" s="127">
        <v>67.9758134970226</v>
      </c>
      <c r="G88" s="127">
        <v>69.882820352310901</v>
      </c>
      <c r="H88" s="127">
        <v>71.931228517510505</v>
      </c>
      <c r="I88" s="127">
        <v>73.612757608345902</v>
      </c>
      <c r="J88" s="127">
        <v>74.755433058709102</v>
      </c>
      <c r="K88" s="127">
        <v>76.391102265249003</v>
      </c>
      <c r="L88" s="127">
        <v>78.9707207568716</v>
      </c>
      <c r="M88" s="127">
        <v>81.202568459253101</v>
      </c>
      <c r="N88" s="127">
        <v>82.490466876552105</v>
      </c>
      <c r="O88" s="127">
        <v>84.363078818618803</v>
      </c>
      <c r="P88" s="127">
        <v>86.621678120172803</v>
      </c>
      <c r="Q88" s="127">
        <v>89.560532372110202</v>
      </c>
      <c r="R88" s="127">
        <v>92.449705082727405</v>
      </c>
      <c r="S88" s="127">
        <v>95.086992378851505</v>
      </c>
      <c r="T88" s="127">
        <v>98.737477385344604</v>
      </c>
      <c r="U88" s="127">
        <v>98.386419971062395</v>
      </c>
      <c r="V88" s="127">
        <v>100</v>
      </c>
      <c r="W88" s="127">
        <v>103.156841568622</v>
      </c>
      <c r="X88" s="127">
        <v>105.29150453286699</v>
      </c>
      <c r="Y88" s="127">
        <v>106.83384887486601</v>
      </c>
      <c r="Z88" s="127">
        <v>108.566932118964</v>
      </c>
      <c r="AA88" s="127">
        <v>108.69572196069301</v>
      </c>
      <c r="AB88" s="127">
        <v>110.06700893427001</v>
      </c>
      <c r="AC88" s="127">
        <v>112.411557302308</v>
      </c>
      <c r="AD88" s="127">
        <v>115.15730322479099</v>
      </c>
      <c r="AE88" s="127">
        <v>117.244195476228</v>
      </c>
      <c r="AF88" s="127">
        <v>118.69050157719801</v>
      </c>
    </row>
    <row r="89" spans="1:38" x14ac:dyDescent="0.25">
      <c r="B89" t="s">
        <v>219</v>
      </c>
      <c r="C89" s="46">
        <v>6.3978166066656128E-2</v>
      </c>
      <c r="D89" s="127">
        <v>39.865149402659199</v>
      </c>
      <c r="E89" s="127">
        <v>39.463754513210603</v>
      </c>
      <c r="F89" s="127">
        <v>54.918852892506997</v>
      </c>
      <c r="G89" s="127">
        <v>63.943944478624601</v>
      </c>
      <c r="H89" s="127">
        <v>66.9413168760601</v>
      </c>
      <c r="I89" s="127">
        <v>72.464527839431199</v>
      </c>
      <c r="J89" s="127">
        <v>73.171302192123903</v>
      </c>
      <c r="K89" s="127">
        <v>73.132365089853806</v>
      </c>
      <c r="L89" s="127">
        <v>74.494532876779701</v>
      </c>
      <c r="M89" s="127">
        <v>77.414414133607593</v>
      </c>
      <c r="N89" s="127">
        <v>79.783154757272897</v>
      </c>
      <c r="O89" s="127">
        <v>79.041170712689507</v>
      </c>
      <c r="P89" s="127">
        <v>79.351864703998999</v>
      </c>
      <c r="Q89" s="127">
        <v>84.7342452917256</v>
      </c>
      <c r="R89" s="127">
        <v>86.622952803310596</v>
      </c>
      <c r="S89" s="127">
        <v>87.442122915133197</v>
      </c>
      <c r="T89" s="127">
        <v>95.045065227753696</v>
      </c>
      <c r="U89" s="127">
        <v>98.574664397059806</v>
      </c>
      <c r="V89" s="127">
        <v>100</v>
      </c>
      <c r="W89" s="127">
        <v>103.56351472903999</v>
      </c>
      <c r="X89" s="127">
        <v>106.23253472051699</v>
      </c>
      <c r="Y89" s="127">
        <v>108.17169784175501</v>
      </c>
      <c r="Z89" s="127">
        <v>108.378170652492</v>
      </c>
      <c r="AA89" s="127">
        <v>111.17855991537</v>
      </c>
      <c r="AB89" s="127">
        <v>112.60747858577901</v>
      </c>
      <c r="AC89" s="127">
        <v>111.503599302035</v>
      </c>
      <c r="AD89" s="127">
        <v>112.53854282114099</v>
      </c>
      <c r="AE89" s="127">
        <v>113.31044197518</v>
      </c>
      <c r="AF89" s="127">
        <v>115.381236062925</v>
      </c>
    </row>
    <row r="90" spans="1:38" x14ac:dyDescent="0.25">
      <c r="B90" t="s">
        <v>216</v>
      </c>
      <c r="C90" s="46">
        <v>4.7802826794914106E-2</v>
      </c>
      <c r="D90" s="127">
        <v>73.756146776219893</v>
      </c>
      <c r="E90" s="127">
        <v>77.056420921300102</v>
      </c>
      <c r="F90" s="127">
        <v>79.131594552623</v>
      </c>
      <c r="G90" s="127">
        <v>80.481706581045501</v>
      </c>
      <c r="H90" s="127">
        <v>81.648471187515597</v>
      </c>
      <c r="I90" s="127">
        <v>83.231936673317406</v>
      </c>
      <c r="J90" s="127">
        <v>83.990333846218107</v>
      </c>
      <c r="K90" s="127">
        <v>84.482041098263593</v>
      </c>
      <c r="L90" s="127">
        <v>85.698809059734103</v>
      </c>
      <c r="M90" s="127">
        <v>87.398950827487894</v>
      </c>
      <c r="N90" s="127">
        <v>88.640720019720803</v>
      </c>
      <c r="O90" s="127">
        <v>89.557466957713302</v>
      </c>
      <c r="P90" s="127">
        <v>91.049255605374796</v>
      </c>
      <c r="Q90" s="127">
        <v>92.457705328035502</v>
      </c>
      <c r="R90" s="127">
        <v>93.916159299172094</v>
      </c>
      <c r="S90" s="127">
        <v>96.074673642446697</v>
      </c>
      <c r="T90" s="127">
        <v>98.599882829626097</v>
      </c>
      <c r="U90" s="127">
        <v>98.908241766243805</v>
      </c>
      <c r="V90" s="127">
        <v>100</v>
      </c>
      <c r="W90" s="127">
        <v>102.075174524798</v>
      </c>
      <c r="X90" s="127">
        <v>104.12534513840799</v>
      </c>
      <c r="Y90" s="127">
        <v>105.692141052259</v>
      </c>
      <c r="Z90" s="127">
        <v>106.65055521906299</v>
      </c>
      <c r="AA90" s="127">
        <v>107.199187580619</v>
      </c>
      <c r="AB90" s="127">
        <v>107.726338111313</v>
      </c>
      <c r="AC90" s="127">
        <v>109.35246347718</v>
      </c>
      <c r="AD90" s="127">
        <v>111.246631485772</v>
      </c>
      <c r="AE90" s="127">
        <v>112.854887342124</v>
      </c>
      <c r="AF90" s="127">
        <v>113.426711646605</v>
      </c>
    </row>
    <row r="91" spans="1:38" x14ac:dyDescent="0.25">
      <c r="B91" t="s">
        <v>214</v>
      </c>
      <c r="C91" s="46">
        <v>4.7099340308626357E-2</v>
      </c>
      <c r="D91" s="127">
        <v>70.243837472188304</v>
      </c>
      <c r="E91" s="127">
        <v>72.178652300294303</v>
      </c>
      <c r="F91" s="127">
        <v>73.894729239933994</v>
      </c>
      <c r="G91" s="127">
        <v>74.979479473193095</v>
      </c>
      <c r="H91" s="127">
        <v>76.536819062657003</v>
      </c>
      <c r="I91" s="127">
        <v>77.782961314863996</v>
      </c>
      <c r="J91" s="127">
        <v>78.521316299432996</v>
      </c>
      <c r="K91" s="127">
        <v>79.401421086628901</v>
      </c>
      <c r="L91" s="127">
        <v>81.421804349386306</v>
      </c>
      <c r="M91" s="127">
        <v>83.432318954998905</v>
      </c>
      <c r="N91" s="127">
        <v>84.804959448790598</v>
      </c>
      <c r="O91" s="127">
        <v>86.152479724395306</v>
      </c>
      <c r="P91" s="127">
        <v>87.959341132562997</v>
      </c>
      <c r="Q91" s="127">
        <v>90.405870953850595</v>
      </c>
      <c r="R91" s="127">
        <v>92.025227876265006</v>
      </c>
      <c r="S91" s="127">
        <v>93.702899590899307</v>
      </c>
      <c r="T91" s="127">
        <v>97.909638986578599</v>
      </c>
      <c r="U91" s="127">
        <v>97.857604248905503</v>
      </c>
      <c r="V91" s="127">
        <v>100</v>
      </c>
      <c r="W91" s="127">
        <v>103.532082107227</v>
      </c>
      <c r="X91" s="127">
        <v>106.47204478576</v>
      </c>
      <c r="Y91" s="127">
        <v>107.657180793799</v>
      </c>
      <c r="Z91" s="127">
        <v>108.02321825881</v>
      </c>
      <c r="AA91" s="127">
        <v>108.62969209789701</v>
      </c>
      <c r="AB91" s="127">
        <v>110.773882150291</v>
      </c>
      <c r="AC91" s="127">
        <v>113.128902605325</v>
      </c>
      <c r="AD91" s="127">
        <v>115.451625636977</v>
      </c>
      <c r="AE91" s="127">
        <v>117.11045718797099</v>
      </c>
      <c r="AF91" s="127">
        <v>117.978001866073</v>
      </c>
    </row>
    <row r="92" spans="1:38" s="110" customFormat="1" x14ac:dyDescent="0.25">
      <c r="A92" s="66"/>
      <c r="B92" s="67" t="s">
        <v>222</v>
      </c>
      <c r="C92" s="128">
        <f>+SUM(C82:C91)</f>
        <v>1</v>
      </c>
      <c r="D92" s="110">
        <f>+SUMPRODUCT(D82:D91,$C$82:$C$91)</f>
        <v>50.011871544650788</v>
      </c>
      <c r="E92" s="110">
        <f>+SUMPRODUCT(E82:E91,$C$82:$C$91)</f>
        <v>53.351453470375425</v>
      </c>
      <c r="F92" s="110">
        <f t="shared" ref="F92:AF92" si="5">+SUMPRODUCT(F82:F91,$C$82:$C$91)</f>
        <v>59.85567915921397</v>
      </c>
      <c r="G92" s="110">
        <f t="shared" si="5"/>
        <v>65.678605873682955</v>
      </c>
      <c r="H92" s="110">
        <f t="shared" si="5"/>
        <v>69.473688706220784</v>
      </c>
      <c r="I92" s="110">
        <f t="shared" si="5"/>
        <v>71.709316967588578</v>
      </c>
      <c r="J92" s="110">
        <f t="shared" si="5"/>
        <v>72.889471709140622</v>
      </c>
      <c r="K92" s="110">
        <f t="shared" si="5"/>
        <v>73.186439529946568</v>
      </c>
      <c r="L92" s="110">
        <f t="shared" si="5"/>
        <v>74.419740886473676</v>
      </c>
      <c r="M92" s="110">
        <f t="shared" si="5"/>
        <v>76.288938914018786</v>
      </c>
      <c r="N92" s="110">
        <f t="shared" si="5"/>
        <v>77.490573048349887</v>
      </c>
      <c r="O92" s="110">
        <f t="shared" si="5"/>
        <v>79.124775687601002</v>
      </c>
      <c r="P92" s="110">
        <f t="shared" si="5"/>
        <v>81.779281696476374</v>
      </c>
      <c r="Q92" s="110">
        <f t="shared" si="5"/>
        <v>84.629885143066659</v>
      </c>
      <c r="R92" s="110">
        <f t="shared" si="5"/>
        <v>86.862765104869993</v>
      </c>
      <c r="S92" s="110">
        <f t="shared" si="5"/>
        <v>89.775353912207152</v>
      </c>
      <c r="T92" s="110">
        <f t="shared" si="5"/>
        <v>94.723545088964116</v>
      </c>
      <c r="U92" s="110">
        <f t="shared" si="5"/>
        <v>96.24435118282284</v>
      </c>
      <c r="V92" s="110">
        <f t="shared" si="5"/>
        <v>100.00000000000001</v>
      </c>
      <c r="W92" s="110">
        <f t="shared" si="5"/>
        <v>104.8985905617688</v>
      </c>
      <c r="X92" s="110">
        <f t="shared" si="5"/>
        <v>108.99240283948158</v>
      </c>
      <c r="Y92" s="110">
        <f t="shared" si="5"/>
        <v>112.66531513956593</v>
      </c>
      <c r="Z92" s="110">
        <f t="shared" si="5"/>
        <v>115.47223567923518</v>
      </c>
      <c r="AA92" s="110">
        <f t="shared" si="5"/>
        <v>117.92157708673766</v>
      </c>
      <c r="AB92" s="110">
        <f t="shared" si="5"/>
        <v>121.84251048526365</v>
      </c>
      <c r="AC92" s="110">
        <f t="shared" si="5"/>
        <v>126.15945268717248</v>
      </c>
      <c r="AD92" s="110">
        <f t="shared" si="5"/>
        <v>130.71591829590247</v>
      </c>
      <c r="AE92" s="110">
        <f t="shared" si="5"/>
        <v>135.58516432397084</v>
      </c>
      <c r="AF92" s="110">
        <f t="shared" si="5"/>
        <v>141.02272579302814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92"/>
  <sheetViews>
    <sheetView zoomScaleNormal="100" workbookViewId="0">
      <pane xSplit="3" ySplit="4" topLeftCell="K5" activePane="bottomRight" state="frozen"/>
      <selection pane="topRight" activeCell="D1" sqref="D1"/>
      <selection pane="bottomLeft" activeCell="A5" sqref="A5"/>
      <selection pane="bottomRight" activeCell="N38" sqref="N38:N42"/>
    </sheetView>
  </sheetViews>
  <sheetFormatPr baseColWidth="10" defaultColWidth="9.44140625" defaultRowHeight="13.2" x14ac:dyDescent="0.25"/>
  <cols>
    <col min="1" max="1" width="4.6640625" customWidth="1"/>
    <col min="2" max="2" width="32.44140625" customWidth="1"/>
    <col min="3" max="3" width="13.109375" customWidth="1"/>
    <col min="16" max="19" width="9.44140625" style="178"/>
  </cols>
  <sheetData>
    <row r="1" spans="1:19" s="1" customFormat="1" ht="10.8" thickBot="1" x14ac:dyDescent="0.25">
      <c r="P1" s="153"/>
      <c r="Q1" s="153"/>
      <c r="R1" s="153"/>
      <c r="S1" s="153"/>
    </row>
    <row r="2" spans="1:19" s="2" customFormat="1" ht="33" thickTop="1" thickBot="1" x14ac:dyDescent="0.55000000000000004">
      <c r="B2" s="2" t="s">
        <v>92</v>
      </c>
      <c r="P2" s="155"/>
      <c r="Q2" s="155"/>
      <c r="R2" s="155"/>
      <c r="S2" s="155"/>
    </row>
    <row r="3" spans="1:19" s="1" customFormat="1" ht="11.4" thickTop="1" thickBot="1" x14ac:dyDescent="0.25">
      <c r="P3" s="153"/>
      <c r="Q3" s="153"/>
      <c r="R3" s="153"/>
      <c r="S3" s="153"/>
    </row>
    <row r="4" spans="1:19" s="24" customFormat="1" ht="13.8" thickBot="1" x14ac:dyDescent="0.3">
      <c r="A4" s="24" t="s">
        <v>8</v>
      </c>
      <c r="B4" s="21" t="s">
        <v>0</v>
      </c>
      <c r="C4" s="22" t="s">
        <v>1</v>
      </c>
      <c r="D4" s="24">
        <v>2012</v>
      </c>
      <c r="E4" s="24">
        <v>2013</v>
      </c>
      <c r="F4" s="24">
        <v>2014</v>
      </c>
      <c r="G4" s="24">
        <v>2015</v>
      </c>
      <c r="H4" s="24">
        <v>2016</v>
      </c>
      <c r="I4" s="24">
        <v>2017</v>
      </c>
      <c r="J4" s="24">
        <v>2018</v>
      </c>
      <c r="K4" s="24">
        <v>2019</v>
      </c>
      <c r="L4" s="24">
        <v>2020</v>
      </c>
      <c r="M4" s="24">
        <v>2021</v>
      </c>
      <c r="N4" s="24">
        <v>2022</v>
      </c>
      <c r="O4" s="24">
        <v>2023</v>
      </c>
      <c r="P4" s="158">
        <v>2024</v>
      </c>
      <c r="Q4" s="158">
        <v>2025</v>
      </c>
      <c r="R4" s="158">
        <v>2026</v>
      </c>
      <c r="S4" s="158">
        <v>2027</v>
      </c>
    </row>
    <row r="5" spans="1:19" s="1" customFormat="1" ht="10.199999999999999" x14ac:dyDescent="0.2">
      <c r="A5" s="11" t="s">
        <v>9</v>
      </c>
      <c r="B5" s="1" t="s">
        <v>10</v>
      </c>
      <c r="C5" s="70">
        <v>31.82</v>
      </c>
      <c r="D5" s="7">
        <f>+AVERAGE(IPC!P5:AA5)</f>
        <v>73.499932966946375</v>
      </c>
      <c r="E5" s="7">
        <f>+AVERAGE(IPC!AB5:AM5)</f>
        <v>75.892518430727264</v>
      </c>
      <c r="F5" s="7">
        <f>+AVERAGE(IPC!AN5:AY5)</f>
        <v>76.467103191455436</v>
      </c>
      <c r="G5" s="7">
        <f>+AVERAGE(IPC!AZ5:BK5)</f>
        <v>78.024869198119987</v>
      </c>
      <c r="H5" s="7">
        <f>+AVERAGE(IPC!BL5:BW5)</f>
        <v>78.866883178703219</v>
      </c>
      <c r="I5" s="7">
        <f>+AVERAGE(IPC!BX5:CI5)</f>
        <v>78.879421002988508</v>
      </c>
      <c r="J5" s="7">
        <f>+AVERAGE(IPC!CJ5:CU5)</f>
        <v>79.837348561011666</v>
      </c>
      <c r="K5" s="7">
        <f>+AVERAGE(IPC!CV5:DG5)</f>
        <v>82.151615472906215</v>
      </c>
      <c r="L5" s="7">
        <f>+AVERAGE(IPC!DH5:DS5)</f>
        <v>85.073882134907805</v>
      </c>
      <c r="M5" s="7">
        <f>+AVERAGE(IPC!DT5:EE5)</f>
        <v>88.692936620220976</v>
      </c>
      <c r="N5" s="7">
        <f>+AVERAGE(IPC!EF5:EQ5)</f>
        <v>100</v>
      </c>
      <c r="O5" s="7">
        <f>+AVERAGE(IPC!ER5:FC5)</f>
        <v>110.82876055063083</v>
      </c>
      <c r="P5" s="187">
        <f>AVERAGE(IPC_Projections!D5:O5)</f>
        <v>113</v>
      </c>
      <c r="Q5" s="187" t="e">
        <f>AVERAGE(IPC_Projections!P5:AA5)</f>
        <v>#DIV/0!</v>
      </c>
      <c r="R5" s="187" t="e">
        <f>AVERAGE(IPC_Projections!AB5:AM5)</f>
        <v>#DIV/0!</v>
      </c>
      <c r="S5" s="187" t="e">
        <f>AVERAGE(IPC_Projections!AN5:AY5)</f>
        <v>#DIV/0!</v>
      </c>
    </row>
    <row r="6" spans="1:19" s="1" customFormat="1" ht="10.199999999999999" x14ac:dyDescent="0.2">
      <c r="A6" s="11"/>
      <c r="B6" s="1" t="s">
        <v>97</v>
      </c>
      <c r="C6" s="70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87"/>
      <c r="Q6" s="187"/>
      <c r="R6" s="187"/>
      <c r="S6" s="187"/>
    </row>
    <row r="7" spans="1:19" s="1" customFormat="1" ht="10.199999999999999" x14ac:dyDescent="0.2">
      <c r="A7" s="11"/>
      <c r="B7" s="1" t="s">
        <v>98</v>
      </c>
      <c r="C7" s="70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187"/>
      <c r="Q7" s="187"/>
      <c r="R7" s="187"/>
      <c r="S7" s="187"/>
    </row>
    <row r="8" spans="1:19" s="1" customFormat="1" ht="10.199999999999999" x14ac:dyDescent="0.2">
      <c r="A8" s="11" t="s">
        <v>11</v>
      </c>
      <c r="B8" s="1" t="s">
        <v>12</v>
      </c>
      <c r="C8" s="70">
        <v>1.36</v>
      </c>
      <c r="D8" s="7">
        <f>+AVERAGE(IPC!P8:AA8)</f>
        <v>72.28854841044857</v>
      </c>
      <c r="E8" s="7">
        <f>+AVERAGE(IPC!AB8:AM8)</f>
        <v>74.46234655170575</v>
      </c>
      <c r="F8" s="7">
        <f>+AVERAGE(IPC!AN8:AY8)</f>
        <v>75.490803506042923</v>
      </c>
      <c r="G8" s="7">
        <f>+AVERAGE(IPC!AZ8:BK8)</f>
        <v>82.239848608761463</v>
      </c>
      <c r="H8" s="7">
        <f>+AVERAGE(IPC!BL8:BW8)</f>
        <v>84.705732812648492</v>
      </c>
      <c r="I8" s="7">
        <f>+AVERAGE(IPC!BX8:CI8)</f>
        <v>85.919021923073856</v>
      </c>
      <c r="J8" s="7">
        <f>+AVERAGE(IPC!CJ8:CU8)</f>
        <v>87.183049787622124</v>
      </c>
      <c r="K8" s="7">
        <f>+AVERAGE(IPC!CV8:DG8)</f>
        <v>91.317335664698092</v>
      </c>
      <c r="L8" s="7">
        <f>+AVERAGE(IPC!DH8:DS8)</f>
        <v>94.081631773069191</v>
      </c>
      <c r="M8" s="7">
        <f>+AVERAGE(IPC!DT8:EE8)</f>
        <v>96.034708112305267</v>
      </c>
      <c r="N8" s="7">
        <f>+AVERAGE(IPC!EF8:EQ8)</f>
        <v>100.00000000000001</v>
      </c>
      <c r="O8" s="7">
        <f>+AVERAGE(IPC!ER8:FC8)</f>
        <v>103.40420321676959</v>
      </c>
      <c r="P8" s="187">
        <f>AVERAGE(IPC_Projections!D8:O8)</f>
        <v>104.7</v>
      </c>
      <c r="Q8" s="187" t="e">
        <f>AVERAGE(IPC_Projections!P8:AA8)</f>
        <v>#DIV/0!</v>
      </c>
      <c r="R8" s="187" t="e">
        <f>AVERAGE(IPC_Projections!AB8:AM8)</f>
        <v>#DIV/0!</v>
      </c>
      <c r="S8" s="187" t="e">
        <f>AVERAGE(IPC_Projections!AN8:AY8)</f>
        <v>#DIV/0!</v>
      </c>
    </row>
    <row r="9" spans="1:19" s="1" customFormat="1" ht="10.199999999999999" x14ac:dyDescent="0.2">
      <c r="A9" s="11" t="s">
        <v>13</v>
      </c>
      <c r="B9" s="1" t="s">
        <v>14</v>
      </c>
      <c r="C9" s="70">
        <v>9.84</v>
      </c>
      <c r="D9" s="7">
        <f>+AVERAGE(IPC!P9:AA9)</f>
        <v>84.336001530488318</v>
      </c>
      <c r="E9" s="7">
        <f>+AVERAGE(IPC!AB9:AM9)</f>
        <v>85.404879619497947</v>
      </c>
      <c r="F9" s="7">
        <f>+AVERAGE(IPC!AN9:AY9)</f>
        <v>86.733100110881921</v>
      </c>
      <c r="G9" s="7">
        <f>+AVERAGE(IPC!AZ9:BK9)</f>
        <v>86.874578329115238</v>
      </c>
      <c r="H9" s="7">
        <f>+AVERAGE(IPC!BL9:BW9)</f>
        <v>86.936050117554018</v>
      </c>
      <c r="I9" s="7">
        <f>+AVERAGE(IPC!BX9:CI9)</f>
        <v>87.768662905991064</v>
      </c>
      <c r="J9" s="7">
        <f>+AVERAGE(IPC!CJ9:CU9)</f>
        <v>89.4281133767944</v>
      </c>
      <c r="K9" s="7">
        <f>+AVERAGE(IPC!CV9:DG9)</f>
        <v>91.966344545278346</v>
      </c>
      <c r="L9" s="7">
        <f>+AVERAGE(IPC!DH9:DS9)</f>
        <v>94.121237186490418</v>
      </c>
      <c r="M9" s="7">
        <f>+AVERAGE(IPC!DT9:EE9)</f>
        <v>96.193360129084439</v>
      </c>
      <c r="N9" s="7">
        <f>+AVERAGE(IPC!EF9:EQ9)</f>
        <v>100.00000000000001</v>
      </c>
      <c r="O9" s="7">
        <f>+AVERAGE(IPC!ER9:FC9)</f>
        <v>104.34352805116585</v>
      </c>
      <c r="P9" s="187">
        <f>AVERAGE(IPC_Projections!D9:O9)</f>
        <v>106.33333333333333</v>
      </c>
      <c r="Q9" s="187" t="e">
        <f>AVERAGE(IPC_Projections!P9:AA9)</f>
        <v>#DIV/0!</v>
      </c>
      <c r="R9" s="187" t="e">
        <f>AVERAGE(IPC_Projections!AB9:AM9)</f>
        <v>#DIV/0!</v>
      </c>
      <c r="S9" s="187" t="e">
        <f>AVERAGE(IPC_Projections!AN9:AY9)</f>
        <v>#DIV/0!</v>
      </c>
    </row>
    <row r="10" spans="1:19" s="1" customFormat="1" ht="20.399999999999999" x14ac:dyDescent="0.2">
      <c r="A10" s="11" t="s">
        <v>15</v>
      </c>
      <c r="B10" s="12" t="s">
        <v>79</v>
      </c>
      <c r="C10" s="70">
        <v>12.89</v>
      </c>
      <c r="D10" s="7">
        <f>+AVERAGE(IPC!P10:AA10)</f>
        <v>82.790997854743267</v>
      </c>
      <c r="E10" s="7">
        <f>+AVERAGE(IPC!AB10:AM10)</f>
        <v>85.069767485288523</v>
      </c>
      <c r="F10" s="7">
        <f>+AVERAGE(IPC!AN10:AY10)</f>
        <v>86.775289416017984</v>
      </c>
      <c r="G10" s="7">
        <f>+AVERAGE(IPC!AZ10:BK10)</f>
        <v>89.320479385885889</v>
      </c>
      <c r="H10" s="7">
        <f>+AVERAGE(IPC!BL10:BW10)</f>
        <v>90.605183619199806</v>
      </c>
      <c r="I10" s="7">
        <f>+AVERAGE(IPC!BX10:CI10)</f>
        <v>91.683298579513249</v>
      </c>
      <c r="J10" s="7">
        <f>+AVERAGE(IPC!CJ10:CU10)</f>
        <v>92.053939141365561</v>
      </c>
      <c r="K10" s="7">
        <f>+AVERAGE(IPC!CV10:DG10)</f>
        <v>93.59197731927793</v>
      </c>
      <c r="L10" s="7">
        <f>+AVERAGE(IPC!DH10:DS10)</f>
        <v>96.420846234294061</v>
      </c>
      <c r="M10" s="7">
        <f>+AVERAGE(IPC!DT10:EE10)</f>
        <v>98.177991002598688</v>
      </c>
      <c r="N10" s="7">
        <f>+AVERAGE(IPC!EF10:EQ10)</f>
        <v>100</v>
      </c>
      <c r="O10" s="7">
        <f>+AVERAGE(IPC!ER10:FC10)</f>
        <v>103.42053332395032</v>
      </c>
      <c r="P10" s="187">
        <f>AVERAGE(IPC_Projections!D10:O10)</f>
        <v>105.33333333333333</v>
      </c>
      <c r="Q10" s="187" t="e">
        <f>AVERAGE(IPC_Projections!P10:AA10)</f>
        <v>#DIV/0!</v>
      </c>
      <c r="R10" s="187" t="e">
        <f>AVERAGE(IPC_Projections!AB10:AM10)</f>
        <v>#DIV/0!</v>
      </c>
      <c r="S10" s="187" t="e">
        <f>AVERAGE(IPC_Projections!AN10:AY10)</f>
        <v>#DIV/0!</v>
      </c>
    </row>
    <row r="11" spans="1:19" s="1" customFormat="1" ht="20.399999999999999" x14ac:dyDescent="0.2">
      <c r="A11" s="11" t="s">
        <v>17</v>
      </c>
      <c r="B11" s="13" t="s">
        <v>78</v>
      </c>
      <c r="C11" s="70">
        <v>5.0999999999999996</v>
      </c>
      <c r="D11" s="7">
        <f>+AVERAGE(IPC!P11:AA11)</f>
        <v>85.228990347347576</v>
      </c>
      <c r="E11" s="7">
        <f>+AVERAGE(IPC!AB11:AM11)</f>
        <v>86.99673723276517</v>
      </c>
      <c r="F11" s="7">
        <f>+AVERAGE(IPC!AN11:AY11)</f>
        <v>87.337594468708176</v>
      </c>
      <c r="G11" s="7">
        <f>+AVERAGE(IPC!AZ11:BK11)</f>
        <v>88.61078531764845</v>
      </c>
      <c r="H11" s="7">
        <f>+AVERAGE(IPC!BL11:BW11)</f>
        <v>89.168848367964969</v>
      </c>
      <c r="I11" s="7">
        <f>+AVERAGE(IPC!BX11:CI11)</f>
        <v>89.436146796512858</v>
      </c>
      <c r="J11" s="7">
        <f>+AVERAGE(IPC!CJ11:CU11)</f>
        <v>90.233908292716293</v>
      </c>
      <c r="K11" s="7">
        <f>+AVERAGE(IPC!CV11:DG11)</f>
        <v>91.928797259939913</v>
      </c>
      <c r="L11" s="7">
        <f>+AVERAGE(IPC!DH11:DS11)</f>
        <v>93.3365144165749</v>
      </c>
      <c r="M11" s="7">
        <f>+AVERAGE(IPC!DT11:EE11)</f>
        <v>94.660780200795216</v>
      </c>
      <c r="N11" s="7">
        <f>+AVERAGE(IPC!EF11:EQ11)</f>
        <v>100.00000000000001</v>
      </c>
      <c r="O11" s="7">
        <f>+AVERAGE(IPC!ER11:FC11)</f>
        <v>107.17845301088323</v>
      </c>
      <c r="P11" s="187">
        <f>AVERAGE(IPC_Projections!D11:O11)</f>
        <v>108.5</v>
      </c>
      <c r="Q11" s="187" t="e">
        <f>AVERAGE(IPC_Projections!P11:AA11)</f>
        <v>#DIV/0!</v>
      </c>
      <c r="R11" s="187" t="e">
        <f>AVERAGE(IPC_Projections!AB11:AM11)</f>
        <v>#DIV/0!</v>
      </c>
      <c r="S11" s="187" t="e">
        <f>AVERAGE(IPC_Projections!AN11:AY11)</f>
        <v>#DIV/0!</v>
      </c>
    </row>
    <row r="12" spans="1:19" s="1" customFormat="1" ht="10.199999999999999" x14ac:dyDescent="0.2">
      <c r="A12" s="11" t="s">
        <v>19</v>
      </c>
      <c r="B12" s="1" t="s">
        <v>33</v>
      </c>
      <c r="C12" s="70">
        <v>4.78</v>
      </c>
      <c r="D12" s="7">
        <f>+AVERAGE(IPC!P12:AA12)</f>
        <v>96.505988336391894</v>
      </c>
      <c r="E12" s="7">
        <f>+AVERAGE(IPC!AB12:AM12)</f>
        <v>97.039505796214755</v>
      </c>
      <c r="F12" s="7">
        <f>+AVERAGE(IPC!AN12:AY12)</f>
        <v>97.75567426332158</v>
      </c>
      <c r="G12" s="7">
        <f>+AVERAGE(IPC!AZ12:BK12)</f>
        <v>98.220225009717794</v>
      </c>
      <c r="H12" s="7">
        <f>+AVERAGE(IPC!BL12:BW12)</f>
        <v>97.911633126361494</v>
      </c>
      <c r="I12" s="7">
        <f>+AVERAGE(IPC!BX12:CI12)</f>
        <v>98.205591368180464</v>
      </c>
      <c r="J12" s="7">
        <f>+AVERAGE(IPC!CJ12:CU12)</f>
        <v>98.644907549035551</v>
      </c>
      <c r="K12" s="7">
        <f>+AVERAGE(IPC!CV12:DG12)</f>
        <v>99.196704521707161</v>
      </c>
      <c r="L12" s="7">
        <f>+AVERAGE(IPC!DH12:DS12)</f>
        <v>99.419676052874351</v>
      </c>
      <c r="M12" s="7">
        <f>+AVERAGE(IPC!DT12:EE12)</f>
        <v>99.576327596907788</v>
      </c>
      <c r="N12" s="7">
        <f>+AVERAGE(IPC!EF12:EQ12)</f>
        <v>100.00000000000001</v>
      </c>
      <c r="O12" s="7">
        <f>+AVERAGE(IPC!ER12:FC12)</f>
        <v>100.84936628742219</v>
      </c>
      <c r="P12" s="187">
        <f>AVERAGE(IPC_Projections!D12:O12)</f>
        <v>101.23333333333335</v>
      </c>
      <c r="Q12" s="187" t="e">
        <f>AVERAGE(IPC_Projections!P12:AA12)</f>
        <v>#DIV/0!</v>
      </c>
      <c r="R12" s="187" t="e">
        <f>AVERAGE(IPC_Projections!AB12:AM12)</f>
        <v>#DIV/0!</v>
      </c>
      <c r="S12" s="187" t="e">
        <f>AVERAGE(IPC_Projections!AN12:AY12)</f>
        <v>#DIV/0!</v>
      </c>
    </row>
    <row r="13" spans="1:19" s="1" customFormat="1" ht="10.199999999999999" x14ac:dyDescent="0.2">
      <c r="A13" s="11" t="s">
        <v>21</v>
      </c>
      <c r="B13" s="1" t="s">
        <v>22</v>
      </c>
      <c r="C13" s="70">
        <v>11.27</v>
      </c>
      <c r="D13" s="7">
        <f>+AVERAGE(IPC!P13:AA13)</f>
        <v>78.128833433456634</v>
      </c>
      <c r="E13" s="7">
        <f>+AVERAGE(IPC!AB13:AM13)</f>
        <v>79.598609225941701</v>
      </c>
      <c r="F13" s="7">
        <f>+AVERAGE(IPC!AN13:AY13)</f>
        <v>85.740412337541727</v>
      </c>
      <c r="G13" s="7">
        <f>+AVERAGE(IPC!AZ13:BK13)</f>
        <v>92.188167604589538</v>
      </c>
      <c r="H13" s="7">
        <f>+AVERAGE(IPC!BL13:BW13)</f>
        <v>91.537951561375905</v>
      </c>
      <c r="I13" s="7">
        <f>+AVERAGE(IPC!BX13:CI13)</f>
        <v>92.256733750178583</v>
      </c>
      <c r="J13" s="7">
        <f>+AVERAGE(IPC!CJ13:CU13)</f>
        <v>92.889790298680609</v>
      </c>
      <c r="K13" s="7">
        <f>+AVERAGE(IPC!CV13:DG13)</f>
        <v>94.684187705329251</v>
      </c>
      <c r="L13" s="7">
        <f>+AVERAGE(IPC!DH13:DS13)</f>
        <v>96.601466042609346</v>
      </c>
      <c r="M13" s="7">
        <f>+AVERAGE(IPC!DT13:EE13)</f>
        <v>97.387992926091556</v>
      </c>
      <c r="N13" s="7">
        <f>+AVERAGE(IPC!EF13:EQ13)</f>
        <v>100</v>
      </c>
      <c r="O13" s="7">
        <f>+AVERAGE(IPC!ER13:FC13)</f>
        <v>115.0070790575204</v>
      </c>
      <c r="P13" s="187">
        <f>AVERAGE(IPC_Projections!D13:O13)</f>
        <v>124.10000000000001</v>
      </c>
      <c r="Q13" s="187" t="e">
        <f>AVERAGE(IPC_Projections!P13:AA13)</f>
        <v>#DIV/0!</v>
      </c>
      <c r="R13" s="187" t="e">
        <f>AVERAGE(IPC_Projections!AB13:AM13)</f>
        <v>#DIV/0!</v>
      </c>
      <c r="S13" s="187" t="e">
        <f>AVERAGE(IPC_Projections!AN13:AY13)</f>
        <v>#DIV/0!</v>
      </c>
    </row>
    <row r="14" spans="1:19" s="1" customFormat="1" ht="10.199999999999999" x14ac:dyDescent="0.2">
      <c r="A14" s="11" t="s">
        <v>23</v>
      </c>
      <c r="B14" s="1" t="s">
        <v>24</v>
      </c>
      <c r="C14" s="70">
        <v>4.59</v>
      </c>
      <c r="D14" s="7">
        <f>+AVERAGE(IPC!P14:AA14)</f>
        <v>107.70894585228508</v>
      </c>
      <c r="E14" s="7">
        <f>+AVERAGE(IPC!AB14:AM14)</f>
        <v>104.58979918306794</v>
      </c>
      <c r="F14" s="7">
        <f>+AVERAGE(IPC!AN14:AY14)</f>
        <v>101.98464978267475</v>
      </c>
      <c r="G14" s="7">
        <f>+AVERAGE(IPC!AZ14:BK14)</f>
        <v>99.201748437981351</v>
      </c>
      <c r="H14" s="7">
        <f>+AVERAGE(IPC!BL14:BW14)</f>
        <v>97.003111252610907</v>
      </c>
      <c r="I14" s="7">
        <f>+AVERAGE(IPC!BX14:CI14)</f>
        <v>97.674922018854701</v>
      </c>
      <c r="J14" s="7">
        <f>+AVERAGE(IPC!CJ14:CU14)</f>
        <v>97.8958396215058</v>
      </c>
      <c r="K14" s="7">
        <f>+AVERAGE(IPC!CV14:DG14)</f>
        <v>98.179548449211879</v>
      </c>
      <c r="L14" s="7">
        <f>+AVERAGE(IPC!DH14:DS14)</f>
        <v>98.815971263563412</v>
      </c>
      <c r="M14" s="7">
        <f>+AVERAGE(IPC!DT14:EE14)</f>
        <v>99.250836863258868</v>
      </c>
      <c r="N14" s="7">
        <f>+AVERAGE(IPC!EF14:EQ14)</f>
        <v>100</v>
      </c>
      <c r="O14" s="7">
        <f>+AVERAGE(IPC!ER14:FC14)</f>
        <v>100.37328296791172</v>
      </c>
      <c r="P14" s="187">
        <f>AVERAGE(IPC_Projections!D14:O14)</f>
        <v>100.39999999999999</v>
      </c>
      <c r="Q14" s="187" t="e">
        <f>AVERAGE(IPC_Projections!P14:AA14)</f>
        <v>#DIV/0!</v>
      </c>
      <c r="R14" s="187" t="e">
        <f>AVERAGE(IPC_Projections!AB14:AM14)</f>
        <v>#DIV/0!</v>
      </c>
      <c r="S14" s="187" t="e">
        <f>AVERAGE(IPC_Projections!AN14:AY14)</f>
        <v>#DIV/0!</v>
      </c>
    </row>
    <row r="15" spans="1:19" s="1" customFormat="1" ht="10.199999999999999" x14ac:dyDescent="0.2">
      <c r="A15" s="11" t="s">
        <v>25</v>
      </c>
      <c r="B15" s="1" t="s">
        <v>26</v>
      </c>
      <c r="C15" s="70">
        <v>3.35</v>
      </c>
      <c r="D15" s="7">
        <f>+AVERAGE(IPC!P15:AA15)</f>
        <v>90.710898648393879</v>
      </c>
      <c r="E15" s="7">
        <f>+AVERAGE(IPC!AB15:AM15)</f>
        <v>90.926370101502926</v>
      </c>
      <c r="F15" s="7">
        <f>+AVERAGE(IPC!AN15:AY15)</f>
        <v>91.57354781983355</v>
      </c>
      <c r="G15" s="7">
        <f>+AVERAGE(IPC!AZ15:BK15)</f>
        <v>91.960180146923378</v>
      </c>
      <c r="H15" s="7">
        <f>+AVERAGE(IPC!BL15:BW15)</f>
        <v>93.300446128187559</v>
      </c>
      <c r="I15" s="7">
        <f>+AVERAGE(IPC!BX15:CI15)</f>
        <v>93.895965680140748</v>
      </c>
      <c r="J15" s="7">
        <f>+AVERAGE(IPC!CJ15:CU15)</f>
        <v>94.681653584980566</v>
      </c>
      <c r="K15" s="7">
        <f>+AVERAGE(IPC!CV15:DG15)</f>
        <v>95.905573899793296</v>
      </c>
      <c r="L15" s="7">
        <f>+AVERAGE(IPC!DH15:DS15)</f>
        <v>97.396881166783984</v>
      </c>
      <c r="M15" s="7">
        <f>+AVERAGE(IPC!DT15:EE15)</f>
        <v>98.331618802974688</v>
      </c>
      <c r="N15" s="7">
        <f>+AVERAGE(IPC!EF15:EQ15)</f>
        <v>99.999999999999986</v>
      </c>
      <c r="O15" s="7">
        <f>+AVERAGE(IPC!ER15:FC15)</f>
        <v>101.87271146466992</v>
      </c>
      <c r="P15" s="187">
        <f>AVERAGE(IPC_Projections!D15:O15)</f>
        <v>102.59999999999998</v>
      </c>
      <c r="Q15" s="187" t="e">
        <f>AVERAGE(IPC_Projections!P15:AA15)</f>
        <v>#DIV/0!</v>
      </c>
      <c r="R15" s="187" t="e">
        <f>AVERAGE(IPC_Projections!AB15:AM15)</f>
        <v>#DIV/0!</v>
      </c>
      <c r="S15" s="187" t="e">
        <f>AVERAGE(IPC_Projections!AN15:AY15)</f>
        <v>#DIV/0!</v>
      </c>
    </row>
    <row r="16" spans="1:19" s="1" customFormat="1" ht="10.199999999999999" x14ac:dyDescent="0.2">
      <c r="A16" s="11">
        <v>10</v>
      </c>
      <c r="B16" s="1" t="s">
        <v>27</v>
      </c>
      <c r="C16" s="70">
        <v>3.07</v>
      </c>
      <c r="D16" s="7">
        <f>+AVERAGE(IPC!P16:AA16)</f>
        <v>84.748048486347002</v>
      </c>
      <c r="E16" s="7">
        <f>+AVERAGE(IPC!AB16:AM16)</f>
        <v>87.299534068926178</v>
      </c>
      <c r="F16" s="7">
        <f>+AVERAGE(IPC!AN16:AY16)</f>
        <v>88.226117041745383</v>
      </c>
      <c r="G16" s="7">
        <f>+AVERAGE(IPC!AZ16:BK16)</f>
        <v>90.180901395908634</v>
      </c>
      <c r="H16" s="7">
        <f>+AVERAGE(IPC!BL16:BW16)</f>
        <v>92.530560692942217</v>
      </c>
      <c r="I16" s="7">
        <f>+AVERAGE(IPC!BX16:CI16)</f>
        <v>93.452374159484108</v>
      </c>
      <c r="J16" s="7">
        <f>+AVERAGE(IPC!CJ16:CU16)</f>
        <v>94.596593285999987</v>
      </c>
      <c r="K16" s="7">
        <f>+AVERAGE(IPC!CV16:DG16)</f>
        <v>95.763528964895229</v>
      </c>
      <c r="L16" s="7">
        <f>+AVERAGE(IPC!DH16:DS16)</f>
        <v>96.387430070612254</v>
      </c>
      <c r="M16" s="7">
        <f>+AVERAGE(IPC!DT16:EE16)</f>
        <v>97.538506640035692</v>
      </c>
      <c r="N16" s="7">
        <f>+AVERAGE(IPC!EF16:EQ16)</f>
        <v>100.00000000000001</v>
      </c>
      <c r="O16" s="7">
        <f>+AVERAGE(IPC!ER16:FC16)</f>
        <v>103.15930417261352</v>
      </c>
      <c r="P16" s="187">
        <f>AVERAGE(IPC_Projections!D16:O16)</f>
        <v>104.5</v>
      </c>
      <c r="Q16" s="187" t="e">
        <f>AVERAGE(IPC_Projections!P16:AA16)</f>
        <v>#DIV/0!</v>
      </c>
      <c r="R16" s="187" t="e">
        <f>AVERAGE(IPC_Projections!AB16:AM16)</f>
        <v>#DIV/0!</v>
      </c>
      <c r="S16" s="187" t="e">
        <f>AVERAGE(IPC_Projections!AN16:AY16)</f>
        <v>#DIV/0!</v>
      </c>
    </row>
    <row r="17" spans="1:19" s="1" customFormat="1" ht="10.199999999999999" x14ac:dyDescent="0.2">
      <c r="A17" s="11">
        <v>11</v>
      </c>
      <c r="B17" s="1" t="s">
        <v>28</v>
      </c>
      <c r="C17" s="70">
        <v>6.69</v>
      </c>
      <c r="D17" s="7">
        <f>+AVERAGE(IPC!P17:AA17)</f>
        <v>72.165087949166107</v>
      </c>
      <c r="E17" s="7">
        <f>+AVERAGE(IPC!AB17:AM17)</f>
        <v>73.530162078960927</v>
      </c>
      <c r="F17" s="7">
        <f>+AVERAGE(IPC!AN17:AY17)</f>
        <v>76.14303779358103</v>
      </c>
      <c r="G17" s="7">
        <f>+AVERAGE(IPC!AZ17:BK17)</f>
        <v>80.599258354895468</v>
      </c>
      <c r="H17" s="7">
        <f>+AVERAGE(IPC!BL17:BW17)</f>
        <v>83.381144544860391</v>
      </c>
      <c r="I17" s="7">
        <f>+AVERAGE(IPC!BX17:CI17)</f>
        <v>84.15879262187336</v>
      </c>
      <c r="J17" s="7">
        <f>+AVERAGE(IPC!CJ17:CU17)</f>
        <v>85.63003643004221</v>
      </c>
      <c r="K17" s="7">
        <f>+AVERAGE(IPC!CV17:DG17)</f>
        <v>90.540543048551513</v>
      </c>
      <c r="L17" s="7">
        <f>+AVERAGE(IPC!DH17:DS17)</f>
        <v>92.619915086001456</v>
      </c>
      <c r="M17" s="7">
        <f>+AVERAGE(IPC!DT17:EE17)</f>
        <v>94.054475312158203</v>
      </c>
      <c r="N17" s="7">
        <f>+AVERAGE(IPC!EF17:EQ17)</f>
        <v>99.999999999999986</v>
      </c>
      <c r="O17" s="7">
        <f>+AVERAGE(IPC!ER17:FC17)</f>
        <v>104.9508726339151</v>
      </c>
      <c r="P17" s="187">
        <f>AVERAGE(IPC_Projections!D17:O17)</f>
        <v>106.23333333333335</v>
      </c>
      <c r="Q17" s="187" t="e">
        <f>AVERAGE(IPC_Projections!P17:AA17)</f>
        <v>#DIV/0!</v>
      </c>
      <c r="R17" s="187" t="e">
        <f>AVERAGE(IPC_Projections!AB17:AM17)</f>
        <v>#DIV/0!</v>
      </c>
      <c r="S17" s="187" t="e">
        <f>AVERAGE(IPC_Projections!AN17:AY17)</f>
        <v>#DIV/0!</v>
      </c>
    </row>
    <row r="18" spans="1:19" s="1" customFormat="1" ht="10.199999999999999" x14ac:dyDescent="0.2">
      <c r="A18" s="11">
        <v>12</v>
      </c>
      <c r="B18" s="1" t="s">
        <v>29</v>
      </c>
      <c r="C18" s="70">
        <v>5.24</v>
      </c>
      <c r="D18" s="7">
        <f>+AVERAGE(IPC!P18:AA18)</f>
        <v>82.762880761443441</v>
      </c>
      <c r="E18" s="7">
        <f>+AVERAGE(IPC!AB18:AM18)</f>
        <v>83.929275643076849</v>
      </c>
      <c r="F18" s="7">
        <f>+AVERAGE(IPC!AN18:AY18)</f>
        <v>84.699399967924222</v>
      </c>
      <c r="G18" s="7">
        <f>+AVERAGE(IPC!AZ18:BK18)</f>
        <v>86.956094572368201</v>
      </c>
      <c r="H18" s="7">
        <f>+AVERAGE(IPC!BL18:BW18)</f>
        <v>88.492605321017109</v>
      </c>
      <c r="I18" s="7">
        <f>+AVERAGE(IPC!BX18:CI18)</f>
        <v>90.15474211028031</v>
      </c>
      <c r="J18" s="7">
        <f>+AVERAGE(IPC!CJ18:CU18)</f>
        <v>91.512122794149604</v>
      </c>
      <c r="K18" s="7">
        <f>+AVERAGE(IPC!CV18:DG18)</f>
        <v>93.847267472330245</v>
      </c>
      <c r="L18" s="7">
        <f>+AVERAGE(IPC!DH18:DS18)</f>
        <v>95.1078359072187</v>
      </c>
      <c r="M18" s="7">
        <f>+AVERAGE(IPC!DT18:EE18)</f>
        <v>96.132626948716037</v>
      </c>
      <c r="N18" s="7">
        <f>+AVERAGE(IPC!EF18:EQ18)</f>
        <v>100</v>
      </c>
      <c r="O18" s="7">
        <f>+AVERAGE(IPC!ER18:FC18)</f>
        <v>105.29055036443079</v>
      </c>
      <c r="P18" s="187">
        <f>AVERAGE(IPC_Projections!D18:O18)</f>
        <v>106.93333333333334</v>
      </c>
      <c r="Q18" s="187" t="e">
        <f>AVERAGE(IPC_Projections!P18:AA18)</f>
        <v>#DIV/0!</v>
      </c>
      <c r="R18" s="187" t="e">
        <f>AVERAGE(IPC_Projections!AB18:AM18)</f>
        <v>#DIV/0!</v>
      </c>
      <c r="S18" s="187" t="e">
        <f>AVERAGE(IPC_Projections!AN18:AY18)</f>
        <v>#DIV/0!</v>
      </c>
    </row>
    <row r="19" spans="1:19" s="79" customFormat="1" x14ac:dyDescent="0.25">
      <c r="A19" s="66"/>
      <c r="B19" s="66" t="s">
        <v>233</v>
      </c>
      <c r="C19" s="77">
        <f>SUM(C8:C18,C5)</f>
        <v>100</v>
      </c>
      <c r="D19" s="78">
        <f>+AVERAGE(IPC!P19:AA19)</f>
        <v>80.071802517979435</v>
      </c>
      <c r="E19" s="78">
        <f>+AVERAGE(IPC!AB19:AM19)</f>
        <v>81.713552462895976</v>
      </c>
      <c r="F19" s="78">
        <f>+AVERAGE(IPC!AN19:AY19)</f>
        <v>83.229255924824045</v>
      </c>
      <c r="G19" s="78">
        <f>+AVERAGE(IPC!AZ19:BK19)</f>
        <v>85.458500894616009</v>
      </c>
      <c r="H19" s="78">
        <f>+AVERAGE(IPC!BL19:BW19)</f>
        <v>86.204379687488256</v>
      </c>
      <c r="I19" s="78">
        <f>+AVERAGE(IPC!BX19:CI19)</f>
        <v>86.756712215995194</v>
      </c>
      <c r="J19" s="78">
        <f>+AVERAGE(IPC!CJ19:CU19)</f>
        <v>87.679623171275168</v>
      </c>
      <c r="K19" s="78">
        <f>+AVERAGE(IPC!CV19:DG19)</f>
        <v>89.833323616389052</v>
      </c>
      <c r="L19" s="78">
        <f>+AVERAGE(IPC!DH19:DS19)</f>
        <v>92.034713432362537</v>
      </c>
      <c r="M19" s="78">
        <f>+AVERAGE(IPC!DT19:EE19)</f>
        <v>94.116498291750119</v>
      </c>
      <c r="N19" s="78">
        <f>+AVERAGE(IPC!EF19:EQ19)</f>
        <v>100</v>
      </c>
      <c r="O19" s="78">
        <f>+AVERAGE(IPC!ER19:FC19)</f>
        <v>107.36331607638573</v>
      </c>
      <c r="P19" s="188">
        <f>AVERAGE(IPC_Projections!D19:O19)</f>
        <v>27.491666666666664</v>
      </c>
      <c r="Q19" s="188">
        <f>AVERAGE(IPC_Projections!P19:AA19)</f>
        <v>0</v>
      </c>
      <c r="R19" s="188">
        <f>AVERAGE(IPC_Projections!AB19:AM19)</f>
        <v>0</v>
      </c>
      <c r="S19" s="188">
        <f>AVERAGE(IPC_Projections!AN19:AY19)</f>
        <v>0</v>
      </c>
    </row>
    <row r="20" spans="1:19" s="152" customFormat="1" ht="10.8" x14ac:dyDescent="0.25">
      <c r="C20" s="15"/>
      <c r="P20" s="160"/>
      <c r="Q20" s="160"/>
      <c r="R20" s="160"/>
      <c r="S20" s="160"/>
    </row>
    <row r="21" spans="1:19" s="3" customFormat="1" ht="10.199999999999999" x14ac:dyDescent="0.2">
      <c r="B21" s="3" t="s">
        <v>3</v>
      </c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P21" s="162"/>
      <c r="Q21" s="162"/>
      <c r="R21" s="162"/>
      <c r="S21" s="162"/>
    </row>
    <row r="22" spans="1:19" s="81" customFormat="1" ht="10.199999999999999" x14ac:dyDescent="0.2">
      <c r="B22" s="81" t="s">
        <v>4</v>
      </c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P22" s="164"/>
      <c r="Q22" s="164"/>
      <c r="R22" s="164"/>
      <c r="S22" s="164"/>
    </row>
    <row r="23" spans="1:19" s="74" customFormat="1" ht="10.199999999999999" x14ac:dyDescent="0.2"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P23" s="166"/>
      <c r="Q23" s="166"/>
      <c r="R23" s="166"/>
      <c r="S23" s="166"/>
    </row>
    <row r="24" spans="1:19" s="3" customFormat="1" ht="10.199999999999999" x14ac:dyDescent="0.2">
      <c r="B24" s="3" t="s">
        <v>104</v>
      </c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P24" s="162"/>
      <c r="Q24" s="162"/>
      <c r="R24" s="162"/>
      <c r="S24" s="162"/>
    </row>
    <row r="25" spans="1:19" s="3" customFormat="1" ht="10.199999999999999" x14ac:dyDescent="0.2">
      <c r="B25" s="83" t="s">
        <v>105</v>
      </c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P25" s="162"/>
      <c r="Q25" s="162"/>
      <c r="R25" s="162"/>
      <c r="S25" s="162"/>
    </row>
    <row r="26" spans="1:19" s="3" customFormat="1" ht="10.199999999999999" x14ac:dyDescent="0.2">
      <c r="B26" s="3" t="s">
        <v>106</v>
      </c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P26" s="162"/>
      <c r="Q26" s="162"/>
      <c r="R26" s="162"/>
      <c r="S26" s="162"/>
    </row>
    <row r="27" spans="1:19" s="81" customFormat="1" ht="10.199999999999999" x14ac:dyDescent="0.2">
      <c r="B27" s="81" t="s">
        <v>107</v>
      </c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P27" s="164"/>
      <c r="Q27" s="164"/>
      <c r="R27" s="164"/>
      <c r="S27" s="164"/>
    </row>
    <row r="28" spans="1:19" s="74" customFormat="1" ht="10.199999999999999" x14ac:dyDescent="0.2"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P28" s="166"/>
      <c r="Q28" s="166"/>
      <c r="R28" s="166"/>
      <c r="S28" s="166"/>
    </row>
    <row r="29" spans="1:19" s="3" customFormat="1" ht="10.199999999999999" x14ac:dyDescent="0.2">
      <c r="B29" s="3" t="s">
        <v>108</v>
      </c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P29" s="162"/>
      <c r="Q29" s="162"/>
      <c r="R29" s="162"/>
      <c r="S29" s="162"/>
    </row>
    <row r="30" spans="1:19" s="3" customFormat="1" ht="10.199999999999999" x14ac:dyDescent="0.2">
      <c r="B30" s="3" t="s">
        <v>109</v>
      </c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P30" s="162"/>
      <c r="Q30" s="162"/>
      <c r="R30" s="162"/>
      <c r="S30" s="162"/>
    </row>
    <row r="31" spans="1:19" s="81" customFormat="1" ht="10.199999999999999" x14ac:dyDescent="0.2">
      <c r="B31" s="81" t="s">
        <v>110</v>
      </c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P31" s="164"/>
      <c r="Q31" s="164"/>
      <c r="R31" s="164"/>
      <c r="S31" s="164"/>
    </row>
    <row r="32" spans="1:19" s="74" customFormat="1" ht="10.199999999999999" x14ac:dyDescent="0.2"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P32" s="166"/>
      <c r="Q32" s="166"/>
      <c r="R32" s="166"/>
      <c r="S32" s="166"/>
    </row>
    <row r="33" spans="2:19" s="3" customFormat="1" ht="10.199999999999999" x14ac:dyDescent="0.2">
      <c r="B33" s="3" t="s">
        <v>111</v>
      </c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P33" s="162"/>
      <c r="Q33" s="162"/>
      <c r="R33" s="162"/>
      <c r="S33" s="162"/>
    </row>
    <row r="34" spans="2:19" s="3" customFormat="1" ht="10.199999999999999" x14ac:dyDescent="0.2">
      <c r="B34" s="3" t="s">
        <v>112</v>
      </c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P34" s="162"/>
      <c r="Q34" s="162"/>
      <c r="R34" s="162"/>
      <c r="S34" s="162"/>
    </row>
    <row r="35" spans="2:19" s="3" customFormat="1" ht="10.199999999999999" x14ac:dyDescent="0.2">
      <c r="B35" s="3" t="s">
        <v>113</v>
      </c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P35" s="162"/>
      <c r="Q35" s="162"/>
      <c r="R35" s="162"/>
      <c r="S35" s="162"/>
    </row>
    <row r="36" spans="2:19" s="81" customFormat="1" ht="10.199999999999999" x14ac:dyDescent="0.2">
      <c r="B36" s="81" t="s">
        <v>114</v>
      </c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P36" s="164"/>
      <c r="Q36" s="164"/>
      <c r="R36" s="164"/>
      <c r="S36" s="164"/>
    </row>
    <row r="37" spans="2:19" s="152" customFormat="1" ht="10.8" x14ac:dyDescent="0.25"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P37" s="160"/>
      <c r="Q37" s="160"/>
      <c r="R37" s="160"/>
      <c r="S37" s="160"/>
    </row>
    <row r="38" spans="2:19" s="152" customFormat="1" ht="10.199999999999999" x14ac:dyDescent="0.2">
      <c r="B38" s="9" t="s">
        <v>5</v>
      </c>
      <c r="C38" s="9"/>
      <c r="D38" s="16">
        <f>+AVERAGE(IPC!P38:AA38)</f>
        <v>84.287724925453446</v>
      </c>
      <c r="E38" s="16">
        <f>+AVERAGE(IPC!AB38:AM38)</f>
        <v>85.467833816087008</v>
      </c>
      <c r="F38" s="16">
        <f>+AVERAGE(IPC!AN38:AY38)</f>
        <v>87.307126223716764</v>
      </c>
      <c r="G38" s="16">
        <f>+AVERAGE(IPC!AZ38:BK38)</f>
        <v>89.667326544178493</v>
      </c>
      <c r="H38" s="16">
        <f>+AVERAGE(IPC!BL38:BW38)</f>
        <v>90.295592536583243</v>
      </c>
      <c r="I38" s="16">
        <f>+AVERAGE(IPC!BX38:CI38)</f>
        <v>91.123247775443261</v>
      </c>
      <c r="J38" s="16">
        <f>+AVERAGE(IPC!CJ38:CU38)</f>
        <v>92.006832470418615</v>
      </c>
      <c r="K38" s="16">
        <f>+AVERAGE(IPC!CV38:DG38)</f>
        <v>94.00156427063321</v>
      </c>
      <c r="L38" s="16">
        <f>+AVERAGE(IPC!DH38:DS38)</f>
        <v>95.792203882192823</v>
      </c>
      <c r="M38" s="16">
        <f>+AVERAGE(IPC!DT38:EE38)</f>
        <v>97.042337350654066</v>
      </c>
      <c r="N38" s="16">
        <f>+AVERAGE(IPC!EF38:EQ38)</f>
        <v>100.51506012059781</v>
      </c>
      <c r="P38" s="160"/>
      <c r="Q38" s="160"/>
      <c r="R38" s="160"/>
      <c r="S38" s="160"/>
    </row>
    <row r="39" spans="2:19" s="152" customFormat="1" ht="10.199999999999999" x14ac:dyDescent="0.2">
      <c r="B39" s="9" t="s">
        <v>6</v>
      </c>
      <c r="C39" s="9"/>
      <c r="D39" s="16">
        <f>+AVERAGE(IPC!P39:AA39)</f>
        <v>81.201318602846797</v>
      </c>
      <c r="E39" s="16">
        <f>+AVERAGE(IPC!AB39:AM39)</f>
        <v>82.779449116084663</v>
      </c>
      <c r="F39" s="16">
        <f>+AVERAGE(IPC!AN39:AY39)</f>
        <v>83.6187156817427</v>
      </c>
      <c r="G39" s="16">
        <f>+AVERAGE(IPC!AZ39:BK39)</f>
        <v>85.171971292263535</v>
      </c>
      <c r="H39" s="16">
        <f>+AVERAGE(IPC!BL39:BW39)</f>
        <v>86.039276544504432</v>
      </c>
      <c r="I39" s="16">
        <f>+AVERAGE(IPC!BX39:CI39)</f>
        <v>86.588446075513403</v>
      </c>
      <c r="J39" s="16">
        <f>+AVERAGE(IPC!CJ39:CU39)</f>
        <v>87.530512029509794</v>
      </c>
      <c r="K39" s="16">
        <f>+AVERAGE(IPC!CV39:DG39)</f>
        <v>89.665279622231409</v>
      </c>
      <c r="L39" s="16">
        <f>+AVERAGE(IPC!DH39:DS39)</f>
        <v>91.840510177853787</v>
      </c>
      <c r="M39" s="16">
        <f>+AVERAGE(IPC!DT39:EE39)</f>
        <v>94.004205156609643</v>
      </c>
      <c r="N39" s="16">
        <f>+AVERAGE(IPC!EF39:EQ39)</f>
        <v>100.58850485529263</v>
      </c>
      <c r="P39" s="160"/>
      <c r="Q39" s="160"/>
      <c r="R39" s="160"/>
      <c r="S39" s="160"/>
    </row>
    <row r="40" spans="2:19" s="152" customFormat="1" ht="10.199999999999999" x14ac:dyDescent="0.2">
      <c r="B40" s="9" t="s">
        <v>7</v>
      </c>
      <c r="C40" s="9"/>
      <c r="D40" s="16">
        <f>+AVERAGE(IPC!P40:AA40)</f>
        <v>85.507382404188363</v>
      </c>
      <c r="E40" s="16">
        <f>+AVERAGE(IPC!AB40:AM40)</f>
        <v>86.630127984615157</v>
      </c>
      <c r="F40" s="16">
        <f>+AVERAGE(IPC!AN40:AY40)</f>
        <v>87.617385677190555</v>
      </c>
      <c r="G40" s="16">
        <f>+AVERAGE(IPC!AZ40:BK40)</f>
        <v>89.168119396913809</v>
      </c>
      <c r="H40" s="16">
        <f>+AVERAGE(IPC!BL40:BW40)</f>
        <v>90.049565718635378</v>
      </c>
      <c r="I40" s="16">
        <f>+AVERAGE(IPC!BX40:CI40)</f>
        <v>90.898781303201702</v>
      </c>
      <c r="J40" s="16">
        <f>+AVERAGE(IPC!CJ40:CU40)</f>
        <v>91.831978583149024</v>
      </c>
      <c r="K40" s="16">
        <f>+AVERAGE(IPC!CV40:DG40)</f>
        <v>93.866383000047662</v>
      </c>
      <c r="L40" s="16">
        <f>+AVERAGE(IPC!DH40:DS40)</f>
        <v>95.623924416591095</v>
      </c>
      <c r="M40" s="16">
        <f>+AVERAGE(IPC!DT40:EE40)</f>
        <v>96.973886492541567</v>
      </c>
      <c r="N40" s="16">
        <f>+AVERAGE(IPC!EF40:EQ40)</f>
        <v>100.35599464997917</v>
      </c>
      <c r="P40" s="160"/>
      <c r="Q40" s="160"/>
      <c r="R40" s="160"/>
      <c r="S40" s="160"/>
    </row>
    <row r="41" spans="2:19" s="152" customFormat="1" ht="10.199999999999999" x14ac:dyDescent="0.2">
      <c r="B41" s="9"/>
      <c r="C41" s="9"/>
      <c r="P41" s="160"/>
      <c r="Q41" s="160"/>
      <c r="R41" s="160"/>
      <c r="S41" s="160"/>
    </row>
    <row r="42" spans="2:19" s="63" customFormat="1" ht="10.199999999999999" x14ac:dyDescent="0.2">
      <c r="B42" s="63" t="s">
        <v>80</v>
      </c>
      <c r="C42" s="64"/>
      <c r="D42" s="65">
        <f>+AVERAGE(IPC!P42:AA42)</f>
        <v>202.38288478176196</v>
      </c>
      <c r="E42" s="65">
        <f>+AVERAGE(IPC!AB42:AM42)</f>
        <v>181.45856216927098</v>
      </c>
      <c r="F42" s="65">
        <f>+AVERAGE(IPC!AN42:AY42)</f>
        <v>184.82443432372588</v>
      </c>
      <c r="G42" s="65">
        <f>+AVERAGE(IPC!AZ42:BK42)</f>
        <v>189.77484431997729</v>
      </c>
      <c r="H42" s="65">
        <f>+AVERAGE(IPC!BL42:BW42)</f>
        <v>191.43119249268224</v>
      </c>
      <c r="I42" s="65">
        <f>+AVERAGE(IPC!BX42:CI42)</f>
        <v>192.6577389276533</v>
      </c>
      <c r="J42" s="65">
        <f>+AVERAGE(IPC!CJ42:CU42)</f>
        <v>194.70721652234499</v>
      </c>
      <c r="K42" s="65">
        <f>+AVERAGE(IPC!CV42:DG42)</f>
        <v>199.48986731079455</v>
      </c>
      <c r="L42" s="65">
        <f>+AVERAGE(IPC!DH42:DS42)</f>
        <v>204.37842029546641</v>
      </c>
      <c r="M42" s="65">
        <f>+AVERAGE(IPC!DT42:EE42)</f>
        <v>209.00137053987979</v>
      </c>
      <c r="N42" s="63">
        <f>+AVERAGE(IPC!EF42:EQ42)</f>
        <v>223.6036624272468</v>
      </c>
      <c r="P42" s="172"/>
      <c r="Q42" s="172"/>
      <c r="R42" s="172"/>
      <c r="S42" s="172"/>
    </row>
    <row r="43" spans="2:19" s="1" customFormat="1" ht="10.199999999999999" x14ac:dyDescent="0.2">
      <c r="P43" s="153"/>
      <c r="Q43" s="153"/>
      <c r="R43" s="153"/>
      <c r="S43" s="153"/>
    </row>
    <row r="44" spans="2:19" s="1" customFormat="1" ht="10.8" thickBot="1" x14ac:dyDescent="0.25">
      <c r="P44" s="153"/>
      <c r="Q44" s="153"/>
      <c r="R44" s="153"/>
      <c r="S44" s="153"/>
    </row>
    <row r="45" spans="2:19" s="2" customFormat="1" ht="33" thickTop="1" thickBot="1" x14ac:dyDescent="0.55000000000000004">
      <c r="B45" s="2" t="s">
        <v>93</v>
      </c>
      <c r="P45" s="155"/>
      <c r="Q45" s="155"/>
      <c r="R45" s="155"/>
      <c r="S45" s="155"/>
    </row>
    <row r="46" spans="2:19" s="20" customFormat="1" ht="14.4" thickTop="1" thickBot="1" x14ac:dyDescent="0.3">
      <c r="P46" s="173"/>
      <c r="Q46" s="173"/>
      <c r="R46" s="173"/>
      <c r="S46" s="173"/>
    </row>
    <row r="47" spans="2:19" s="24" customFormat="1" ht="13.8" thickBot="1" x14ac:dyDescent="0.3">
      <c r="B47" s="21" t="s">
        <v>34</v>
      </c>
      <c r="C47" s="22" t="s">
        <v>1</v>
      </c>
      <c r="D47" s="24">
        <f t="shared" ref="D47:O47" si="0">D4</f>
        <v>2012</v>
      </c>
      <c r="E47" s="24">
        <f t="shared" si="0"/>
        <v>2013</v>
      </c>
      <c r="F47" s="24">
        <f t="shared" si="0"/>
        <v>2014</v>
      </c>
      <c r="G47" s="24">
        <f t="shared" si="0"/>
        <v>2015</v>
      </c>
      <c r="H47" s="24">
        <f t="shared" si="0"/>
        <v>2016</v>
      </c>
      <c r="I47" s="24">
        <f t="shared" si="0"/>
        <v>2017</v>
      </c>
      <c r="J47" s="24">
        <f t="shared" si="0"/>
        <v>2018</v>
      </c>
      <c r="K47" s="24">
        <f t="shared" si="0"/>
        <v>2019</v>
      </c>
      <c r="L47" s="24">
        <f t="shared" si="0"/>
        <v>2020</v>
      </c>
      <c r="M47" s="24">
        <f t="shared" si="0"/>
        <v>2021</v>
      </c>
      <c r="N47" s="24">
        <f t="shared" si="0"/>
        <v>2022</v>
      </c>
      <c r="O47" s="24">
        <f t="shared" si="0"/>
        <v>2023</v>
      </c>
      <c r="P47" s="158"/>
      <c r="Q47" s="158"/>
      <c r="R47" s="158"/>
      <c r="S47" s="158"/>
    </row>
    <row r="48" spans="2:19" s="20" customFormat="1" x14ac:dyDescent="0.25">
      <c r="B48" s="25" t="s">
        <v>35</v>
      </c>
      <c r="C48" s="26"/>
      <c r="D48" s="27">
        <f>+AVERAGE(IPC!P48:AA48)</f>
        <v>101.01266283788716</v>
      </c>
      <c r="E48" s="27">
        <f>+AVERAGE(IPC!AB48:AM48)</f>
        <v>103.36433739000169</v>
      </c>
      <c r="F48" s="27">
        <f>+AVERAGE(IPC!AN48:AY48)</f>
        <v>105.31833373931151</v>
      </c>
      <c r="G48" s="27">
        <f>+AVERAGE(IPC!AZ48:BK48)</f>
        <v>108.36616013568813</v>
      </c>
      <c r="H48" s="27">
        <f>+AVERAGE(IPC!BL48:BW48)</f>
        <v>109.79164769527382</v>
      </c>
      <c r="I48" s="27">
        <f>+AVERAGE(IPC!BX48:CI48)</f>
        <v>110.63602422929432</v>
      </c>
      <c r="J48" s="27">
        <f>+AVERAGE(IPC!CJ48:CU48)</f>
        <v>111.88369647391971</v>
      </c>
      <c r="K48" s="27">
        <f>+AVERAGE(IPC!CV48:DG48)</f>
        <v>114.51355067357035</v>
      </c>
      <c r="L48" s="27">
        <f>+AVERAGE(IPC!DH48:DS48)</f>
        <v>116.77911360533896</v>
      </c>
      <c r="M48" s="27">
        <f>+AVERAGE(IPC!DT48:EE48)</f>
        <v>118.93539932998904</v>
      </c>
      <c r="N48" s="27">
        <f>+AVERAGE(IPC!EF48:EQ48)</f>
        <v>126.25494654410163</v>
      </c>
      <c r="P48" s="173"/>
      <c r="Q48" s="173"/>
      <c r="R48" s="173"/>
      <c r="S48" s="173"/>
    </row>
    <row r="49" spans="1:19" s="20" customFormat="1" x14ac:dyDescent="0.25">
      <c r="B49" s="25" t="s">
        <v>36</v>
      </c>
      <c r="C49" s="26"/>
      <c r="D49" s="27">
        <f>+AVERAGE(IPC!P49:AA49)</f>
        <v>102.06878975152081</v>
      </c>
      <c r="E49" s="27">
        <f>+AVERAGE(IPC!AB49:AM49)</f>
        <v>104.14196526590196</v>
      </c>
      <c r="F49" s="27">
        <f>+AVERAGE(IPC!AN49:AY49)</f>
        <v>107.15462854351649</v>
      </c>
      <c r="G49" s="27">
        <f>+AVERAGE(IPC!AZ49:BK49)</f>
        <v>109.78644080207486</v>
      </c>
      <c r="H49" s="27">
        <f>+AVERAGE(IPC!BL49:BW49)</f>
        <v>110.67288188109099</v>
      </c>
      <c r="I49" s="27">
        <f>+AVERAGE(IPC!BX49:CI49)</f>
        <v>110.91401283144886</v>
      </c>
      <c r="J49" s="27">
        <f>+AVERAGE(IPC!CJ49:CU49)</f>
        <v>111.71217129842738</v>
      </c>
      <c r="K49" s="27">
        <f>+AVERAGE(IPC!CV49:DG49)</f>
        <v>114.38876721643108</v>
      </c>
      <c r="L49" s="27">
        <f>+AVERAGE(IPC!DH49:DS49)</f>
        <v>116.97777480916257</v>
      </c>
      <c r="M49" s="27">
        <f>+AVERAGE(IPC!DT49:EE49)</f>
        <v>119.17972149907787</v>
      </c>
      <c r="N49" s="27">
        <f>+AVERAGE(IPC!EF49:EQ49)</f>
        <v>125.92452484871713</v>
      </c>
      <c r="P49" s="173"/>
      <c r="Q49" s="173"/>
      <c r="R49" s="173"/>
      <c r="S49" s="173"/>
    </row>
    <row r="50" spans="1:19" s="20" customFormat="1" x14ac:dyDescent="0.25">
      <c r="B50" s="25" t="s">
        <v>37</v>
      </c>
      <c r="C50" s="26"/>
      <c r="D50" s="27">
        <f>+AVERAGE(IPC!P51:AA51)</f>
        <v>103.03798069506298</v>
      </c>
      <c r="E50" s="27">
        <f>+AVERAGE(IPC!AB51:AM51)</f>
        <v>105.70757032178403</v>
      </c>
      <c r="F50" s="27">
        <f>+AVERAGE(IPC!AN51:AY51)</f>
        <v>106.34793901235879</v>
      </c>
      <c r="G50" s="27">
        <f>+AVERAGE(IPC!AZ51:BK51)</f>
        <v>108.00538545334861</v>
      </c>
      <c r="H50" s="27">
        <f>+AVERAGE(IPC!BL51:BW51)</f>
        <v>109.67985702938513</v>
      </c>
      <c r="I50" s="27">
        <f>+AVERAGE(IPC!BX51:CI51)</f>
        <v>110.79277674714729</v>
      </c>
      <c r="J50" s="27">
        <f>+AVERAGE(IPC!CJ51:CU51)</f>
        <v>111.36197965496591</v>
      </c>
      <c r="K50" s="27">
        <f>+AVERAGE(IPC!CV51:DG51)</f>
        <v>114.40556677835112</v>
      </c>
      <c r="L50" s="27">
        <f>+AVERAGE(IPC!DH51:DS51)</f>
        <v>117.39268834406971</v>
      </c>
      <c r="M50" s="27">
        <f>+AVERAGE(IPC!DT51:EE51)</f>
        <v>120.17053604028195</v>
      </c>
      <c r="N50" s="27">
        <f>+AVERAGE(IPC!EF51:EQ51)</f>
        <v>128.92112564471697</v>
      </c>
      <c r="P50" s="173"/>
      <c r="Q50" s="173"/>
      <c r="R50" s="173"/>
      <c r="S50" s="173"/>
    </row>
    <row r="51" spans="1:19" s="20" customFormat="1" x14ac:dyDescent="0.25">
      <c r="B51" s="25" t="s">
        <v>38</v>
      </c>
      <c r="C51" s="26"/>
      <c r="D51" s="27">
        <f>+AVERAGE(IPC!P57:AA57)</f>
        <v>102.94165608843035</v>
      </c>
      <c r="E51" s="27">
        <f>+AVERAGE(IPC!AB57:AM57)</f>
        <v>105.68354925094496</v>
      </c>
      <c r="F51" s="27">
        <f>+AVERAGE(IPC!AN57:AY57)</f>
        <v>106.25797752414273</v>
      </c>
      <c r="G51" s="27">
        <f>+AVERAGE(IPC!AZ57:BK57)</f>
        <v>109.38555358648581</v>
      </c>
      <c r="H51" s="27">
        <f>+AVERAGE(IPC!BL57:BW57)</f>
        <v>110.2989003110719</v>
      </c>
      <c r="I51" s="27">
        <f>+AVERAGE(IPC!BX57:CI57)</f>
        <v>110.5286650537174</v>
      </c>
      <c r="J51" s="27">
        <f>+AVERAGE(IPC!CJ57:CU57)</f>
        <v>111.70629859516909</v>
      </c>
      <c r="K51" s="27">
        <f>+AVERAGE(IPC!CV57:DG57)</f>
        <v>117.03268736608241</v>
      </c>
      <c r="L51" s="27">
        <f>+AVERAGE(IPC!DH57:DS57)</f>
        <v>119.61137949976222</v>
      </c>
      <c r="M51" s="27">
        <f>+AVERAGE(IPC!DT57:EE57)</f>
        <v>124.1323363525306</v>
      </c>
      <c r="N51" s="27">
        <f>+AVERAGE(IPC!EF57:EQ57)</f>
        <v>132.54490914686266</v>
      </c>
      <c r="P51" s="173"/>
      <c r="Q51" s="173"/>
      <c r="R51" s="173"/>
      <c r="S51" s="173"/>
    </row>
    <row r="52" spans="1:19" s="20" customFormat="1" x14ac:dyDescent="0.25">
      <c r="B52" s="25" t="s">
        <v>39</v>
      </c>
      <c r="C52" s="26"/>
      <c r="D52" s="27">
        <f>+AVERAGE(IPC!P53:AA53)</f>
        <v>102.71830461012347</v>
      </c>
      <c r="E52" s="27">
        <f>+AVERAGE(IPC!AB53:AM53)</f>
        <v>103.34528597681695</v>
      </c>
      <c r="F52" s="27">
        <f>+AVERAGE(IPC!AN53:AY53)</f>
        <v>105.33070168172692</v>
      </c>
      <c r="G52" s="27">
        <f>+AVERAGE(IPC!AZ53:BK53)</f>
        <v>109.15841613148552</v>
      </c>
      <c r="H52" s="27">
        <f>+AVERAGE(IPC!BL53:BW53)</f>
        <v>109.02777788011105</v>
      </c>
      <c r="I52" s="27">
        <f>+AVERAGE(IPC!BX53:CI53)</f>
        <v>109.88017464101</v>
      </c>
      <c r="J52" s="27">
        <f>+AVERAGE(IPC!CJ53:CU53)</f>
        <v>111.59305676276659</v>
      </c>
      <c r="K52" s="27">
        <f>+AVERAGE(IPC!CV53:DG53)</f>
        <v>113.50361313742862</v>
      </c>
      <c r="L52" s="27">
        <f>+AVERAGE(IPC!DH53:DS53)</f>
        <v>116.54082307751965</v>
      </c>
      <c r="M52" s="27">
        <f>+AVERAGE(IPC!DT53:EE53)</f>
        <v>118.95205785643215</v>
      </c>
      <c r="N52" s="27">
        <f>+AVERAGE(IPC!EF53:EQ53)</f>
        <v>125.42642687249617</v>
      </c>
      <c r="P52" s="173"/>
      <c r="Q52" s="173"/>
      <c r="R52" s="173"/>
      <c r="S52" s="173"/>
    </row>
    <row r="53" spans="1:19" s="20" customFormat="1" x14ac:dyDescent="0.25">
      <c r="B53" s="25" t="s">
        <v>82</v>
      </c>
      <c r="C53" s="26"/>
      <c r="D53" s="27">
        <f>+AVERAGE(IPC!P50:AA50)</f>
        <v>105.49314316668489</v>
      </c>
      <c r="E53" s="27">
        <f>+AVERAGE(IPC!AB50:AM50)</f>
        <v>107.84598764356041</v>
      </c>
      <c r="F53" s="27">
        <f>+AVERAGE(IPC!AN50:AY50)</f>
        <v>108.79465921410382</v>
      </c>
      <c r="G53" s="27">
        <f>+AVERAGE(IPC!AZ50:BK50)</f>
        <v>110.90527382500649</v>
      </c>
      <c r="H53" s="27">
        <f>+AVERAGE(IPC!BL50:BW50)</f>
        <v>109.84916009139256</v>
      </c>
      <c r="I53" s="27">
        <f>+AVERAGE(IPC!BX50:CI50)</f>
        <v>110.97908767436526</v>
      </c>
      <c r="J53" s="27">
        <f>+AVERAGE(IPC!CJ50:CU50)</f>
        <v>111.74743646737754</v>
      </c>
      <c r="K53" s="27">
        <f>+AVERAGE(IPC!CV50:DG50)</f>
        <v>112.47964248079478</v>
      </c>
      <c r="L53" s="27">
        <f>+AVERAGE(IPC!DH50:DS50)</f>
        <v>116.25880251284985</v>
      </c>
      <c r="M53" s="27">
        <f>+AVERAGE(IPC!DT50:EE50)</f>
        <v>120.00759230632713</v>
      </c>
      <c r="N53" s="27">
        <f>+AVERAGE(IPC!EF50:EQ50)</f>
        <v>127.70104218284257</v>
      </c>
      <c r="P53" s="173"/>
      <c r="Q53" s="173"/>
      <c r="R53" s="173"/>
      <c r="S53" s="173"/>
    </row>
    <row r="54" spans="1:19" s="20" customFormat="1" x14ac:dyDescent="0.25">
      <c r="B54" s="25" t="s">
        <v>83</v>
      </c>
      <c r="C54" s="26"/>
      <c r="D54" s="27">
        <f>+AVERAGE(IPC!P55:AA55)</f>
        <v>102.64840132856226</v>
      </c>
      <c r="E54" s="27">
        <f>+AVERAGE(IPC!AB55:AM55)</f>
        <v>103.65018087039851</v>
      </c>
      <c r="F54" s="27">
        <f>+AVERAGE(IPC!AN55:AY55)</f>
        <v>105.44142024617133</v>
      </c>
      <c r="G54" s="27">
        <f>+AVERAGE(IPC!AZ55:BK55)</f>
        <v>106.71111272131834</v>
      </c>
      <c r="H54" s="27">
        <f>+AVERAGE(IPC!BL55:BW55)</f>
        <v>108.17636402531365</v>
      </c>
      <c r="I54" s="27">
        <f>+AVERAGE(IPC!BX55:CI55)</f>
        <v>108.55895601696085</v>
      </c>
      <c r="J54" s="27">
        <f>+AVERAGE(IPC!CJ55:CU55)</f>
        <v>109.96743261817828</v>
      </c>
      <c r="K54" s="27">
        <f>+AVERAGE(IPC!CV55:DG55)</f>
        <v>112.48638746861712</v>
      </c>
      <c r="L54" s="27">
        <f>+AVERAGE(IPC!DH55:DS55)</f>
        <v>115.05283462138077</v>
      </c>
      <c r="M54" s="27">
        <f>+AVERAGE(IPC!DT55:EE55)</f>
        <v>116.19600319728147</v>
      </c>
      <c r="N54" s="27">
        <f>+AVERAGE(IPC!EF55:EQ55)</f>
        <v>124.75332808142927</v>
      </c>
      <c r="P54" s="173"/>
      <c r="Q54" s="173"/>
      <c r="R54" s="173"/>
      <c r="S54" s="173"/>
    </row>
    <row r="55" spans="1:19" s="20" customFormat="1" x14ac:dyDescent="0.25">
      <c r="B55" s="25" t="s">
        <v>84</v>
      </c>
      <c r="C55" s="26"/>
      <c r="D55" s="27">
        <f>+AVERAGE(IPC!P56:AA56)</f>
        <v>102.84129182694373</v>
      </c>
      <c r="E55" s="27">
        <f>+AVERAGE(IPC!AB56:AM56)</f>
        <v>104.14867100057836</v>
      </c>
      <c r="F55" s="27">
        <f>+AVERAGE(IPC!AN56:AY56)</f>
        <v>106.80072407114831</v>
      </c>
      <c r="G55" s="27">
        <f>+AVERAGE(IPC!AZ56:BK56)</f>
        <v>109.27245241506057</v>
      </c>
      <c r="H55" s="27">
        <f>+AVERAGE(IPC!BL56:BW56)</f>
        <v>109.64969352168976</v>
      </c>
      <c r="I55" s="27">
        <f>+AVERAGE(IPC!BX56:CI56)</f>
        <v>112.54210286159453</v>
      </c>
      <c r="J55" s="27">
        <f>+AVERAGE(IPC!CJ56:CU56)</f>
        <v>115.67761029954295</v>
      </c>
      <c r="K55" s="27">
        <f>+AVERAGE(IPC!CV56:DG56)</f>
        <v>117.98219113858069</v>
      </c>
      <c r="L55" s="27">
        <f>+AVERAGE(IPC!DH56:DS56)</f>
        <v>122.27335521604421</v>
      </c>
      <c r="M55" s="27">
        <f>+AVERAGE(IPC!DT56:EE56)</f>
        <v>127.61658840230388</v>
      </c>
      <c r="N55" s="27">
        <f>+AVERAGE(IPC!EF56:EQ56)</f>
        <v>134.64459083731222</v>
      </c>
      <c r="P55" s="173"/>
      <c r="Q55" s="173"/>
      <c r="R55" s="173"/>
      <c r="S55" s="173"/>
    </row>
    <row r="56" spans="1:19" s="20" customFormat="1" ht="12" customHeight="1" x14ac:dyDescent="0.25">
      <c r="B56" s="25" t="s">
        <v>85</v>
      </c>
      <c r="C56" s="26"/>
      <c r="D56" s="27">
        <f>+AVERAGE(IPC!P52:AA52)</f>
        <v>102.43741220252332</v>
      </c>
      <c r="E56" s="27">
        <f>+AVERAGE(IPC!AB52:AM52)</f>
        <v>103.81732614532841</v>
      </c>
      <c r="F56" s="27">
        <f>+AVERAGE(IPC!AN52:AY52)</f>
        <v>105.86030354890717</v>
      </c>
      <c r="G56" s="27">
        <f>+AVERAGE(IPC!AZ52:BK52)</f>
        <v>110.42195990973516</v>
      </c>
      <c r="H56" s="27">
        <f>+AVERAGE(IPC!BL52:BW52)</f>
        <v>112.29027927977624</v>
      </c>
      <c r="I56" s="27">
        <f>+AVERAGE(IPC!BX52:CI52)</f>
        <v>112.67577202628341</v>
      </c>
      <c r="J56" s="27">
        <f>+AVERAGE(IPC!CJ52:CU52)</f>
        <v>114.92701953848257</v>
      </c>
      <c r="K56" s="27">
        <f>+AVERAGE(IPC!CV52:DG52)</f>
        <v>118.8010580329031</v>
      </c>
      <c r="L56" s="27">
        <f>+AVERAGE(IPC!DH52:DS52)</f>
        <v>123.09735035519562</v>
      </c>
      <c r="M56" s="27">
        <f>+AVERAGE(IPC!DT52:EE52)</f>
        <v>125.1796934773909</v>
      </c>
      <c r="N56" s="27">
        <f>+AVERAGE(IPC!EF52:EQ52)</f>
        <v>134.07337050784588</v>
      </c>
      <c r="P56" s="173"/>
      <c r="Q56" s="173"/>
      <c r="R56" s="173"/>
      <c r="S56" s="173"/>
    </row>
    <row r="57" spans="1:19" s="20" customFormat="1" x14ac:dyDescent="0.25">
      <c r="B57" s="25" t="s">
        <v>86</v>
      </c>
      <c r="C57" s="26"/>
      <c r="D57" s="27">
        <f>+AVERAGE(IPC!P54:AA54)</f>
        <v>102.81691508370677</v>
      </c>
      <c r="E57" s="27">
        <f>+AVERAGE(IPC!AB54:AM54)</f>
        <v>106.0013895065962</v>
      </c>
      <c r="F57" s="27">
        <f>+AVERAGE(IPC!AN54:AY54)</f>
        <v>107.75345019505416</v>
      </c>
      <c r="G57" s="27">
        <f>+AVERAGE(IPC!AZ54:BK54)</f>
        <v>111.49193455197464</v>
      </c>
      <c r="H57" s="27">
        <f>+AVERAGE(IPC!BL54:BW54)</f>
        <v>112.33026593796853</v>
      </c>
      <c r="I57" s="27">
        <f>+AVERAGE(IPC!BX54:CI54)</f>
        <v>113.28886519277832</v>
      </c>
      <c r="J57" s="27">
        <f>+AVERAGE(IPC!CJ54:CU54)</f>
        <v>113.83842637915943</v>
      </c>
      <c r="K57" s="27">
        <f>+AVERAGE(IPC!CV54:DG54)</f>
        <v>116.74136384602794</v>
      </c>
      <c r="L57" s="27">
        <f>+AVERAGE(IPC!DH54:DS54)</f>
        <v>117.62455987076684</v>
      </c>
      <c r="M57" s="27">
        <f>+AVERAGE(IPC!DT54:EE54)</f>
        <v>121.99235559549612</v>
      </c>
      <c r="N57" s="27">
        <f>+AVERAGE(IPC!EF54:EQ54)</f>
        <v>128.91946822292644</v>
      </c>
      <c r="P57" s="173"/>
      <c r="Q57" s="173"/>
      <c r="R57" s="173"/>
      <c r="S57" s="173"/>
    </row>
    <row r="58" spans="1:19" s="66" customFormat="1" x14ac:dyDescent="0.25">
      <c r="B58" s="67" t="s">
        <v>2</v>
      </c>
      <c r="C58" s="68">
        <v>10000</v>
      </c>
      <c r="D58" s="69">
        <f>+AVERAGE(IPC!P58:AA58)</f>
        <v>80.071802517979435</v>
      </c>
      <c r="E58" s="69">
        <f>+AVERAGE(IPC!AB58:AM58)</f>
        <v>81.713552462895976</v>
      </c>
      <c r="F58" s="69">
        <f>+AVERAGE(IPC!AN58:AY58)</f>
        <v>83.229255924824045</v>
      </c>
      <c r="G58" s="69">
        <f>+AVERAGE(IPC!AZ58:BK58)</f>
        <v>85.458500894616009</v>
      </c>
      <c r="H58" s="69">
        <f>+AVERAGE(IPC!BL58:BW58)</f>
        <v>86.204379687488256</v>
      </c>
      <c r="I58" s="69">
        <f>+AVERAGE(IPC!BX58:CI58)</f>
        <v>86.756712215995194</v>
      </c>
      <c r="J58" s="69">
        <f>+AVERAGE(IPC!CJ58:CU58)</f>
        <v>87.679623171275168</v>
      </c>
      <c r="K58" s="69">
        <f>+AVERAGE(IPC!CV58:DG58)</f>
        <v>89.833323616389052</v>
      </c>
      <c r="L58" s="69">
        <f>+AVERAGE(IPC!DH58:DS58)</f>
        <v>92.034713432362537</v>
      </c>
      <c r="M58" s="69">
        <f>+AVERAGE(IPC!DT58:EE58)</f>
        <v>94.116498291750119</v>
      </c>
      <c r="N58" s="69">
        <f>+AVERAGE(IPC!EF58:EQ58)</f>
        <v>100.69213258507062</v>
      </c>
      <c r="P58" s="176"/>
      <c r="Q58" s="176"/>
      <c r="R58" s="176"/>
      <c r="S58" s="176"/>
    </row>
    <row r="60" spans="1:19" ht="13.8" thickBot="1" x14ac:dyDescent="0.3"/>
    <row r="61" spans="1:19" s="2" customFormat="1" ht="33" thickTop="1" thickBot="1" x14ac:dyDescent="0.55000000000000004">
      <c r="B61" s="2" t="s">
        <v>94</v>
      </c>
      <c r="P61" s="155"/>
      <c r="Q61" s="155"/>
      <c r="R61" s="155"/>
      <c r="S61" s="155"/>
    </row>
    <row r="62" spans="1:19" ht="14.4" thickTop="1" thickBot="1" x14ac:dyDescent="0.3"/>
    <row r="63" spans="1:19" s="24" customFormat="1" ht="13.8" thickBot="1" x14ac:dyDescent="0.3">
      <c r="B63" s="21"/>
      <c r="C63" s="22" t="s">
        <v>95</v>
      </c>
      <c r="D63" s="24">
        <f t="shared" ref="D63:O63" si="1">D4</f>
        <v>2012</v>
      </c>
      <c r="E63" s="24">
        <f t="shared" si="1"/>
        <v>2013</v>
      </c>
      <c r="F63" s="24">
        <f t="shared" si="1"/>
        <v>2014</v>
      </c>
      <c r="G63" s="24">
        <f t="shared" si="1"/>
        <v>2015</v>
      </c>
      <c r="H63" s="24">
        <f t="shared" si="1"/>
        <v>2016</v>
      </c>
      <c r="I63" s="24">
        <f t="shared" si="1"/>
        <v>2017</v>
      </c>
      <c r="J63" s="24">
        <f t="shared" si="1"/>
        <v>2018</v>
      </c>
      <c r="K63" s="24">
        <f t="shared" si="1"/>
        <v>2019</v>
      </c>
      <c r="L63" s="24">
        <f t="shared" si="1"/>
        <v>2020</v>
      </c>
      <c r="M63" s="24">
        <f t="shared" si="1"/>
        <v>2021</v>
      </c>
      <c r="N63" s="24">
        <f t="shared" si="1"/>
        <v>2022</v>
      </c>
      <c r="O63" s="24">
        <f t="shared" si="1"/>
        <v>2023</v>
      </c>
      <c r="P63" s="158"/>
      <c r="Q63" s="158"/>
      <c r="R63" s="158"/>
      <c r="S63" s="158"/>
    </row>
    <row r="64" spans="1:19" s="109" customFormat="1" ht="10.199999999999999" x14ac:dyDescent="0.2">
      <c r="A64" s="30"/>
      <c r="B64" s="73" t="s">
        <v>41</v>
      </c>
      <c r="C64" s="71"/>
      <c r="D64" s="109" t="e">
        <f>+AVERAGE(IPC!P64:AA64)</f>
        <v>#DIV/0!</v>
      </c>
      <c r="E64" s="109" t="e">
        <f>+AVERAGE(IPC!AB64:AM64)</f>
        <v>#DIV/0!</v>
      </c>
      <c r="F64" s="109" t="e">
        <f>+AVERAGE(IPC!AN64:AY64)</f>
        <v>#DIV/0!</v>
      </c>
      <c r="G64" s="109" t="e">
        <f>+AVERAGE(IPC!AZ64:BK64)</f>
        <v>#DIV/0!</v>
      </c>
      <c r="H64" s="109" t="e">
        <f>+AVERAGE(IPC!BL64:BW64)</f>
        <v>#DIV/0!</v>
      </c>
      <c r="I64" s="109" t="e">
        <f>+AVERAGE(IPC!BX64:CI64)</f>
        <v>#DIV/0!</v>
      </c>
      <c r="J64" s="109">
        <f>+AVERAGE(IPC!CJ64:CU64)</f>
        <v>97.384852915502563</v>
      </c>
      <c r="K64" s="109">
        <f>+AVERAGE(IPC!CV64:DG64)</f>
        <v>99.999999999999986</v>
      </c>
      <c r="L64" s="109">
        <f>+AVERAGE(IPC!DH64:DS64)</f>
        <v>102.30385931752438</v>
      </c>
      <c r="M64" s="109">
        <f>+AVERAGE(IPC!DT64:EE64)</f>
        <v>105.17775018999998</v>
      </c>
      <c r="N64" s="109">
        <f>+AVERAGE(IPC!EF64:EQ64)</f>
        <v>111.04604968290174</v>
      </c>
      <c r="P64" s="181"/>
      <c r="Q64" s="181"/>
      <c r="R64" s="181"/>
      <c r="S64" s="181"/>
    </row>
    <row r="65" spans="1:19" s="109" customFormat="1" ht="10.199999999999999" x14ac:dyDescent="0.2">
      <c r="A65" s="30"/>
      <c r="B65" s="73" t="s">
        <v>42</v>
      </c>
      <c r="C65" s="71"/>
      <c r="D65" s="109" t="e">
        <f>+AVERAGE(IPC!P65:AA65)</f>
        <v>#DIV/0!</v>
      </c>
      <c r="E65" s="109" t="e">
        <f>+AVERAGE(IPC!AB65:AM65)</f>
        <v>#DIV/0!</v>
      </c>
      <c r="F65" s="109" t="e">
        <f>+AVERAGE(IPC!AN65:AY65)</f>
        <v>#DIV/0!</v>
      </c>
      <c r="G65" s="109" t="e">
        <f>+AVERAGE(IPC!AZ65:BK65)</f>
        <v>#DIV/0!</v>
      </c>
      <c r="H65" s="109" t="e">
        <f>+AVERAGE(IPC!BL65:BW65)</f>
        <v>#DIV/0!</v>
      </c>
      <c r="I65" s="109" t="e">
        <f>+AVERAGE(IPC!BX65:CI65)</f>
        <v>#DIV/0!</v>
      </c>
      <c r="J65" s="109">
        <f>+AVERAGE(IPC!CJ65:CU65)</f>
        <v>100</v>
      </c>
      <c r="K65" s="109">
        <f>+AVERAGE(IPC!CV65:DG65)</f>
        <v>101.55396244163836</v>
      </c>
      <c r="L65" s="109">
        <f>+AVERAGE(IPC!DH65:DS65)</f>
        <v>101.77500000000002</v>
      </c>
      <c r="M65" s="109">
        <f>+AVERAGE(IPC!DT65:EE65)</f>
        <v>103.77499999999999</v>
      </c>
      <c r="N65" s="109">
        <f>+AVERAGE(IPC!EF65:EQ65)</f>
        <v>106.92984327779379</v>
      </c>
      <c r="P65" s="181"/>
      <c r="Q65" s="181"/>
      <c r="R65" s="181"/>
      <c r="S65" s="181"/>
    </row>
    <row r="66" spans="1:19" s="109" customFormat="1" ht="10.199999999999999" x14ac:dyDescent="0.2">
      <c r="A66" s="30"/>
      <c r="B66" s="73" t="s">
        <v>43</v>
      </c>
      <c r="C66" s="71"/>
      <c r="D66" s="109" t="e">
        <f>+AVERAGE(IPC!P66:AA66)</f>
        <v>#DIV/0!</v>
      </c>
      <c r="E66" s="109" t="e">
        <f>+AVERAGE(IPC!AB66:AM66)</f>
        <v>#DIV/0!</v>
      </c>
      <c r="F66" s="109" t="e">
        <f>+AVERAGE(IPC!AN66:AY66)</f>
        <v>#DIV/0!</v>
      </c>
      <c r="G66" s="109" t="e">
        <f>+AVERAGE(IPC!AZ66:BK66)</f>
        <v>#DIV/0!</v>
      </c>
      <c r="H66" s="109" t="e">
        <f>+AVERAGE(IPC!BL66:BW66)</f>
        <v>#DIV/0!</v>
      </c>
      <c r="I66" s="109" t="e">
        <f>+AVERAGE(IPC!BX66:CI66)</f>
        <v>#DIV/0!</v>
      </c>
      <c r="J66" s="109">
        <f>+AVERAGE(IPC!CJ66:CU66)</f>
        <v>99.992737728290152</v>
      </c>
      <c r="K66" s="109">
        <f>+AVERAGE(IPC!CV66:DG66)</f>
        <v>100.67623408333334</v>
      </c>
      <c r="L66" s="109">
        <f>+AVERAGE(IPC!DH66:DS66)</f>
        <v>102.08985858333335</v>
      </c>
      <c r="M66" s="109">
        <f>+AVERAGE(IPC!DT66:EE66)</f>
        <v>103.21999999999998</v>
      </c>
      <c r="N66" s="109">
        <f>+AVERAGE(IPC!EF66:EQ66)</f>
        <v>107.5945</v>
      </c>
      <c r="P66" s="181"/>
      <c r="Q66" s="181"/>
      <c r="R66" s="181"/>
      <c r="S66" s="181"/>
    </row>
    <row r="67" spans="1:19" s="109" customFormat="1" ht="10.199999999999999" x14ac:dyDescent="0.2">
      <c r="A67" s="30"/>
      <c r="B67" s="73" t="s">
        <v>44</v>
      </c>
      <c r="C67" s="71"/>
      <c r="D67" s="109" t="e">
        <f>+AVERAGE(IPC!P67:AA67)</f>
        <v>#DIV/0!</v>
      </c>
      <c r="E67" s="109" t="e">
        <f>+AVERAGE(IPC!AB67:AM67)</f>
        <v>#DIV/0!</v>
      </c>
      <c r="F67" s="109" t="e">
        <f>+AVERAGE(IPC!AN67:AY67)</f>
        <v>#DIV/0!</v>
      </c>
      <c r="G67" s="109" t="e">
        <f>+AVERAGE(IPC!AZ67:BK67)</f>
        <v>#DIV/0!</v>
      </c>
      <c r="H67" s="109" t="e">
        <f>+AVERAGE(IPC!BL67:BW67)</f>
        <v>#DIV/0!</v>
      </c>
      <c r="I67" s="109" t="e">
        <f>+AVERAGE(IPC!BX67:CI67)</f>
        <v>#DIV/0!</v>
      </c>
      <c r="J67" s="109">
        <f>+AVERAGE(IPC!CJ67:CU67)</f>
        <v>136.74250000000001</v>
      </c>
      <c r="K67" s="109">
        <f>+AVERAGE(IPC!CV67:DG67)</f>
        <v>138.3990702628727</v>
      </c>
      <c r="L67" s="109">
        <f>+AVERAGE(IPC!DH67:DS67)</f>
        <v>145.04249999999999</v>
      </c>
      <c r="M67" s="109">
        <f>+AVERAGE(IPC!DT67:EE67)</f>
        <v>144.89916666666667</v>
      </c>
      <c r="N67" s="109">
        <f>+AVERAGE(IPC!EF67:EQ67)</f>
        <v>152.01658992647722</v>
      </c>
      <c r="P67" s="181"/>
      <c r="Q67" s="181"/>
      <c r="R67" s="181"/>
      <c r="S67" s="181"/>
    </row>
    <row r="68" spans="1:19" s="109" customFormat="1" ht="10.199999999999999" x14ac:dyDescent="0.2">
      <c r="A68" s="30"/>
      <c r="B68" s="73" t="s">
        <v>45</v>
      </c>
      <c r="C68" s="71"/>
      <c r="D68" s="109" t="e">
        <f>+AVERAGE(IPC!P68:AA68)</f>
        <v>#DIV/0!</v>
      </c>
      <c r="E68" s="109" t="e">
        <f>+AVERAGE(IPC!AB68:AM68)</f>
        <v>#DIV/0!</v>
      </c>
      <c r="F68" s="109" t="e">
        <f>+AVERAGE(IPC!AN68:AY68)</f>
        <v>#DIV/0!</v>
      </c>
      <c r="G68" s="109" t="e">
        <f>+AVERAGE(IPC!AZ68:BK68)</f>
        <v>#DIV/0!</v>
      </c>
      <c r="H68" s="109" t="e">
        <f>+AVERAGE(IPC!BL68:BW68)</f>
        <v>#DIV/0!</v>
      </c>
      <c r="I68" s="109" t="e">
        <f>+AVERAGE(IPC!BX68:CI68)</f>
        <v>#DIV/0!</v>
      </c>
      <c r="J68" s="109">
        <f>+AVERAGE(IPC!CJ68:CU68)</f>
        <v>98.809187865635707</v>
      </c>
      <c r="K68" s="109">
        <f>+AVERAGE(IPC!CV68:DG68)</f>
        <v>97.850177347035654</v>
      </c>
      <c r="L68" s="109">
        <f>+AVERAGE(IPC!DH68:DS68)</f>
        <v>95.246142467541873</v>
      </c>
      <c r="M68" s="109">
        <f>+AVERAGE(IPC!DT68:EE68)</f>
        <v>94.489346815724915</v>
      </c>
      <c r="N68" s="109">
        <f>+AVERAGE(IPC!EF68:EQ68)</f>
        <v>100.00000000000001</v>
      </c>
      <c r="P68" s="181"/>
      <c r="Q68" s="181"/>
      <c r="R68" s="181"/>
      <c r="S68" s="181"/>
    </row>
    <row r="69" spans="1:19" s="110" customFormat="1" x14ac:dyDescent="0.25">
      <c r="A69" s="66"/>
      <c r="B69" s="67" t="s">
        <v>46</v>
      </c>
      <c r="C69" s="68"/>
      <c r="D69" s="110" t="e">
        <f>+AVERAGE(IPC!P69:AA69)</f>
        <v>#DIV/0!</v>
      </c>
      <c r="E69" s="110" t="e">
        <f>+AVERAGE(IPC!AB69:AM69)</f>
        <v>#DIV/0!</v>
      </c>
      <c r="F69" s="110" t="e">
        <f>+AVERAGE(IPC!AN69:AY69)</f>
        <v>#DIV/0!</v>
      </c>
      <c r="G69" s="110" t="e">
        <f>+AVERAGE(IPC!AZ69:BK69)</f>
        <v>#DIV/0!</v>
      </c>
      <c r="H69" s="110" t="e">
        <f>+AVERAGE(IPC!BL69:BW69)</f>
        <v>#DIV/0!</v>
      </c>
      <c r="I69" s="110" t="e">
        <f>+AVERAGE(IPC!BX69:CI69)</f>
        <v>#DIV/0!</v>
      </c>
      <c r="J69" s="110">
        <f>+AVERAGE(IPC!CJ69:CU69)</f>
        <v>97.384852915502606</v>
      </c>
      <c r="K69" s="110">
        <f>+AVERAGE(IPC!CV69:DG69)</f>
        <v>99.999999999999986</v>
      </c>
      <c r="L69" s="110">
        <f>+AVERAGE(IPC!DH69:DS69)</f>
        <v>102.30385931752441</v>
      </c>
      <c r="M69" s="110">
        <f>+AVERAGE(IPC!DT69:EE69)</f>
        <v>105.17775019</v>
      </c>
      <c r="N69" s="110">
        <f>+AVERAGE(IPC!EF69:EQ69)</f>
        <v>111.04604968290175</v>
      </c>
      <c r="P69" s="182"/>
      <c r="Q69" s="182"/>
      <c r="R69" s="182"/>
      <c r="S69" s="182"/>
    </row>
    <row r="70" spans="1:19" s="109" customFormat="1" ht="10.199999999999999" x14ac:dyDescent="0.2">
      <c r="A70" s="30"/>
      <c r="B70" s="30" t="s">
        <v>50</v>
      </c>
      <c r="C70" s="71"/>
      <c r="D70" s="109">
        <f>+AVERAGE(IPC!P70:AA70)</f>
        <v>108.19166666666666</v>
      </c>
      <c r="E70" s="109">
        <f>+AVERAGE(IPC!AB70:AM70)</f>
        <v>109.86229166666665</v>
      </c>
      <c r="F70" s="109">
        <f>+AVERAGE(IPC!AN70:AY70)</f>
        <v>109.6878</v>
      </c>
      <c r="G70" s="109" t="e">
        <f>+AVERAGE(IPC!AZ70:BK70)</f>
        <v>#DIV/0!</v>
      </c>
      <c r="H70" s="109">
        <f>+AVERAGE(IPC!BL70:BW70)</f>
        <v>101.34499999999998</v>
      </c>
      <c r="I70" s="109">
        <f>+AVERAGE(IPC!BX70:CI70)</f>
        <v>102.4225</v>
      </c>
      <c r="J70" s="109">
        <f>+AVERAGE(IPC!CJ70:CU70)</f>
        <v>103.66583333333334</v>
      </c>
      <c r="K70" s="109">
        <f>+AVERAGE(IPC!CV70:DG70)</f>
        <v>102.90250000000002</v>
      </c>
      <c r="L70" s="109">
        <f>+AVERAGE(IPC!DH70:DS70)</f>
        <v>105.105</v>
      </c>
      <c r="M70" s="109">
        <f>+AVERAGE(IPC!DT70:EE70)</f>
        <v>108.855</v>
      </c>
      <c r="N70" s="109">
        <f>+AVERAGE(IPC!EF70:EQ70)</f>
        <v>116.94166666666666</v>
      </c>
      <c r="P70" s="181"/>
      <c r="Q70" s="181"/>
      <c r="R70" s="181"/>
      <c r="S70" s="181"/>
    </row>
    <row r="71" spans="1:19" s="109" customFormat="1" ht="10.199999999999999" x14ac:dyDescent="0.2">
      <c r="A71" s="30"/>
      <c r="B71" s="30" t="s">
        <v>51</v>
      </c>
      <c r="C71" s="71"/>
      <c r="D71" s="109">
        <f>+AVERAGE(IPC!P71:AA71)</f>
        <v>115.71083333333333</v>
      </c>
      <c r="E71" s="109">
        <f>+AVERAGE(IPC!AB71:AM71)</f>
        <v>117.30166666666668</v>
      </c>
      <c r="F71" s="109">
        <f>+AVERAGE(IPC!AN71:AY71)</f>
        <v>117.82166666666666</v>
      </c>
      <c r="G71" s="109" t="e">
        <f>+AVERAGE(IPC!AZ71:BK71)</f>
        <v>#DIV/0!</v>
      </c>
      <c r="H71" s="109" t="e">
        <f>+AVERAGE(IPC!BL71:BW71)</f>
        <v>#DIV/0!</v>
      </c>
      <c r="I71" s="109" t="e">
        <f>+AVERAGE(IPC!BX71:CI71)</f>
        <v>#DIV/0!</v>
      </c>
      <c r="J71" s="109" t="e">
        <f>+AVERAGE(IPC!CJ71:CU71)</f>
        <v>#DIV/0!</v>
      </c>
      <c r="K71" s="109" t="e">
        <f>+AVERAGE(IPC!CV71:DG71)</f>
        <v>#DIV/0!</v>
      </c>
      <c r="L71" s="109" t="e">
        <f>+AVERAGE(IPC!DH71:DS71)</f>
        <v>#DIV/0!</v>
      </c>
      <c r="M71" s="109" t="e">
        <f>+AVERAGE(IPC!DT71:EE71)</f>
        <v>#DIV/0!</v>
      </c>
      <c r="N71" s="109">
        <f>+AVERAGE(IPC!EF71:EQ71)</f>
        <v>127.67999999999999</v>
      </c>
      <c r="P71" s="181"/>
      <c r="Q71" s="181"/>
      <c r="R71" s="181"/>
      <c r="S71" s="181"/>
    </row>
    <row r="72" spans="1:19" s="109" customFormat="1" ht="10.199999999999999" x14ac:dyDescent="0.2">
      <c r="A72" s="30"/>
      <c r="B72" s="73" t="s">
        <v>52</v>
      </c>
      <c r="C72" s="71" t="s">
        <v>206</v>
      </c>
      <c r="D72" s="109">
        <f>+AVERAGE(IPC!P72:AA72)</f>
        <v>98.334166666666661</v>
      </c>
      <c r="E72" s="109">
        <f>+AVERAGE(IPC!AB72:AM72)</f>
        <v>99.307500000000005</v>
      </c>
      <c r="F72" s="109">
        <f>+AVERAGE(IPC!AN72:AY72)</f>
        <v>99.914166666666645</v>
      </c>
      <c r="G72" s="109">
        <f>+AVERAGE(IPC!AZ72:BK72)</f>
        <v>100.00083333333332</v>
      </c>
      <c r="H72" s="109">
        <f>+AVERAGE(IPC!BL72:BW72)</f>
        <v>100.30583333333334</v>
      </c>
      <c r="I72" s="109">
        <f>+AVERAGE(IPC!BX72:CI72)</f>
        <v>101.47166666666668</v>
      </c>
      <c r="J72" s="109">
        <f>+AVERAGE(IPC!CJ72:CU72)</f>
        <v>103.60166666666667</v>
      </c>
      <c r="K72" s="109">
        <f>+AVERAGE(IPC!CV72:DG72)</f>
        <v>104.68916666666667</v>
      </c>
      <c r="L72" s="109">
        <f>+AVERAGE(IPC!DH72:DS72)</f>
        <v>104.72916666666667</v>
      </c>
      <c r="M72" s="109">
        <f>+AVERAGE(IPC!DT72:EE72)</f>
        <v>106.44916666666667</v>
      </c>
      <c r="N72" s="109">
        <f>+AVERAGE(IPC!EF72:EQ72)</f>
        <v>112.01416666666667</v>
      </c>
      <c r="P72" s="181"/>
      <c r="Q72" s="181"/>
      <c r="R72" s="181"/>
      <c r="S72" s="181"/>
    </row>
    <row r="73" spans="1:19" s="109" customFormat="1" ht="10.199999999999999" x14ac:dyDescent="0.2">
      <c r="A73" s="32"/>
      <c r="B73" s="31" t="s">
        <v>53</v>
      </c>
      <c r="C73" s="71" t="s">
        <v>205</v>
      </c>
      <c r="D73" s="109">
        <f>+AVERAGE(IPC!P73:AA73)</f>
        <v>229.5939166666667</v>
      </c>
      <c r="E73" s="109">
        <f>+AVERAGE(IPC!AB73:AM73)</f>
        <v>232.95708333333332</v>
      </c>
      <c r="F73" s="109">
        <f>+AVERAGE(IPC!AN73:AY73)</f>
        <v>236.73616666666666</v>
      </c>
      <c r="G73" s="109">
        <f>+AVERAGE(IPC!AZ73:BK73)</f>
        <v>237.01700000000002</v>
      </c>
      <c r="H73" s="109">
        <f>+AVERAGE(IPC!BL73:BW73)</f>
        <v>240.01133333333328</v>
      </c>
      <c r="I73" s="109">
        <f>+AVERAGE(IPC!BX73:CI73)</f>
        <v>245.11958333333334</v>
      </c>
      <c r="J73" s="109">
        <f>+AVERAGE(IPC!CJ73:CU73)</f>
        <v>251.10683333333338</v>
      </c>
      <c r="K73" s="109">
        <f>+AVERAGE(IPC!CV73:DG73)</f>
        <v>254.72057142857142</v>
      </c>
      <c r="L73" s="109" t="e">
        <f>+AVERAGE(IPC!DH73:DS73)</f>
        <v>#DIV/0!</v>
      </c>
      <c r="M73" s="109">
        <f>+AVERAGE(IPC!DT73:EE73)</f>
        <v>273.57444444444445</v>
      </c>
      <c r="N73" s="109">
        <f>+AVERAGE(IPC!EF73:EQ73)</f>
        <v>292.65583333333331</v>
      </c>
      <c r="P73" s="181"/>
      <c r="Q73" s="181"/>
      <c r="R73" s="181"/>
      <c r="S73" s="181"/>
    </row>
    <row r="74" spans="1:19" s="109" customFormat="1" ht="10.199999999999999" x14ac:dyDescent="0.2">
      <c r="A74" s="32"/>
      <c r="B74" s="31" t="s">
        <v>72</v>
      </c>
      <c r="C74" s="72" t="s">
        <v>96</v>
      </c>
      <c r="D74" s="109">
        <f>+AVERAGE(IPC!P74:AA74)</f>
        <v>135.49166666666665</v>
      </c>
      <c r="E74" s="109">
        <f>+AVERAGE(IPC!AB74:AM74)</f>
        <v>146.96737499999998</v>
      </c>
      <c r="F74" s="109">
        <f>+AVERAGE(IPC!AN74:AY74)</f>
        <v>158.80833333333334</v>
      </c>
      <c r="G74" s="109">
        <f>+AVERAGE(IPC!AZ74:BK74)</f>
        <v>173.12364395829937</v>
      </c>
      <c r="H74" s="109">
        <f>+AVERAGE(IPC!BL74:BW74)</f>
        <v>200.29853798389206</v>
      </c>
      <c r="I74" s="109">
        <f>+AVERAGE(IPC!BX74:CI74)</f>
        <v>233.35233594467186</v>
      </c>
      <c r="J74" s="109">
        <f>+AVERAGE(IPC!CJ74:CU74)</f>
        <v>261.57654953788835</v>
      </c>
      <c r="K74" s="109">
        <f>+AVERAGE(IPC!CV74:DG74)</f>
        <v>291.39166666666671</v>
      </c>
      <c r="L74" s="109">
        <f>+AVERAGE(IPC!DH74:DS74)</f>
        <v>329.98333333333335</v>
      </c>
      <c r="M74" s="109">
        <f>+AVERAGE(IPC!DT74:EE74)</f>
        <v>385.92500000000001</v>
      </c>
      <c r="N74" s="109">
        <f>+AVERAGE(IPC!EF74:EQ74)</f>
        <v>460.40909090909082</v>
      </c>
      <c r="P74" s="181"/>
      <c r="Q74" s="181"/>
      <c r="R74" s="181"/>
      <c r="S74" s="181"/>
    </row>
    <row r="75" spans="1:19" s="109" customFormat="1" ht="10.199999999999999" x14ac:dyDescent="0.2">
      <c r="A75" s="32"/>
      <c r="B75" s="31" t="s">
        <v>73</v>
      </c>
      <c r="C75" s="108" t="s">
        <v>204</v>
      </c>
      <c r="D75" s="109" t="e">
        <f>+AVERAGE(IPC!P75:AA75)</f>
        <v>#DIV/0!</v>
      </c>
      <c r="E75" s="109" t="e">
        <f>+AVERAGE(IPC!AB75:AM75)</f>
        <v>#DIV/0!</v>
      </c>
      <c r="F75" s="109" t="e">
        <f>+AVERAGE(IPC!AN75:AY75)</f>
        <v>#DIV/0!</v>
      </c>
      <c r="G75" s="109">
        <f>+AVERAGE(IPC!AZ75:BK75)</f>
        <v>125.66416666666667</v>
      </c>
      <c r="H75" s="109">
        <f>+AVERAGE(IPC!BL75:BW75)</f>
        <v>128.54666666666668</v>
      </c>
      <c r="I75" s="109">
        <f>+AVERAGE(IPC!BX75:CI75)</f>
        <v>169.6825</v>
      </c>
      <c r="J75" s="109">
        <f>+AVERAGE(IPC!CJ75:CU75)</f>
        <v>226.30999999999997</v>
      </c>
      <c r="K75" s="109">
        <f>+AVERAGE(IPC!CV75:DG75)</f>
        <v>235.37285714285716</v>
      </c>
      <c r="L75" s="109">
        <f>+AVERAGE(IPC!DH75:DS75)</f>
        <v>254.04734572724195</v>
      </c>
      <c r="M75" s="109">
        <f>+AVERAGE(IPC!DT75:EE75)</f>
        <v>262.61696869441522</v>
      </c>
      <c r="N75" s="109">
        <f>+AVERAGE(IPC!EF75:EQ75)</f>
        <v>268.68711829616001</v>
      </c>
      <c r="P75" s="181"/>
      <c r="Q75" s="181"/>
      <c r="R75" s="181"/>
      <c r="S75" s="181"/>
    </row>
    <row r="76" spans="1:19" s="112" customFormat="1" ht="10.199999999999999" x14ac:dyDescent="0.2">
      <c r="A76" s="31"/>
      <c r="B76" s="31" t="s">
        <v>200</v>
      </c>
      <c r="C76" s="107" t="s">
        <v>207</v>
      </c>
      <c r="D76" s="112" t="e">
        <f>+AVERAGE(IPC!P76:AA76)</f>
        <v>#DIV/0!</v>
      </c>
      <c r="E76" s="112">
        <f>+AVERAGE(IPC!AB76:AM76)</f>
        <v>112.07272727272726</v>
      </c>
      <c r="F76" s="112">
        <f>+AVERAGE(IPC!AN76:AY76)</f>
        <v>128.9</v>
      </c>
      <c r="G76" s="112">
        <f>+AVERAGE(IPC!AZ76:BK76)</f>
        <v>151.00833333333333</v>
      </c>
      <c r="H76" s="112">
        <f>+AVERAGE(IPC!BL76:BW76)</f>
        <v>177.38333333333333</v>
      </c>
      <c r="I76" s="112">
        <f>+AVERAGE(IPC!BX76:CI76)</f>
        <v>199.33333333333334</v>
      </c>
      <c r="J76" s="112">
        <f>+AVERAGE(IPC!CJ76:CU76)</f>
        <v>368.94166666666661</v>
      </c>
      <c r="K76" s="112">
        <f>+AVERAGE(IPC!CV76:DG76)</f>
        <v>229</v>
      </c>
      <c r="L76" s="112" t="e">
        <f>+AVERAGE(IPC!DH76:DS76)</f>
        <v>#DIV/0!</v>
      </c>
      <c r="M76" s="112" t="e">
        <f>+AVERAGE(IPC!DT76:EE76)</f>
        <v>#DIV/0!</v>
      </c>
      <c r="N76" s="112">
        <f>+AVERAGE(IPC!EF76:EQ76)</f>
        <v>138.88555555555556</v>
      </c>
      <c r="P76" s="183"/>
      <c r="Q76" s="183"/>
      <c r="R76" s="183"/>
      <c r="S76" s="183"/>
    </row>
    <row r="77" spans="1:19" s="112" customFormat="1" ht="10.199999999999999" x14ac:dyDescent="0.2">
      <c r="A77" s="31"/>
      <c r="B77" s="31" t="s">
        <v>201</v>
      </c>
      <c r="C77" s="107" t="s">
        <v>208</v>
      </c>
      <c r="D77" s="112">
        <f>+AVERAGE(IPC!P79:AA79)</f>
        <v>131.125</v>
      </c>
      <c r="E77" s="112">
        <f>+AVERAGE(IPC!AB79:AM79)</f>
        <v>138.36083333333335</v>
      </c>
      <c r="F77" s="112">
        <f>+AVERAGE(IPC!AN79:AY79)</f>
        <v>144.78833333333333</v>
      </c>
      <c r="G77" s="112">
        <f>+AVERAGE(IPC!AZ79:BK79)</f>
        <v>154.47999999999999</v>
      </c>
      <c r="H77" s="112">
        <f>+AVERAGE(IPC!BL79:BW79)</f>
        <v>171.29250000000002</v>
      </c>
      <c r="I77" s="112">
        <f>+AVERAGE(IPC!BX79:CI79)</f>
        <v>202.50166666666667</v>
      </c>
      <c r="J77" s="112">
        <f>+AVERAGE(IPC!CJ79:CU79)</f>
        <v>236.8175</v>
      </c>
      <c r="K77" s="112">
        <f>+AVERAGE(IPC!CV79:DG79)</f>
        <v>260.97666666666669</v>
      </c>
      <c r="L77" s="112" t="e">
        <f>+AVERAGE(IPC!DH79:DS79)</f>
        <v>#DIV/0!</v>
      </c>
      <c r="M77" s="112" t="e">
        <f>+AVERAGE(IPC!DT79:EE79)</f>
        <v>#DIV/0!</v>
      </c>
      <c r="N77" s="112">
        <f>+AVERAGE(IPC!EF79:EQ79)</f>
        <v>388.46199999999999</v>
      </c>
      <c r="P77" s="183"/>
      <c r="Q77" s="183"/>
      <c r="R77" s="183"/>
      <c r="S77" s="183"/>
    </row>
    <row r="78" spans="1:19" x14ac:dyDescent="0.25">
      <c r="B78" s="106" t="s">
        <v>202</v>
      </c>
      <c r="D78" t="e">
        <f>+AVERAGE(IPC!P77:AA77)</f>
        <v>#DIV/0!</v>
      </c>
      <c r="E78" t="e">
        <f>+AVERAGE(IPC!AB77:AM77)</f>
        <v>#DIV/0!</v>
      </c>
      <c r="F78" t="e">
        <f>+AVERAGE(IPC!AN77:AY77)</f>
        <v>#DIV/0!</v>
      </c>
      <c r="G78" t="e">
        <f>+AVERAGE(IPC!AZ77:BK77)</f>
        <v>#DIV/0!</v>
      </c>
      <c r="H78" t="e">
        <f>+AVERAGE(IPC!BL77:BW77)</f>
        <v>#DIV/0!</v>
      </c>
      <c r="I78" t="e">
        <f>+AVERAGE(IPC!BX77:CI77)</f>
        <v>#DIV/0!</v>
      </c>
      <c r="J78" t="e">
        <f>+AVERAGE(IPC!CJ77:CU77)</f>
        <v>#DIV/0!</v>
      </c>
      <c r="K78" t="e">
        <f>+AVERAGE(IPC!CV77:DG77)</f>
        <v>#DIV/0!</v>
      </c>
      <c r="L78">
        <f>+AVERAGE(IPC!DH77:DS77)</f>
        <v>108.6875</v>
      </c>
      <c r="M78">
        <f>+AVERAGE(IPC!DT77:EE77)</f>
        <v>115.33250000000002</v>
      </c>
      <c r="N78">
        <f>+AVERAGE(IPC!EF77:EQ77)</f>
        <v>125.38444444444445</v>
      </c>
    </row>
    <row r="79" spans="1:19" x14ac:dyDescent="0.25">
      <c r="B79" s="106" t="s">
        <v>203</v>
      </c>
      <c r="D79" t="e">
        <f>+AVERAGE(IPC!P78:AA78)</f>
        <v>#DIV/0!</v>
      </c>
      <c r="E79" t="e">
        <f>+AVERAGE(IPC!AB78:AM78)</f>
        <v>#DIV/0!</v>
      </c>
      <c r="F79" t="e">
        <f>+AVERAGE(IPC!AN78:AY78)</f>
        <v>#DIV/0!</v>
      </c>
      <c r="G79" t="e">
        <f>+AVERAGE(IPC!AZ78:BK78)</f>
        <v>#DIV/0!</v>
      </c>
      <c r="H79" t="e">
        <f>+AVERAGE(IPC!BL78:BW78)</f>
        <v>#DIV/0!</v>
      </c>
      <c r="I79" t="e">
        <f>+AVERAGE(IPC!BX78:CI78)</f>
        <v>#DIV/0!</v>
      </c>
      <c r="J79" t="e">
        <f>+AVERAGE(IPC!CJ78:CU78)</f>
        <v>#DIV/0!</v>
      </c>
      <c r="K79" t="e">
        <f>+AVERAGE(IPC!CV78:DG78)</f>
        <v>#DIV/0!</v>
      </c>
      <c r="L79" t="e">
        <f>+AVERAGE(IPC!DH78:DS78)</f>
        <v>#DIV/0!</v>
      </c>
      <c r="M79" t="e">
        <f>+AVERAGE(IPC!DT78:EE78)</f>
        <v>#DIV/0!</v>
      </c>
      <c r="N79">
        <f>+AVERAGE(IPC!EF78:EQ78)</f>
        <v>137.73333333333335</v>
      </c>
    </row>
    <row r="81" spans="1:19" x14ac:dyDescent="0.25">
      <c r="B81" s="126" t="s">
        <v>213</v>
      </c>
      <c r="C81" s="42" t="s">
        <v>1</v>
      </c>
    </row>
    <row r="82" spans="1:19" x14ac:dyDescent="0.25">
      <c r="B82" t="s">
        <v>215</v>
      </c>
      <c r="C82" s="46">
        <v>0.33618963855426687</v>
      </c>
      <c r="D82" s="127">
        <v>108.318908982374</v>
      </c>
      <c r="E82" s="127">
        <v>111.158001765192</v>
      </c>
      <c r="F82" s="127">
        <v>113.29406019983701</v>
      </c>
      <c r="G82" s="127">
        <v>114.922122819496</v>
      </c>
      <c r="H82" s="127">
        <v>117.220567369674</v>
      </c>
      <c r="I82" s="127">
        <v>119.088050428682</v>
      </c>
      <c r="J82" s="127">
        <v>121.55887786611299</v>
      </c>
      <c r="K82" s="127">
        <v>125.08315438207499</v>
      </c>
      <c r="L82" s="127">
        <v>128.109443605623</v>
      </c>
    </row>
    <row r="83" spans="1:19" x14ac:dyDescent="0.25">
      <c r="B83" t="s">
        <v>52</v>
      </c>
      <c r="C83" s="46">
        <v>0.13926289891530905</v>
      </c>
      <c r="D83" s="127">
        <v>104.107058016154</v>
      </c>
      <c r="E83" s="127">
        <v>105.006246810607</v>
      </c>
      <c r="F83" s="127">
        <v>105.539425293424</v>
      </c>
      <c r="G83" s="127">
        <v>105.579017755019</v>
      </c>
      <c r="H83" s="127">
        <v>105.77258090059701</v>
      </c>
      <c r="I83" s="127">
        <v>106.864453008147</v>
      </c>
      <c r="J83" s="127">
        <v>108.842316422953</v>
      </c>
      <c r="K83" s="127">
        <v>110.04856675289</v>
      </c>
      <c r="L83" s="127">
        <v>110.572946910908</v>
      </c>
    </row>
    <row r="84" spans="1:19" x14ac:dyDescent="0.25">
      <c r="B84" t="s">
        <v>75</v>
      </c>
      <c r="C84" s="46">
        <v>9.0426584424616402E-2</v>
      </c>
      <c r="D84" s="127">
        <v>124.37389835487663</v>
      </c>
      <c r="E84" s="127">
        <v>134.93867508813159</v>
      </c>
      <c r="F84" s="127">
        <v>145.7981418918919</v>
      </c>
      <c r="G84" s="127">
        <v>158.93525998824913</v>
      </c>
      <c r="H84" s="127">
        <v>183.88109576968273</v>
      </c>
      <c r="I84" s="127">
        <v>214.22591069330201</v>
      </c>
      <c r="J84" s="127">
        <v>240.13476792009402</v>
      </c>
      <c r="K84" s="127">
        <v>267.50330493537018</v>
      </c>
      <c r="L84" s="127">
        <v>302.93863836662752</v>
      </c>
      <c r="M84">
        <v>354.16697267920091</v>
      </c>
      <c r="N84">
        <v>401.10990746180966</v>
      </c>
      <c r="O84">
        <v>448.33100763807289</v>
      </c>
      <c r="P84" s="178">
        <v>500.9464967685077</v>
      </c>
      <c r="Q84" s="178">
        <v>558.55519242068158</v>
      </c>
      <c r="R84" s="178">
        <v>622.78936545240902</v>
      </c>
    </row>
    <row r="85" spans="1:19" x14ac:dyDescent="0.25">
      <c r="B85" t="s">
        <v>217</v>
      </c>
      <c r="C85" s="46">
        <v>7.1209519195882379E-2</v>
      </c>
      <c r="D85" s="127">
        <v>118.995736617717</v>
      </c>
      <c r="E85" s="127">
        <v>132.161037923262</v>
      </c>
      <c r="F85" s="127">
        <v>140.949086340153</v>
      </c>
      <c r="G85" s="127">
        <v>147.865420572581</v>
      </c>
      <c r="H85" s="127">
        <v>155.18212147548201</v>
      </c>
      <c r="I85" s="127">
        <v>160.346851524588</v>
      </c>
      <c r="J85" s="127">
        <v>166.67264491806799</v>
      </c>
      <c r="K85" s="127">
        <v>172.87832831040501</v>
      </c>
      <c r="L85" s="127">
        <v>184.328815085944</v>
      </c>
    </row>
    <row r="86" spans="1:19" x14ac:dyDescent="0.25">
      <c r="B86" t="s">
        <v>220</v>
      </c>
      <c r="C86" s="46">
        <v>7.0822163021171877E-2</v>
      </c>
      <c r="D86" s="127">
        <v>106.93852129306801</v>
      </c>
      <c r="E86" s="127">
        <v>109.275006271572</v>
      </c>
      <c r="F86" s="127">
        <v>111.34592261312601</v>
      </c>
      <c r="G86" s="127">
        <v>110.34333613031001</v>
      </c>
      <c r="H86" s="127">
        <v>110.55094679111799</v>
      </c>
      <c r="I86" s="127">
        <v>111.286809151122</v>
      </c>
      <c r="J86" s="127">
        <v>112.47078677806201</v>
      </c>
      <c r="K86" s="127">
        <v>113.265649996346</v>
      </c>
      <c r="L86" s="127">
        <v>112.307493787832</v>
      </c>
    </row>
    <row r="87" spans="1:19" x14ac:dyDescent="0.25">
      <c r="B87" t="s">
        <v>218</v>
      </c>
      <c r="C87" s="46">
        <v>6.8745551014620501E-2</v>
      </c>
      <c r="D87" s="127">
        <v>104.854103924227</v>
      </c>
      <c r="E87" s="127">
        <v>107.48268991056101</v>
      </c>
      <c r="F87" s="127">
        <v>108.531758668693</v>
      </c>
      <c r="G87" s="127">
        <v>109.183218539311</v>
      </c>
      <c r="H87" s="127">
        <v>109.528965398018</v>
      </c>
      <c r="I87" s="127">
        <v>111.042062834942</v>
      </c>
      <c r="J87" s="127">
        <v>112.933662096136</v>
      </c>
      <c r="K87" s="127">
        <v>115.907994941178</v>
      </c>
      <c r="L87" s="127">
        <v>117.38287825161299</v>
      </c>
    </row>
    <row r="88" spans="1:19" x14ac:dyDescent="0.25">
      <c r="B88" t="s">
        <v>221</v>
      </c>
      <c r="C88" s="46">
        <v>6.4463311703936488E-2</v>
      </c>
      <c r="D88" s="127">
        <v>105.29150453286699</v>
      </c>
      <c r="E88" s="127">
        <v>106.83384887486601</v>
      </c>
      <c r="F88" s="127">
        <v>108.566932118964</v>
      </c>
      <c r="G88" s="127">
        <v>108.69572196069301</v>
      </c>
      <c r="H88" s="127">
        <v>110.06700893427001</v>
      </c>
      <c r="I88" s="127">
        <v>112.411557302308</v>
      </c>
      <c r="J88" s="127">
        <v>115.15730322479099</v>
      </c>
      <c r="K88" s="127">
        <v>117.244195476228</v>
      </c>
      <c r="L88" s="127">
        <v>118.69050157719801</v>
      </c>
    </row>
    <row r="89" spans="1:19" x14ac:dyDescent="0.25">
      <c r="B89" t="s">
        <v>219</v>
      </c>
      <c r="C89" s="46">
        <v>6.3978166066656128E-2</v>
      </c>
      <c r="D89" s="127">
        <v>106.23253472051699</v>
      </c>
      <c r="E89" s="127">
        <v>108.17169784175501</v>
      </c>
      <c r="F89" s="127">
        <v>108.378170652492</v>
      </c>
      <c r="G89" s="127">
        <v>111.17855991537</v>
      </c>
      <c r="H89" s="127">
        <v>112.60747858577901</v>
      </c>
      <c r="I89" s="127">
        <v>111.503599302035</v>
      </c>
      <c r="J89" s="127">
        <v>112.53854282114099</v>
      </c>
      <c r="K89" s="127">
        <v>113.31044197518</v>
      </c>
      <c r="L89" s="127">
        <v>115.381236062925</v>
      </c>
    </row>
    <row r="90" spans="1:19" x14ac:dyDescent="0.25">
      <c r="B90" t="s">
        <v>216</v>
      </c>
      <c r="C90" s="46">
        <v>4.7802826794914106E-2</v>
      </c>
      <c r="D90" s="127">
        <v>104.12534513840799</v>
      </c>
      <c r="E90" s="127">
        <v>105.692141052259</v>
      </c>
      <c r="F90" s="127">
        <v>106.65055521906299</v>
      </c>
      <c r="G90" s="127">
        <v>107.199187580619</v>
      </c>
      <c r="H90" s="127">
        <v>107.726338111313</v>
      </c>
      <c r="I90" s="127">
        <v>109.35246347718</v>
      </c>
      <c r="J90" s="127">
        <v>111.246631485772</v>
      </c>
      <c r="K90" s="127">
        <v>112.854887342124</v>
      </c>
      <c r="L90" s="127">
        <v>113.426711646605</v>
      </c>
    </row>
    <row r="91" spans="1:19" x14ac:dyDescent="0.25">
      <c r="B91" t="s">
        <v>214</v>
      </c>
      <c r="C91" s="46">
        <v>4.7099340308626357E-2</v>
      </c>
      <c r="D91" s="127">
        <v>106.47204478576</v>
      </c>
      <c r="E91" s="127">
        <v>107.657180793799</v>
      </c>
      <c r="F91" s="127">
        <v>108.02321825881</v>
      </c>
      <c r="G91" s="127">
        <v>108.62969209789701</v>
      </c>
      <c r="H91" s="127">
        <v>110.773882150291</v>
      </c>
      <c r="I91" s="127">
        <v>113.128902605325</v>
      </c>
      <c r="J91" s="127">
        <v>115.451625636977</v>
      </c>
      <c r="K91" s="127">
        <v>117.11045718797099</v>
      </c>
      <c r="L91" s="127">
        <v>117.978001866073</v>
      </c>
    </row>
    <row r="92" spans="1:19" s="110" customFormat="1" x14ac:dyDescent="0.25">
      <c r="A92" s="66"/>
      <c r="B92" s="67" t="s">
        <v>222</v>
      </c>
      <c r="C92" s="128">
        <f>+SUM(C82:C91)</f>
        <v>1</v>
      </c>
      <c r="D92" s="110">
        <f t="shared" ref="D92:L92" si="2">+SUMPRODUCT(D82:D91,$C$82:$C$91)</f>
        <v>108.99240283948158</v>
      </c>
      <c r="E92" s="110">
        <f t="shared" si="2"/>
        <v>112.66531513956593</v>
      </c>
      <c r="F92" s="110">
        <f t="shared" si="2"/>
        <v>115.47223567923518</v>
      </c>
      <c r="G92" s="110">
        <f t="shared" si="2"/>
        <v>117.92157708673766</v>
      </c>
      <c r="H92" s="110">
        <f t="shared" si="2"/>
        <v>121.84251048526365</v>
      </c>
      <c r="I92" s="110">
        <f t="shared" si="2"/>
        <v>126.15945268717248</v>
      </c>
      <c r="J92" s="110">
        <f t="shared" si="2"/>
        <v>130.71591829590247</v>
      </c>
      <c r="K92" s="110">
        <f t="shared" si="2"/>
        <v>135.58516432397084</v>
      </c>
      <c r="L92" s="110">
        <f t="shared" si="2"/>
        <v>141.02272579302814</v>
      </c>
      <c r="P92" s="182"/>
      <c r="Q92" s="182"/>
      <c r="R92" s="182"/>
      <c r="S92" s="182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/>
  <dimension ref="A1:FR130"/>
  <sheetViews>
    <sheetView zoomScale="110" zoomScaleNormal="110" workbookViewId="0">
      <pane xSplit="3" ySplit="4" topLeftCell="FB5" activePane="bottomRight" state="frozen"/>
      <selection pane="topRight" activeCell="D1" sqref="D1"/>
      <selection pane="bottomLeft" activeCell="A5" sqref="A5"/>
      <selection pane="bottomRight" activeCell="FK1" sqref="D1:FK1048576"/>
    </sheetView>
  </sheetViews>
  <sheetFormatPr baseColWidth="10" defaultColWidth="9.44140625" defaultRowHeight="13.2" x14ac:dyDescent="0.25"/>
  <cols>
    <col min="1" max="1" width="4.6640625" customWidth="1"/>
    <col min="2" max="2" width="39.33203125" customWidth="1"/>
    <col min="3" max="3" width="9.33203125" customWidth="1"/>
    <col min="4" max="4" width="6.44140625" bestFit="1" customWidth="1"/>
    <col min="5" max="5" width="6.109375" bestFit="1" customWidth="1"/>
    <col min="6" max="6" width="7" bestFit="1" customWidth="1"/>
    <col min="7" max="7" width="5.5546875" bestFit="1" customWidth="1"/>
    <col min="8" max="8" width="6.109375" bestFit="1" customWidth="1"/>
    <col min="9" max="9" width="6.44140625" bestFit="1" customWidth="1"/>
    <col min="10" max="10" width="6" bestFit="1" customWidth="1"/>
    <col min="11" max="11" width="6.5546875" bestFit="1" customWidth="1"/>
    <col min="12" max="12" width="6.33203125" bestFit="1" customWidth="1"/>
    <col min="13" max="13" width="5.44140625" bestFit="1" customWidth="1"/>
    <col min="14" max="14" width="5.88671875" bestFit="1" customWidth="1"/>
    <col min="15" max="15" width="5.6640625" bestFit="1" customWidth="1"/>
    <col min="16" max="16" width="6.44140625" bestFit="1" customWidth="1"/>
    <col min="17" max="17" width="6.109375" bestFit="1" customWidth="1"/>
    <col min="18" max="18" width="7" bestFit="1" customWidth="1"/>
    <col min="19" max="19" width="5.5546875" bestFit="1" customWidth="1"/>
    <col min="20" max="20" width="6.109375" bestFit="1" customWidth="1"/>
    <col min="21" max="21" width="6.44140625" bestFit="1" customWidth="1"/>
    <col min="22" max="22" width="6" bestFit="1" customWidth="1"/>
    <col min="23" max="23" width="6.5546875" bestFit="1" customWidth="1"/>
    <col min="24" max="24" width="6.33203125" bestFit="1" customWidth="1"/>
    <col min="25" max="25" width="5.44140625" bestFit="1" customWidth="1"/>
    <col min="26" max="26" width="5.88671875" bestFit="1" customWidth="1"/>
    <col min="27" max="27" width="5.6640625" bestFit="1" customWidth="1"/>
    <col min="28" max="28" width="6.44140625" bestFit="1" customWidth="1"/>
    <col min="29" max="29" width="6.109375" bestFit="1" customWidth="1"/>
    <col min="30" max="30" width="7" bestFit="1" customWidth="1"/>
    <col min="31" max="31" width="5.5546875" bestFit="1" customWidth="1"/>
    <col min="32" max="32" width="6.109375" bestFit="1" customWidth="1"/>
    <col min="33" max="33" width="6.44140625" bestFit="1" customWidth="1"/>
    <col min="34" max="34" width="6" bestFit="1" customWidth="1"/>
    <col min="35" max="35" width="6.5546875" bestFit="1" customWidth="1"/>
    <col min="36" max="36" width="6.33203125" bestFit="1" customWidth="1"/>
    <col min="37" max="37" width="5.44140625" bestFit="1" customWidth="1"/>
    <col min="38" max="38" width="5.88671875" bestFit="1" customWidth="1"/>
    <col min="39" max="39" width="5.6640625" bestFit="1" customWidth="1"/>
    <col min="40" max="40" width="6.44140625" bestFit="1" customWidth="1"/>
    <col min="41" max="41" width="6.109375" bestFit="1" customWidth="1"/>
    <col min="42" max="42" width="7" bestFit="1" customWidth="1"/>
    <col min="43" max="43" width="5.5546875" bestFit="1" customWidth="1"/>
    <col min="44" max="44" width="6.109375" bestFit="1" customWidth="1"/>
    <col min="45" max="45" width="6.44140625" bestFit="1" customWidth="1"/>
    <col min="46" max="46" width="6" bestFit="1" customWidth="1"/>
    <col min="47" max="47" width="6.5546875" bestFit="1" customWidth="1"/>
    <col min="48" max="48" width="6.33203125" bestFit="1" customWidth="1"/>
    <col min="49" max="49" width="5.44140625" bestFit="1" customWidth="1"/>
    <col min="50" max="50" width="5.88671875" bestFit="1" customWidth="1"/>
    <col min="51" max="51" width="5.6640625" bestFit="1" customWidth="1"/>
    <col min="52" max="52" width="6.44140625" bestFit="1" customWidth="1"/>
    <col min="53" max="53" width="6.109375" bestFit="1" customWidth="1"/>
    <col min="54" max="54" width="7" bestFit="1" customWidth="1"/>
    <col min="55" max="55" width="5.5546875" bestFit="1" customWidth="1"/>
    <col min="56" max="56" width="6.109375" bestFit="1" customWidth="1"/>
    <col min="57" max="57" width="6.44140625" bestFit="1" customWidth="1"/>
    <col min="58" max="58" width="6" bestFit="1" customWidth="1"/>
    <col min="59" max="59" width="6.5546875" bestFit="1" customWidth="1"/>
    <col min="60" max="60" width="6.33203125" bestFit="1" customWidth="1"/>
    <col min="61" max="61" width="5.44140625" bestFit="1" customWidth="1"/>
    <col min="62" max="62" width="5.88671875" bestFit="1" customWidth="1"/>
    <col min="63" max="63" width="5.6640625" bestFit="1" customWidth="1"/>
    <col min="64" max="64" width="6.44140625" bestFit="1" customWidth="1"/>
    <col min="65" max="65" width="6.109375" bestFit="1" customWidth="1"/>
    <col min="66" max="66" width="7" bestFit="1" customWidth="1"/>
    <col min="67" max="67" width="5.5546875" bestFit="1" customWidth="1"/>
    <col min="68" max="68" width="6.109375" bestFit="1" customWidth="1"/>
    <col min="69" max="69" width="6.44140625" bestFit="1" customWidth="1"/>
    <col min="70" max="70" width="6" bestFit="1" customWidth="1"/>
    <col min="71" max="71" width="6.5546875" bestFit="1" customWidth="1"/>
    <col min="72" max="72" width="6.33203125" bestFit="1" customWidth="1"/>
    <col min="73" max="73" width="5.44140625" bestFit="1" customWidth="1"/>
    <col min="74" max="74" width="5.88671875" bestFit="1" customWidth="1"/>
    <col min="75" max="75" width="5.6640625" bestFit="1" customWidth="1"/>
    <col min="76" max="76" width="6.44140625" bestFit="1" customWidth="1"/>
    <col min="77" max="77" width="6.109375" bestFit="1" customWidth="1"/>
    <col min="78" max="78" width="7" bestFit="1" customWidth="1"/>
    <col min="79" max="79" width="5.5546875" bestFit="1" customWidth="1"/>
    <col min="80" max="80" width="6.109375" bestFit="1" customWidth="1"/>
    <col min="81" max="81" width="6.44140625" bestFit="1" customWidth="1"/>
    <col min="82" max="82" width="6" bestFit="1" customWidth="1"/>
    <col min="83" max="83" width="6.5546875" bestFit="1" customWidth="1"/>
    <col min="84" max="84" width="6.33203125" bestFit="1" customWidth="1"/>
    <col min="85" max="85" width="5.44140625" bestFit="1" customWidth="1"/>
    <col min="86" max="86" width="5.88671875" bestFit="1" customWidth="1"/>
    <col min="87" max="87" width="5.6640625" bestFit="1" customWidth="1"/>
    <col min="88" max="88" width="6.44140625" bestFit="1" customWidth="1"/>
    <col min="89" max="89" width="6.109375" bestFit="1" customWidth="1"/>
    <col min="90" max="90" width="7" bestFit="1" customWidth="1"/>
    <col min="91" max="91" width="5.5546875" bestFit="1" customWidth="1"/>
    <col min="92" max="92" width="6.109375" bestFit="1" customWidth="1"/>
    <col min="93" max="93" width="6.44140625" bestFit="1" customWidth="1"/>
    <col min="94" max="94" width="6" bestFit="1" customWidth="1"/>
    <col min="95" max="95" width="6.5546875" bestFit="1" customWidth="1"/>
    <col min="96" max="96" width="6.33203125" bestFit="1" customWidth="1"/>
    <col min="97" max="97" width="5.44140625" bestFit="1" customWidth="1"/>
    <col min="98" max="98" width="5.88671875" bestFit="1" customWidth="1"/>
    <col min="99" max="99" width="5.6640625" bestFit="1" customWidth="1"/>
    <col min="100" max="100" width="6.44140625" bestFit="1" customWidth="1"/>
    <col min="101" max="101" width="6.109375" bestFit="1" customWidth="1"/>
    <col min="102" max="102" width="7" bestFit="1" customWidth="1"/>
    <col min="103" max="103" width="5.5546875" bestFit="1" customWidth="1"/>
    <col min="104" max="104" width="6.109375" bestFit="1" customWidth="1"/>
    <col min="105" max="105" width="6.44140625" bestFit="1" customWidth="1"/>
    <col min="106" max="106" width="6" bestFit="1" customWidth="1"/>
    <col min="107" max="107" width="6.5546875" bestFit="1" customWidth="1"/>
    <col min="108" max="108" width="6.33203125" bestFit="1" customWidth="1"/>
    <col min="109" max="109" width="5.44140625" bestFit="1" customWidth="1"/>
    <col min="110" max="110" width="5.88671875" bestFit="1" customWidth="1"/>
    <col min="111" max="111" width="5.6640625" bestFit="1" customWidth="1"/>
    <col min="112" max="112" width="6.44140625" bestFit="1" customWidth="1"/>
    <col min="113" max="113" width="6.109375" bestFit="1" customWidth="1"/>
    <col min="114" max="114" width="7" bestFit="1" customWidth="1"/>
    <col min="115" max="115" width="5.5546875" bestFit="1" customWidth="1"/>
    <col min="116" max="116" width="6.109375" bestFit="1" customWidth="1"/>
    <col min="117" max="117" width="6.44140625" bestFit="1" customWidth="1"/>
    <col min="118" max="118" width="6" bestFit="1" customWidth="1"/>
    <col min="119" max="119" width="6.5546875" bestFit="1" customWidth="1"/>
    <col min="120" max="120" width="6.33203125" bestFit="1" customWidth="1"/>
    <col min="121" max="121" width="5.44140625" bestFit="1" customWidth="1"/>
    <col min="122" max="122" width="5.88671875" bestFit="1" customWidth="1"/>
    <col min="123" max="123" width="5.6640625" bestFit="1" customWidth="1"/>
    <col min="124" max="124" width="6.44140625" bestFit="1" customWidth="1"/>
    <col min="125" max="125" width="6.109375" bestFit="1" customWidth="1"/>
    <col min="126" max="126" width="7" bestFit="1" customWidth="1"/>
    <col min="127" max="127" width="5.5546875" bestFit="1" customWidth="1"/>
    <col min="128" max="128" width="6.109375" bestFit="1" customWidth="1"/>
    <col min="129" max="129" width="6.44140625" bestFit="1" customWidth="1"/>
    <col min="130" max="130" width="6" bestFit="1" customWidth="1"/>
    <col min="131" max="131" width="6.5546875" bestFit="1" customWidth="1"/>
    <col min="132" max="132" width="6.33203125" bestFit="1" customWidth="1"/>
    <col min="133" max="133" width="5.44140625" bestFit="1" customWidth="1"/>
    <col min="134" max="134" width="5.88671875" bestFit="1" customWidth="1"/>
    <col min="135" max="135" width="5.6640625" bestFit="1" customWidth="1"/>
    <col min="136" max="136" width="6.44140625" bestFit="1" customWidth="1"/>
    <col min="137" max="137" width="6.109375" bestFit="1" customWidth="1"/>
    <col min="138" max="138" width="7" bestFit="1" customWidth="1"/>
    <col min="139" max="139" width="5.5546875" bestFit="1" customWidth="1"/>
    <col min="140" max="140" width="6.109375" bestFit="1" customWidth="1"/>
    <col min="141" max="141" width="6.44140625" bestFit="1" customWidth="1"/>
    <col min="142" max="142" width="6" bestFit="1" customWidth="1"/>
    <col min="143" max="143" width="6.5546875" bestFit="1" customWidth="1"/>
    <col min="144" max="144" width="6.33203125" bestFit="1" customWidth="1"/>
    <col min="145" max="145" width="5.44140625" bestFit="1" customWidth="1"/>
    <col min="146" max="146" width="5.88671875" bestFit="1" customWidth="1"/>
    <col min="147" max="147" width="5.6640625" bestFit="1" customWidth="1"/>
    <col min="148" max="148" width="6.44140625" bestFit="1" customWidth="1"/>
    <col min="149" max="149" width="6.109375" bestFit="1" customWidth="1"/>
    <col min="150" max="150" width="7" bestFit="1" customWidth="1"/>
    <col min="151" max="151" width="5.5546875" bestFit="1" customWidth="1"/>
    <col min="152" max="152" width="6.109375" bestFit="1" customWidth="1"/>
    <col min="153" max="153" width="6.44140625" bestFit="1" customWidth="1"/>
    <col min="154" max="154" width="6" bestFit="1" customWidth="1"/>
    <col min="155" max="155" width="6.5546875" bestFit="1" customWidth="1"/>
    <col min="156" max="156" width="6.33203125" bestFit="1" customWidth="1"/>
    <col min="157" max="157" width="5.44140625" bestFit="1" customWidth="1"/>
    <col min="158" max="158" width="5.88671875" bestFit="1" customWidth="1"/>
    <col min="159" max="159" width="5.6640625" bestFit="1" customWidth="1"/>
    <col min="160" max="160" width="6.44140625" bestFit="1" customWidth="1"/>
    <col min="161" max="161" width="6.109375" bestFit="1" customWidth="1"/>
    <col min="162" max="162" width="7" bestFit="1" customWidth="1"/>
    <col min="163" max="163" width="5.5546875" bestFit="1" customWidth="1"/>
    <col min="164" max="164" width="6.109375" bestFit="1" customWidth="1"/>
    <col min="165" max="165" width="6.44140625" bestFit="1" customWidth="1"/>
    <col min="166" max="166" width="6" bestFit="1" customWidth="1"/>
    <col min="167" max="167" width="6.5546875" bestFit="1" customWidth="1"/>
    <col min="168" max="174" width="7.5546875" customWidth="1"/>
  </cols>
  <sheetData>
    <row r="1" spans="1:174" s="1" customFormat="1" ht="10.8" thickBot="1" x14ac:dyDescent="0.25"/>
    <row r="2" spans="1:174" s="2" customFormat="1" ht="33" thickTop="1" thickBot="1" x14ac:dyDescent="0.55000000000000004">
      <c r="B2" s="2" t="s">
        <v>99</v>
      </c>
    </row>
    <row r="3" spans="1:174" s="1" customFormat="1" ht="11.4" thickTop="1" thickBot="1" x14ac:dyDescent="0.25"/>
    <row r="4" spans="1:174" s="24" customFormat="1" ht="13.8" thickBot="1" x14ac:dyDescent="0.3">
      <c r="A4" s="24" t="s">
        <v>8</v>
      </c>
      <c r="B4" s="21" t="s">
        <v>0</v>
      </c>
      <c r="C4" s="22" t="s">
        <v>1</v>
      </c>
      <c r="D4" s="23">
        <v>40544</v>
      </c>
      <c r="E4" s="23">
        <v>40575</v>
      </c>
      <c r="F4" s="23">
        <v>40603</v>
      </c>
      <c r="G4" s="23">
        <v>40634</v>
      </c>
      <c r="H4" s="23">
        <v>40664</v>
      </c>
      <c r="I4" s="23">
        <v>40695</v>
      </c>
      <c r="J4" s="23">
        <v>40725</v>
      </c>
      <c r="K4" s="23">
        <v>40756</v>
      </c>
      <c r="L4" s="23">
        <v>40787</v>
      </c>
      <c r="M4" s="23">
        <v>40817</v>
      </c>
      <c r="N4" s="23">
        <v>40848</v>
      </c>
      <c r="O4" s="23">
        <v>40878</v>
      </c>
      <c r="P4" s="23">
        <v>40909</v>
      </c>
      <c r="Q4" s="23">
        <v>40940</v>
      </c>
      <c r="R4" s="23">
        <v>40969</v>
      </c>
      <c r="S4" s="23">
        <v>41000</v>
      </c>
      <c r="T4" s="23">
        <v>41030</v>
      </c>
      <c r="U4" s="23">
        <v>41061</v>
      </c>
      <c r="V4" s="23">
        <v>41091</v>
      </c>
      <c r="W4" s="23">
        <v>41122</v>
      </c>
      <c r="X4" s="23">
        <v>41153</v>
      </c>
      <c r="Y4" s="23">
        <v>41183</v>
      </c>
      <c r="Z4" s="23">
        <v>41214</v>
      </c>
      <c r="AA4" s="23">
        <v>41244</v>
      </c>
      <c r="AB4" s="23">
        <v>41275</v>
      </c>
      <c r="AC4" s="23">
        <v>41306</v>
      </c>
      <c r="AD4" s="23">
        <v>41334</v>
      </c>
      <c r="AE4" s="23">
        <v>41365</v>
      </c>
      <c r="AF4" s="23">
        <v>41395</v>
      </c>
      <c r="AG4" s="23">
        <v>41426</v>
      </c>
      <c r="AH4" s="23">
        <v>41456</v>
      </c>
      <c r="AI4" s="23">
        <v>41487</v>
      </c>
      <c r="AJ4" s="23">
        <v>41518</v>
      </c>
      <c r="AK4" s="23">
        <v>41548</v>
      </c>
      <c r="AL4" s="23">
        <v>41579</v>
      </c>
      <c r="AM4" s="23">
        <v>41609</v>
      </c>
      <c r="AN4" s="23">
        <v>41640</v>
      </c>
      <c r="AO4" s="23">
        <v>41671</v>
      </c>
      <c r="AP4" s="23">
        <v>41699</v>
      </c>
      <c r="AQ4" s="23">
        <v>41730</v>
      </c>
      <c r="AR4" s="23">
        <v>41760</v>
      </c>
      <c r="AS4" s="23">
        <v>41791</v>
      </c>
      <c r="AT4" s="23">
        <v>41821</v>
      </c>
      <c r="AU4" s="23">
        <v>41852</v>
      </c>
      <c r="AV4" s="23">
        <v>41883</v>
      </c>
      <c r="AW4" s="23">
        <v>41913</v>
      </c>
      <c r="AX4" s="23">
        <v>41944</v>
      </c>
      <c r="AY4" s="23">
        <v>41974</v>
      </c>
      <c r="AZ4" s="23">
        <v>42005</v>
      </c>
      <c r="BA4" s="23">
        <v>42036</v>
      </c>
      <c r="BB4" s="23">
        <v>42064</v>
      </c>
      <c r="BC4" s="23">
        <v>42095</v>
      </c>
      <c r="BD4" s="23">
        <v>42125</v>
      </c>
      <c r="BE4" s="23">
        <v>42156</v>
      </c>
      <c r="BF4" s="23">
        <v>42186</v>
      </c>
      <c r="BG4" s="23">
        <v>42217</v>
      </c>
      <c r="BH4" s="23">
        <v>42248</v>
      </c>
      <c r="BI4" s="23">
        <v>42278</v>
      </c>
      <c r="BJ4" s="23">
        <v>42309</v>
      </c>
      <c r="BK4" s="23">
        <v>42339</v>
      </c>
      <c r="BL4" s="23">
        <v>42370</v>
      </c>
      <c r="BM4" s="23">
        <v>42401</v>
      </c>
      <c r="BN4" s="23">
        <v>42430</v>
      </c>
      <c r="BO4" s="23">
        <v>42461</v>
      </c>
      <c r="BP4" s="23">
        <v>42491</v>
      </c>
      <c r="BQ4" s="23">
        <v>42522</v>
      </c>
      <c r="BR4" s="23">
        <v>42552</v>
      </c>
      <c r="BS4" s="23">
        <v>42583</v>
      </c>
      <c r="BT4" s="23">
        <v>42614</v>
      </c>
      <c r="BU4" s="23">
        <v>42644</v>
      </c>
      <c r="BV4" s="23">
        <v>42675</v>
      </c>
      <c r="BW4" s="23">
        <v>42705</v>
      </c>
      <c r="BX4" s="23">
        <v>42736</v>
      </c>
      <c r="BY4" s="23">
        <v>42767</v>
      </c>
      <c r="BZ4" s="23">
        <v>42795</v>
      </c>
      <c r="CA4" s="23">
        <v>42826</v>
      </c>
      <c r="CB4" s="23">
        <v>42856</v>
      </c>
      <c r="CC4" s="23">
        <v>42887</v>
      </c>
      <c r="CD4" s="23">
        <v>42917</v>
      </c>
      <c r="CE4" s="23">
        <v>42948</v>
      </c>
      <c r="CF4" s="23">
        <v>42979</v>
      </c>
      <c r="CG4" s="23">
        <v>43009</v>
      </c>
      <c r="CH4" s="23">
        <v>43040</v>
      </c>
      <c r="CI4" s="23">
        <v>43070</v>
      </c>
      <c r="CJ4" s="23">
        <v>43101</v>
      </c>
      <c r="CK4" s="23">
        <v>43132</v>
      </c>
      <c r="CL4" s="23">
        <v>43160</v>
      </c>
      <c r="CM4" s="23">
        <v>43191</v>
      </c>
      <c r="CN4" s="23">
        <v>43221</v>
      </c>
      <c r="CO4" s="23">
        <v>43252</v>
      </c>
      <c r="CP4" s="23">
        <v>43282</v>
      </c>
      <c r="CQ4" s="23">
        <v>43313</v>
      </c>
      <c r="CR4" s="23">
        <v>43344</v>
      </c>
      <c r="CS4" s="23">
        <v>43374</v>
      </c>
      <c r="CT4" s="23">
        <v>43405</v>
      </c>
      <c r="CU4" s="23">
        <v>43435</v>
      </c>
      <c r="CV4" s="23">
        <v>43466</v>
      </c>
      <c r="CW4" s="23">
        <v>43497</v>
      </c>
      <c r="CX4" s="23">
        <v>43525</v>
      </c>
      <c r="CY4" s="23">
        <v>43556</v>
      </c>
      <c r="CZ4" s="23">
        <v>43586</v>
      </c>
      <c r="DA4" s="23">
        <v>43617</v>
      </c>
      <c r="DB4" s="23">
        <v>43647</v>
      </c>
      <c r="DC4" s="23">
        <v>43678</v>
      </c>
      <c r="DD4" s="23">
        <v>43709</v>
      </c>
      <c r="DE4" s="23">
        <v>43739</v>
      </c>
      <c r="DF4" s="23">
        <v>43770</v>
      </c>
      <c r="DG4" s="23">
        <v>43800</v>
      </c>
      <c r="DH4" s="23">
        <v>43831</v>
      </c>
      <c r="DI4" s="23">
        <v>43862</v>
      </c>
      <c r="DJ4" s="23">
        <v>43891</v>
      </c>
      <c r="DK4" s="23">
        <v>43922</v>
      </c>
      <c r="DL4" s="23">
        <v>43952</v>
      </c>
      <c r="DM4" s="23">
        <v>43983</v>
      </c>
      <c r="DN4" s="23">
        <v>44013</v>
      </c>
      <c r="DO4" s="23">
        <v>44044</v>
      </c>
      <c r="DP4" s="23">
        <v>44075</v>
      </c>
      <c r="DQ4" s="23">
        <v>44105</v>
      </c>
      <c r="DR4" s="23">
        <v>44136</v>
      </c>
      <c r="DS4" s="23">
        <v>44166</v>
      </c>
      <c r="DT4" s="23">
        <v>44197</v>
      </c>
      <c r="DU4" s="23">
        <v>44228</v>
      </c>
      <c r="DV4" s="23">
        <v>44256</v>
      </c>
      <c r="DW4" s="23">
        <v>44287</v>
      </c>
      <c r="DX4" s="23">
        <v>44317</v>
      </c>
      <c r="DY4" s="23">
        <v>44348</v>
      </c>
      <c r="DZ4" s="23">
        <v>44378</v>
      </c>
      <c r="EA4" s="23">
        <v>44409</v>
      </c>
      <c r="EB4" s="23">
        <v>44440</v>
      </c>
      <c r="EC4" s="23">
        <v>44470</v>
      </c>
      <c r="ED4" s="23">
        <v>44501</v>
      </c>
      <c r="EE4" s="23">
        <v>44531</v>
      </c>
      <c r="EF4" s="23">
        <v>44562</v>
      </c>
      <c r="EG4" s="23">
        <v>44593</v>
      </c>
      <c r="EH4" s="23">
        <v>44621</v>
      </c>
      <c r="EI4" s="23">
        <v>44652</v>
      </c>
      <c r="EJ4" s="23">
        <v>44682</v>
      </c>
      <c r="EK4" s="23">
        <v>44713</v>
      </c>
      <c r="EL4" s="23">
        <v>44743</v>
      </c>
      <c r="EM4" s="23">
        <v>44774</v>
      </c>
      <c r="EN4" s="23">
        <v>44805</v>
      </c>
      <c r="EO4" s="23">
        <v>44835</v>
      </c>
      <c r="EP4" s="23">
        <v>44866</v>
      </c>
      <c r="EQ4" s="23">
        <v>44896</v>
      </c>
      <c r="ER4" s="23">
        <v>44927</v>
      </c>
      <c r="ES4" s="23">
        <v>44958</v>
      </c>
      <c r="ET4" s="23">
        <v>44986</v>
      </c>
      <c r="EU4" s="23">
        <v>45017</v>
      </c>
      <c r="EV4" s="23">
        <v>45047</v>
      </c>
      <c r="EW4" s="23">
        <v>45078</v>
      </c>
      <c r="EX4" s="23">
        <v>45108</v>
      </c>
      <c r="EY4" s="23">
        <v>45139</v>
      </c>
      <c r="EZ4" s="23">
        <v>45170</v>
      </c>
      <c r="FA4" s="23">
        <v>45200</v>
      </c>
      <c r="FB4" s="23">
        <v>45231</v>
      </c>
      <c r="FC4" s="23">
        <v>45261</v>
      </c>
      <c r="FD4" s="23">
        <v>45292</v>
      </c>
      <c r="FE4" s="23">
        <v>45323</v>
      </c>
      <c r="FF4" s="23">
        <v>45352</v>
      </c>
      <c r="FG4" s="23">
        <v>45383</v>
      </c>
      <c r="FH4" s="23">
        <v>45413</v>
      </c>
      <c r="FI4" s="23">
        <v>45444</v>
      </c>
      <c r="FJ4" s="23">
        <v>45474</v>
      </c>
      <c r="FK4" s="23">
        <v>45505</v>
      </c>
      <c r="FL4" s="23">
        <v>45536</v>
      </c>
      <c r="FM4" s="23">
        <v>45566</v>
      </c>
      <c r="FN4" s="23">
        <v>45597</v>
      </c>
      <c r="FO4" s="23">
        <v>45627</v>
      </c>
      <c r="FP4" s="23">
        <v>45658</v>
      </c>
      <c r="FQ4" s="23">
        <v>45689</v>
      </c>
      <c r="FR4" s="23">
        <v>45717</v>
      </c>
    </row>
    <row r="5" spans="1:174" s="1" customFormat="1" ht="10.199999999999999" x14ac:dyDescent="0.2">
      <c r="A5" s="11" t="s">
        <v>9</v>
      </c>
      <c r="B5" s="1" t="s">
        <v>256</v>
      </c>
      <c r="C5" s="5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>
        <f>IF(OR(IPC!AN5="",IPC!AB5=""),"",AVERAGE(IPC!AC5:AN5)/AVERAGE(IPC!Q5:AB5)-1)</f>
        <v>2.9291553674122062E-2</v>
      </c>
      <c r="AO5" s="31">
        <f>IF(OR(IPC!AO5="",IPC!AC5=""),"",AVERAGE(IPC!AD5:AO5)/AVERAGE(IPC!R5:AC5)-1)</f>
        <v>2.7289294678412457E-2</v>
      </c>
      <c r="AP5" s="31">
        <f>IF(OR(IPC!AP5="",IPC!AD5=""),"",AVERAGE(IPC!AE5:AP5)/AVERAGE(IPC!S5:AD5)-1)</f>
        <v>2.5428759609076979E-2</v>
      </c>
      <c r="AQ5" s="31">
        <f>IF(OR(IPC!AQ5="",IPC!AE5=""),"",AVERAGE(IPC!AF5:AQ5)/AVERAGE(IPC!T5:AE5)-1)</f>
        <v>2.3925000992232714E-2</v>
      </c>
      <c r="AR5" s="31">
        <f>IF(OR(IPC!AR5="",IPC!AF5=""),"",AVERAGE(IPC!AG5:AR5)/AVERAGE(IPC!U5:AF5)-1)</f>
        <v>2.2787995120603588E-2</v>
      </c>
      <c r="AS5" s="31">
        <f>IF(OR(IPC!AS5="",IPC!AG5=""),"",AVERAGE(IPC!AH5:AS5)/AVERAGE(IPC!V5:AG5)-1)</f>
        <v>2.0480570055068759E-2</v>
      </c>
      <c r="AT5" s="31">
        <f>IF(OR(IPC!AT5="",IPC!AH5=""),"",AVERAGE(IPC!AI5:AT5)/AVERAGE(IPC!W5:AH5)-1)</f>
        <v>1.9534913673409093E-2</v>
      </c>
      <c r="AU5" s="31">
        <f>IF(OR(IPC!AU5="",IPC!AI5=""),"",AVERAGE(IPC!AJ5:AU5)/AVERAGE(IPC!X5:AI5)-1)</f>
        <v>1.7862492719438627E-2</v>
      </c>
      <c r="AV5" s="31">
        <f>IF(OR(IPC!AV5="",IPC!AJ5=""),"",AVERAGE(IPC!AK5:AV5)/AVERAGE(IPC!Y5:AJ5)-1)</f>
        <v>1.5833633315246454E-2</v>
      </c>
      <c r="AW5" s="31">
        <f>IF(OR(IPC!AW5="",IPC!AK5=""),"",AVERAGE(IPC!AL5:AW5)/AVERAGE(IPC!Z5:AK5)-1)</f>
        <v>1.2829467778113779E-2</v>
      </c>
      <c r="AX5" s="31">
        <f>IF(OR(IPC!AX5="",IPC!AL5=""),"",AVERAGE(IPC!AM5:AX5)/AVERAGE(IPC!AA5:AL5)-1)</f>
        <v>9.2550427191988582E-3</v>
      </c>
      <c r="AY5" s="31">
        <f>IF(OR(IPC!AY5="",IPC!AM5=""),"",AVERAGE(IPC!AN5:AY5)/AVERAGE(IPC!AB5:AM5)-1)</f>
        <v>7.5710329899334461E-3</v>
      </c>
      <c r="AZ5" s="31">
        <f>IF(OR(IPC!AZ5="",IPC!AN5=""),"",AVERAGE(IPC!AO5:AZ5)/AVERAGE(IPC!AC5:AN5)-1)</f>
        <v>7.401160793987005E-3</v>
      </c>
      <c r="BA5" s="31">
        <f>IF(OR(IPC!BA5="",IPC!AO5=""),"",AVERAGE(IPC!AP5:BA5)/AVERAGE(IPC!AD5:AO5)-1)</f>
        <v>6.9258821709172746E-3</v>
      </c>
      <c r="BB5" s="31">
        <f>IF(OR(IPC!BB5="",IPC!AP5=""),"",AVERAGE(IPC!AQ5:BB5)/AVERAGE(IPC!AE5:AP5)-1)</f>
        <v>6.5152800315939619E-3</v>
      </c>
      <c r="BC5" s="31">
        <f>IF(OR(IPC!BC5="",IPC!AQ5=""),"",AVERAGE(IPC!AR5:BC5)/AVERAGE(IPC!AF5:AQ5)-1)</f>
        <v>7.7121201853509458E-3</v>
      </c>
      <c r="BD5" s="31">
        <f>IF(OR(IPC!BD5="",IPC!AR5=""),"",AVERAGE(IPC!AS5:BD5)/AVERAGE(IPC!AG5:AR5)-1)</f>
        <v>8.2069478706170429E-3</v>
      </c>
      <c r="BE5" s="31">
        <f>IF(OR(IPC!BE5="",IPC!AS5=""),"",AVERAGE(IPC!AT5:BE5)/AVERAGE(IPC!AH5:AS5)-1)</f>
        <v>1.038242737826045E-2</v>
      </c>
      <c r="BF5" s="31">
        <f>IF(OR(IPC!BF5="",IPC!AT5=""),"",AVERAGE(IPC!AU5:BF5)/AVERAGE(IPC!AI5:AT5)-1)</f>
        <v>1.1371682139319939E-2</v>
      </c>
      <c r="BG5" s="31">
        <f>IF(OR(IPC!BG5="",IPC!AU5=""),"",AVERAGE(IPC!AV5:BG5)/AVERAGE(IPC!AJ5:AU5)-1)</f>
        <v>1.2644066318236113E-2</v>
      </c>
      <c r="BH5" s="31">
        <f>IF(OR(IPC!BH5="",IPC!AV5=""),"",AVERAGE(IPC!AW5:BH5)/AVERAGE(IPC!AK5:AV5)-1)</f>
        <v>1.4565903295514548E-2</v>
      </c>
      <c r="BI5" s="31">
        <f>IF(OR(IPC!BI5="",IPC!AW5=""),"",AVERAGE(IPC!AX5:BI5)/AVERAGE(IPC!AL5:AW5)-1)</f>
        <v>1.7602434865098937E-2</v>
      </c>
      <c r="BJ5" s="31">
        <f>IF(OR(IPC!BJ5="",IPC!AX5=""),"",AVERAGE(IPC!AY5:BJ5)/AVERAGE(IPC!AM5:AX5)-1)</f>
        <v>1.9180767164960644E-2</v>
      </c>
      <c r="BK5" s="31">
        <f>IF(OR(IPC!BK5="",IPC!AY5=""),"",AVERAGE(IPC!AZ5:BK5)/AVERAGE(IPC!AN5:AY5)-1)</f>
        <v>2.0371714654395578E-2</v>
      </c>
      <c r="BL5" s="31">
        <f>IF(OR(IPC!BL5="",IPC!AZ5=""),"",AVERAGE(IPC!BA5:BL5)/AVERAGE(IPC!AO5:AZ5)-1)</f>
        <v>2.1175566309757698E-2</v>
      </c>
      <c r="BM5" s="31">
        <f>IF(OR(IPC!BM5="",IPC!BA5=""),"",AVERAGE(IPC!BB5:BM5)/AVERAGE(IPC!AP5:BA5)-1)</f>
        <v>2.1817068399935469E-2</v>
      </c>
      <c r="BN5" s="31">
        <f>IF(OR(IPC!BN5="",IPC!BB5=""),"",AVERAGE(IPC!BC5:BN5)/AVERAGE(IPC!AQ5:BB5)-1)</f>
        <v>2.2751482961880676E-2</v>
      </c>
      <c r="BO5" s="31">
        <f>IF(OR(IPC!BO5="",IPC!BC5=""),"",AVERAGE(IPC!BD5:BO5)/AVERAGE(IPC!AR5:BC5)-1)</f>
        <v>2.1965420561715687E-2</v>
      </c>
      <c r="BP5" s="31">
        <f>IF(OR(IPC!BP5="",IPC!BD5=""),"",AVERAGE(IPC!BE5:BP5)/AVERAGE(IPC!AS5:BD5)-1)</f>
        <v>2.2399498957056618E-2</v>
      </c>
      <c r="BQ5" s="31">
        <f>IF(OR(IPC!BQ5="",IPC!BE5=""),"",AVERAGE(IPC!BF5:BQ5)/AVERAGE(IPC!AT5:BE5)-1)</f>
        <v>2.1206374047092469E-2</v>
      </c>
      <c r="BR5" s="31">
        <f>IF(OR(IPC!BR5="",IPC!BF5=""),"",AVERAGE(IPC!BG5:BR5)/AVERAGE(IPC!AU5:BF5)-1)</f>
        <v>1.914207892706643E-2</v>
      </c>
      <c r="BS5" s="31">
        <f>IF(OR(IPC!BS5="",IPC!BG5=""),"",AVERAGE(IPC!BH5:BS5)/AVERAGE(IPC!AV5:BG5)-1)</f>
        <v>1.8405726741032691E-2</v>
      </c>
      <c r="BT5" s="31">
        <f>IF(OR(IPC!BT5="",IPC!BH5=""),"",AVERAGE(IPC!BI5:BT5)/AVERAGE(IPC!AW5:BH5)-1)</f>
        <v>1.6969032986854149E-2</v>
      </c>
      <c r="BU5" s="31">
        <f>IF(OR(IPC!BU5="",IPC!BI5=""),"",AVERAGE(IPC!BJ5:BU5)/AVERAGE(IPC!AX5:BI5)-1)</f>
        <v>1.3823735600450471E-2</v>
      </c>
      <c r="BV5" s="31">
        <f>IF(OR(IPC!BV5="",IPC!BJ5=""),"",AVERAGE(IPC!BK5:BV5)/AVERAGE(IPC!AY5:BJ5)-1)</f>
        <v>1.2664506363791128E-2</v>
      </c>
      <c r="BW5" s="31">
        <f>IF(OR(IPC!BW5="",IPC!BK5=""),"",AVERAGE(IPC!BL5:BW5)/AVERAGE(IPC!AZ5:BK5)-1)</f>
        <v>1.0791610280629804E-2</v>
      </c>
      <c r="BX5" s="31">
        <f>IF(OR(IPC!BX5="",IPC!BL5=""),"",AVERAGE(IPC!BM5:BX5)/AVERAGE(IPC!BA5:BL5)-1)</f>
        <v>8.7088591341399901E-3</v>
      </c>
      <c r="BY5" s="31">
        <f>IF(OR(IPC!BY5="",IPC!BM5=""),"",AVERAGE(IPC!BN5:BY5)/AVERAGE(IPC!BB5:BM5)-1)</f>
        <v>6.48373633054522E-3</v>
      </c>
      <c r="BZ5" s="31">
        <f>IF(OR(IPC!BZ5="",IPC!BN5=""),"",AVERAGE(IPC!BO5:BZ5)/AVERAGE(IPC!BC5:BN5)-1)</f>
        <v>4.233730725887952E-3</v>
      </c>
      <c r="CA5" s="31">
        <f>IF(OR(IPC!CA5="",IPC!BO5=""),"",AVERAGE(IPC!BP5:CA5)/AVERAGE(IPC!BD5:BO5)-1)</f>
        <v>2.9545271118636141E-3</v>
      </c>
      <c r="CB5" s="31">
        <f>IF(OR(IPC!CB5="",IPC!BP5=""),"",AVERAGE(IPC!BQ5:CB5)/AVERAGE(IPC!BE5:BP5)-1)</f>
        <v>1.8435060759158794E-4</v>
      </c>
      <c r="CC5" s="31">
        <f>IF(OR(IPC!CC5="",IPC!BQ5=""),"",AVERAGE(IPC!BR5:CC5)/AVERAGE(IPC!BF5:BQ5)-1)</f>
        <v>-1.420974019723853E-3</v>
      </c>
      <c r="CD5" s="31">
        <f>IF(OR(IPC!CD5="",IPC!BR5=""),"",AVERAGE(IPC!BS5:CD5)/AVERAGE(IPC!BG5:BR5)-1)</f>
        <v>-2.0776277360088358E-3</v>
      </c>
      <c r="CE5" s="31">
        <f>IF(OR(IPC!CE5="",IPC!BS5=""),"",AVERAGE(IPC!BT5:CE5)/AVERAGE(IPC!BH5:BS5)-1)</f>
        <v>-2.9068388331087158E-3</v>
      </c>
      <c r="CF5" s="31">
        <f>IF(OR(IPC!CF5="",IPC!BT5=""),"",AVERAGE(IPC!BU5:CF5)/AVERAGE(IPC!BI5:BT5)-1)</f>
        <v>-3.2289032553827202E-3</v>
      </c>
      <c r="CG5" s="31">
        <f>IF(OR(IPC!CG5="",IPC!BU5=""),"",AVERAGE(IPC!BV5:CG5)/AVERAGE(IPC!BJ5:BU5)-1)</f>
        <v>-1.9830794960786768E-3</v>
      </c>
      <c r="CH5" s="31">
        <f>IF(OR(IPC!CH5="",IPC!BV5=""),"",AVERAGE(IPC!BW5:CH5)/AVERAGE(IPC!BK5:BV5)-1)</f>
        <v>-1.4642365826091908E-3</v>
      </c>
      <c r="CI5" s="31">
        <f>IF(OR(IPC!CI5="",IPC!BW5=""),"",AVERAGE(IPC!BX5:CI5)/AVERAGE(IPC!BL5:BW5)-1)</f>
        <v>1.5897451224078374E-4</v>
      </c>
      <c r="CJ5" s="31">
        <f>IF(OR(IPC!CJ5="",IPC!BX5=""),"",AVERAGE(IPC!BY5:CJ5)/AVERAGE(IPC!BM5:BX5)-1)</f>
        <v>1.8691639901795565E-3</v>
      </c>
      <c r="CK5" s="31">
        <f>IF(OR(IPC!CK5="",IPC!BY5=""),"",AVERAGE(IPC!BZ5:CK5)/AVERAGE(IPC!BN5:BY5)-1)</f>
        <v>3.5519431527197831E-3</v>
      </c>
      <c r="CL5" s="31">
        <f>IF(OR(IPC!CL5="",IPC!BZ5=""),"",AVERAGE(IPC!CA5:CL5)/AVERAGE(IPC!BO5:BZ5)-1)</f>
        <v>5.4642606952493011E-3</v>
      </c>
      <c r="CM5" s="31">
        <f>IF(OR(IPC!CM5="",IPC!CA5=""),"",AVERAGE(IPC!CB5:CM5)/AVERAGE(IPC!BP5:CA5)-1)</f>
        <v>6.424303027406042E-3</v>
      </c>
      <c r="CN5" s="31">
        <f>IF(OR(IPC!CN5="",IPC!CB5=""),"",AVERAGE(IPC!CC5:CN5)/AVERAGE(IPC!BQ5:CB5)-1)</f>
        <v>8.144570437182086E-3</v>
      </c>
      <c r="CO5" s="31">
        <f>IF(OR(IPC!CO5="",IPC!CC5=""),"",AVERAGE(IPC!CD5:CO5)/AVERAGE(IPC!BR5:CC5)-1)</f>
        <v>9.3655648764883193E-3</v>
      </c>
      <c r="CP5" s="31">
        <f>IF(OR(IPC!CP5="",IPC!CD5=""),"",AVERAGE(IPC!CE5:CP5)/AVERAGE(IPC!BS5:CD5)-1)</f>
        <v>1.0188926362511452E-2</v>
      </c>
      <c r="CQ5" s="31">
        <f>IF(OR(IPC!CQ5="",IPC!CE5=""),"",AVERAGE(IPC!CF5:CQ5)/AVERAGE(IPC!BT5:CE5)-1)</f>
        <v>9.7513827219541938E-3</v>
      </c>
      <c r="CR5" s="31">
        <f>IF(OR(IPC!CR5="",IPC!CF5=""),"",AVERAGE(IPC!CG5:CR5)/AVERAGE(IPC!BU5:CF5)-1)</f>
        <v>9.595411411889021E-3</v>
      </c>
      <c r="CS5" s="31">
        <f>IF(OR(IPC!CS5="",IPC!CG5=""),"",AVERAGE(IPC!CH5:CS5)/AVERAGE(IPC!BV5:CG5)-1)</f>
        <v>1.0441124603873364E-2</v>
      </c>
      <c r="CT5" s="31">
        <f>IF(OR(IPC!CT5="",IPC!CH5=""),"",AVERAGE(IPC!CI5:CT5)/AVERAGE(IPC!BW5:CH5)-1)</f>
        <v>1.1429952853161174E-2</v>
      </c>
      <c r="CU5" s="31">
        <f>IF(OR(IPC!CU5="",IPC!CI5=""),"",AVERAGE(IPC!CJ5:CU5)/AVERAGE(IPC!BX5:CI5)-1)</f>
        <v>1.214420118508297E-2</v>
      </c>
      <c r="CV5" s="31">
        <f>IF(OR(IPC!CV5="",IPC!CJ5=""),"",AVERAGE(IPC!CK5:CV5)/AVERAGE(IPC!BY5:CJ5)-1)</f>
        <v>1.2626667601238095E-2</v>
      </c>
      <c r="CW5" s="31">
        <f>IF(OR(IPC!CW5="",IPC!CK5=""),"",AVERAGE(IPC!CL5:CW5)/AVERAGE(IPC!BZ5:CK5)-1)</f>
        <v>1.397656123465385E-2</v>
      </c>
      <c r="CX5" s="31">
        <f>IF(OR(IPC!CX5="",IPC!CL5=""),"",AVERAGE(IPC!CM5:CX5)/AVERAGE(IPC!CA5:CL5)-1)</f>
        <v>1.5122660494738094E-2</v>
      </c>
      <c r="CY5" s="31">
        <f>IF(OR(IPC!CY5="",IPC!CM5=""),"",AVERAGE(IPC!CN5:CY5)/AVERAGE(IPC!CB5:CM5)-1)</f>
        <v>1.6407444713596231E-2</v>
      </c>
      <c r="CZ5" s="31">
        <f>IF(OR(IPC!CZ5="",IPC!CN5=""),"",AVERAGE(IPC!CO5:CZ5)/AVERAGE(IPC!CC5:CN5)-1)</f>
        <v>1.7367392555668104E-2</v>
      </c>
      <c r="DA5" s="31">
        <f>IF(OR(IPC!DA5="",IPC!CO5=""),"",AVERAGE(IPC!CP5:DA5)/AVERAGE(IPC!CD5:CO5)-1)</f>
        <v>1.9108572389102685E-2</v>
      </c>
      <c r="DB5" s="31">
        <f>IF(OR(IPC!DB5="",IPC!CP5=""),"",AVERAGE(IPC!CQ5:DB5)/AVERAGE(IPC!CE5:CP5)-1)</f>
        <v>2.1841973888279353E-2</v>
      </c>
      <c r="DC5" s="31">
        <f>IF(OR(IPC!DC5="",IPC!CQ5=""),"",AVERAGE(IPC!CR5:DC5)/AVERAGE(IPC!CF5:CQ5)-1)</f>
        <v>2.5223159106935178E-2</v>
      </c>
      <c r="DD5" s="31">
        <f>IF(OR(IPC!DD5="",IPC!CR5=""),"",AVERAGE(IPC!CS5:DD5)/AVERAGE(IPC!CG5:CR5)-1)</f>
        <v>2.7630472701984266E-2</v>
      </c>
      <c r="DE5" s="31">
        <f>IF(OR(IPC!DE5="",IPC!CS5=""),"",AVERAGE(IPC!CT5:DE5)/AVERAGE(IPC!CH5:CS5)-1)</f>
        <v>2.8095850897155383E-2</v>
      </c>
      <c r="DF5" s="31">
        <f>IF(OR(IPC!DF5="",IPC!CT5=""),"",AVERAGE(IPC!CU5:DF5)/AVERAGE(IPC!CI5:CT5)-1)</f>
        <v>2.8534833368067059E-2</v>
      </c>
      <c r="DG5" s="31">
        <f>IF(OR(IPC!DG5="",IPC!CU5=""),"",AVERAGE(IPC!CV5:DG5)/AVERAGE(IPC!CJ5:CU5)-1)</f>
        <v>2.8987271666793823E-2</v>
      </c>
      <c r="DH5" s="31">
        <f>IF(OR(IPC!DH5="",IPC!CV5=""),"",AVERAGE(IPC!CW5:DH5)/AVERAGE(IPC!CK5:CV5)-1)</f>
        <v>3.0684300636749651E-2</v>
      </c>
      <c r="DI5" s="31">
        <f>IF(OR(IPC!DI5="",IPC!CW5=""),"",AVERAGE(IPC!CX5:DI5)/AVERAGE(IPC!CL5:CW5)-1)</f>
        <v>3.0962057710319568E-2</v>
      </c>
      <c r="DJ5" s="31">
        <f>IF(OR(IPC!DJ5="",IPC!CX5=""),"",AVERAGE(IPC!CY5:DJ5)/AVERAGE(IPC!CM5:CX5)-1)</f>
        <v>3.1328017693176946E-2</v>
      </c>
      <c r="DK5" s="31">
        <f>IF(OR(IPC!DK5="",IPC!CY5=""),"",AVERAGE(IPC!CZ5:DK5)/AVERAGE(IPC!CN5:CY5)-1)</f>
        <v>3.117914722376014E-2</v>
      </c>
      <c r="DL5" s="31">
        <f>IF(OR(IPC!DL5="",IPC!CZ5=""),"",AVERAGE(IPC!DA5:DL5)/AVERAGE(IPC!CO5:CZ5)-1)</f>
        <v>3.1710408646937305E-2</v>
      </c>
      <c r="DM5" s="31">
        <f>IF(OR(IPC!DM5="",IPC!DA5=""),"",AVERAGE(IPC!DB5:DM5)/AVERAGE(IPC!CP5:DA5)-1)</f>
        <v>3.1866849908300132E-2</v>
      </c>
      <c r="DN5" s="31">
        <f>IF(OR(IPC!DN5="",IPC!DB5=""),"",AVERAGE(IPC!DC5:DN5)/AVERAGE(IPC!CQ5:DB5)-1)</f>
        <v>3.2041465667497659E-2</v>
      </c>
      <c r="DO5" s="31">
        <f>IF(OR(IPC!DO5="",IPC!DC5=""),"",AVERAGE(IPC!DD5:DO5)/AVERAGE(IPC!CR5:DC5)-1)</f>
        <v>3.2308473464754073E-2</v>
      </c>
      <c r="DP5" s="31">
        <f>IF(OR(IPC!DP5="",IPC!DD5=""),"",AVERAGE(IPC!DE5:DP5)/AVERAGE(IPC!CS5:DD5)-1)</f>
        <v>3.2752828551669833E-2</v>
      </c>
      <c r="DQ5" s="31">
        <f>IF(OR(IPC!DQ5="",IPC!DE5=""),"",AVERAGE(IPC!DF5:DQ5)/AVERAGE(IPC!CT5:DE5)-1)</f>
        <v>3.412900143705766E-2</v>
      </c>
      <c r="DR5" s="31">
        <f>IF(OR(IPC!DR5="",IPC!DF5=""),"",AVERAGE(IPC!DG5:DR5)/AVERAGE(IPC!CU5:DF5)-1)</f>
        <v>3.4958005296967132E-2</v>
      </c>
      <c r="DS5" s="31">
        <f>IF(OR(IPC!DS5="",IPC!DG5=""),"",AVERAGE(IPC!DH5:DS5)/AVERAGE(IPC!CV5:DG5)-1)</f>
        <v>3.5571627474146883E-2</v>
      </c>
      <c r="DT5" s="31">
        <f>IF(OR(IPC!DT5="",IPC!DH5=""),"",AVERAGE(IPC!DI5:DT5)/AVERAGE(IPC!CW5:DH5)-1)</f>
        <v>3.4443349806103862E-2</v>
      </c>
      <c r="DU5" s="31">
        <f>IF(OR(IPC!DU5="",IPC!DI5=""),"",AVERAGE(IPC!DJ5:DU5)/AVERAGE(IPC!CX5:DI5)-1)</f>
        <v>3.4069325666497452E-2</v>
      </c>
      <c r="DV5" s="31">
        <f>IF(OR(IPC!DV5="",IPC!DJ5=""),"",AVERAGE(IPC!DK5:DV5)/AVERAGE(IPC!CY5:DJ5)-1)</f>
        <v>3.3614476064548926E-2</v>
      </c>
      <c r="DW5" s="31">
        <f>IF(OR(IPC!DW5="",IPC!DK5=""),"",AVERAGE(IPC!DL5:DW5)/AVERAGE(IPC!CZ5:DK5)-1)</f>
        <v>3.486346379530425E-2</v>
      </c>
      <c r="DX5" s="31">
        <f>IF(OR(IPC!DX5="",IPC!DL5=""),"",AVERAGE(IPC!DM5:DX5)/AVERAGE(IPC!DA5:DL5)-1)</f>
        <v>3.6029525990707079E-2</v>
      </c>
      <c r="DY5" s="31">
        <f>IF(OR(IPC!DY5="",IPC!DM5=""),"",AVERAGE(IPC!DN5:DY5)/AVERAGE(IPC!DB5:DM5)-1)</f>
        <v>3.7074640343398579E-2</v>
      </c>
      <c r="DZ5" s="31">
        <f>IF(OR(IPC!DZ5="",IPC!DN5=""),"",AVERAGE(IPC!DO5:DZ5)/AVERAGE(IPC!DC5:DN5)-1)</f>
        <v>3.7416147970614766E-2</v>
      </c>
      <c r="EA5" s="31">
        <f>IF(OR(IPC!EA5="",IPC!DO5=""),"",AVERAGE(IPC!DP5:EA5)/AVERAGE(IPC!DD5:DO5)-1)</f>
        <v>3.7551718397922373E-2</v>
      </c>
      <c r="EB5" s="31">
        <f>IF(OR(IPC!EB5="",IPC!DP5=""),"",AVERAGE(IPC!DQ5:EB5)/AVERAGE(IPC!DE5:DP5)-1)</f>
        <v>3.8179267939955075E-2</v>
      </c>
      <c r="EC5" s="31">
        <f>IF(OR(IPC!EC5="",IPC!DQ5=""),"",AVERAGE(IPC!DR5:EC5)/AVERAGE(IPC!DF5:DQ5)-1)</f>
        <v>3.8167321660271147E-2</v>
      </c>
      <c r="ED5" s="31">
        <f>IF(OR(IPC!ED5="",IPC!DR5=""),"",AVERAGE(IPC!DS5:ED5)/AVERAGE(IPC!DG5:DR5)-1)</f>
        <v>3.9095486396554469E-2</v>
      </c>
      <c r="EE5" s="31">
        <f>IF(OR(IPC!EE5="",IPC!DS5=""),"",AVERAGE(IPC!DT5:EE5)/AVERAGE(IPC!DH5:DS5)-1)</f>
        <v>4.2540135638505117E-2</v>
      </c>
      <c r="EF5" s="31">
        <f>IF(OR(IPC!EF5="",IPC!DT5=""),"",AVERAGE(IPC!DU5:EF5)/AVERAGE(IPC!DI5:DT5)-1)</f>
        <v>4.782153345517548E-2</v>
      </c>
      <c r="EG5" s="31">
        <f>IF(OR(IPC!EG5="",IPC!DU5=""),"",AVERAGE(IPC!DV5:EG5)/AVERAGE(IPC!DJ5:DU5)-1)</f>
        <v>5.3628117304961531E-2</v>
      </c>
      <c r="EH5" s="31">
        <f>IF(OR(IPC!EH5="",IPC!DV5=""),"",AVERAGE(IPC!DW5:EH5)/AVERAGE(IPC!DK5:DV5)-1)</f>
        <v>5.9432096803580192E-2</v>
      </c>
      <c r="EI5" s="31">
        <f>IF(OR(IPC!EI5="",IPC!DW5=""),"",AVERAGE(IPC!DX5:EI5)/AVERAGE(IPC!DL5:DW5)-1)</f>
        <v>6.5934481653338484E-2</v>
      </c>
      <c r="EJ5" s="31">
        <f>IF(OR(IPC!EJ5="",IPC!DX5=""),"",AVERAGE(IPC!DY5:EJ5)/AVERAGE(IPC!DM5:DX5)-1)</f>
        <v>7.2491807506146477E-2</v>
      </c>
      <c r="EK5" s="31">
        <f>IF(OR(IPC!EK5="",IPC!DY5=""),"",AVERAGE(IPC!DZ5:EK5)/AVERAGE(IPC!DN5:DY5)-1)</f>
        <v>7.8706977768790098E-2</v>
      </c>
      <c r="EL5" s="31">
        <f>IF(OR(IPC!EL5="",IPC!DZ5=""),"",AVERAGE(IPC!EA5:EL5)/AVERAGE(IPC!DO5:DZ5)-1)</f>
        <v>8.5434910739656145E-2</v>
      </c>
      <c r="EM5" s="31">
        <f>IF(OR(IPC!EM5="",IPC!EA5=""),"",AVERAGE(IPC!EB5:EM5)/AVERAGE(IPC!DP5:EA5)-1)</f>
        <v>9.3980184830800617E-2</v>
      </c>
      <c r="EN5" s="31">
        <f>IF(OR(IPC!EN5="",IPC!EB5=""),"",AVERAGE(IPC!EC5:EN5)/AVERAGE(IPC!DQ5:EB5)-1)</f>
        <v>0.10315625482793589</v>
      </c>
      <c r="EO5" s="31">
        <f>IF(OR(IPC!EO5="",IPC!EC5=""),"",AVERAGE(IPC!ED5:EO5)/AVERAGE(IPC!DR5:EC5)-1)</f>
        <v>0.11264890332016342</v>
      </c>
      <c r="EP5" s="31">
        <f>IF(OR(IPC!EP5="",IPC!ED5=""),"",AVERAGE(IPC!EE5:EP5)/AVERAGE(IPC!DS5:ED5)-1)</f>
        <v>0.12241991762978266</v>
      </c>
      <c r="EQ5" s="31">
        <f>IF(OR(IPC!EQ5="",IPC!EE5=""),"",AVERAGE(IPC!EF5:EQ5)/AVERAGE(IPC!DT5:EE5)-1)</f>
        <v>0.12748550009337656</v>
      </c>
      <c r="ER5" s="31">
        <f>IF(OR(IPC!ER5="",IPC!EF5=""),"",AVERAGE(IPC!EG5:ER5)/AVERAGE(IPC!DU5:EF5)-1)</f>
        <v>0.1315126913810194</v>
      </c>
      <c r="ES5" s="31">
        <f>IF(OR(IPC!ES5="",IPC!EG5=""),"",AVERAGE(IPC!EH5:ES5)/AVERAGE(IPC!DV5:EG5)-1)</f>
        <v>0.13442020310475766</v>
      </c>
      <c r="ET5" s="31">
        <f>IF(OR(IPC!ET5="",IPC!EH5=""),"",AVERAGE(IPC!EI5:ET5)/AVERAGE(IPC!DW5:EH5)-1)</f>
        <v>0.13654784128190567</v>
      </c>
      <c r="EU5" s="31">
        <f>IF(OR(IPC!EU5="",IPC!EI5=""),"",AVERAGE(IPC!EJ5:EU5)/AVERAGE(IPC!DX5:EI5)-1)</f>
        <v>0.13593732393460534</v>
      </c>
      <c r="EV5" s="31">
        <f>IF(OR(IPC!EV5="",IPC!EJ5=""),"",AVERAGE(IPC!EK5:EV5)/AVERAGE(IPC!DY5:EJ5)-1)</f>
        <v>0.13505702234796768</v>
      </c>
      <c r="EW5" s="31">
        <f>IF(OR(IPC!EW5="",IPC!EK5=""),"",AVERAGE(IPC!EL5:EW5)/AVERAGE(IPC!DZ5:EK5)-1)</f>
        <v>0.134825349454474</v>
      </c>
      <c r="EX5" s="31">
        <f>IF(OR(IPC!EX5="",IPC!EL5=""),"",AVERAGE(IPC!EM5:EX5)/AVERAGE(IPC!EA5:EL5)-1)</f>
        <v>0.13343802701339458</v>
      </c>
      <c r="EY5" s="31">
        <f>IF(OR(IPC!EY5="",IPC!EM5=""),"",AVERAGE(IPC!EN5:EY5)/AVERAGE(IPC!EB5:EM5)-1)</f>
        <v>0.13012335831616251</v>
      </c>
      <c r="EZ5" s="31">
        <f>IF(OR(IPC!EZ5="",IPC!EN5=""),"",AVERAGE(IPC!EO5:EZ5)/AVERAGE(IPC!EC5:EN5)-1)</f>
        <v>0.12528671854081197</v>
      </c>
      <c r="FA5" s="31">
        <f>IF(OR(IPC!FA5="",IPC!EO5=""),"",AVERAGE(IPC!EP5:FA5)/AVERAGE(IPC!ED5:EO5)-1)</f>
        <v>0.12064611575042594</v>
      </c>
      <c r="FB5" s="31">
        <f>IF(OR(IPC!FB5="",IPC!EP5=""),"",AVERAGE(IPC!EQ5:FB5)/AVERAGE(IPC!EE5:EP5)-1)</f>
        <v>0.11381013047182575</v>
      </c>
      <c r="FC5" s="31">
        <f>IF(OR(IPC!FC5="",IPC!EQ5=""),"",AVERAGE(IPC!ER5:FC5)/AVERAGE(IPC!EF5:EQ5)-1)</f>
        <v>0.10828760550630823</v>
      </c>
      <c r="FD5" s="31">
        <f>IF(OR(IPC!FD5="",IPC!ER5=""),"",AVERAGE(IPC!ES5:FD5)/AVERAGE(IPC!EG5:ER5)-1)</f>
        <v>0.10103323717868506</v>
      </c>
      <c r="FE5" s="31">
        <f>IF(OR(IPC!FE5="",IPC!ES5=""),"",AVERAGE(IPC!ET5:FE5)/AVERAGE(IPC!EH5:ES5)-1)</f>
        <v>9.4464080302899545E-2</v>
      </c>
      <c r="FF5" s="31">
        <f>IF(OR(IPC!FF5="",IPC!ET5=""),"",AVERAGE(IPC!EU5:FF5)/AVERAGE(IPC!EI5:ET5)-1)</f>
        <v>8.89702380910673E-2</v>
      </c>
      <c r="FG5" s="31">
        <f>IF(OR(IPC!FG5="",IPC!EU5=""),"",AVERAGE(IPC!EV5:FG5)/AVERAGE(IPC!EJ5:EU5)-1)</f>
        <v>8.4412258008237151E-2</v>
      </c>
      <c r="FH5" s="31">
        <f>IF(OR(IPC!FH5="",IPC!EV5=""),"",AVERAGE(IPC!EW5:FH5)/AVERAGE(IPC!EK5:EV5)-1)</f>
        <v>7.9382155651563924E-2</v>
      </c>
      <c r="FI5" s="31">
        <f>IF(OR(IPC!FI5="",IPC!EW5=""),"",AVERAGE(IPC!EX5:FI5)/AVERAGE(IPC!EL5:EW5)-1)</f>
        <v>7.3862192771228186E-2</v>
      </c>
      <c r="FJ5" s="31">
        <f>IF(OR(IPC!FJ5="",IPC!EX5=""),"",AVERAGE(IPC!EY5:FJ5)/AVERAGE(IPC!EM5:EX5)-1)</f>
        <v>6.8318860821414029E-2</v>
      </c>
      <c r="FK5" s="31">
        <f>IF(OR(IPC!FK5="",IPC!EY5=""),"",AVERAGE(IPC!EZ5:FK5)/AVERAGE(IPC!EN5:EY5)-1)</f>
        <v>6.2920564498181619E-2</v>
      </c>
      <c r="FL5" s="31">
        <f>IF(OR(IPC!FL5="",IPC!EZ5=""),"",AVERAGE(IPC!FA5:FL5)/AVERAGE(IPC!EO5:EZ5)-1)</f>
        <v>5.9760576979907443E-2</v>
      </c>
      <c r="FM5" s="31">
        <f>IF(OR(IPC!FM5="",IPC!FA5=""),"",AVERAGE(IPC!FB5:FM5)/AVERAGE(IPC!EP5:FA5)-1)</f>
        <v>5.6533333061626223E-2</v>
      </c>
      <c r="FN5" s="31">
        <f>IF(OR(IPC!FN5="",IPC!FB5=""),"",AVERAGE(IPC!FC5:FN5)/AVERAGE(IPC!EQ5:FB5)-1)</f>
        <v>5.4722659852012745E-2</v>
      </c>
      <c r="FO5" s="31">
        <f>IF(OR(IPC!FO5="",IPC!FC5=""),"",AVERAGE(IPC!FD5:FO5)/AVERAGE(IPC!ER5:FC5)-1)</f>
        <v>5.5095689893011723E-2</v>
      </c>
      <c r="FP5" s="31">
        <f>IF(OR(IPC!FP5="",IPC!FD5=""),"",AVERAGE(IPC!FE5:FP5)/AVERAGE(IPC!ES5:FD5)-1)</f>
        <v>5.7307451130629072E-2</v>
      </c>
      <c r="FQ5" s="31">
        <f>IF(OR(IPC!FQ5="",IPC!FE5=""),"",AVERAGE(IPC!FF5:FQ5)/AVERAGE(IPC!ET5:FE5)-1)</f>
        <v>5.8784950789045887E-2</v>
      </c>
      <c r="FR5" s="31">
        <f>IF(OR(IPC!FR5="",IPC!FF5=""),"",AVERAGE(IPC!FG5:FR5)/AVERAGE(IPC!EU5:FF5)-1)</f>
        <v>5.9848518948747431E-2</v>
      </c>
    </row>
    <row r="6" spans="1:174" s="1" customFormat="1" ht="10.199999999999999" x14ac:dyDescent="0.2">
      <c r="A6" s="11"/>
      <c r="B6" s="1" t="s">
        <v>97</v>
      </c>
      <c r="C6" s="8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>
        <f>IF(OR(IPC!AN6="",IPC!AB6=""),"",AVERAGE(IPC!AC6:AN6)/AVERAGE(IPC!Q6:AB6)-1)</f>
        <v>2.9591062530470058E-2</v>
      </c>
      <c r="AO6" s="31">
        <f>IF(OR(IPC!AO6="",IPC!AC6=""),"",AVERAGE(IPC!AD6:AO6)/AVERAGE(IPC!R6:AC6)-1)</f>
        <v>2.7600787736880239E-2</v>
      </c>
      <c r="AP6" s="31">
        <f>IF(OR(IPC!AP6="",IPC!AD6=""),"",AVERAGE(IPC!AE6:AP6)/AVERAGE(IPC!S6:AD6)-1)</f>
        <v>2.5736312621646329E-2</v>
      </c>
      <c r="AQ6" s="31">
        <f>IF(OR(IPC!AQ6="",IPC!AE6=""),"",AVERAGE(IPC!AF6:AQ6)/AVERAGE(IPC!T6:AE6)-1)</f>
        <v>2.4240364189048957E-2</v>
      </c>
      <c r="AR6" s="31">
        <f>IF(OR(IPC!AR6="",IPC!AF6=""),"",AVERAGE(IPC!AG6:AR6)/AVERAGE(IPC!U6:AF6)-1)</f>
        <v>2.3152842035523813E-2</v>
      </c>
      <c r="AS6" s="31">
        <f>IF(OR(IPC!AS6="",IPC!AG6=""),"",AVERAGE(IPC!AH6:AS6)/AVERAGE(IPC!V6:AG6)-1)</f>
        <v>2.0862733318520288E-2</v>
      </c>
      <c r="AT6" s="31">
        <f>IF(OR(IPC!AT6="",IPC!AH6=""),"",AVERAGE(IPC!AI6:AT6)/AVERAGE(IPC!W6:AH6)-1)</f>
        <v>1.9938888481698891E-2</v>
      </c>
      <c r="AU6" s="31">
        <f>IF(OR(IPC!AU6="",IPC!AI6=""),"",AVERAGE(IPC!AJ6:AU6)/AVERAGE(IPC!X6:AI6)-1)</f>
        <v>1.8247545733882209E-2</v>
      </c>
      <c r="AV6" s="31">
        <f>IF(OR(IPC!AV6="",IPC!AJ6=""),"",AVERAGE(IPC!AK6:AV6)/AVERAGE(IPC!Y6:AJ6)-1)</f>
        <v>1.6166855553817694E-2</v>
      </c>
      <c r="AW6" s="31">
        <f>IF(OR(IPC!AW6="",IPC!AK6=""),"",AVERAGE(IPC!AL6:AW6)/AVERAGE(IPC!Z6:AK6)-1)</f>
        <v>1.3106092047600493E-2</v>
      </c>
      <c r="AX6" s="31">
        <f>IF(OR(IPC!AX6="",IPC!AL6=""),"",AVERAGE(IPC!AM6:AX6)/AVERAGE(IPC!AA6:AL6)-1)</f>
        <v>9.4284490747174043E-3</v>
      </c>
      <c r="AY6" s="31">
        <f>IF(OR(IPC!AY6="",IPC!AM6=""),"",AVERAGE(IPC!AN6:AY6)/AVERAGE(IPC!AB6:AM6)-1)</f>
        <v>7.692217288923775E-3</v>
      </c>
      <c r="AZ6" s="31">
        <f>IF(OR(IPC!AZ6="",IPC!AN6=""),"",AVERAGE(IPC!AO6:AZ6)/AVERAGE(IPC!AC6:AN6)-1)</f>
        <v>7.4854174964842368E-3</v>
      </c>
      <c r="BA6" s="31">
        <f>IF(OR(IPC!BA6="",IPC!AO6=""),"",AVERAGE(IPC!AP6:BA6)/AVERAGE(IPC!AD6:AO6)-1)</f>
        <v>6.9593264757761286E-3</v>
      </c>
      <c r="BB6" s="31">
        <f>IF(OR(IPC!BB6="",IPC!AP6=""),"",AVERAGE(IPC!AQ6:BB6)/AVERAGE(IPC!AE6:AP6)-1)</f>
        <v>6.4709572314751718E-3</v>
      </c>
      <c r="BC6" s="31">
        <f>IF(OR(IPC!BC6="",IPC!AQ6=""),"",AVERAGE(IPC!AR6:BC6)/AVERAGE(IPC!AF6:AQ6)-1)</f>
        <v>7.6255743838551382E-3</v>
      </c>
      <c r="BD6" s="31">
        <f>IF(OR(IPC!BD6="",IPC!AR6=""),"",AVERAGE(IPC!AS6:BD6)/AVERAGE(IPC!AG6:AR6)-1)</f>
        <v>8.0393013278257097E-3</v>
      </c>
      <c r="BE6" s="31">
        <f>IF(OR(IPC!BE6="",IPC!AS6=""),"",AVERAGE(IPC!AT6:BE6)/AVERAGE(IPC!AH6:AS6)-1)</f>
        <v>1.0150141442270888E-2</v>
      </c>
      <c r="BF6" s="31">
        <f>IF(OR(IPC!BF6="",IPC!AT6=""),"",AVERAGE(IPC!AU6:BF6)/AVERAGE(IPC!AI6:AT6)-1)</f>
        <v>1.108459168685938E-2</v>
      </c>
      <c r="BG6" s="31">
        <f>IF(OR(IPC!BG6="",IPC!AU6=""),"",AVERAGE(IPC!AV6:BG6)/AVERAGE(IPC!AJ6:AU6)-1)</f>
        <v>1.2335913054580372E-2</v>
      </c>
      <c r="BH6" s="31">
        <f>IF(OR(IPC!BH6="",IPC!AV6=""),"",AVERAGE(IPC!AW6:BH6)/AVERAGE(IPC!AK6:AV6)-1)</f>
        <v>1.4243056825895772E-2</v>
      </c>
      <c r="BI6" s="31">
        <f>IF(OR(IPC!BI6="",IPC!AW6=""),"",AVERAGE(IPC!AX6:BI6)/AVERAGE(IPC!AL6:AW6)-1)</f>
        <v>1.7285929248628484E-2</v>
      </c>
      <c r="BJ6" s="31">
        <f>IF(OR(IPC!BJ6="",IPC!AX6=""),"",AVERAGE(IPC!AY6:BJ6)/AVERAGE(IPC!AM6:AX6)-1)</f>
        <v>1.8869959948079496E-2</v>
      </c>
      <c r="BK6" s="31">
        <f>IF(OR(IPC!BK6="",IPC!AY6=""),"",AVERAGE(IPC!AZ6:BK6)/AVERAGE(IPC!AN6:AY6)-1)</f>
        <v>2.0042754691496523E-2</v>
      </c>
      <c r="BL6" s="31">
        <f>IF(OR(IPC!BL6="",IPC!AZ6=""),"",AVERAGE(IPC!BA6:BL6)/AVERAGE(IPC!AO6:AZ6)-1)</f>
        <v>2.0822018453952484E-2</v>
      </c>
      <c r="BM6" s="31">
        <f>IF(OR(IPC!BM6="",IPC!BA6=""),"",AVERAGE(IPC!BB6:BM6)/AVERAGE(IPC!AP6:BA6)-1)</f>
        <v>2.1449144056602698E-2</v>
      </c>
      <c r="BN6" s="31">
        <f>IF(OR(IPC!BN6="",IPC!BB6=""),"",AVERAGE(IPC!BC6:BN6)/AVERAGE(IPC!AQ6:BB6)-1)</f>
        <v>2.2445801054714831E-2</v>
      </c>
      <c r="BO6" s="31">
        <f>IF(OR(IPC!BO6="",IPC!BC6=""),"",AVERAGE(IPC!BD6:BO6)/AVERAGE(IPC!AR6:BC6)-1)</f>
        <v>2.1712257887747777E-2</v>
      </c>
      <c r="BP6" s="31">
        <f>IF(OR(IPC!BP6="",IPC!BD6=""),"",AVERAGE(IPC!BE6:BP6)/AVERAGE(IPC!AS6:BD6)-1)</f>
        <v>2.2230458033334344E-2</v>
      </c>
      <c r="BQ6" s="31">
        <f>IF(OR(IPC!BQ6="",IPC!BE6=""),"",AVERAGE(IPC!BF6:BQ6)/AVERAGE(IPC!AT6:BE6)-1)</f>
        <v>2.111262265769831E-2</v>
      </c>
      <c r="BR6" s="31">
        <f>IF(OR(IPC!BR6="",IPC!BF6=""),"",AVERAGE(IPC!BG6:BR6)/AVERAGE(IPC!AU6:BF6)-1)</f>
        <v>1.9099118089250355E-2</v>
      </c>
      <c r="BS6" s="31">
        <f>IF(OR(IPC!BS6="",IPC!BG6=""),"",AVERAGE(IPC!BH6:BS6)/AVERAGE(IPC!AV6:BG6)-1)</f>
        <v>1.8419549002994806E-2</v>
      </c>
      <c r="BT6" s="31">
        <f>IF(OR(IPC!BT6="",IPC!BH6=""),"",AVERAGE(IPC!BI6:BT6)/AVERAGE(IPC!AW6:BH6)-1)</f>
        <v>1.7039746642213194E-2</v>
      </c>
      <c r="BU6" s="31">
        <f>IF(OR(IPC!BU6="",IPC!BI6=""),"",AVERAGE(IPC!BJ6:BU6)/AVERAGE(IPC!AX6:BI6)-1)</f>
        <v>1.390641828010164E-2</v>
      </c>
      <c r="BV6" s="31">
        <f>IF(OR(IPC!BV6="",IPC!BJ6=""),"",AVERAGE(IPC!BK6:BV6)/AVERAGE(IPC!AY6:BJ6)-1)</f>
        <v>1.2784843448004901E-2</v>
      </c>
      <c r="BW6" s="31">
        <f>IF(OR(IPC!BW6="",IPC!BK6=""),"",AVERAGE(IPC!BL6:BW6)/AVERAGE(IPC!AZ6:BK6)-1)</f>
        <v>1.0944226180149563E-2</v>
      </c>
      <c r="BX6" s="31">
        <f>IF(OR(IPC!BX6="",IPC!BL6=""),"",AVERAGE(IPC!BM6:BX6)/AVERAGE(IPC!BA6:BL6)-1)</f>
        <v>8.8792571845948132E-3</v>
      </c>
      <c r="BY6" s="31">
        <f>IF(OR(IPC!BY6="",IPC!BM6=""),"",AVERAGE(IPC!BN6:BY6)/AVERAGE(IPC!BB6:BM6)-1)</f>
        <v>6.6702013039079411E-3</v>
      </c>
      <c r="BZ6" s="31">
        <f>IF(OR(IPC!BZ6="",IPC!BN6=""),"",AVERAGE(IPC!BO6:BZ6)/AVERAGE(IPC!BC6:BN6)-1)</f>
        <v>4.4005758720992993E-3</v>
      </c>
      <c r="CA6" s="31">
        <f>IF(OR(IPC!CA6="",IPC!BO6=""),"",AVERAGE(IPC!BP6:CA6)/AVERAGE(IPC!BD6:BO6)-1)</f>
        <v>3.079383409307912E-3</v>
      </c>
      <c r="CB6" s="31">
        <f>IF(OR(IPC!CB6="",IPC!BP6=""),"",AVERAGE(IPC!BQ6:CB6)/AVERAGE(IPC!BE6:BP6)-1)</f>
        <v>2.4061006654263473E-4</v>
      </c>
      <c r="CC6" s="31">
        <f>IF(OR(IPC!CC6="",IPC!BQ6=""),"",AVERAGE(IPC!BR6:CC6)/AVERAGE(IPC!BF6:BQ6)-1)</f>
        <v>-1.4150635426607439E-3</v>
      </c>
      <c r="CD6" s="31">
        <f>IF(OR(IPC!CD6="",IPC!BR6=""),"",AVERAGE(IPC!BS6:CD6)/AVERAGE(IPC!BG6:BR6)-1)</f>
        <v>-2.1157020399392712E-3</v>
      </c>
      <c r="CE6" s="31">
        <f>IF(OR(IPC!CE6="",IPC!BS6=""),"",AVERAGE(IPC!BT6:CE6)/AVERAGE(IPC!BH6:BS6)-1)</f>
        <v>-2.9779879494103989E-3</v>
      </c>
      <c r="CF6" s="31">
        <f>IF(OR(IPC!CF6="",IPC!BT6=""),"",AVERAGE(IPC!BU6:CF6)/AVERAGE(IPC!BI6:BT6)-1)</f>
        <v>-3.3305560019163405E-3</v>
      </c>
      <c r="CG6" s="31">
        <f>IF(OR(IPC!CG6="",IPC!BU6=""),"",AVERAGE(IPC!BV6:CG6)/AVERAGE(IPC!BJ6:BU6)-1)</f>
        <v>-2.0739398743573334E-3</v>
      </c>
      <c r="CH6" s="31">
        <f>IF(OR(IPC!CH6="",IPC!BV6=""),"",AVERAGE(IPC!BW6:CH6)/AVERAGE(IPC!BK6:BV6)-1)</f>
        <v>-1.5583791474137465E-3</v>
      </c>
      <c r="CI6" s="31">
        <f>IF(OR(IPC!CI6="",IPC!BW6=""),"",AVERAGE(IPC!BX6:CI6)/AVERAGE(IPC!BL6:BW6)-1)</f>
        <v>8.1837579554155937E-5</v>
      </c>
      <c r="CJ6" s="31">
        <f>IF(OR(IPC!CJ6="",IPC!BX6=""),"",AVERAGE(IPC!BY6:CJ6)/AVERAGE(IPC!BM6:BX6)-1)</f>
        <v>1.8256971911858599E-3</v>
      </c>
      <c r="CK6" s="31">
        <f>IF(OR(IPC!CK6="",IPC!BY6=""),"",AVERAGE(IPC!BZ6:CK6)/AVERAGE(IPC!BN6:BY6)-1)</f>
        <v>3.5355797119200894E-3</v>
      </c>
      <c r="CL6" s="31">
        <f>IF(OR(IPC!CL6="",IPC!BZ6=""),"",AVERAGE(IPC!CA6:CL6)/AVERAGE(IPC!BO6:BZ6)-1)</f>
        <v>5.4688581391220126E-3</v>
      </c>
      <c r="CM6" s="31">
        <f>IF(OR(IPC!CM6="",IPC!CA6=""),"",AVERAGE(IPC!CB6:CM6)/AVERAGE(IPC!BP6:CA6)-1)</f>
        <v>6.4501444855080692E-3</v>
      </c>
      <c r="CN6" s="31">
        <f>IF(OR(IPC!CN6="",IPC!CB6=""),"",AVERAGE(IPC!CC6:CN6)/AVERAGE(IPC!BQ6:CB6)-1)</f>
        <v>8.1940708744836499E-3</v>
      </c>
      <c r="CO6" s="31">
        <f>IF(OR(IPC!CO6="",IPC!CC6=""),"",AVERAGE(IPC!CD6:CO6)/AVERAGE(IPC!BR6:CC6)-1)</f>
        <v>9.4251094717203721E-3</v>
      </c>
      <c r="CP6" s="31">
        <f>IF(OR(IPC!CP6="",IPC!CD6=""),"",AVERAGE(IPC!CE6:CP6)/AVERAGE(IPC!BS6:CD6)-1)</f>
        <v>1.0270998505493845E-2</v>
      </c>
      <c r="CQ6" s="31">
        <f>IF(OR(IPC!CQ6="",IPC!CE6=""),"",AVERAGE(IPC!CF6:CQ6)/AVERAGE(IPC!BT6:CE6)-1)</f>
        <v>9.8214180042284216E-3</v>
      </c>
      <c r="CR6" s="31">
        <f>IF(OR(IPC!CR6="",IPC!CF6=""),"",AVERAGE(IPC!CG6:CR6)/AVERAGE(IPC!BU6:CF6)-1)</f>
        <v>9.6505611383723711E-3</v>
      </c>
      <c r="CS6" s="31">
        <f>IF(OR(IPC!CS6="",IPC!CG6=""),"",AVERAGE(IPC!CH6:CS6)/AVERAGE(IPC!BV6:CG6)-1)</f>
        <v>1.0494483191798798E-2</v>
      </c>
      <c r="CT6" s="31">
        <f>IF(OR(IPC!CT6="",IPC!CH6=""),"",AVERAGE(IPC!CI6:CT6)/AVERAGE(IPC!BW6:CH6)-1)</f>
        <v>1.1482169247429619E-2</v>
      </c>
      <c r="CU6" s="31">
        <f>IF(OR(IPC!CU6="",IPC!CI6=""),"",AVERAGE(IPC!CJ6:CU6)/AVERAGE(IPC!BX6:CI6)-1)</f>
        <v>1.2191808186510444E-2</v>
      </c>
      <c r="CV6" s="31">
        <f>IF(OR(IPC!CV6="",IPC!CJ6=""),"",AVERAGE(IPC!CK6:CV6)/AVERAGE(IPC!BY6:CJ6)-1)</f>
        <v>1.2660849777373695E-2</v>
      </c>
      <c r="CW6" s="31">
        <f>IF(OR(IPC!CW6="",IPC!CK6=""),"",AVERAGE(IPC!CL6:CW6)/AVERAGE(IPC!BZ6:CK6)-1)</f>
        <v>1.4011349045119914E-2</v>
      </c>
      <c r="CX6" s="31">
        <f>IF(OR(IPC!CX6="",IPC!CL6=""),"",AVERAGE(IPC!CM6:CX6)/AVERAGE(IPC!CA6:CL6)-1)</f>
        <v>1.5128784427423492E-2</v>
      </c>
      <c r="CY6" s="31">
        <f>IF(OR(IPC!CY6="",IPC!CM6=""),"",AVERAGE(IPC!CN6:CY6)/AVERAGE(IPC!CB6:CM6)-1)</f>
        <v>1.6382791861746071E-2</v>
      </c>
      <c r="CZ6" s="31">
        <f>IF(OR(IPC!CZ6="",IPC!CN6=""),"",AVERAGE(IPC!CO6:CZ6)/AVERAGE(IPC!CC6:CN6)-1)</f>
        <v>1.7321696394454911E-2</v>
      </c>
      <c r="DA6" s="31">
        <f>IF(OR(IPC!DA6="",IPC!CO6=""),"",AVERAGE(IPC!CP6:DA6)/AVERAGE(IPC!CD6:CO6)-1)</f>
        <v>1.9060854060567234E-2</v>
      </c>
      <c r="DB6" s="31">
        <f>IF(OR(IPC!DB6="",IPC!CP6=""),"",AVERAGE(IPC!CQ6:DB6)/AVERAGE(IPC!CE6:CP6)-1)</f>
        <v>2.1799293699139133E-2</v>
      </c>
      <c r="DC6" s="31">
        <f>IF(OR(IPC!DC6="",IPC!CQ6=""),"",AVERAGE(IPC!CR6:DC6)/AVERAGE(IPC!CF6:CQ6)-1)</f>
        <v>2.519428557712633E-2</v>
      </c>
      <c r="DD6" s="31">
        <f>IF(OR(IPC!DD6="",IPC!CR6=""),"",AVERAGE(IPC!CS6:DD6)/AVERAGE(IPC!CG6:CR6)-1)</f>
        <v>2.7613066602779845E-2</v>
      </c>
      <c r="DE6" s="31">
        <f>IF(OR(IPC!DE6="",IPC!CS6=""),"",AVERAGE(IPC!CT6:DE6)/AVERAGE(IPC!CH6:CS6)-1)</f>
        <v>2.803743066269937E-2</v>
      </c>
      <c r="DF6" s="31">
        <f>IF(OR(IPC!DF6="",IPC!CT6=""),"",AVERAGE(IPC!CU6:DF6)/AVERAGE(IPC!CI6:CT6)-1)</f>
        <v>2.8446087972335388E-2</v>
      </c>
      <c r="DG6" s="31">
        <f>IF(OR(IPC!DG6="",IPC!CU6=""),"",AVERAGE(IPC!CV6:DG6)/AVERAGE(IPC!CJ6:CU6)-1)</f>
        <v>2.8862307358624939E-2</v>
      </c>
      <c r="DH6" s="31">
        <f>IF(OR(IPC!DH6="",IPC!CV6=""),"",AVERAGE(IPC!CW6:DH6)/AVERAGE(IPC!CK6:CV6)-1)</f>
        <v>3.0547344932937648E-2</v>
      </c>
      <c r="DI6" s="31">
        <f>IF(OR(IPC!DI6="",IPC!CW6=""),"",AVERAGE(IPC!CX6:DI6)/AVERAGE(IPC!CL6:CW6)-1)</f>
        <v>3.0789700891607374E-2</v>
      </c>
      <c r="DJ6" s="31">
        <f>IF(OR(IPC!DJ6="",IPC!CX6=""),"",AVERAGE(IPC!CY6:DJ6)/AVERAGE(IPC!CM6:CX6)-1)</f>
        <v>3.1187818161968028E-2</v>
      </c>
      <c r="DK6" s="31">
        <f>IF(OR(IPC!DK6="",IPC!CY6=""),"",AVERAGE(IPC!CZ6:DK6)/AVERAGE(IPC!CN6:CY6)-1)</f>
        <v>3.1074077920863807E-2</v>
      </c>
      <c r="DL6" s="31">
        <f>IF(OR(IPC!DL6="",IPC!CZ6=""),"",AVERAGE(IPC!DA6:DL6)/AVERAGE(IPC!CO6:CZ6)-1)</f>
        <v>3.1642313805040567E-2</v>
      </c>
      <c r="DM6" s="31">
        <f>IF(OR(IPC!DM6="",IPC!DA6=""),"",AVERAGE(IPC!DB6:DM6)/AVERAGE(IPC!CP6:DA6)-1)</f>
        <v>3.1826231437353636E-2</v>
      </c>
      <c r="DN6" s="31">
        <f>IF(OR(IPC!DN6="",IPC!DB6=""),"",AVERAGE(IPC!DC6:DN6)/AVERAGE(IPC!CQ6:DB6)-1)</f>
        <v>3.2028849226975353E-2</v>
      </c>
      <c r="DO6" s="31">
        <f>IF(OR(IPC!DO6="",IPC!DC6=""),"",AVERAGE(IPC!DD6:DO6)/AVERAGE(IPC!CR6:DC6)-1)</f>
        <v>3.2332923680735259E-2</v>
      </c>
      <c r="DP6" s="31">
        <f>IF(OR(IPC!DP6="",IPC!DD6=""),"",AVERAGE(IPC!DE6:DP6)/AVERAGE(IPC!CS6:DD6)-1)</f>
        <v>3.2801090745089301E-2</v>
      </c>
      <c r="DQ6" s="31">
        <f>IF(OR(IPC!DQ6="",IPC!DE6=""),"",AVERAGE(IPC!DF6:DQ6)/AVERAGE(IPC!CT6:DE6)-1)</f>
        <v>3.4250959940219872E-2</v>
      </c>
      <c r="DR6" s="31">
        <f>IF(OR(IPC!DR6="",IPC!DF6=""),"",AVERAGE(IPC!DG6:DR6)/AVERAGE(IPC!CU6:DF6)-1)</f>
        <v>3.5133566272182781E-2</v>
      </c>
      <c r="DS6" s="31">
        <f>IF(OR(IPC!DS6="",IPC!DG6=""),"",AVERAGE(IPC!DH6:DS6)/AVERAGE(IPC!CV6:DG6)-1)</f>
        <v>3.580852681243929E-2</v>
      </c>
      <c r="DT6" s="31">
        <f>IF(OR(IPC!DT6="",IPC!DH6=""),"",AVERAGE(IPC!DI6:DT6)/AVERAGE(IPC!CW6:DH6)-1)</f>
        <v>3.4702337517269699E-2</v>
      </c>
      <c r="DU6" s="31">
        <f>IF(OR(IPC!DU6="",IPC!DI6=""),"",AVERAGE(IPC!DJ6:DU6)/AVERAGE(IPC!CX6:DI6)-1)</f>
        <v>3.4361293405560822E-2</v>
      </c>
      <c r="DV6" s="31">
        <f>IF(OR(IPC!DV6="",IPC!DJ6=""),"",AVERAGE(IPC!DK6:DV6)/AVERAGE(IPC!CY6:DJ6)-1)</f>
        <v>3.3905859767956903E-2</v>
      </c>
      <c r="DW6" s="31">
        <f>IF(OR(IPC!DW6="",IPC!DK6=""),"",AVERAGE(IPC!DL6:DW6)/AVERAGE(IPC!CZ6:DK6)-1)</f>
        <v>3.5180228833760374E-2</v>
      </c>
      <c r="DX6" s="31">
        <f>IF(OR(IPC!DX6="",IPC!DL6=""),"",AVERAGE(IPC!DM6:DX6)/AVERAGE(IPC!DA6:DL6)-1)</f>
        <v>3.637652736974073E-2</v>
      </c>
      <c r="DY6" s="31">
        <f>IF(OR(IPC!DY6="",IPC!DM6=""),"",AVERAGE(IPC!DN6:DY6)/AVERAGE(IPC!DB6:DM6)-1)</f>
        <v>3.7445167850958416E-2</v>
      </c>
      <c r="DZ6" s="31">
        <f>IF(OR(IPC!DZ6="",IPC!DN6=""),"",AVERAGE(IPC!DO6:DZ6)/AVERAGE(IPC!DC6:DN6)-1)</f>
        <v>3.7793545777798476E-2</v>
      </c>
      <c r="EA6" s="31">
        <f>IF(OR(IPC!EA6="",IPC!DO6=""),"",AVERAGE(IPC!DP6:EA6)/AVERAGE(IPC!DD6:DO6)-1)</f>
        <v>3.7929369356748621E-2</v>
      </c>
      <c r="EB6" s="31">
        <f>IF(OR(IPC!EB6="",IPC!DP6=""),"",AVERAGE(IPC!DQ6:EB6)/AVERAGE(IPC!DE6:DP6)-1)</f>
        <v>3.8581857637310701E-2</v>
      </c>
      <c r="EC6" s="31">
        <f>IF(OR(IPC!EC6="",IPC!DQ6=""),"",AVERAGE(IPC!DR6:EC6)/AVERAGE(IPC!DF6:DQ6)-1)</f>
        <v>3.8568821816759913E-2</v>
      </c>
      <c r="ED6" s="31">
        <f>IF(OR(IPC!ED6="",IPC!DR6=""),"",AVERAGE(IPC!DS6:ED6)/AVERAGE(IPC!DG6:DR6)-1)</f>
        <v>3.9513354828906611E-2</v>
      </c>
      <c r="EE6" s="31">
        <f>IF(OR(IPC!EE6="",IPC!DS6=""),"",AVERAGE(IPC!DT6:EE6)/AVERAGE(IPC!DH6:DS6)-1)</f>
        <v>4.3011205647420558E-2</v>
      </c>
      <c r="EF6" s="31">
        <f>IF(OR(IPC!EF6="",IPC!DT6=""),"",AVERAGE(IPC!DU6:EF6)/AVERAGE(IPC!DI6:DT6)-1)</f>
        <v>4.8381776067381477E-2</v>
      </c>
      <c r="EG6" s="31">
        <f>IF(OR(IPC!EG6="",IPC!DU6=""),"",AVERAGE(IPC!DV6:EG6)/AVERAGE(IPC!DJ6:DU6)-1)</f>
        <v>5.4275922402618804E-2</v>
      </c>
      <c r="EH6" s="31">
        <f>IF(OR(IPC!EH6="",IPC!DV6=""),"",AVERAGE(IPC!DW6:EH6)/AVERAGE(IPC!DK6:DV6)-1)</f>
        <v>6.0157769732442246E-2</v>
      </c>
      <c r="EI6" s="31">
        <f>IF(OR(IPC!EI6="",IPC!DW6=""),"",AVERAGE(IPC!DX6:EI6)/AVERAGE(IPC!DL6:DW6)-1)</f>
        <v>6.6752950875367922E-2</v>
      </c>
      <c r="EJ6" s="31">
        <f>IF(OR(IPC!EJ6="",IPC!DX6=""),"",AVERAGE(IPC!DY6:EJ6)/AVERAGE(IPC!DM6:DX6)-1)</f>
        <v>7.3395592799296638E-2</v>
      </c>
      <c r="EK6" s="31">
        <f>IF(OR(IPC!EK6="",IPC!DY6=""),"",AVERAGE(IPC!DZ6:EK6)/AVERAGE(IPC!DN6:DY6)-1)</f>
        <v>7.9697480131344589E-2</v>
      </c>
      <c r="EL6" s="31">
        <f>IF(OR(IPC!EL6="",IPC!DZ6=""),"",AVERAGE(IPC!EA6:EL6)/AVERAGE(IPC!DO6:DZ6)-1)</f>
        <v>8.6524023297557484E-2</v>
      </c>
      <c r="EM6" s="31">
        <f>IF(OR(IPC!EM6="",IPC!EA6=""),"",AVERAGE(IPC!EB6:EM6)/AVERAGE(IPC!DP6:EA6)-1)</f>
        <v>9.519931241106927E-2</v>
      </c>
      <c r="EN6" s="31">
        <f>IF(OR(IPC!EN6="",IPC!EB6=""),"",AVERAGE(IPC!EC6:EN6)/AVERAGE(IPC!DQ6:EB6)-1)</f>
        <v>0.10451490167613975</v>
      </c>
      <c r="EO6" s="31">
        <f>IF(OR(IPC!EO6="",IPC!EC6=""),"",AVERAGE(IPC!ED6:EO6)/AVERAGE(IPC!DR6:EC6)-1)</f>
        <v>0.1141525507036234</v>
      </c>
      <c r="EP6" s="31">
        <f>IF(OR(IPC!EP6="",IPC!ED6=""),"",AVERAGE(IPC!EE6:EP6)/AVERAGE(IPC!DS6:ED6)-1)</f>
        <v>0.12407169020191389</v>
      </c>
      <c r="EQ6" s="31">
        <f>IF(OR(IPC!EQ6="",IPC!EE6=""),"",AVERAGE(IPC!EF6:EQ6)/AVERAGE(IPC!DT6:EE6)-1)</f>
        <v>0.12919687055247087</v>
      </c>
      <c r="ER6" s="31">
        <f>IF(OR(IPC!ER6="",IPC!EF6=""),"",AVERAGE(IPC!EG6:ER6)/AVERAGE(IPC!DU6:EF6)-1)</f>
        <v>0.13331260677296308</v>
      </c>
      <c r="ES6" s="31">
        <f>IF(OR(IPC!ES6="",IPC!EG6=""),"",AVERAGE(IPC!EH6:ES6)/AVERAGE(IPC!DV6:EG6)-1)</f>
        <v>0.1363478351335774</v>
      </c>
      <c r="ET6" s="31">
        <f>IF(OR(IPC!ET6="",IPC!EH6=""),"",AVERAGE(IPC!EI6:ET6)/AVERAGE(IPC!DW6:EH6)-1)</f>
        <v>0.13861047883331357</v>
      </c>
      <c r="EU6" s="31">
        <f>IF(OR(IPC!EU6="",IPC!EI6=""),"",AVERAGE(IPC!EJ6:EU6)/AVERAGE(IPC!DX6:EI6)-1)</f>
        <v>0.13802382033428562</v>
      </c>
      <c r="EV6" s="31">
        <f>IF(OR(IPC!EV6="",IPC!EJ6=""),"",AVERAGE(IPC!EK6:EV6)/AVERAGE(IPC!DY6:EJ6)-1)</f>
        <v>0.13720223231250084</v>
      </c>
      <c r="EW6" s="31">
        <f>IF(OR(IPC!EW6="",IPC!EK6=""),"",AVERAGE(IPC!EL6:EW6)/AVERAGE(IPC!DZ6:EK6)-1)</f>
        <v>0.137080478031403</v>
      </c>
      <c r="EX6" s="31">
        <f>IF(OR(IPC!EX6="",IPC!EL6=""),"",AVERAGE(IPC!EM6:EX6)/AVERAGE(IPC!EA6:EL6)-1)</f>
        <v>0.13583584082837841</v>
      </c>
      <c r="EY6" s="31">
        <f>IF(OR(IPC!EY6="",IPC!EM6=""),"",AVERAGE(IPC!EN6:EY6)/AVERAGE(IPC!EB6:EM6)-1)</f>
        <v>0.13260665567669161</v>
      </c>
      <c r="EZ6" s="31">
        <f>IF(OR(IPC!EZ6="",IPC!EN6=""),"",AVERAGE(IPC!EO6:EZ6)/AVERAGE(IPC!EC6:EN6)-1)</f>
        <v>0.12781833222891437</v>
      </c>
      <c r="FA6" s="31">
        <f>IF(OR(IPC!FA6="",IPC!EO6=""),"",AVERAGE(IPC!EP6:FA6)/AVERAGE(IPC!ED6:EO6)-1)</f>
        <v>0.12322679116995894</v>
      </c>
      <c r="FB6" s="31">
        <f>IF(OR(IPC!FB6="",IPC!EP6=""),"",AVERAGE(IPC!EQ6:FB6)/AVERAGE(IPC!EE6:EP6)-1)</f>
        <v>0.11644577440091264</v>
      </c>
      <c r="FC6" s="31">
        <f>IF(OR(IPC!FC6="",IPC!EQ6=""),"",AVERAGE(IPC!ER6:FC6)/AVERAGE(IPC!EF6:EQ6)-1)</f>
        <v>0.1111666666666673</v>
      </c>
      <c r="FD6" s="31">
        <f>IF(OR(IPC!FD6="",IPC!ER6=""),"",AVERAGE(IPC!ES6:FD6)/AVERAGE(IPC!EG6:ER6)-1)</f>
        <v>0.10382648403575523</v>
      </c>
      <c r="FE6" s="31">
        <f>IF(OR(IPC!FE6="",IPC!ES6=""),"",AVERAGE(IPC!ET6:FE6)/AVERAGE(IPC!EH6:ES6)-1)</f>
        <v>9.7099336316326834E-2</v>
      </c>
      <c r="FF6" s="31">
        <f>IF(OR(IPC!FF6="",IPC!ET6=""),"",AVERAGE(IPC!EU6:FF6)/AVERAGE(IPC!EI6:ET6)-1)</f>
        <v>9.1522654550801441E-2</v>
      </c>
      <c r="FG6" s="31">
        <f>IF(OR(IPC!FG6="",IPC!EU6=""),"",AVERAGE(IPC!EV6:FG6)/AVERAGE(IPC!EJ6:EU6)-1)</f>
        <v>8.6980895779566136E-2</v>
      </c>
      <c r="FH6" s="31">
        <f>IF(OR(IPC!FH6="",IPC!EV6=""),"",AVERAGE(IPC!EW6:FH6)/AVERAGE(IPC!EK6:EV6)-1)</f>
        <v>8.1892984303277183E-2</v>
      </c>
      <c r="FI6" s="31">
        <f>IF(OR(IPC!FI6="",IPC!EW6=""),"",AVERAGE(IPC!EX6:FI6)/AVERAGE(IPC!EL6:EW6)-1)</f>
        <v>7.6214246739243707E-2</v>
      </c>
      <c r="FJ6" s="31">
        <f>IF(OR(IPC!FJ6="",IPC!EX6=""),"",AVERAGE(IPC!EY6:FJ6)/AVERAGE(IPC!EM6:EX6)-1)</f>
        <v>7.0473983845591448E-2</v>
      </c>
      <c r="FK6" s="31">
        <f>IF(OR(IPC!FK6="",IPC!EY6=""),"",AVERAGE(IPC!EZ6:FK6)/AVERAGE(IPC!EN6:EY6)-1)</f>
        <v>6.488926623256952E-2</v>
      </c>
      <c r="FL6" s="31">
        <f>IF(OR(IPC!FL6="",IPC!EZ6=""),"",AVERAGE(IPC!FA6:FL6)/AVERAGE(IPC!EO6:EZ6)-1)</f>
        <v>6.1669851032719158E-2</v>
      </c>
      <c r="FM6" s="31">
        <f>IF(OR(IPC!FM6="",IPC!FA6=""),"",AVERAGE(IPC!FB6:FM6)/AVERAGE(IPC!EP6:FA6)-1)</f>
        <v>5.8310967335439168E-2</v>
      </c>
      <c r="FN6" s="31">
        <f>IF(OR(IPC!FN6="",IPC!FB6=""),"",AVERAGE(IPC!FC6:FN6)/AVERAGE(IPC!EQ6:FB6)-1)</f>
        <v>5.6326025161632876E-2</v>
      </c>
      <c r="FO6" s="31">
        <f>IF(OR(IPC!FO6="",IPC!FC6=""),"",AVERAGE(IPC!FD6:FO6)/AVERAGE(IPC!ER6:FC6)-1)</f>
        <v>5.6322183890805233E-2</v>
      </c>
      <c r="FP6" s="31">
        <f>IF(OR(IPC!FP6="",IPC!FD6=""),"",AVERAGE(IPC!FE6:FP6)/AVERAGE(IPC!ES6:FD6)-1)</f>
        <v>5.854241338112276E-2</v>
      </c>
      <c r="FQ6" s="31">
        <f>IF(OR(IPC!FQ6="",IPC!FE6=""),"",AVERAGE(IPC!FF6:FQ6)/AVERAGE(IPC!ET6:FE6)-1)</f>
        <v>6.0139756170086267E-2</v>
      </c>
      <c r="FR6" s="31">
        <f>IF(OR(IPC!FR6="",IPC!FF6=""),"",AVERAGE(IPC!FG6:FR6)/AVERAGE(IPC!EU6:FF6)-1)</f>
        <v>6.1103713567095763E-2</v>
      </c>
    </row>
    <row r="7" spans="1:174" s="1" customFormat="1" ht="10.199999999999999" x14ac:dyDescent="0.2">
      <c r="A7" s="11"/>
      <c r="B7" s="1" t="s">
        <v>98</v>
      </c>
      <c r="C7" s="8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>
        <f>IF(OR(IPC!AN7="",IPC!AB7=""),"",AVERAGE(IPC!AC7:AN7)/AVERAGE(IPC!Q7:AB7)-1)</f>
        <v>1.6234252885572564E-2</v>
      </c>
      <c r="AO7" s="31">
        <f>IF(OR(IPC!AO7="",IPC!AC7=""),"",AVERAGE(IPC!AD7:AO7)/AVERAGE(IPC!R7:AC7)-1)</f>
        <v>1.3575375018632485E-2</v>
      </c>
      <c r="AP7" s="31">
        <f>IF(OR(IPC!AP7="",IPC!AD7=""),"",AVERAGE(IPC!AE7:AP7)/AVERAGE(IPC!S7:AD7)-1)</f>
        <v>1.1904399742292071E-2</v>
      </c>
      <c r="AQ7" s="31">
        <f>IF(OR(IPC!AQ7="",IPC!AE7=""),"",AVERAGE(IPC!AF7:AQ7)/AVERAGE(IPC!T7:AE7)-1)</f>
        <v>9.9456183029162926E-3</v>
      </c>
      <c r="AR7" s="31">
        <f>IF(OR(IPC!AR7="",IPC!AF7=""),"",AVERAGE(IPC!AG7:AR7)/AVERAGE(IPC!U7:AF7)-1)</f>
        <v>6.521161722374158E-3</v>
      </c>
      <c r="AS7" s="31">
        <f>IF(OR(IPC!AS7="",IPC!AG7=""),"",AVERAGE(IPC!AH7:AS7)/AVERAGE(IPC!V7:AG7)-1)</f>
        <v>3.5457214175593776E-3</v>
      </c>
      <c r="AT7" s="31">
        <f>IF(OR(IPC!AT7="",IPC!AH7=""),"",AVERAGE(IPC!AI7:AT7)/AVERAGE(IPC!W7:AH7)-1)</f>
        <v>1.5933102210416994E-3</v>
      </c>
      <c r="AU7" s="31">
        <f>IF(OR(IPC!AU7="",IPC!AI7=""),"",AVERAGE(IPC!AJ7:AU7)/AVERAGE(IPC!X7:AI7)-1)</f>
        <v>7.8216191434465898E-4</v>
      </c>
      <c r="AV7" s="31">
        <f>IF(OR(IPC!AV7="",IPC!AJ7=""),"",AVERAGE(IPC!AK7:AV7)/AVERAGE(IPC!Y7:AJ7)-1)</f>
        <v>1.3684912400158122E-3</v>
      </c>
      <c r="AW7" s="31">
        <f>IF(OR(IPC!AW7="",IPC!AK7=""),"",AVERAGE(IPC!AL7:AW7)/AVERAGE(IPC!Z7:AK7)-1)</f>
        <v>9.2775413946721841E-4</v>
      </c>
      <c r="AX7" s="31">
        <f>IF(OR(IPC!AX7="",IPC!AL7=""),"",AVERAGE(IPC!AM7:AX7)/AVERAGE(IPC!AA7:AL7)-1)</f>
        <v>1.9900140978283964E-3</v>
      </c>
      <c r="AY7" s="31">
        <f>IF(OR(IPC!AY7="",IPC!AM7=""),"",AVERAGE(IPC!AN7:AY7)/AVERAGE(IPC!AB7:AM7)-1)</f>
        <v>2.5623402509793447E-3</v>
      </c>
      <c r="AZ7" s="31">
        <f>IF(OR(IPC!AZ7="",IPC!AN7=""),"",AVERAGE(IPC!AO7:AZ7)/AVERAGE(IPC!AC7:AN7)-1)</f>
        <v>4.0292581690615226E-3</v>
      </c>
      <c r="BA7" s="31">
        <f>IF(OR(IPC!BA7="",IPC!AO7=""),"",AVERAGE(IPC!AP7:BA7)/AVERAGE(IPC!AD7:AO7)-1)</f>
        <v>6.0799393486110631E-3</v>
      </c>
      <c r="BB7" s="31">
        <f>IF(OR(IPC!BB7="",IPC!AP7=""),"",AVERAGE(IPC!AQ7:BB7)/AVERAGE(IPC!AE7:AP7)-1)</f>
        <v>9.3679095308520921E-3</v>
      </c>
      <c r="BC7" s="31">
        <f>IF(OR(IPC!BC7="",IPC!AQ7=""),"",AVERAGE(IPC!AR7:BC7)/AVERAGE(IPC!AF7:AQ7)-1)</f>
        <v>1.2504450603638917E-2</v>
      </c>
      <c r="BD7" s="31">
        <f>IF(OR(IPC!BD7="",IPC!AR7=""),"",AVERAGE(IPC!AS7:BD7)/AVERAGE(IPC!AG7:AR7)-1)</f>
        <v>1.6848360623388903E-2</v>
      </c>
      <c r="BE7" s="31">
        <f>IF(OR(IPC!BE7="",IPC!AS7=""),"",AVERAGE(IPC!AT7:BE7)/AVERAGE(IPC!AH7:AS7)-1)</f>
        <v>2.1992364648419027E-2</v>
      </c>
      <c r="BF7" s="31">
        <f>IF(OR(IPC!BF7="",IPC!AT7=""),"",AVERAGE(IPC!AU7:BF7)/AVERAGE(IPC!AI7:AT7)-1)</f>
        <v>2.532472177704026E-2</v>
      </c>
      <c r="BG7" s="31">
        <f>IF(OR(IPC!BG7="",IPC!AU7=""),"",AVERAGE(IPC!AV7:BG7)/AVERAGE(IPC!AJ7:AU7)-1)</f>
        <v>2.7407087643603889E-2</v>
      </c>
      <c r="BH7" s="31">
        <f>IF(OR(IPC!BH7="",IPC!AV7=""),"",AVERAGE(IPC!AW7:BH7)/AVERAGE(IPC!AK7:AV7)-1)</f>
        <v>2.969624110005209E-2</v>
      </c>
      <c r="BI7" s="31">
        <f>IF(OR(IPC!BI7="",IPC!AW7=""),"",AVERAGE(IPC!AX7:BI7)/AVERAGE(IPC!AL7:AW7)-1)</f>
        <v>3.2333805853859143E-2</v>
      </c>
      <c r="BJ7" s="31">
        <f>IF(OR(IPC!BJ7="",IPC!AX7=""),"",AVERAGE(IPC!AY7:BJ7)/AVERAGE(IPC!AM7:AX7)-1)</f>
        <v>3.3757327888547239E-2</v>
      </c>
      <c r="BK7" s="31">
        <f>IF(OR(IPC!BK7="",IPC!AY7=""),"",AVERAGE(IPC!AZ7:BK7)/AVERAGE(IPC!AN7:AY7)-1)</f>
        <v>3.5829139466821314E-2</v>
      </c>
      <c r="BL7" s="31">
        <f>IF(OR(IPC!BL7="",IPC!AZ7=""),"",AVERAGE(IPC!BA7:BL7)/AVERAGE(IPC!AO7:AZ7)-1)</f>
        <v>3.7736496277502196E-2</v>
      </c>
      <c r="BM7" s="31">
        <f>IF(OR(IPC!BM7="",IPC!BA7=""),"",AVERAGE(IPC!BB7:BM7)/AVERAGE(IPC!AP7:BA7)-1)</f>
        <v>3.8832863661859562E-2</v>
      </c>
      <c r="BN7" s="31">
        <f>IF(OR(IPC!BN7="",IPC!BB7=""),"",AVERAGE(IPC!BC7:BN7)/AVERAGE(IPC!AQ7:BB7)-1)</f>
        <v>3.6744628365492193E-2</v>
      </c>
      <c r="BO7" s="31">
        <f>IF(OR(IPC!BO7="",IPC!BC7=""),"",AVERAGE(IPC!BD7:BO7)/AVERAGE(IPC!AR7:BC7)-1)</f>
        <v>3.3646730347984599E-2</v>
      </c>
      <c r="BP7" s="31">
        <f>IF(OR(IPC!BP7="",IPC!BD7=""),"",AVERAGE(IPC!BE7:BP7)/AVERAGE(IPC!AS7:BD7)-1)</f>
        <v>3.015900061205179E-2</v>
      </c>
      <c r="BQ7" s="31">
        <f>IF(OR(IPC!BQ7="",IPC!BE7=""),"",AVERAGE(IPC!BF7:BQ7)/AVERAGE(IPC!AT7:BE7)-1)</f>
        <v>2.545686860219698E-2</v>
      </c>
      <c r="BR7" s="31">
        <f>IF(OR(IPC!BR7="",IPC!BF7=""),"",AVERAGE(IPC!BG7:BR7)/AVERAGE(IPC!AU7:BF7)-1)</f>
        <v>2.1244848121516169E-2</v>
      </c>
      <c r="BS7" s="31">
        <f>IF(OR(IPC!BS7="",IPC!BG7=""),"",AVERAGE(IPC!BH7:BS7)/AVERAGE(IPC!AV7:BG7)-1)</f>
        <v>1.7938899359825955E-2</v>
      </c>
      <c r="BT7" s="31">
        <f>IF(OR(IPC!BT7="",IPC!BH7=""),"",AVERAGE(IPC!BI7:BT7)/AVERAGE(IPC!AW7:BH7)-1)</f>
        <v>1.3980669851133554E-2</v>
      </c>
      <c r="BU7" s="31">
        <f>IF(OR(IPC!BU7="",IPC!BI7=""),"",AVERAGE(IPC!BJ7:BU7)/AVERAGE(IPC!AX7:BI7)-1)</f>
        <v>1.0560551485533587E-2</v>
      </c>
      <c r="BV7" s="31">
        <f>IF(OR(IPC!BV7="",IPC!BJ7=""),"",AVERAGE(IPC!BK7:BV7)/AVERAGE(IPC!AY7:BJ7)-1)</f>
        <v>7.6881196640712357E-3</v>
      </c>
      <c r="BW7" s="31">
        <f>IF(OR(IPC!BW7="",IPC!BK7=""),"",AVERAGE(IPC!BL7:BW7)/AVERAGE(IPC!AZ7:BK7)-1)</f>
        <v>4.5396308681173725E-3</v>
      </c>
      <c r="BX7" s="31">
        <f>IF(OR(IPC!BX7="",IPC!BL7=""),"",AVERAGE(IPC!BM7:BX7)/AVERAGE(IPC!BA7:BL7)-1)</f>
        <v>1.9530924590878129E-3</v>
      </c>
      <c r="BY7" s="31">
        <f>IF(OR(IPC!BY7="",IPC!BM7=""),"",AVERAGE(IPC!BN7:BY7)/AVERAGE(IPC!BB7:BM7)-1)</f>
        <v>-7.6283478235028568E-4</v>
      </c>
      <c r="BZ7" s="31">
        <f>IF(OR(IPC!BZ7="",IPC!BN7=""),"",AVERAGE(IPC!BO7:BZ7)/AVERAGE(IPC!BC7:BN7)-1)</f>
        <v>-1.9125441928586895E-3</v>
      </c>
      <c r="CA7" s="31">
        <f>IF(OR(IPC!CA7="",IPC!BO7=""),"",AVERAGE(IPC!BP7:CA7)/AVERAGE(IPC!BD7:BO7)-1)</f>
        <v>-1.1889566065595991E-3</v>
      </c>
      <c r="CB7" s="31">
        <f>IF(OR(IPC!CB7="",IPC!BP7=""),"",AVERAGE(IPC!BQ7:CB7)/AVERAGE(IPC!BE7:BP7)-1)</f>
        <v>-7.076490878816788E-4</v>
      </c>
      <c r="CC7" s="31">
        <f>IF(OR(IPC!CC7="",IPC!BQ7=""),"",AVERAGE(IPC!BR7:CC7)/AVERAGE(IPC!BF7:BQ7)-1)</f>
        <v>8.6223990684919372E-5</v>
      </c>
      <c r="CD7" s="31">
        <f>IF(OR(IPC!CD7="",IPC!BR7=""),"",AVERAGE(IPC!BS7:CD7)/AVERAGE(IPC!BG7:BR7)-1)</f>
        <v>1.4886011317332137E-3</v>
      </c>
      <c r="CE7" s="31">
        <f>IF(OR(IPC!CE7="",IPC!BS7=""),"",AVERAGE(IPC!BT7:CE7)/AVERAGE(IPC!BH7:BS7)-1)</f>
        <v>2.2423834815705757E-3</v>
      </c>
      <c r="CF7" s="31">
        <f>IF(OR(IPC!CF7="",IPC!BT7=""),"",AVERAGE(IPC!BU7:CF7)/AVERAGE(IPC!BI7:BT7)-1)</f>
        <v>3.277943318076737E-3</v>
      </c>
      <c r="CG7" s="31">
        <f>IF(OR(IPC!CG7="",IPC!BU7=""),"",AVERAGE(IPC!BV7:CG7)/AVERAGE(IPC!BJ7:BU7)-1)</f>
        <v>3.6641549497724579E-3</v>
      </c>
      <c r="CH7" s="31">
        <f>IF(OR(IPC!CH7="",IPC!BV7=""),"",AVERAGE(IPC!BW7:CH7)/AVERAGE(IPC!BK7:BV7)-1)</f>
        <v>4.1503818455446151E-3</v>
      </c>
      <c r="CI7" s="31">
        <f>IF(OR(IPC!CI7="",IPC!BW7=""),"",AVERAGE(IPC!BX7:CI7)/AVERAGE(IPC!BL7:BW7)-1)</f>
        <v>4.6607066360069282E-3</v>
      </c>
      <c r="CJ7" s="31">
        <f>IF(OR(IPC!CJ7="",IPC!BX7=""),"",AVERAGE(IPC!BY7:CJ7)/AVERAGE(IPC!BM7:BX7)-1)</f>
        <v>4.3287724856639898E-3</v>
      </c>
      <c r="CK7" s="31">
        <f>IF(OR(IPC!CK7="",IPC!BY7=""),"",AVERAGE(IPC!BZ7:CK7)/AVERAGE(IPC!BN7:BY7)-1)</f>
        <v>4.4396880757286983E-3</v>
      </c>
      <c r="CL7" s="31">
        <f>IF(OR(IPC!CL7="",IPC!BZ7=""),"",AVERAGE(IPC!CA7:CL7)/AVERAGE(IPC!BO7:BZ7)-1)</f>
        <v>5.0218972574291865E-3</v>
      </c>
      <c r="CM7" s="31">
        <f>IF(OR(IPC!CM7="",IPC!CA7=""),"",AVERAGE(IPC!CB7:CM7)/AVERAGE(IPC!BP7:CA7)-1)</f>
        <v>4.6801621702914353E-3</v>
      </c>
      <c r="CN7" s="31">
        <f>IF(OR(IPC!CN7="",IPC!CB7=""),"",AVERAGE(IPC!CC7:CN7)/AVERAGE(IPC!BQ7:CB7)-1)</f>
        <v>5.0915133597562168E-3</v>
      </c>
      <c r="CO7" s="31">
        <f>IF(OR(IPC!CO7="",IPC!CC7=""),"",AVERAGE(IPC!CD7:CO7)/AVERAGE(IPC!BR7:CC7)-1)</f>
        <v>5.6778193804476462E-3</v>
      </c>
      <c r="CP7" s="31">
        <f>IF(OR(IPC!CP7="",IPC!CD7=""),"",AVERAGE(IPC!CE7:CP7)/AVERAGE(IPC!BS7:CD7)-1)</f>
        <v>5.3626840244482832E-3</v>
      </c>
      <c r="CQ7" s="31">
        <f>IF(OR(IPC!CQ7="",IPC!CE7=""),"",AVERAGE(IPC!CF7:CQ7)/AVERAGE(IPC!BT7:CE7)-1)</f>
        <v>5.4736855511403615E-3</v>
      </c>
      <c r="CR7" s="31">
        <f>IF(OR(IPC!CR7="",IPC!CF7=""),"",AVERAGE(IPC!CG7:CR7)/AVERAGE(IPC!BU7:CF7)-1)</f>
        <v>6.1324289124884412E-3</v>
      </c>
      <c r="CS7" s="31">
        <f>IF(OR(IPC!CS7="",IPC!CG7=""),"",AVERAGE(IPC!CH7:CS7)/AVERAGE(IPC!BV7:CG7)-1)</f>
        <v>7.341698738440039E-3</v>
      </c>
      <c r="CT7" s="31">
        <f>IF(OR(IPC!CT7="",IPC!CH7=""),"",AVERAGE(IPC!CI7:CT7)/AVERAGE(IPC!BW7:CH7)-1)</f>
        <v>8.5511269817435398E-3</v>
      </c>
      <c r="CU7" s="31">
        <f>IF(OR(IPC!CU7="",IPC!CI7=""),"",AVERAGE(IPC!CJ7:CU7)/AVERAGE(IPC!BX7:CI7)-1)</f>
        <v>9.7245295108374652E-3</v>
      </c>
      <c r="CV7" s="31">
        <f>IF(OR(IPC!CV7="",IPC!CJ7=""),"",AVERAGE(IPC!CK7:CV7)/AVERAGE(IPC!BY7:CJ7)-1)</f>
        <v>1.1115195405531519E-2</v>
      </c>
      <c r="CW7" s="31">
        <f>IF(OR(IPC!CW7="",IPC!CK7=""),"",AVERAGE(IPC!CL7:CW7)/AVERAGE(IPC!BZ7:CK7)-1)</f>
        <v>1.2738968260997741E-2</v>
      </c>
      <c r="CX7" s="31">
        <f>IF(OR(IPC!CX7="",IPC!CL7=""),"",AVERAGE(IPC!CM7:CX7)/AVERAGE(IPC!CA7:CL7)-1)</f>
        <v>1.5523472494077373E-2</v>
      </c>
      <c r="CY7" s="31">
        <f>IF(OR(IPC!CY7="",IPC!CM7=""),"",AVERAGE(IPC!CN7:CY7)/AVERAGE(IPC!CB7:CM7)-1)</f>
        <v>1.8416807319110662E-2</v>
      </c>
      <c r="CZ7" s="31">
        <f>IF(OR(IPC!CZ7="",IPC!CN7=""),"",AVERAGE(IPC!CO7:CZ7)/AVERAGE(IPC!CC7:CN7)-1)</f>
        <v>2.0476523174889349E-2</v>
      </c>
      <c r="DA7" s="31">
        <f>IF(OR(IPC!DA7="",IPC!CO7=""),"",AVERAGE(IPC!CP7:DA7)/AVERAGE(IPC!CD7:CO7)-1)</f>
        <v>2.2488532932100735E-2</v>
      </c>
      <c r="DB7" s="31">
        <f>IF(OR(IPC!DB7="",IPC!CP7=""),"",AVERAGE(IPC!CQ7:DB7)/AVERAGE(IPC!CE7:CP7)-1)</f>
        <v>2.5045076320156179E-2</v>
      </c>
      <c r="DC7" s="31">
        <f>IF(OR(IPC!DC7="",IPC!CQ7=""),"",AVERAGE(IPC!CR7:DC7)/AVERAGE(IPC!CF7:CQ7)-1)</f>
        <v>2.7834264391306096E-2</v>
      </c>
      <c r="DD7" s="31">
        <f>IF(OR(IPC!DD7="",IPC!CR7=""),"",AVERAGE(IPC!CS7:DD7)/AVERAGE(IPC!CG7:CR7)-1)</f>
        <v>2.9745121065950064E-2</v>
      </c>
      <c r="DE7" s="31">
        <f>IF(OR(IPC!DE7="",IPC!CS7=""),"",AVERAGE(IPC!CT7:DE7)/AVERAGE(IPC!CH7:CS7)-1)</f>
        <v>3.2084908929897349E-2</v>
      </c>
      <c r="DF7" s="31">
        <f>IF(OR(IPC!DF7="",IPC!CT7=""),"",AVERAGE(IPC!CU7:DF7)/AVERAGE(IPC!CI7:CT7)-1)</f>
        <v>3.3932743946968547E-2</v>
      </c>
      <c r="DG7" s="31">
        <f>IF(OR(IPC!DG7="",IPC!CU7=""),"",AVERAGE(IPC!CV7:DG7)/AVERAGE(IPC!CJ7:CU7)-1)</f>
        <v>3.6049001302068007E-2</v>
      </c>
      <c r="DH7" s="31">
        <f>IF(OR(IPC!DH7="",IPC!CV7=""),"",AVERAGE(IPC!CW7:DH7)/AVERAGE(IPC!CK7:CV7)-1)</f>
        <v>3.8307656374720001E-2</v>
      </c>
      <c r="DI7" s="31">
        <f>IF(OR(IPC!DI7="",IPC!CW7=""),"",AVERAGE(IPC!CX7:DI7)/AVERAGE(IPC!CL7:CW7)-1)</f>
        <v>4.0076631778704686E-2</v>
      </c>
      <c r="DJ7" s="31">
        <f>IF(OR(IPC!DJ7="",IPC!CX7=""),"",AVERAGE(IPC!CY7:DJ7)/AVERAGE(IPC!CM7:CX7)-1)</f>
        <v>3.8862267624694802E-2</v>
      </c>
      <c r="DK7" s="31">
        <f>IF(OR(IPC!DK7="",IPC!CY7=""),"",AVERAGE(IPC!CZ7:DK7)/AVERAGE(IPC!CN7:CY7)-1)</f>
        <v>3.7143399228473095E-2</v>
      </c>
      <c r="DL7" s="31">
        <f>IF(OR(IPC!DL7="",IPC!CZ7=""),"",AVERAGE(IPC!DA7:DL7)/AVERAGE(IPC!CO7:CZ7)-1)</f>
        <v>3.6047623068497181E-2</v>
      </c>
      <c r="DM7" s="31">
        <f>IF(OR(IPC!DM7="",IPC!DA7=""),"",AVERAGE(IPC!DB7:DM7)/AVERAGE(IPC!CP7:DA7)-1)</f>
        <v>3.4947668211126492E-2</v>
      </c>
      <c r="DN7" s="31">
        <f>IF(OR(IPC!DN7="",IPC!DB7=""),"",AVERAGE(IPC!DC7:DN7)/AVERAGE(IPC!CQ7:DB7)-1)</f>
        <v>3.3818800613125255E-2</v>
      </c>
      <c r="DO7" s="31">
        <f>IF(OR(IPC!DO7="",IPC!DC7=""),"",AVERAGE(IPC!DD7:DO7)/AVERAGE(IPC!CR7:DC7)-1)</f>
        <v>3.2305021885075558E-2</v>
      </c>
      <c r="DP7" s="31">
        <f>IF(OR(IPC!DP7="",IPC!DD7=""),"",AVERAGE(IPC!DE7:DP7)/AVERAGE(IPC!CS7:DD7)-1)</f>
        <v>3.1648252131614818E-2</v>
      </c>
      <c r="DQ7" s="31">
        <f>IF(OR(IPC!DQ7="",IPC!DE7=""),"",AVERAGE(IPC!DF7:DQ7)/AVERAGE(IPC!CT7:DE7)-1)</f>
        <v>2.956364218091867E-2</v>
      </c>
      <c r="DR7" s="31">
        <f>IF(OR(IPC!DR7="",IPC!DF7=""),"",AVERAGE(IPC!DG7:DR7)/AVERAGE(IPC!CU7:DF7)-1)</f>
        <v>2.7874438504872812E-2</v>
      </c>
      <c r="DS7" s="31">
        <f>IF(OR(IPC!DS7="",IPC!DG7=""),"",AVERAGE(IPC!DH7:DS7)/AVERAGE(IPC!CV7:DG7)-1)</f>
        <v>2.5547241339530569E-2</v>
      </c>
      <c r="DT7" s="31">
        <f>IF(OR(IPC!DT7="",IPC!DH7=""),"",AVERAGE(IPC!DI7:DT7)/AVERAGE(IPC!CW7:DH7)-1)</f>
        <v>2.3431132017913692E-2</v>
      </c>
      <c r="DU7" s="31">
        <f>IF(OR(IPC!DU7="",IPC!DI7=""),"",AVERAGE(IPC!DJ7:DU7)/AVERAGE(IPC!CX7:DI7)-1)</f>
        <v>2.1638364522242881E-2</v>
      </c>
      <c r="DV7" s="31">
        <f>IF(OR(IPC!DV7="",IPC!DJ7=""),"",AVERAGE(IPC!DK7:DV7)/AVERAGE(IPC!CY7:DJ7)-1)</f>
        <v>2.119322922688327E-2</v>
      </c>
      <c r="DW7" s="31">
        <f>IF(OR(IPC!DW7="",IPC!DK7=""),"",AVERAGE(IPC!DL7:DW7)/AVERAGE(IPC!CZ7:DK7)-1)</f>
        <v>2.1118082580606101E-2</v>
      </c>
      <c r="DX7" s="31">
        <f>IF(OR(IPC!DX7="",IPC!DL7=""),"",AVERAGE(IPC!DM7:DX7)/AVERAGE(IPC!DA7:DL7)-1)</f>
        <v>2.0591075991885699E-2</v>
      </c>
      <c r="DY7" s="31">
        <f>IF(OR(IPC!DY7="",IPC!DM7=""),"",AVERAGE(IPC!DN7:DY7)/AVERAGE(IPC!DB7:DM7)-1)</f>
        <v>2.0274538614746485E-2</v>
      </c>
      <c r="DZ7" s="31">
        <f>IF(OR(IPC!DZ7="",IPC!DN7=""),"",AVERAGE(IPC!DO7:DZ7)/AVERAGE(IPC!DC7:DN7)-1)</f>
        <v>2.0155531048116959E-2</v>
      </c>
      <c r="EA7" s="31">
        <f>IF(OR(IPC!EA7="",IPC!DO7=""),"",AVERAGE(IPC!DP7:EA7)/AVERAGE(IPC!DD7:DO7)-1)</f>
        <v>2.0091971546286169E-2</v>
      </c>
      <c r="EB7" s="31">
        <f>IF(OR(IPC!EB7="",IPC!DP7=""),"",AVERAGE(IPC!DQ7:EB7)/AVERAGE(IPC!DE7:DP7)-1)</f>
        <v>1.9185462421561716E-2</v>
      </c>
      <c r="EC7" s="31">
        <f>IF(OR(IPC!EC7="",IPC!DQ7=""),"",AVERAGE(IPC!DR7:EC7)/AVERAGE(IPC!DF7:DQ7)-1)</f>
        <v>1.8884255787888549E-2</v>
      </c>
      <c r="ED7" s="31">
        <f>IF(OR(IPC!ED7="",IPC!DR7=""),"",AVERAGE(IPC!DS7:ED7)/AVERAGE(IPC!DG7:DR7)-1)</f>
        <v>1.8748151840092486E-2</v>
      </c>
      <c r="EE7" s="31">
        <f>IF(OR(IPC!EE7="",IPC!DS7=""),"",AVERAGE(IPC!DT7:EE7)/AVERAGE(IPC!DH7:DS7)-1)</f>
        <v>1.9441690414938595E-2</v>
      </c>
      <c r="EF7" s="31">
        <f>IF(OR(IPC!EF7="",IPC!DT7=""),"",AVERAGE(IPC!DU7:EF7)/AVERAGE(IPC!DI7:DT7)-1)</f>
        <v>2.0026759704209418E-2</v>
      </c>
      <c r="EG7" s="31">
        <f>IF(OR(IPC!EG7="",IPC!DU7=""),"",AVERAGE(IPC!DV7:EG7)/AVERAGE(IPC!DJ7:DU7)-1)</f>
        <v>2.1136776686816905E-2</v>
      </c>
      <c r="EH7" s="31">
        <f>IF(OR(IPC!EH7="",IPC!DV7=""),"",AVERAGE(IPC!DW7:EH7)/AVERAGE(IPC!DK7:DV7)-1)</f>
        <v>2.2786639025620836E-2</v>
      </c>
      <c r="EI7" s="31">
        <f>IF(OR(IPC!EI7="",IPC!DW7=""),"",AVERAGE(IPC!DX7:EI7)/AVERAGE(IPC!DL7:DW7)-1)</f>
        <v>2.45297877694024E-2</v>
      </c>
      <c r="EJ7" s="31">
        <f>IF(OR(IPC!EJ7="",IPC!DX7=""),"",AVERAGE(IPC!DY7:EJ7)/AVERAGE(IPC!DM7:DX7)-1)</f>
        <v>2.68180190662759E-2</v>
      </c>
      <c r="EK7" s="31">
        <f>IF(OR(IPC!EK7="",IPC!DY7=""),"",AVERAGE(IPC!DZ7:EK7)/AVERAGE(IPC!DN7:DY7)-1)</f>
        <v>2.8751336207091915E-2</v>
      </c>
      <c r="EL7" s="31">
        <f>IF(OR(IPC!EL7="",IPC!DZ7=""),"",AVERAGE(IPC!EA7:EL7)/AVERAGE(IPC!DO7:DZ7)-1)</f>
        <v>3.0587803722090579E-2</v>
      </c>
      <c r="EM7" s="31">
        <f>IF(OR(IPC!EM7="",IPC!EA7=""),"",AVERAGE(IPC!EB7:EM7)/AVERAGE(IPC!DP7:EA7)-1)</f>
        <v>3.2705391012280094E-2</v>
      </c>
      <c r="EN7" s="31">
        <f>IF(OR(IPC!EN7="",IPC!EB7=""),"",AVERAGE(IPC!EC7:EN7)/AVERAGE(IPC!DQ7:EB7)-1)</f>
        <v>3.5052857380706515E-2</v>
      </c>
      <c r="EO7" s="31">
        <f>IF(OR(IPC!EO7="",IPC!EC7=""),"",AVERAGE(IPC!ED7:EO7)/AVERAGE(IPC!DR7:EC7)-1)</f>
        <v>3.7526507243645479E-2</v>
      </c>
      <c r="EP7" s="31">
        <f>IF(OR(IPC!EP7="",IPC!ED7=""),"",AVERAGE(IPC!EE7:EP7)/AVERAGE(IPC!DS7:ED7)-1)</f>
        <v>4.0020383240835011E-2</v>
      </c>
      <c r="EQ7" s="31">
        <f>IF(OR(IPC!EQ7="",IPC!EE7=""),"",AVERAGE(IPC!EF7:EQ7)/AVERAGE(IPC!DT7:EE7)-1)</f>
        <v>4.1944936099468366E-2</v>
      </c>
      <c r="ER7" s="31">
        <f>IF(OR(IPC!ER7="",IPC!EF7=""),"",AVERAGE(IPC!EG7:ER7)/AVERAGE(IPC!DU7:EF7)-1)</f>
        <v>4.3638491276987379E-2</v>
      </c>
      <c r="ES7" s="31">
        <f>IF(OR(IPC!ES7="",IPC!EG7=""),"",AVERAGE(IPC!EH7:ES7)/AVERAGE(IPC!DV7:EG7)-1)</f>
        <v>4.4340578364070904E-2</v>
      </c>
      <c r="ET7" s="31">
        <f>IF(OR(IPC!ET7="",IPC!EH7=""),"",AVERAGE(IPC!EI7:ET7)/AVERAGE(IPC!DW7:EH7)-1)</f>
        <v>4.4134936319004225E-2</v>
      </c>
      <c r="EU7" s="31">
        <f>IF(OR(IPC!EU7="",IPC!EI7=""),"",AVERAGE(IPC!EJ7:EU7)/AVERAGE(IPC!DX7:EI7)-1)</f>
        <v>4.3752161234425824E-2</v>
      </c>
      <c r="EV7" s="31">
        <f>IF(OR(IPC!EV7="",IPC!EJ7=""),"",AVERAGE(IPC!EK7:EV7)/AVERAGE(IPC!DY7:EJ7)-1)</f>
        <v>4.2606400637863917E-2</v>
      </c>
      <c r="EW7" s="31">
        <f>IF(OR(IPC!EW7="",IPC!EK7=""),"",AVERAGE(IPC!EL7:EW7)/AVERAGE(IPC!DZ7:EK7)-1)</f>
        <v>4.1516136422538485E-2</v>
      </c>
      <c r="EX7" s="31">
        <f>IF(OR(IPC!EX7="",IPC!EL7=""),"",AVERAGE(IPC!EM7:EX7)/AVERAGE(IPC!EA7:EL7)-1)</f>
        <v>3.995603679945714E-2</v>
      </c>
      <c r="EY7" s="31">
        <f>IF(OR(IPC!EY7="",IPC!EM7=""),"",AVERAGE(IPC!EN7:EY7)/AVERAGE(IPC!EB7:EM7)-1)</f>
        <v>3.769361886423872E-2</v>
      </c>
      <c r="EZ7" s="31">
        <f>IF(OR(IPC!EZ7="",IPC!EN7=""),"",AVERAGE(IPC!EO7:EZ7)/AVERAGE(IPC!EC7:EN7)-1)</f>
        <v>3.5597259183553387E-2</v>
      </c>
      <c r="FA7" s="31">
        <f>IF(OR(IPC!FA7="",IPC!EO7=""),"",AVERAGE(IPC!EP7:FA7)/AVERAGE(IPC!ED7:EO7)-1)</f>
        <v>3.3468951611482334E-2</v>
      </c>
      <c r="FB7" s="31">
        <f>IF(OR(IPC!FB7="",IPC!EP7=""),"",AVERAGE(IPC!EQ7:FB7)/AVERAGE(IPC!EE7:EP7)-1)</f>
        <v>3.0732760903401157E-2</v>
      </c>
      <c r="FC7" s="31">
        <f>IF(OR(IPC!FC7="",IPC!EQ7=""),"",AVERAGE(IPC!ER7:FC7)/AVERAGE(IPC!EF7:EQ7)-1)</f>
        <v>2.7666666666666506E-2</v>
      </c>
      <c r="FD7" s="31">
        <f>IF(OR(IPC!FD7="",IPC!ER7=""),"",AVERAGE(IPC!ES7:FD7)/AVERAGE(IPC!EG7:ER7)-1)</f>
        <v>2.5119583692237546E-2</v>
      </c>
      <c r="FE7" s="31">
        <f>IF(OR(IPC!FE7="",IPC!ES7=""),"",AVERAGE(IPC!ET7:FE7)/AVERAGE(IPC!EH7:ES7)-1)</f>
        <v>2.2678916017661699E-2</v>
      </c>
      <c r="FF7" s="31">
        <f>IF(OR(IPC!FF7="",IPC!ET7=""),"",AVERAGE(IPC!EU7:FF7)/AVERAGE(IPC!EI7:ET7)-1)</f>
        <v>2.0557419028151891E-2</v>
      </c>
      <c r="FG7" s="31">
        <f>IF(OR(IPC!FG7="",IPC!EU7=""),"",AVERAGE(IPC!EV7:FG7)/AVERAGE(IPC!EJ7:EU7)-1)</f>
        <v>1.8429609696795968E-2</v>
      </c>
      <c r="FH7" s="31">
        <f>IF(OR(IPC!FH7="",IPC!EV7=""),"",AVERAGE(IPC!EW7:FH7)/AVERAGE(IPC!EK7:EV7)-1)</f>
        <v>1.6781828826610168E-2</v>
      </c>
      <c r="FI7" s="31">
        <f>IF(OR(IPC!FI7="",IPC!EW7=""),"",AVERAGE(IPC!EX7:FI7)/AVERAGE(IPC!EL7:EW7)-1)</f>
        <v>1.5298531344216437E-2</v>
      </c>
      <c r="FJ7" s="31">
        <f>IF(OR(IPC!FJ7="",IPC!EX7=""),"",AVERAGE(IPC!EY7:FJ7)/AVERAGE(IPC!EM7:EX7)-1)</f>
        <v>1.4054021082359647E-2</v>
      </c>
      <c r="FK7" s="31">
        <f>IF(OR(IPC!FK7="",IPC!EY7=""),"",AVERAGE(IPC!EZ7:FK7)/AVERAGE(IPC!EN7:EY7)-1)</f>
        <v>1.3149094310028087E-2</v>
      </c>
      <c r="FL7" s="31">
        <f>IF(OR(IPC!FL7="",IPC!EZ7=""),"",AVERAGE(IPC!FA7:FL7)/AVERAGE(IPC!EO7:EZ7)-1)</f>
        <v>1.2224200728677026E-2</v>
      </c>
      <c r="FM7" s="31">
        <f>IF(OR(IPC!FM7="",IPC!FA7=""),"",AVERAGE(IPC!FB7:FM7)/AVERAGE(IPC!EP7:FA7)-1)</f>
        <v>1.141312510352277E-2</v>
      </c>
      <c r="FN7" s="31">
        <f>IF(OR(IPC!FN7="",IPC!FB7=""),"",AVERAGE(IPC!FC7:FN7)/AVERAGE(IPC!EQ7:FB7)-1)</f>
        <v>1.1047351849066356E-2</v>
      </c>
      <c r="FO7" s="31">
        <f>IF(OR(IPC!FO7="",IPC!FC7=""),"",AVERAGE(IPC!FD7:FO7)/AVERAGE(IPC!ER7:FC7)-1)</f>
        <v>1.1109309114498922E-2</v>
      </c>
      <c r="FP7" s="31">
        <f>IF(OR(IPC!FP7="",IPC!FD7=""),"",AVERAGE(IPC!FE7:FP7)/AVERAGE(IPC!ES7:FD7)-1)</f>
        <v>1.085283874625409E-2</v>
      </c>
      <c r="FQ7" s="31">
        <f>IF(OR(IPC!FQ7="",IPC!FE7=""),"",AVERAGE(IPC!FF7:FQ7)/AVERAGE(IPC!ET7:FE7)-1)</f>
        <v>1.0842301157051537E-2</v>
      </c>
      <c r="FR7" s="31">
        <f>IF(OR(IPC!FR7="",IPC!FF7=""),"",AVERAGE(IPC!FG7:FR7)/AVERAGE(IPC!EU7:FF7)-1)</f>
        <v>1.1075181891673447E-2</v>
      </c>
    </row>
    <row r="8" spans="1:174" s="1" customFormat="1" ht="10.199999999999999" x14ac:dyDescent="0.2">
      <c r="A8" s="11" t="s">
        <v>11</v>
      </c>
      <c r="B8" s="1" t="s">
        <v>12</v>
      </c>
      <c r="C8" s="5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>
        <f>IF(OR(IPC!AN8="",IPC!AB8=""),"",AVERAGE(IPC!AC8:AN8)/AVERAGE(IPC!Q8:AB8)-1)</f>
        <v>3.0642126917586721E-2</v>
      </c>
      <c r="AO8" s="31">
        <f>IF(OR(IPC!AO8="",IPC!AC8=""),"",AVERAGE(IPC!AD8:AO8)/AVERAGE(IPC!R8:AC8)-1)</f>
        <v>3.1218492019227995E-2</v>
      </c>
      <c r="AP8" s="31">
        <f>IF(OR(IPC!AP8="",IPC!AD8=""),"",AVERAGE(IPC!AE8:AP8)/AVERAGE(IPC!S8:AD8)-1)</f>
        <v>3.2727821433130133E-2</v>
      </c>
      <c r="AQ8" s="31">
        <f>IF(OR(IPC!AQ8="",IPC!AE8=""),"",AVERAGE(IPC!AF8:AQ8)/AVERAGE(IPC!T8:AE8)-1)</f>
        <v>3.1344121855738427E-2</v>
      </c>
      <c r="AR8" s="31">
        <f>IF(OR(IPC!AR8="",IPC!AF8=""),"",AVERAGE(IPC!AG8:AR8)/AVERAGE(IPC!U8:AF8)-1)</f>
        <v>3.0275557874449577E-2</v>
      </c>
      <c r="AS8" s="31">
        <f>IF(OR(IPC!AS8="",IPC!AG8=""),"",AVERAGE(IPC!AH8:AS8)/AVERAGE(IPC!V8:AG8)-1)</f>
        <v>2.8336290250372542E-2</v>
      </c>
      <c r="AT8" s="31">
        <f>IF(OR(IPC!AT8="",IPC!AH8=""),"",AVERAGE(IPC!AI8:AT8)/AVERAGE(IPC!W8:AH8)-1)</f>
        <v>2.4954827446607375E-2</v>
      </c>
      <c r="AU8" s="31">
        <f>IF(OR(IPC!AU8="",IPC!AI8=""),"",AVERAGE(IPC!AJ8:AU8)/AVERAGE(IPC!X8:AI8)-1)</f>
        <v>2.2782050532939246E-2</v>
      </c>
      <c r="AV8" s="31">
        <f>IF(OR(IPC!AV8="",IPC!AJ8=""),"",AVERAGE(IPC!AK8:AV8)/AVERAGE(IPC!Y8:AJ8)-1)</f>
        <v>2.1012784929456574E-2</v>
      </c>
      <c r="AW8" s="31">
        <f>IF(OR(IPC!AW8="",IPC!AK8=""),"",AVERAGE(IPC!AL8:AW8)/AVERAGE(IPC!Z8:AK8)-1)</f>
        <v>1.8484800128607537E-2</v>
      </c>
      <c r="AX8" s="31">
        <f>IF(OR(IPC!AX8="",IPC!AL8=""),"",AVERAGE(IPC!AM8:AX8)/AVERAGE(IPC!AA8:AL8)-1)</f>
        <v>1.6000806364057318E-2</v>
      </c>
      <c r="AY8" s="31">
        <f>IF(OR(IPC!AY8="",IPC!AM8=""),"",AVERAGE(IPC!AN8:AY8)/AVERAGE(IPC!AB8:AM8)-1)</f>
        <v>1.3811772015847268E-2</v>
      </c>
      <c r="AZ8" s="31">
        <f>IF(OR(IPC!AZ8="",IPC!AN8=""),"",AVERAGE(IPC!AO8:AZ8)/AVERAGE(IPC!AC8:AN8)-1)</f>
        <v>1.1801527759718988E-2</v>
      </c>
      <c r="BA8" s="31">
        <f>IF(OR(IPC!BA8="",IPC!AO8=""),"",AVERAGE(IPC!AP8:BA8)/AVERAGE(IPC!AD8:AO8)-1)</f>
        <v>1.4807903009678158E-2</v>
      </c>
      <c r="BB8" s="31">
        <f>IF(OR(IPC!BB8="",IPC!AP8=""),"",AVERAGE(IPC!AQ8:BB8)/AVERAGE(IPC!AE8:AP8)-1)</f>
        <v>1.9340322460708936E-2</v>
      </c>
      <c r="BC8" s="31">
        <f>IF(OR(IPC!BC8="",IPC!AQ8=""),"",AVERAGE(IPC!AR8:BC8)/AVERAGE(IPC!AF8:AQ8)-1)</f>
        <v>2.6344117881579976E-2</v>
      </c>
      <c r="BD8" s="31">
        <f>IF(OR(IPC!BD8="",IPC!AR8=""),"",AVERAGE(IPC!AS8:BD8)/AVERAGE(IPC!AG8:AR8)-1)</f>
        <v>3.3254609704898686E-2</v>
      </c>
      <c r="BE8" s="31">
        <f>IF(OR(IPC!BE8="",IPC!AS8=""),"",AVERAGE(IPC!AT8:BE8)/AVERAGE(IPC!AH8:AS8)-1)</f>
        <v>4.0774092977332588E-2</v>
      </c>
      <c r="BF8" s="31">
        <f>IF(OR(IPC!BF8="",IPC!AT8=""),"",AVERAGE(IPC!AU8:BF8)/AVERAGE(IPC!AI8:AT8)-1)</f>
        <v>4.9349472452622223E-2</v>
      </c>
      <c r="BG8" s="31">
        <f>IF(OR(IPC!BG8="",IPC!AU8=""),"",AVERAGE(IPC!AV8:BG8)/AVERAGE(IPC!AJ8:AU8)-1)</f>
        <v>5.6450082575756788E-2</v>
      </c>
      <c r="BH8" s="31">
        <f>IF(OR(IPC!BH8="",IPC!AV8=""),"",AVERAGE(IPC!AW8:BH8)/AVERAGE(IPC!AK8:AV8)-1)</f>
        <v>6.4303756816759927E-2</v>
      </c>
      <c r="BI8" s="31">
        <f>IF(OR(IPC!BI8="",IPC!AW8=""),"",AVERAGE(IPC!AX8:BI8)/AVERAGE(IPC!AL8:AW8)-1)</f>
        <v>7.2494543736396189E-2</v>
      </c>
      <c r="BJ8" s="31">
        <f>IF(OR(IPC!BJ8="",IPC!AX8=""),"",AVERAGE(IPC!AY8:BJ8)/AVERAGE(IPC!AM8:AX8)-1)</f>
        <v>8.1286771610743047E-2</v>
      </c>
      <c r="BK8" s="31">
        <f>IF(OR(IPC!BK8="",IPC!AY8=""),"",AVERAGE(IPC!AZ8:BK8)/AVERAGE(IPC!AN8:AY8)-1)</f>
        <v>8.9402215757026449E-2</v>
      </c>
      <c r="BL8" s="31">
        <f>IF(OR(IPC!BL8="",IPC!AZ8=""),"",AVERAGE(IPC!BA8:BL8)/AVERAGE(IPC!AO8:AZ8)-1)</f>
        <v>9.8336819654935903E-2</v>
      </c>
      <c r="BM8" s="31">
        <f>IF(OR(IPC!BM8="",IPC!BA8=""),"",AVERAGE(IPC!BB8:BM8)/AVERAGE(IPC!AP8:BA8)-1)</f>
        <v>9.8028545200133488E-2</v>
      </c>
      <c r="BN8" s="31">
        <f>IF(OR(IPC!BN8="",IPC!BB8=""),"",AVERAGE(IPC!BC8:BN8)/AVERAGE(IPC!AQ8:BB8)-1)</f>
        <v>9.3755063000920513E-2</v>
      </c>
      <c r="BO8" s="31">
        <f>IF(OR(IPC!BO8="",IPC!BC8=""),"",AVERAGE(IPC!BD8:BO8)/AVERAGE(IPC!AR8:BC8)-1)</f>
        <v>8.7130282486430177E-2</v>
      </c>
      <c r="BP8" s="31">
        <f>IF(OR(IPC!BP8="",IPC!BD8=""),"",AVERAGE(IPC!BE8:BP8)/AVERAGE(IPC!AS8:BD8)-1)</f>
        <v>8.0631669772875281E-2</v>
      </c>
      <c r="BQ8" s="31">
        <f>IF(OR(IPC!BQ8="",IPC!BE8=""),"",AVERAGE(IPC!BF8:BQ8)/AVERAGE(IPC!AT8:BE8)-1)</f>
        <v>7.3978799393441319E-2</v>
      </c>
      <c r="BR8" s="31">
        <f>IF(OR(IPC!BR8="",IPC!BF8=""),"",AVERAGE(IPC!BG8:BR8)/AVERAGE(IPC!AU8:BF8)-1)</f>
        <v>6.6901213399347847E-2</v>
      </c>
      <c r="BS8" s="31">
        <f>IF(OR(IPC!BS8="",IPC!BG8=""),"",AVERAGE(IPC!BH8:BS8)/AVERAGE(IPC!AV8:BG8)-1)</f>
        <v>6.0209548943436886E-2</v>
      </c>
      <c r="BT8" s="31">
        <f>IF(OR(IPC!BT8="",IPC!BH8=""),"",AVERAGE(IPC!BI8:BT8)/AVERAGE(IPC!AW8:BH8)-1)</f>
        <v>5.3640353819527364E-2</v>
      </c>
      <c r="BU8" s="31">
        <f>IF(OR(IPC!BU8="",IPC!BI8=""),"",AVERAGE(IPC!BJ8:BU8)/AVERAGE(IPC!AX8:BI8)-1)</f>
        <v>4.5284394112934168E-2</v>
      </c>
      <c r="BV8" s="31">
        <f>IF(OR(IPC!BV8="",IPC!BJ8=""),"",AVERAGE(IPC!BK8:BV8)/AVERAGE(IPC!AY8:BJ8)-1)</f>
        <v>3.7542160463600815E-2</v>
      </c>
      <c r="BW8" s="31">
        <f>IF(OR(IPC!BW8="",IPC!BK8=""),"",AVERAGE(IPC!BL8:BW8)/AVERAGE(IPC!AZ8:BK8)-1)</f>
        <v>2.9984055729697978E-2</v>
      </c>
      <c r="BX8" s="31">
        <f>IF(OR(IPC!BX8="",IPC!BL8=""),"",AVERAGE(IPC!BM8:BX8)/AVERAGE(IPC!BA8:BL8)-1)</f>
        <v>2.2137926167345556E-2</v>
      </c>
      <c r="BY8" s="31">
        <f>IF(OR(IPC!BY8="",IPC!BM8=""),"",AVERAGE(IPC!BN8:BY8)/AVERAGE(IPC!BB8:BM8)-1)</f>
        <v>1.8637942600889135E-2</v>
      </c>
      <c r="BZ8" s="31">
        <f>IF(OR(IPC!BZ8="",IPC!BN8=""),"",AVERAGE(IPC!BO8:BZ8)/AVERAGE(IPC!BC8:BN8)-1)</f>
        <v>1.7453615821043877E-2</v>
      </c>
      <c r="CA8" s="31">
        <f>IF(OR(IPC!CA8="",IPC!BO8=""),"",AVERAGE(IPC!BP8:CA8)/AVERAGE(IPC!BD8:BO8)-1)</f>
        <v>1.6674811194042682E-2</v>
      </c>
      <c r="CB8" s="31">
        <f>IF(OR(IPC!CB8="",IPC!BP8=""),"",AVERAGE(IPC!BQ8:CB8)/AVERAGE(IPC!BE8:BP8)-1)</f>
        <v>1.5355581477317415E-2</v>
      </c>
      <c r="CC8" s="31">
        <f>IF(OR(IPC!CC8="",IPC!BQ8=""),"",AVERAGE(IPC!BR8:CC8)/AVERAGE(IPC!BF8:BQ8)-1)</f>
        <v>1.4190106351579024E-2</v>
      </c>
      <c r="CD8" s="31">
        <f>IF(OR(IPC!CD8="",IPC!BR8=""),"",AVERAGE(IPC!BS8:CD8)/AVERAGE(IPC!BG8:BR8)-1)</f>
        <v>1.3631610589563303E-2</v>
      </c>
      <c r="CE8" s="31">
        <f>IF(OR(IPC!CE8="",IPC!BS8=""),"",AVERAGE(IPC!BT8:CE8)/AVERAGE(IPC!BH8:BS8)-1)</f>
        <v>1.3748088998056796E-2</v>
      </c>
      <c r="CF8" s="31">
        <f>IF(OR(IPC!CF8="",IPC!BT8=""),"",AVERAGE(IPC!BU8:CF8)/AVERAGE(IPC!BI8:BT8)-1)</f>
        <v>1.2904172006593218E-2</v>
      </c>
      <c r="CG8" s="31">
        <f>IF(OR(IPC!CG8="",IPC!BU8=""),"",AVERAGE(IPC!BV8:CG8)/AVERAGE(IPC!BJ8:BU8)-1)</f>
        <v>1.4253575302714427E-2</v>
      </c>
      <c r="CH8" s="31">
        <f>IF(OR(IPC!CH8="",IPC!BV8=""),"",AVERAGE(IPC!BW8:CH8)/AVERAGE(IPC!BK8:BV8)-1)</f>
        <v>1.4158093892652879E-2</v>
      </c>
      <c r="CI8" s="31">
        <f>IF(OR(IPC!CI8="",IPC!BW8=""),"",AVERAGE(IPC!BX8:CI8)/AVERAGE(IPC!BL8:BW8)-1)</f>
        <v>1.4323577285009881E-2</v>
      </c>
      <c r="CJ8" s="31">
        <f>IF(OR(IPC!CJ8="",IPC!BX8=""),"",AVERAGE(IPC!BY8:CJ8)/AVERAGE(IPC!BM8:BX8)-1)</f>
        <v>1.4105920601396038E-2</v>
      </c>
      <c r="CK8" s="31">
        <f>IF(OR(IPC!CK8="",IPC!BY8=""),"",AVERAGE(IPC!BZ8:CK8)/AVERAGE(IPC!BN8:BY8)-1)</f>
        <v>1.3409511058278367E-2</v>
      </c>
      <c r="CL8" s="31">
        <f>IF(OR(IPC!CL8="",IPC!BZ8=""),"",AVERAGE(IPC!CA8:CL8)/AVERAGE(IPC!BO8:BZ8)-1)</f>
        <v>1.1496368096732157E-2</v>
      </c>
      <c r="CM8" s="31">
        <f>IF(OR(IPC!CM8="",IPC!CA8=""),"",AVERAGE(IPC!CB8:CM8)/AVERAGE(IPC!BP8:CA8)-1)</f>
        <v>1.1357305701696907E-2</v>
      </c>
      <c r="CN8" s="31">
        <f>IF(OR(IPC!CN8="",IPC!CB8=""),"",AVERAGE(IPC!CC8:CN8)/AVERAGE(IPC!BQ8:CB8)-1)</f>
        <v>1.1851338432968594E-2</v>
      </c>
      <c r="CO8" s="31">
        <f>IF(OR(IPC!CO8="",IPC!CC8=""),"",AVERAGE(IPC!CD8:CO8)/AVERAGE(IPC!BR8:CC8)-1)</f>
        <v>1.242208151422175E-2</v>
      </c>
      <c r="CP8" s="31">
        <f>IF(OR(IPC!CP8="",IPC!CD8=""),"",AVERAGE(IPC!CE8:CP8)/AVERAGE(IPC!BS8:CD8)-1)</f>
        <v>1.2636291025943658E-2</v>
      </c>
      <c r="CQ8" s="31">
        <f>IF(OR(IPC!CQ8="",IPC!CE8=""),"",AVERAGE(IPC!CF8:CQ8)/AVERAGE(IPC!BT8:CE8)-1)</f>
        <v>1.2503079227382363E-2</v>
      </c>
      <c r="CR8" s="31">
        <f>IF(OR(IPC!CR8="",IPC!CF8=""),"",AVERAGE(IPC!CG8:CR8)/AVERAGE(IPC!BU8:CF8)-1)</f>
        <v>1.3466634584481385E-2</v>
      </c>
      <c r="CS8" s="31">
        <f>IF(OR(IPC!CS8="",IPC!CG8=""),"",AVERAGE(IPC!CH8:CS8)/AVERAGE(IPC!BV8:CG8)-1)</f>
        <v>1.3330823435068639E-2</v>
      </c>
      <c r="CT8" s="31">
        <f>IF(OR(IPC!CT8="",IPC!CH8=""),"",AVERAGE(IPC!CI8:CT8)/AVERAGE(IPC!BW8:CH8)-1)</f>
        <v>1.3977861508423395E-2</v>
      </c>
      <c r="CU8" s="31">
        <f>IF(OR(IPC!CU8="",IPC!CI8=""),"",AVERAGE(IPC!CJ8:CU8)/AVERAGE(IPC!BX8:CI8)-1)</f>
        <v>1.4711851185642999E-2</v>
      </c>
      <c r="CV8" s="31">
        <f>IF(OR(IPC!CV8="",IPC!CJ8=""),"",AVERAGE(IPC!CK8:CV8)/AVERAGE(IPC!BY8:CJ8)-1)</f>
        <v>1.572710633805996E-2</v>
      </c>
      <c r="CW8" s="31">
        <f>IF(OR(IPC!CW8="",IPC!CK8=""),"",AVERAGE(IPC!CL8:CW8)/AVERAGE(IPC!BZ8:CK8)-1)</f>
        <v>1.815556473910851E-2</v>
      </c>
      <c r="CX8" s="31">
        <f>IF(OR(IPC!CX8="",IPC!CL8=""),"",AVERAGE(IPC!CM8:CX8)/AVERAGE(IPC!CA8:CL8)-1)</f>
        <v>2.2125940364635222E-2</v>
      </c>
      <c r="CY8" s="31">
        <f>IF(OR(IPC!CY8="",IPC!CM8=""),"",AVERAGE(IPC!CN8:CY8)/AVERAGE(IPC!CB8:CM8)-1)</f>
        <v>2.5629623323573325E-2</v>
      </c>
      <c r="CZ8" s="31">
        <f>IF(OR(IPC!CZ8="",IPC!CN8=""),"",AVERAGE(IPC!CO8:CZ8)/AVERAGE(IPC!CC8:CN8)-1)</f>
        <v>2.9235087365927948E-2</v>
      </c>
      <c r="DA8" s="31">
        <f>IF(OR(IPC!DA8="",IPC!CO8=""),"",AVERAGE(IPC!CP8:DA8)/AVERAGE(IPC!CD8:CO8)-1)</f>
        <v>3.2436980169810337E-2</v>
      </c>
      <c r="DB8" s="31">
        <f>IF(OR(IPC!DB8="",IPC!CP8=""),"",AVERAGE(IPC!CQ8:DB8)/AVERAGE(IPC!CE8:CP8)-1)</f>
        <v>3.5299798066757981E-2</v>
      </c>
      <c r="DC8" s="31">
        <f>IF(OR(IPC!DC8="",IPC!CQ8=""),"",AVERAGE(IPC!CR8:DC8)/AVERAGE(IPC!CF8:CQ8)-1)</f>
        <v>3.8198546704713898E-2</v>
      </c>
      <c r="DD8" s="31">
        <f>IF(OR(IPC!DD8="",IPC!CR8=""),"",AVERAGE(IPC!CS8:DD8)/AVERAGE(IPC!CG8:CR8)-1)</f>
        <v>4.019109643716412E-2</v>
      </c>
      <c r="DE8" s="31">
        <f>IF(OR(IPC!DE8="",IPC!CS8=""),"",AVERAGE(IPC!CT8:DE8)/AVERAGE(IPC!CH8:CS8)-1)</f>
        <v>4.2502756758151072E-2</v>
      </c>
      <c r="DF8" s="31">
        <f>IF(OR(IPC!DF8="",IPC!CT8=""),"",AVERAGE(IPC!CU8:DF8)/AVERAGE(IPC!CI8:CT8)-1)</f>
        <v>4.4987991256008719E-2</v>
      </c>
      <c r="DG8" s="31">
        <f>IF(OR(IPC!DG8="",IPC!CU8=""),"",AVERAGE(IPC!CV8:DG8)/AVERAGE(IPC!CJ8:CU8)-1)</f>
        <v>4.7420753083851519E-2</v>
      </c>
      <c r="DH8" s="31">
        <f>IF(OR(IPC!DH8="",IPC!CV8=""),"",AVERAGE(IPC!CW8:DH8)/AVERAGE(IPC!CK8:CV8)-1)</f>
        <v>5.0079445920665489E-2</v>
      </c>
      <c r="DI8" s="31">
        <f>IF(OR(IPC!DI8="",IPC!CW8=""),"",AVERAGE(IPC!CX8:DI8)/AVERAGE(IPC!CL8:CW8)-1)</f>
        <v>5.0799898700826907E-2</v>
      </c>
      <c r="DJ8" s="31">
        <f>IF(OR(IPC!DJ8="",IPC!CX8=""),"",AVERAGE(IPC!CY8:DJ8)/AVERAGE(IPC!CM8:CX8)-1)</f>
        <v>4.993115564685513E-2</v>
      </c>
      <c r="DK8" s="31">
        <f>IF(OR(IPC!DK8="",IPC!CY8=""),"",AVERAGE(IPC!CZ8:DK8)/AVERAGE(IPC!CN8:CY8)-1)</f>
        <v>4.756993225948114E-2</v>
      </c>
      <c r="DL8" s="31">
        <f>IF(OR(IPC!DL8="",IPC!CZ8=""),"",AVERAGE(IPC!DA8:DL8)/AVERAGE(IPC!CO8:CZ8)-1)</f>
        <v>4.4647003558699438E-2</v>
      </c>
      <c r="DM8" s="31">
        <f>IF(OR(IPC!DM8="",IPC!DA8=""),"",AVERAGE(IPC!DB8:DM8)/AVERAGE(IPC!CP8:DA8)-1)</f>
        <v>4.193149957996134E-2</v>
      </c>
      <c r="DN8" s="31">
        <f>IF(OR(IPC!DN8="",IPC!DB8=""),"",AVERAGE(IPC!DC8:DN8)/AVERAGE(IPC!CQ8:DB8)-1)</f>
        <v>3.9587657676144472E-2</v>
      </c>
      <c r="DO8" s="31">
        <f>IF(OR(IPC!DO8="",IPC!DC8=""),"",AVERAGE(IPC!DD8:DO8)/AVERAGE(IPC!CR8:DC8)-1)</f>
        <v>3.7214838318402332E-2</v>
      </c>
      <c r="DP8" s="31">
        <f>IF(OR(IPC!DP8="",IPC!DD8=""),"",AVERAGE(IPC!DE8:DP8)/AVERAGE(IPC!CS8:DD8)-1)</f>
        <v>3.5217727142679456E-2</v>
      </c>
      <c r="DQ8" s="31">
        <f>IF(OR(IPC!DQ8="",IPC!DE8=""),"",AVERAGE(IPC!DF8:DQ8)/AVERAGE(IPC!CT8:DE8)-1)</f>
        <v>3.3576457946701055E-2</v>
      </c>
      <c r="DR8" s="31">
        <f>IF(OR(IPC!DR8="",IPC!DF8=""),"",AVERAGE(IPC!DG8:DR8)/AVERAGE(IPC!CU8:DF8)-1)</f>
        <v>3.2061685127152462E-2</v>
      </c>
      <c r="DS8" s="31">
        <f>IF(OR(IPC!DS8="",IPC!DG8=""),"",AVERAGE(IPC!DH8:DS8)/AVERAGE(IPC!CV8:DG8)-1)</f>
        <v>3.0271318016998672E-2</v>
      </c>
      <c r="DT8" s="31">
        <f>IF(OR(IPC!DT8="",IPC!DH8=""),"",AVERAGE(IPC!DI8:DT8)/AVERAGE(IPC!CW8:DH8)-1)</f>
        <v>2.7243518455543736E-2</v>
      </c>
      <c r="DU8" s="31">
        <f>IF(OR(IPC!DU8="",IPC!DI8=""),"",AVERAGE(IPC!DJ8:DU8)/AVERAGE(IPC!CX8:DI8)-1)</f>
        <v>2.5045940817453038E-2</v>
      </c>
      <c r="DV8" s="31">
        <f>IF(OR(IPC!DV8="",IPC!DJ8=""),"",AVERAGE(IPC!DK8:DV8)/AVERAGE(IPC!CY8:DJ8)-1)</f>
        <v>2.3739875981608982E-2</v>
      </c>
      <c r="DW8" s="31">
        <f>IF(OR(IPC!DW8="",IPC!DK8=""),"",AVERAGE(IPC!DL8:DW8)/AVERAGE(IPC!CZ8:DK8)-1)</f>
        <v>2.3416688486698645E-2</v>
      </c>
      <c r="DX8" s="31">
        <f>IF(OR(IPC!DX8="",IPC!DL8=""),"",AVERAGE(IPC!DM8:DX8)/AVERAGE(IPC!DA8:DL8)-1)</f>
        <v>2.3269714976959399E-2</v>
      </c>
      <c r="DY8" s="31">
        <f>IF(OR(IPC!DY8="",IPC!DM8=""),"",AVERAGE(IPC!DN8:DY8)/AVERAGE(IPC!DB8:DM8)-1)</f>
        <v>2.3214781302326681E-2</v>
      </c>
      <c r="DZ8" s="31">
        <f>IF(OR(IPC!DZ8="",IPC!DN8=""),"",AVERAGE(IPC!DO8:DZ8)/AVERAGE(IPC!DC8:DN8)-1)</f>
        <v>2.3218899885624866E-2</v>
      </c>
      <c r="EA8" s="31">
        <f>IF(OR(IPC!EA8="",IPC!DO8=""),"",AVERAGE(IPC!DP8:EA8)/AVERAGE(IPC!DD8:DO8)-1)</f>
        <v>2.2962619222739455E-2</v>
      </c>
      <c r="EB8" s="31">
        <f>IF(OR(IPC!EB8="",IPC!DP8=""),"",AVERAGE(IPC!DQ8:EB8)/AVERAGE(IPC!DE8:DP8)-1)</f>
        <v>2.285604359378457E-2</v>
      </c>
      <c r="EC8" s="31">
        <f>IF(OR(IPC!EC8="",IPC!DQ8=""),"",AVERAGE(IPC!DR8:EC8)/AVERAGE(IPC!DF8:DQ8)-1)</f>
        <v>2.2605961451469758E-2</v>
      </c>
      <c r="ED8" s="31">
        <f>IF(OR(IPC!ED8="",IPC!DR8=""),"",AVERAGE(IPC!DS8:ED8)/AVERAGE(IPC!DG8:DR8)-1)</f>
        <v>2.1380836937213266E-2</v>
      </c>
      <c r="EE8" s="31">
        <f>IF(OR(IPC!EE8="",IPC!DS8=""),"",AVERAGE(IPC!DT8:EE8)/AVERAGE(IPC!DH8:DS8)-1)</f>
        <v>2.0759379938764422E-2</v>
      </c>
      <c r="EF8" s="31">
        <f>IF(OR(IPC!EF8="",IPC!DT8=""),"",AVERAGE(IPC!DU8:EF8)/AVERAGE(IPC!DI8:DT8)-1)</f>
        <v>2.209780571275366E-2</v>
      </c>
      <c r="EG8" s="31">
        <f>IF(OR(IPC!EG8="",IPC!DU8=""),"",AVERAGE(IPC!DV8:EG8)/AVERAGE(IPC!DJ8:DU8)-1)</f>
        <v>2.3301210031318353E-2</v>
      </c>
      <c r="EH8" s="31">
        <f>IF(OR(IPC!EH8="",IPC!DV8=""),"",AVERAGE(IPC!DW8:EH8)/AVERAGE(IPC!DK8:DV8)-1)</f>
        <v>2.4496193871996086E-2</v>
      </c>
      <c r="EI8" s="31">
        <f>IF(OR(IPC!EI8="",IPC!DW8=""),"",AVERAGE(IPC!DX8:EI8)/AVERAGE(IPC!DL8:DW8)-1)</f>
        <v>2.5653375074743634E-2</v>
      </c>
      <c r="EJ8" s="31">
        <f>IF(OR(IPC!EJ8="",IPC!DX8=""),"",AVERAGE(IPC!DY8:EJ8)/AVERAGE(IPC!DM8:DX8)-1)</f>
        <v>2.7202053122599157E-2</v>
      </c>
      <c r="EK8" s="31">
        <f>IF(OR(IPC!EK8="",IPC!DY8=""),"",AVERAGE(IPC!DZ8:EK8)/AVERAGE(IPC!DN8:DY8)-1)</f>
        <v>2.8818133039513194E-2</v>
      </c>
      <c r="EL8" s="31">
        <f>IF(OR(IPC!EL8="",IPC!DZ8=""),"",AVERAGE(IPC!EA8:EL8)/AVERAGE(IPC!DO8:DZ8)-1)</f>
        <v>3.0575240771887779E-2</v>
      </c>
      <c r="EM8" s="31">
        <f>IF(OR(IPC!EM8="",IPC!EA8=""),"",AVERAGE(IPC!EB8:EM8)/AVERAGE(IPC!DP8:EA8)-1)</f>
        <v>3.2981390534023269E-2</v>
      </c>
      <c r="EN8" s="31">
        <f>IF(OR(IPC!EN8="",IPC!EB8=""),"",AVERAGE(IPC!EC8:EN8)/AVERAGE(IPC!DQ8:EB8)-1)</f>
        <v>3.5101718064904031E-2</v>
      </c>
      <c r="EO8" s="31">
        <f>IF(OR(IPC!EO8="",IPC!EC8=""),"",AVERAGE(IPC!ED8:EO8)/AVERAGE(IPC!DR8:EC8)-1)</f>
        <v>3.6568267379700536E-2</v>
      </c>
      <c r="EP8" s="31">
        <f>IF(OR(IPC!EP8="",IPC!ED8=""),"",AVERAGE(IPC!EE8:EP8)/AVERAGE(IPC!DS8:ED8)-1)</f>
        <v>3.949289669791467E-2</v>
      </c>
      <c r="EQ8" s="31">
        <f>IF(OR(IPC!EQ8="",IPC!EE8=""),"",AVERAGE(IPC!EF8:EQ8)/AVERAGE(IPC!DT8:EE8)-1)</f>
        <v>4.1290195655696138E-2</v>
      </c>
      <c r="ER8" s="31">
        <f>IF(OR(IPC!ER8="",IPC!EF8=""),"",AVERAGE(IPC!EG8:ER8)/AVERAGE(IPC!DU8:EF8)-1)</f>
        <v>4.1252650258016166E-2</v>
      </c>
      <c r="ES8" s="31">
        <f>IF(OR(IPC!ES8="",IPC!EG8=""),"",AVERAGE(IPC!EH8:ES8)/AVERAGE(IPC!DV8:EG8)-1)</f>
        <v>4.1475264839593073E-2</v>
      </c>
      <c r="ET8" s="31">
        <f>IF(OR(IPC!ET8="",IPC!EH8=""),"",AVERAGE(IPC!EI8:ET8)/AVERAGE(IPC!DW8:EH8)-1)</f>
        <v>4.1762393221329797E-2</v>
      </c>
      <c r="EU8" s="31">
        <f>IF(OR(IPC!EU8="",IPC!EI8=""),"",AVERAGE(IPC!EJ8:EU8)/AVERAGE(IPC!DX8:EI8)-1)</f>
        <v>4.2712958249735866E-2</v>
      </c>
      <c r="EV8" s="31">
        <f>IF(OR(IPC!EV8="",IPC!EJ8=""),"",AVERAGE(IPC!EK8:EV8)/AVERAGE(IPC!DY8:EJ8)-1)</f>
        <v>4.3101156607568969E-2</v>
      </c>
      <c r="EW8" s="31">
        <f>IF(OR(IPC!EW8="",IPC!EK8=""),"",AVERAGE(IPC!EL8:EW8)/AVERAGE(IPC!DZ8:EK8)-1)</f>
        <v>4.2999803516659219E-2</v>
      </c>
      <c r="EX8" s="31">
        <f>IF(OR(IPC!EX8="",IPC!EL8=""),"",AVERAGE(IPC!EM8:EX8)/AVERAGE(IPC!EA8:EL8)-1)</f>
        <v>4.2263732955209354E-2</v>
      </c>
      <c r="EY8" s="31">
        <f>IF(OR(IPC!EY8="",IPC!EM8=""),"",AVERAGE(IPC!EN8:EY8)/AVERAGE(IPC!EB8:EM8)-1)</f>
        <v>4.0942727261483736E-2</v>
      </c>
      <c r="EZ8" s="31">
        <f>IF(OR(IPC!EZ8="",IPC!EN8=""),"",AVERAGE(IPC!EO8:EZ8)/AVERAGE(IPC!EC8:EN8)-1)</f>
        <v>3.9565667617899702E-2</v>
      </c>
      <c r="FA8" s="31">
        <f>IF(OR(IPC!FA8="",IPC!EO8=""),"",AVERAGE(IPC!EP8:FA8)/AVERAGE(IPC!ED8:EO8)-1)</f>
        <v>3.8299361111740371E-2</v>
      </c>
      <c r="FB8" s="31">
        <f>IF(OR(IPC!FB8="",IPC!EP8=""),"",AVERAGE(IPC!EQ8:FB8)/AVERAGE(IPC!EE8:EP8)-1)</f>
        <v>3.5676989835369266E-2</v>
      </c>
      <c r="FC8" s="31">
        <f>IF(OR(IPC!FC8="",IPC!EQ8=""),"",AVERAGE(IPC!ER8:FC8)/AVERAGE(IPC!EF8:EQ8)-1)</f>
        <v>3.4042032167695746E-2</v>
      </c>
      <c r="FD8" s="31">
        <f>IF(OR(IPC!FD8="",IPC!ER8=""),"",AVERAGE(IPC!ES8:FD8)/AVERAGE(IPC!EG8:ER8)-1)</f>
        <v>3.3381538474071659E-2</v>
      </c>
      <c r="FE8" s="31">
        <f>IF(OR(IPC!FE8="",IPC!ES8=""),"",AVERAGE(IPC!ET8:FE8)/AVERAGE(IPC!EH8:ES8)-1)</f>
        <v>3.2784608607346666E-2</v>
      </c>
      <c r="FF8" s="31">
        <f>IF(OR(IPC!FF8="",IPC!ET8=""),"",AVERAGE(IPC!EU8:FF8)/AVERAGE(IPC!EI8:ET8)-1)</f>
        <v>3.1944231868012984E-2</v>
      </c>
      <c r="FG8" s="31">
        <f>IF(OR(IPC!FG8="",IPC!EU8=""),"",AVERAGE(IPC!EV8:FG8)/AVERAGE(IPC!EJ8:EU8)-1)</f>
        <v>2.9683788626072571E-2</v>
      </c>
      <c r="FH8" s="31">
        <f>IF(OR(IPC!FH8="",IPC!EV8=""),"",AVERAGE(IPC!EW8:FH8)/AVERAGE(IPC!EK8:EV8)-1)</f>
        <v>2.7918479178210109E-2</v>
      </c>
      <c r="FI8" s="31">
        <f>IF(OR(IPC!FI8="",IPC!EW8=""),"",AVERAGE(IPC!EX8:FI8)/AVERAGE(IPC!EL8:EW8)-1)</f>
        <v>2.6280662568605395E-2</v>
      </c>
      <c r="FJ8" s="31">
        <f>IF(OR(IPC!FJ8="",IPC!EX8=""),"",AVERAGE(IPC!EY8:FJ8)/AVERAGE(IPC!EM8:EX8)-1)</f>
        <v>2.5082359979180069E-2</v>
      </c>
      <c r="FK8" s="31">
        <f>IF(OR(IPC!FK8="",IPC!EY8=""),"",AVERAGE(IPC!EZ8:FK8)/AVERAGE(IPC!EN8:EY8)-1)</f>
        <v>2.396653223412093E-2</v>
      </c>
      <c r="FL8" s="31">
        <f>IF(OR(IPC!FL8="",IPC!EZ8=""),"",AVERAGE(IPC!FA8:FL8)/AVERAGE(IPC!EO8:EZ8)-1)</f>
        <v>2.3139724666218608E-2</v>
      </c>
      <c r="FM8" s="31">
        <f>IF(OR(IPC!FM8="",IPC!FA8=""),"",AVERAGE(IPC!FB8:FM8)/AVERAGE(IPC!EP8:FA8)-1)</f>
        <v>2.2587015504617503E-2</v>
      </c>
      <c r="FN8" s="31">
        <f>IF(OR(IPC!FN8="",IPC!FB8=""),"",AVERAGE(IPC!FC8:FN8)/AVERAGE(IPC!EQ8:FB8)-1)</f>
        <v>2.3379190905880698E-2</v>
      </c>
      <c r="FO8" s="31">
        <f>IF(OR(IPC!FO8="",IPC!FC8=""),"",AVERAGE(IPC!FD8:FO8)/AVERAGE(IPC!ER8:FC8)-1)</f>
        <v>2.4221469226482606E-2</v>
      </c>
      <c r="FP8" s="31">
        <f>IF(OR(IPC!FP8="",IPC!FD8=""),"",AVERAGE(IPC!FE8:FP8)/AVERAGE(IPC!ES8:FD8)-1)</f>
        <v>2.5022423856106979E-2</v>
      </c>
      <c r="FQ8" s="31">
        <f>IF(OR(IPC!FQ8="",IPC!FE8=""),"",AVERAGE(IPC!FF8:FQ8)/AVERAGE(IPC!ET8:FE8)-1)</f>
        <v>2.5899246195471903E-2</v>
      </c>
      <c r="FR8" s="31">
        <f>IF(OR(IPC!FR8="",IPC!FF8=""),"",AVERAGE(IPC!FG8:FR8)/AVERAGE(IPC!EU8:FF8)-1)</f>
        <v>2.7088580478316748E-2</v>
      </c>
    </row>
    <row r="9" spans="1:174" s="1" customFormat="1" ht="10.199999999999999" x14ac:dyDescent="0.2">
      <c r="A9" s="11" t="s">
        <v>13</v>
      </c>
      <c r="B9" s="1" t="s">
        <v>14</v>
      </c>
      <c r="C9" s="5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>
        <f>IF(OR(IPC!AN9="",IPC!AB9=""),"",AVERAGE(IPC!AC9:AN9)/AVERAGE(IPC!Q9:AB9)-1)</f>
        <v>1.2557572322946742E-2</v>
      </c>
      <c r="AO9" s="31">
        <f>IF(OR(IPC!AO9="",IPC!AC9=""),"",AVERAGE(IPC!AD9:AO9)/AVERAGE(IPC!R9:AC9)-1)</f>
        <v>1.2364511113297505E-2</v>
      </c>
      <c r="AP9" s="31">
        <f>IF(OR(IPC!AP9="",IPC!AD9=""),"",AVERAGE(IPC!AE9:AP9)/AVERAGE(IPC!S9:AD9)-1)</f>
        <v>1.2251390623238656E-2</v>
      </c>
      <c r="AQ9" s="31">
        <f>IF(OR(IPC!AQ9="",IPC!AE9=""),"",AVERAGE(IPC!AF9:AQ9)/AVERAGE(IPC!T9:AE9)-1)</f>
        <v>1.1690953024714901E-2</v>
      </c>
      <c r="AR9" s="31">
        <f>IF(OR(IPC!AR9="",IPC!AF9=""),"",AVERAGE(IPC!AG9:AR9)/AVERAGE(IPC!U9:AF9)-1)</f>
        <v>1.2572297338828919E-2</v>
      </c>
      <c r="AS9" s="31">
        <f>IF(OR(IPC!AS9="",IPC!AG9=""),"",AVERAGE(IPC!AH9:AS9)/AVERAGE(IPC!V9:AG9)-1)</f>
        <v>1.3456930507944387E-2</v>
      </c>
      <c r="AT9" s="31">
        <f>IF(OR(IPC!AT9="",IPC!AH9=""),"",AVERAGE(IPC!AI9:AT9)/AVERAGE(IPC!W9:AH9)-1)</f>
        <v>1.4855764723350262E-2</v>
      </c>
      <c r="AU9" s="31">
        <f>IF(OR(IPC!AU9="",IPC!AI9=""),"",AVERAGE(IPC!AJ9:AU9)/AVERAGE(IPC!X9:AI9)-1)</f>
        <v>1.5459007659117008E-2</v>
      </c>
      <c r="AV9" s="31">
        <f>IF(OR(IPC!AV9="",IPC!AJ9=""),"",AVERAGE(IPC!AK9:AV9)/AVERAGE(IPC!Y9:AJ9)-1)</f>
        <v>1.514590076322575E-2</v>
      </c>
      <c r="AW9" s="31">
        <f>IF(OR(IPC!AW9="",IPC!AK9=""),"",AVERAGE(IPC!AL9:AW9)/AVERAGE(IPC!Z9:AK9)-1)</f>
        <v>1.5148345715146672E-2</v>
      </c>
      <c r="AX9" s="31">
        <f>IF(OR(IPC!AX9="",IPC!AL9=""),"",AVERAGE(IPC!AM9:AX9)/AVERAGE(IPC!AA9:AL9)-1)</f>
        <v>1.5407815882419795E-2</v>
      </c>
      <c r="AY9" s="31">
        <f>IF(OR(IPC!AY9="",IPC!AM9=""),"",AVERAGE(IPC!AN9:AY9)/AVERAGE(IPC!AB9:AM9)-1)</f>
        <v>1.5552044535412479E-2</v>
      </c>
      <c r="AZ9" s="31">
        <f>IF(OR(IPC!AZ9="",IPC!AN9=""),"",AVERAGE(IPC!AO9:AZ9)/AVERAGE(IPC!AC9:AN9)-1)</f>
        <v>1.5295147150146349E-2</v>
      </c>
      <c r="BA9" s="31">
        <f>IF(OR(IPC!BA9="",IPC!AO9=""),"",AVERAGE(IPC!AP9:BA9)/AVERAGE(IPC!AD9:AO9)-1)</f>
        <v>1.5155524678020615E-2</v>
      </c>
      <c r="BB9" s="31">
        <f>IF(OR(IPC!BB9="",IPC!AP9=""),"",AVERAGE(IPC!AQ9:BB9)/AVERAGE(IPC!AE9:AP9)-1)</f>
        <v>1.5503273556428887E-2</v>
      </c>
      <c r="BC9" s="31">
        <f>IF(OR(IPC!BC9="",IPC!AQ9=""),"",AVERAGE(IPC!AR9:BC9)/AVERAGE(IPC!AF9:AQ9)-1)</f>
        <v>1.4967977571828994E-2</v>
      </c>
      <c r="BD9" s="31">
        <f>IF(OR(IPC!BD9="",IPC!AR9=""),"",AVERAGE(IPC!AS9:BD9)/AVERAGE(IPC!AG9:AR9)-1)</f>
        <v>1.3497390446114199E-2</v>
      </c>
      <c r="BE9" s="31">
        <f>IF(OR(IPC!BE9="",IPC!AS9=""),"",AVERAGE(IPC!AT9:BE9)/AVERAGE(IPC!AH9:AS9)-1)</f>
        <v>1.2248349255772784E-2</v>
      </c>
      <c r="BF9" s="31">
        <f>IF(OR(IPC!BF9="",IPC!AT9=""),"",AVERAGE(IPC!AU9:BF9)/AVERAGE(IPC!AI9:AT9)-1)</f>
        <v>1.0319193526016956E-2</v>
      </c>
      <c r="BG9" s="31">
        <f>IF(OR(IPC!BG9="",IPC!AU9=""),"",AVERAGE(IPC!AV9:BG9)/AVERAGE(IPC!AJ9:AU9)-1)</f>
        <v>8.8990772374484273E-3</v>
      </c>
      <c r="BH9" s="31">
        <f>IF(OR(IPC!BH9="",IPC!AV9=""),"",AVERAGE(IPC!AW9:BH9)/AVERAGE(IPC!AK9:AV9)-1)</f>
        <v>7.7326045832006862E-3</v>
      </c>
      <c r="BI9" s="31">
        <f>IF(OR(IPC!BI9="",IPC!AW9=""),"",AVERAGE(IPC!AX9:BI9)/AVERAGE(IPC!AL9:AW9)-1)</f>
        <v>5.857926314928541E-3</v>
      </c>
      <c r="BJ9" s="31">
        <f>IF(OR(IPC!BJ9="",IPC!AX9=""),"",AVERAGE(IPC!AY9:BJ9)/AVERAGE(IPC!AM9:AX9)-1)</f>
        <v>3.6163345595561225E-3</v>
      </c>
      <c r="BK9" s="31">
        <f>IF(OR(IPC!BK9="",IPC!AY9=""),"",AVERAGE(IPC!AZ9:BK9)/AVERAGE(IPC!AN9:AY9)-1)</f>
        <v>1.6311906071897475E-3</v>
      </c>
      <c r="BL9" s="31">
        <f>IF(OR(IPC!BL9="",IPC!AZ9=""),"",AVERAGE(IPC!BA9:BL9)/AVERAGE(IPC!AO9:AZ9)-1)</f>
        <v>2.9955698829042809E-4</v>
      </c>
      <c r="BM9" s="31">
        <f>IF(OR(IPC!BM9="",IPC!BA9=""),"",AVERAGE(IPC!BB9:BM9)/AVERAGE(IPC!AP9:BA9)-1)</f>
        <v>-8.8136207407218947E-4</v>
      </c>
      <c r="BN9" s="31">
        <f>IF(OR(IPC!BN9="",IPC!BB9=""),"",AVERAGE(IPC!BC9:BN9)/AVERAGE(IPC!AQ9:BB9)-1)</f>
        <v>-2.2418489628514005E-3</v>
      </c>
      <c r="BO9" s="31">
        <f>IF(OR(IPC!BO9="",IPC!BC9=""),"",AVERAGE(IPC!BD9:BO9)/AVERAGE(IPC!AR9:BC9)-1)</f>
        <v>-2.4908101189181631E-3</v>
      </c>
      <c r="BP9" s="31">
        <f>IF(OR(IPC!BP9="",IPC!BD9=""),"",AVERAGE(IPC!BE9:BP9)/AVERAGE(IPC!AS9:BD9)-1)</f>
        <v>-2.9534536872818373E-3</v>
      </c>
      <c r="BQ9" s="31">
        <f>IF(OR(IPC!BQ9="",IPC!BE9=""),"",AVERAGE(IPC!BF9:BQ9)/AVERAGE(IPC!AT9:BE9)-1)</f>
        <v>-3.7229430588516799E-3</v>
      </c>
      <c r="BR9" s="31">
        <f>IF(OR(IPC!BR9="",IPC!BF9=""),"",AVERAGE(IPC!BG9:BR9)/AVERAGE(IPC!AU9:BF9)-1)</f>
        <v>-3.4446573235640265E-3</v>
      </c>
      <c r="BS9" s="31">
        <f>IF(OR(IPC!BS9="",IPC!BG9=""),"",AVERAGE(IPC!BH9:BS9)/AVERAGE(IPC!AV9:BG9)-1)</f>
        <v>-3.1639472147094727E-3</v>
      </c>
      <c r="BT9" s="31">
        <f>IF(OR(IPC!BT9="",IPC!BH9=""),"",AVERAGE(IPC!BI9:BT9)/AVERAGE(IPC!AW9:BH9)-1)</f>
        <v>-2.6616949490635422E-3</v>
      </c>
      <c r="BU9" s="31">
        <f>IF(OR(IPC!BU9="",IPC!BI9=""),"",AVERAGE(IPC!BJ9:BU9)/AVERAGE(IPC!AX9:BI9)-1)</f>
        <v>-1.3225508321296209E-3</v>
      </c>
      <c r="BV9" s="31">
        <f>IF(OR(IPC!BV9="",IPC!BJ9=""),"",AVERAGE(IPC!BK9:BV9)/AVERAGE(IPC!AY9:BJ9)-1)</f>
        <v>-6.7153897003469076E-4</v>
      </c>
      <c r="BW9" s="31">
        <f>IF(OR(IPC!BW9="",IPC!BK9=""),"",AVERAGE(IPC!BL9:BW9)/AVERAGE(IPC!AZ9:BK9)-1)</f>
        <v>7.0759236615680621E-4</v>
      </c>
      <c r="BX9" s="31">
        <f>IF(OR(IPC!BX9="",IPC!BL9=""),"",AVERAGE(IPC!BM9:BX9)/AVERAGE(IPC!BA9:BL9)-1)</f>
        <v>2.0529515635669959E-3</v>
      </c>
      <c r="BY9" s="31">
        <f>IF(OR(IPC!BY9="",IPC!BM9=""),"",AVERAGE(IPC!BN9:BY9)/AVERAGE(IPC!BB9:BM9)-1)</f>
        <v>3.3055696359429732E-3</v>
      </c>
      <c r="BZ9" s="31">
        <f>IF(OR(IPC!BZ9="",IPC!BN9=""),"",AVERAGE(IPC!BO9:BZ9)/AVERAGE(IPC!BC9:BN9)-1)</f>
        <v>4.3638084742658734E-3</v>
      </c>
      <c r="CA9" s="31">
        <f>IF(OR(IPC!CA9="",IPC!BO9=""),"",AVERAGE(IPC!BP9:CA9)/AVERAGE(IPC!BD9:BO9)-1)</f>
        <v>5.6105305596172439E-3</v>
      </c>
      <c r="CB9" s="31">
        <f>IF(OR(IPC!CB9="",IPC!BP9=""),"",AVERAGE(IPC!BQ9:CB9)/AVERAGE(IPC!BE9:BP9)-1)</f>
        <v>6.9989909161465302E-3</v>
      </c>
      <c r="CC9" s="31">
        <f>IF(OR(IPC!CC9="",IPC!BQ9=""),"",AVERAGE(IPC!BR9:CC9)/AVERAGE(IPC!BF9:BQ9)-1)</f>
        <v>8.3942612748757472E-3</v>
      </c>
      <c r="CD9" s="31">
        <f>IF(OR(IPC!CD9="",IPC!BR9=""),"",AVERAGE(IPC!BS9:CD9)/AVERAGE(IPC!BG9:BR9)-1)</f>
        <v>8.7173070847257339E-3</v>
      </c>
      <c r="CE9" s="31">
        <f>IF(OR(IPC!CE9="",IPC!BS9=""),"",AVERAGE(IPC!BT9:CE9)/AVERAGE(IPC!BH9:BS9)-1)</f>
        <v>8.9518601831064526E-3</v>
      </c>
      <c r="CF9" s="31">
        <f>IF(OR(IPC!CF9="",IPC!BT9=""),"",AVERAGE(IPC!BU9:CF9)/AVERAGE(IPC!BI9:BT9)-1)</f>
        <v>9.0836683555541864E-3</v>
      </c>
      <c r="CG9" s="31">
        <f>IF(OR(IPC!CG9="",IPC!BU9=""),"",AVERAGE(IPC!BV9:CG9)/AVERAGE(IPC!BJ9:BU9)-1)</f>
        <v>8.9266530829590351E-3</v>
      </c>
      <c r="CH9" s="31">
        <f>IF(OR(IPC!CH9="",IPC!BV9=""),"",AVERAGE(IPC!BW9:CH9)/AVERAGE(IPC!BK9:BV9)-1)</f>
        <v>9.9915602759834687E-3</v>
      </c>
      <c r="CI9" s="31">
        <f>IF(OR(IPC!CI9="",IPC!BW9=""),"",AVERAGE(IPC!BX9:CI9)/AVERAGE(IPC!BL9:BW9)-1)</f>
        <v>9.5773017903526547E-3</v>
      </c>
      <c r="CJ9" s="31">
        <f>IF(OR(IPC!CJ9="",IPC!BX9=""),"",AVERAGE(IPC!BY9:CJ9)/AVERAGE(IPC!BM9:BX9)-1)</f>
        <v>9.0921163927124571E-3</v>
      </c>
      <c r="CK9" s="31">
        <f>IF(OR(IPC!CK9="",IPC!BY9=""),"",AVERAGE(IPC!BZ9:CK9)/AVERAGE(IPC!BN9:BY9)-1)</f>
        <v>9.1998792054324152E-3</v>
      </c>
      <c r="CL9" s="31">
        <f>IF(OR(IPC!CL9="",IPC!BZ9=""),"",AVERAGE(IPC!CA9:CL9)/AVERAGE(IPC!BO9:BZ9)-1)</f>
        <v>9.3448626886070141E-3</v>
      </c>
      <c r="CM9" s="31">
        <f>IF(OR(IPC!CM9="",IPC!CA9=""),"",AVERAGE(IPC!CB9:CM9)/AVERAGE(IPC!BP9:CA9)-1)</f>
        <v>9.2992031500345185E-3</v>
      </c>
      <c r="CN9" s="31">
        <f>IF(OR(IPC!CN9="",IPC!CB9=""),"",AVERAGE(IPC!CC9:CN9)/AVERAGE(IPC!BQ9:CB9)-1)</f>
        <v>9.7693909083278463E-3</v>
      </c>
      <c r="CO9" s="31">
        <f>IF(OR(IPC!CO9="",IPC!CC9=""),"",AVERAGE(IPC!CD9:CO9)/AVERAGE(IPC!BR9:CC9)-1)</f>
        <v>1.039179010549951E-2</v>
      </c>
      <c r="CP9" s="31">
        <f>IF(OR(IPC!CP9="",IPC!CD9=""),"",AVERAGE(IPC!CE9:CP9)/AVERAGE(IPC!BS9:CD9)-1)</f>
        <v>1.1486302830433948E-2</v>
      </c>
      <c r="CQ9" s="31">
        <f>IF(OR(IPC!CQ9="",IPC!CE9=""),"",AVERAGE(IPC!CF9:CQ9)/AVERAGE(IPC!BT9:CE9)-1)</f>
        <v>1.2615271853035015E-2</v>
      </c>
      <c r="CR9" s="31">
        <f>IF(OR(IPC!CR9="",IPC!CF9=""),"",AVERAGE(IPC!CG9:CR9)/AVERAGE(IPC!BU9:CF9)-1)</f>
        <v>1.3672182244826692E-2</v>
      </c>
      <c r="CS9" s="31">
        <f>IF(OR(IPC!CS9="",IPC!CG9=""),"",AVERAGE(IPC!CH9:CS9)/AVERAGE(IPC!BV9:CG9)-1)</f>
        <v>1.5330809876632712E-2</v>
      </c>
      <c r="CT9" s="31">
        <f>IF(OR(IPC!CT9="",IPC!CH9=""),"",AVERAGE(IPC!CI9:CT9)/AVERAGE(IPC!BW9:CH9)-1)</f>
        <v>1.6657915943555812E-2</v>
      </c>
      <c r="CU9" s="31">
        <f>IF(OR(IPC!CU9="",IPC!CI9=""),"",AVERAGE(IPC!CJ9:CU9)/AVERAGE(IPC!BX9:CI9)-1)</f>
        <v>1.89070952645225E-2</v>
      </c>
      <c r="CV9" s="31">
        <f>IF(OR(IPC!CV9="",IPC!CJ9=""),"",AVERAGE(IPC!CK9:CV9)/AVERAGE(IPC!BY9:CJ9)-1)</f>
        <v>2.0770040687249747E-2</v>
      </c>
      <c r="CW9" s="31">
        <f>IF(OR(IPC!CW9="",IPC!CK9=""),"",AVERAGE(IPC!CL9:CW9)/AVERAGE(IPC!BZ9:CK9)-1)</f>
        <v>2.1943928555738346E-2</v>
      </c>
      <c r="CX9" s="31">
        <f>IF(OR(IPC!CX9="",IPC!CL9=""),"",AVERAGE(IPC!CM9:CX9)/AVERAGE(IPC!CA9:CL9)-1)</f>
        <v>2.3261663336328287E-2</v>
      </c>
      <c r="CY9" s="31">
        <f>IF(OR(IPC!CY9="",IPC!CM9=""),"",AVERAGE(IPC!CN9:CY9)/AVERAGE(IPC!CB9:CM9)-1)</f>
        <v>2.4345155577982336E-2</v>
      </c>
      <c r="CZ9" s="31">
        <f>IF(OR(IPC!CZ9="",IPC!CN9=""),"",AVERAGE(IPC!CO9:CZ9)/AVERAGE(IPC!CC9:CN9)-1)</f>
        <v>2.5077600738646844E-2</v>
      </c>
      <c r="DA9" s="31">
        <f>IF(OR(IPC!DA9="",IPC!CO9=""),"",AVERAGE(IPC!CP9:DA9)/AVERAGE(IPC!CD9:CO9)-1)</f>
        <v>2.6015081169070697E-2</v>
      </c>
      <c r="DB9" s="31">
        <f>IF(OR(IPC!DB9="",IPC!CP9=""),"",AVERAGE(IPC!CQ9:DB9)/AVERAGE(IPC!CE9:CP9)-1)</f>
        <v>2.6850092661753866E-2</v>
      </c>
      <c r="DC9" s="31">
        <f>IF(OR(IPC!DC9="",IPC!CQ9=""),"",AVERAGE(IPC!CR9:DC9)/AVERAGE(IPC!CF9:CQ9)-1)</f>
        <v>2.7577006092568412E-2</v>
      </c>
      <c r="DD9" s="31">
        <f>IF(OR(IPC!DD9="",IPC!CR9=""),"",AVERAGE(IPC!CS9:DD9)/AVERAGE(IPC!CG9:CR9)-1)</f>
        <v>2.8220270902319822E-2</v>
      </c>
      <c r="DE9" s="31">
        <f>IF(OR(IPC!DE9="",IPC!CS9=""),"",AVERAGE(IPC!CT9:DE9)/AVERAGE(IPC!CH9:CS9)-1)</f>
        <v>2.842547999936218E-2</v>
      </c>
      <c r="DF9" s="31">
        <f>IF(OR(IPC!DF9="",IPC!CT9=""),"",AVERAGE(IPC!CU9:DF9)/AVERAGE(IPC!CI9:CT9)-1)</f>
        <v>2.8432482925747626E-2</v>
      </c>
      <c r="DG9" s="31">
        <f>IF(OR(IPC!DG9="",IPC!CU9=""),"",AVERAGE(IPC!CV9:DG9)/AVERAGE(IPC!CJ9:CU9)-1)</f>
        <v>2.8382922021282342E-2</v>
      </c>
      <c r="DH9" s="31">
        <f>IF(OR(IPC!DH9="",IPC!CV9=""),"",AVERAGE(IPC!CW9:DH9)/AVERAGE(IPC!CK9:CV9)-1)</f>
        <v>2.8242887778410219E-2</v>
      </c>
      <c r="DI9" s="31">
        <f>IF(OR(IPC!DI9="",IPC!CW9=""),"",AVERAGE(IPC!CX9:DI9)/AVERAGE(IPC!CL9:CW9)-1)</f>
        <v>2.8278311855696403E-2</v>
      </c>
      <c r="DJ9" s="31">
        <f>IF(OR(IPC!DJ9="",IPC!CX9=""),"",AVERAGE(IPC!CY9:DJ9)/AVERAGE(IPC!CM9:CX9)-1)</f>
        <v>2.7946436797059659E-2</v>
      </c>
      <c r="DK9" s="31">
        <f>IF(OR(IPC!DK9="",IPC!CY9=""),"",AVERAGE(IPC!CZ9:DK9)/AVERAGE(IPC!CN9:CY9)-1)</f>
        <v>2.776487933834515E-2</v>
      </c>
      <c r="DL9" s="31">
        <f>IF(OR(IPC!DL9="",IPC!CZ9=""),"",AVERAGE(IPC!DA9:DL9)/AVERAGE(IPC!CO9:CZ9)-1)</f>
        <v>2.7610647165064117E-2</v>
      </c>
      <c r="DM9" s="31">
        <f>IF(OR(IPC!DM9="",IPC!DA9=""),"",AVERAGE(IPC!DB9:DM9)/AVERAGE(IPC!CP9:DA9)-1)</f>
        <v>2.7166301508801727E-2</v>
      </c>
      <c r="DN9" s="31">
        <f>IF(OR(IPC!DN9="",IPC!DB9=""),"",AVERAGE(IPC!DC9:DN9)/AVERAGE(IPC!CQ9:DB9)-1)</f>
        <v>2.664995586922192E-2</v>
      </c>
      <c r="DO9" s="31">
        <f>IF(OR(IPC!DO9="",IPC!DC9=""),"",AVERAGE(IPC!DD9:DO9)/AVERAGE(IPC!CR9:DC9)-1)</f>
        <v>2.6142915534432154E-2</v>
      </c>
      <c r="DP9" s="31">
        <f>IF(OR(IPC!DP9="",IPC!DD9=""),"",AVERAGE(IPC!DE9:DP9)/AVERAGE(IPC!CS9:DD9)-1)</f>
        <v>2.5893124472515572E-2</v>
      </c>
      <c r="DQ9" s="31">
        <f>IF(OR(IPC!DQ9="",IPC!DE9=""),"",AVERAGE(IPC!DF9:DQ9)/AVERAGE(IPC!CT9:DE9)-1)</f>
        <v>2.5219908643783207E-2</v>
      </c>
      <c r="DR9" s="31">
        <f>IF(OR(IPC!DR9="",IPC!DF9=""),"",AVERAGE(IPC!DG9:DR9)/AVERAGE(IPC!CU9:DF9)-1)</f>
        <v>2.4334997503461464E-2</v>
      </c>
      <c r="DS9" s="31">
        <f>IF(OR(IPC!DS9="",IPC!DG9=""),"",AVERAGE(IPC!DH9:DS9)/AVERAGE(IPC!CV9:DG9)-1)</f>
        <v>2.343131774853946E-2</v>
      </c>
      <c r="DT9" s="31">
        <f>IF(OR(IPC!DT9="",IPC!DH9=""),"",AVERAGE(IPC!DI9:DT9)/AVERAGE(IPC!CW9:DH9)-1)</f>
        <v>2.299762137982686E-2</v>
      </c>
      <c r="DU9" s="31">
        <f>IF(OR(IPC!DU9="",IPC!DI9=""),"",AVERAGE(IPC!DJ9:DU9)/AVERAGE(IPC!CX9:DI9)-1)</f>
        <v>2.2505064034517019E-2</v>
      </c>
      <c r="DV9" s="31">
        <f>IF(OR(IPC!DV9="",IPC!DJ9=""),"",AVERAGE(IPC!DK9:DV9)/AVERAGE(IPC!CY9:DJ9)-1)</f>
        <v>2.2773942337928066E-2</v>
      </c>
      <c r="DW9" s="31">
        <f>IF(OR(IPC!DW9="",IPC!DK9=""),"",AVERAGE(IPC!DL9:DW9)/AVERAGE(IPC!CZ9:DK9)-1)</f>
        <v>2.2326121979181934E-2</v>
      </c>
      <c r="DX9" s="31">
        <f>IF(OR(IPC!DX9="",IPC!DL9=""),"",AVERAGE(IPC!DM9:DX9)/AVERAGE(IPC!DA9:DL9)-1)</f>
        <v>2.1881917077346769E-2</v>
      </c>
      <c r="DY9" s="31">
        <f>IF(OR(IPC!DY9="",IPC!DM9=""),"",AVERAGE(IPC!DN9:DY9)/AVERAGE(IPC!DB9:DM9)-1)</f>
        <v>2.1485499741668912E-2</v>
      </c>
      <c r="DZ9" s="31">
        <f>IF(OR(IPC!DZ9="",IPC!DN9=""),"",AVERAGE(IPC!DO9:DZ9)/AVERAGE(IPC!DC9:DN9)-1)</f>
        <v>2.153028207398866E-2</v>
      </c>
      <c r="EA9" s="31">
        <f>IF(OR(IPC!EA9="",IPC!DO9=""),"",AVERAGE(IPC!DP9:EA9)/AVERAGE(IPC!DD9:DO9)-1)</f>
        <v>2.1676624748500517E-2</v>
      </c>
      <c r="EB9" s="31">
        <f>IF(OR(IPC!EB9="",IPC!DP9=""),"",AVERAGE(IPC!DQ9:EB9)/AVERAGE(IPC!DE9:DP9)-1)</f>
        <v>2.1184632184048757E-2</v>
      </c>
      <c r="EC9" s="31">
        <f>IF(OR(IPC!EC9="",IPC!DQ9=""),"",AVERAGE(IPC!DR9:EC9)/AVERAGE(IPC!DF9:DQ9)-1)</f>
        <v>2.129065363752658E-2</v>
      </c>
      <c r="ED9" s="31">
        <f>IF(OR(IPC!ED9="",IPC!DR9=""),"",AVERAGE(IPC!DS9:ED9)/AVERAGE(IPC!DG9:DR9)-1)</f>
        <v>2.1660047035180874E-2</v>
      </c>
      <c r="EE9" s="31">
        <f>IF(OR(IPC!EE9="",IPC!DS9=""),"",AVERAGE(IPC!DT9:EE9)/AVERAGE(IPC!DH9:DS9)-1)</f>
        <v>2.2015466482748769E-2</v>
      </c>
      <c r="EF9" s="31">
        <f>IF(OR(IPC!EF9="",IPC!DT9=""),"",AVERAGE(IPC!DU9:EF9)/AVERAGE(IPC!DI9:DT9)-1)</f>
        <v>2.236847413967058E-2</v>
      </c>
      <c r="EG9" s="31">
        <f>IF(OR(IPC!EG9="",IPC!DU9=""),"",AVERAGE(IPC!DV9:EG9)/AVERAGE(IPC!DJ9:DU9)-1)</f>
        <v>2.3199482102157498E-2</v>
      </c>
      <c r="EH9" s="31">
        <f>IF(OR(IPC!EH9="",IPC!DV9=""),"",AVERAGE(IPC!DW9:EH9)/AVERAGE(IPC!DK9:DV9)-1)</f>
        <v>2.3340843424442426E-2</v>
      </c>
      <c r="EI9" s="31">
        <f>IF(OR(IPC!EI9="",IPC!DW9=""),"",AVERAGE(IPC!DX9:EI9)/AVERAGE(IPC!DL9:DW9)-1)</f>
        <v>2.4961259859076268E-2</v>
      </c>
      <c r="EJ9" s="31">
        <f>IF(OR(IPC!EJ9="",IPC!DX9=""),"",AVERAGE(IPC!DY9:EJ9)/AVERAGE(IPC!DM9:DX9)-1)</f>
        <v>2.6847101820936858E-2</v>
      </c>
      <c r="EK9" s="31">
        <f>IF(OR(IPC!EK9="",IPC!DY9=""),"",AVERAGE(IPC!DZ9:EK9)/AVERAGE(IPC!DN9:DY9)-1)</f>
        <v>2.9073320675008674E-2</v>
      </c>
      <c r="EL9" s="31">
        <f>IF(OR(IPC!EL9="",IPC!DZ9=""),"",AVERAGE(IPC!EA9:EL9)/AVERAGE(IPC!DO9:DZ9)-1)</f>
        <v>3.0302035549670148E-2</v>
      </c>
      <c r="EM9" s="31">
        <f>IF(OR(IPC!EM9="",IPC!EA9=""),"",AVERAGE(IPC!EB9:EM9)/AVERAGE(IPC!DP9:EA9)-1)</f>
        <v>3.1642468527537826E-2</v>
      </c>
      <c r="EN9" s="31">
        <f>IF(OR(IPC!EN9="",IPC!EB9=""),"",AVERAGE(IPC!EC9:EN9)/AVERAGE(IPC!DQ9:EB9)-1)</f>
        <v>3.4038708153546038E-2</v>
      </c>
      <c r="EO9" s="31">
        <f>IF(OR(IPC!EO9="",IPC!EC9=""),"",AVERAGE(IPC!ED9:EO9)/AVERAGE(IPC!DR9:EC9)-1)</f>
        <v>3.5923795798622704E-2</v>
      </c>
      <c r="EP9" s="31">
        <f>IF(OR(IPC!EP9="",IPC!ED9=""),"",AVERAGE(IPC!EE9:EP9)/AVERAGE(IPC!DS9:ED9)-1)</f>
        <v>3.7608892405726513E-2</v>
      </c>
      <c r="EQ9" s="31">
        <f>IF(OR(IPC!EQ9="",IPC!EE9=""),"",AVERAGE(IPC!EF9:EQ9)/AVERAGE(IPC!DT9:EE9)-1)</f>
        <v>3.9572792402795098E-2</v>
      </c>
      <c r="ER9" s="31">
        <f>IF(OR(IPC!ER9="",IPC!EF9=""),"",AVERAGE(IPC!EG9:ER9)/AVERAGE(IPC!DU9:EF9)-1)</f>
        <v>4.1179742933403096E-2</v>
      </c>
      <c r="ES9" s="31">
        <f>IF(OR(IPC!ES9="",IPC!EG9=""),"",AVERAGE(IPC!EH9:ES9)/AVERAGE(IPC!DV9:EG9)-1)</f>
        <v>4.2336468922322679E-2</v>
      </c>
      <c r="ET9" s="31">
        <f>IF(OR(IPC!ET9="",IPC!EH9=""),"",AVERAGE(IPC!EI9:ET9)/AVERAGE(IPC!DW9:EH9)-1)</f>
        <v>4.3744578656044641E-2</v>
      </c>
      <c r="EU9" s="31">
        <f>IF(OR(IPC!EU9="",IPC!EI9=""),"",AVERAGE(IPC!EJ9:EU9)/AVERAGE(IPC!DX9:EI9)-1)</f>
        <v>4.4419398048133329E-2</v>
      </c>
      <c r="EV9" s="31">
        <f>IF(OR(IPC!EV9="",IPC!EJ9=""),"",AVERAGE(IPC!EK9:EV9)/AVERAGE(IPC!DY9:EJ9)-1)</f>
        <v>4.4412015782147485E-2</v>
      </c>
      <c r="EW9" s="31">
        <f>IF(OR(IPC!EW9="",IPC!EK9=""),"",AVERAGE(IPC!EL9:EW9)/AVERAGE(IPC!DZ9:EK9)-1)</f>
        <v>4.3759740866242458E-2</v>
      </c>
      <c r="EX9" s="31">
        <f>IF(OR(IPC!EX9="",IPC!EL9=""),"",AVERAGE(IPC!EM9:EX9)/AVERAGE(IPC!EA9:EL9)-1)</f>
        <v>4.4319323178944492E-2</v>
      </c>
      <c r="EY9" s="31">
        <f>IF(OR(IPC!EY9="",IPC!EM9=""),"",AVERAGE(IPC!EN9:EY9)/AVERAGE(IPC!EB9:EM9)-1)</f>
        <v>4.4721851430119086E-2</v>
      </c>
      <c r="EZ9" s="31">
        <f>IF(OR(IPC!EZ9="",IPC!EN9=""),"",AVERAGE(IPC!EO9:EZ9)/AVERAGE(IPC!EC9:EN9)-1)</f>
        <v>4.4167173903813861E-2</v>
      </c>
      <c r="FA9" s="31">
        <f>IF(OR(IPC!FA9="",IPC!EO9=""),"",AVERAGE(IPC!EP9:FA9)/AVERAGE(IPC!ED9:EO9)-1)</f>
        <v>4.3723549118505289E-2</v>
      </c>
      <c r="FB9" s="31">
        <f>IF(OR(IPC!FB9="",IPC!EP9=""),"",AVERAGE(IPC!EQ9:FB9)/AVERAGE(IPC!EE9:EP9)-1)</f>
        <v>4.3529293219692011E-2</v>
      </c>
      <c r="FC9" s="31">
        <f>IF(OR(IPC!FC9="",IPC!EQ9=""),"",AVERAGE(IPC!ER9:FC9)/AVERAGE(IPC!EF9:EQ9)-1)</f>
        <v>4.3435280511658236E-2</v>
      </c>
      <c r="FD9" s="31">
        <f>IF(OR(IPC!FD9="",IPC!ER9=""),"",AVERAGE(IPC!ES9:FD9)/AVERAGE(IPC!EG9:ER9)-1)</f>
        <v>4.2966709948104143E-2</v>
      </c>
      <c r="FE9" s="31">
        <f>IF(OR(IPC!FE9="",IPC!ES9=""),"",AVERAGE(IPC!ET9:FE9)/AVERAGE(IPC!EH9:ES9)-1)</f>
        <v>4.2259796406518335E-2</v>
      </c>
      <c r="FF9" s="31">
        <f>IF(OR(IPC!FF9="",IPC!ET9=""),"",AVERAGE(IPC!EU9:FF9)/AVERAGE(IPC!EI9:ET9)-1)</f>
        <v>4.1390140808246434E-2</v>
      </c>
      <c r="FG9" s="31">
        <f>IF(OR(IPC!FG9="",IPC!EU9=""),"",AVERAGE(IPC!EV9:FG9)/AVERAGE(IPC!EJ9:EU9)-1)</f>
        <v>3.9383368026182808E-2</v>
      </c>
      <c r="FH9" s="31">
        <f>IF(OR(IPC!FH9="",IPC!EV9=""),"",AVERAGE(IPC!EW9:FH9)/AVERAGE(IPC!EK9:EV9)-1)</f>
        <v>3.7853146946559058E-2</v>
      </c>
      <c r="FI9" s="31">
        <f>IF(OR(IPC!FI9="",IPC!EW9=""),"",AVERAGE(IPC!EX9:FI9)/AVERAGE(IPC!EL9:EW9)-1)</f>
        <v>3.6456500804187719E-2</v>
      </c>
      <c r="FJ9" s="31">
        <f>IF(OR(IPC!FJ9="",IPC!EX9=""),"",AVERAGE(IPC!EY9:FJ9)/AVERAGE(IPC!EM9:EX9)-1)</f>
        <v>3.4478430270036498E-2</v>
      </c>
      <c r="FK9" s="31">
        <f>IF(OR(IPC!FK9="",IPC!EY9=""),"",AVERAGE(IPC!EZ9:FK9)/AVERAGE(IPC!EN9:EY9)-1)</f>
        <v>3.221879078084755E-2</v>
      </c>
      <c r="FL9" s="31">
        <f>IF(OR(IPC!FL9="",IPC!EZ9=""),"",AVERAGE(IPC!FA9:FL9)/AVERAGE(IPC!EO9:EZ9)-1)</f>
        <v>3.0290274798757233E-2</v>
      </c>
      <c r="FM9" s="31">
        <f>IF(OR(IPC!FM9="",IPC!FA9=""),"",AVERAGE(IPC!FB9:FM9)/AVERAGE(IPC!EP9:FA9)-1)</f>
        <v>2.8557513146163505E-2</v>
      </c>
      <c r="FN9" s="31">
        <f>IF(OR(IPC!FN9="",IPC!FB9=""),"",AVERAGE(IPC!FC9:FN9)/AVERAGE(IPC!EQ9:FB9)-1)</f>
        <v>2.6888412964385822E-2</v>
      </c>
      <c r="FO9" s="31">
        <f>IF(OR(IPC!FO9="",IPC!FC9=""),"",AVERAGE(IPC!FD9:FO9)/AVERAGE(IPC!ER9:FC9)-1)</f>
        <v>2.5085387281011728E-2</v>
      </c>
      <c r="FP9" s="31">
        <f>IF(OR(IPC!FP9="",IPC!FD9=""),"",AVERAGE(IPC!FE9:FP9)/AVERAGE(IPC!ES9:FD9)-1)</f>
        <v>2.3708392323280814E-2</v>
      </c>
      <c r="FQ9" s="31">
        <f>IF(OR(IPC!FQ9="",IPC!FE9=""),"",AVERAGE(IPC!FF9:FQ9)/AVERAGE(IPC!ET9:FE9)-1)</f>
        <v>2.2595930463055858E-2</v>
      </c>
      <c r="FR9" s="31">
        <f>IF(OR(IPC!FR9="",IPC!FF9=""),"",AVERAGE(IPC!FG9:FR9)/AVERAGE(IPC!EU9:FF9)-1)</f>
        <v>2.1410717126824519E-2</v>
      </c>
    </row>
    <row r="10" spans="1:174" s="1" customFormat="1" ht="10.199999999999999" x14ac:dyDescent="0.2">
      <c r="A10" s="11" t="s">
        <v>15</v>
      </c>
      <c r="B10" s="12" t="s">
        <v>79</v>
      </c>
      <c r="C10" s="5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>
        <f>IF(OR(IPC!AN10="",IPC!AB10=""),"",AVERAGE(IPC!AC10:AN10)/AVERAGE(IPC!Q10:AB10)-1)</f>
        <v>2.7391395230796478E-2</v>
      </c>
      <c r="AO10" s="31">
        <f>IF(OR(IPC!AO10="",IPC!AC10=""),"",AVERAGE(IPC!AD10:AO10)/AVERAGE(IPC!R10:AC10)-1)</f>
        <v>2.6862819860268949E-2</v>
      </c>
      <c r="AP10" s="31">
        <f>IF(OR(IPC!AP10="",IPC!AD10=""),"",AVERAGE(IPC!AE10:AP10)/AVERAGE(IPC!S10:AD10)-1)</f>
        <v>2.5690769016740056E-2</v>
      </c>
      <c r="AQ10" s="31">
        <f>IF(OR(IPC!AQ10="",IPC!AE10=""),"",AVERAGE(IPC!AF10:AQ10)/AVERAGE(IPC!T10:AE10)-1)</f>
        <v>2.5299094022823043E-2</v>
      </c>
      <c r="AR10" s="31">
        <f>IF(OR(IPC!AR10="",IPC!AF10=""),"",AVERAGE(IPC!AG10:AR10)/AVERAGE(IPC!U10:AF10)-1)</f>
        <v>2.4694566394968476E-2</v>
      </c>
      <c r="AS10" s="31">
        <f>IF(OR(IPC!AS10="",IPC!AG10=""),"",AVERAGE(IPC!AH10:AS10)/AVERAGE(IPC!V10:AG10)-1)</f>
        <v>2.401310955702729E-2</v>
      </c>
      <c r="AT10" s="31">
        <f>IF(OR(IPC!AT10="",IPC!AH10=""),"",AVERAGE(IPC!AI10:AT10)/AVERAGE(IPC!W10:AH10)-1)</f>
        <v>2.3364740173363652E-2</v>
      </c>
      <c r="AU10" s="31">
        <f>IF(OR(IPC!AU10="",IPC!AI10=""),"",AVERAGE(IPC!AJ10:AU10)/AVERAGE(IPC!X10:AI10)-1)</f>
        <v>2.3778236067415026E-2</v>
      </c>
      <c r="AV10" s="31">
        <f>IF(OR(IPC!AV10="",IPC!AJ10=""),"",AVERAGE(IPC!AK10:AV10)/AVERAGE(IPC!Y10:AJ10)-1)</f>
        <v>2.2379694689425689E-2</v>
      </c>
      <c r="AW10" s="31">
        <f>IF(OR(IPC!AW10="",IPC!AK10=""),"",AVERAGE(IPC!AL10:AW10)/AVERAGE(IPC!Z10:AK10)-1)</f>
        <v>2.030003659532964E-2</v>
      </c>
      <c r="AX10" s="31">
        <f>IF(OR(IPC!AX10="",IPC!AL10=""),"",AVERAGE(IPC!AM10:AX10)/AVERAGE(IPC!AA10:AL10)-1)</f>
        <v>1.9784078897067348E-2</v>
      </c>
      <c r="AY10" s="31">
        <f>IF(OR(IPC!AY10="",IPC!AM10=""),"",AVERAGE(IPC!AN10:AY10)/AVERAGE(IPC!AB10:AM10)-1)</f>
        <v>2.0048508196809145E-2</v>
      </c>
      <c r="AZ10" s="31">
        <f>IF(OR(IPC!AZ10="",IPC!AN10=""),"",AVERAGE(IPC!AO10:AZ10)/AVERAGE(IPC!AC10:AN10)-1)</f>
        <v>1.8828267851294322E-2</v>
      </c>
      <c r="BA10" s="31">
        <f>IF(OR(IPC!BA10="",IPC!AO10=""),"",AVERAGE(IPC!AP10:BA10)/AVERAGE(IPC!AD10:AO10)-1)</f>
        <v>1.8262061941059393E-2</v>
      </c>
      <c r="BB10" s="31">
        <f>IF(OR(IPC!BB10="",IPC!AP10=""),"",AVERAGE(IPC!AQ10:BB10)/AVERAGE(IPC!AE10:AP10)-1)</f>
        <v>1.8254304058160642E-2</v>
      </c>
      <c r="BC10" s="31">
        <f>IF(OR(IPC!BC10="",IPC!AQ10=""),"",AVERAGE(IPC!AR10:BC10)/AVERAGE(IPC!AF10:AQ10)-1)</f>
        <v>1.982626592839587E-2</v>
      </c>
      <c r="BD10" s="31">
        <f>IF(OR(IPC!BD10="",IPC!AR10=""),"",AVERAGE(IPC!AS10:BD10)/AVERAGE(IPC!AG10:AR10)-1)</f>
        <v>2.1833511919107096E-2</v>
      </c>
      <c r="BE10" s="31">
        <f>IF(OR(IPC!BE10="",IPC!AS10=""),"",AVERAGE(IPC!AT10:BE10)/AVERAGE(IPC!AH10:AS10)-1)</f>
        <v>2.579225192464607E-2</v>
      </c>
      <c r="BF10" s="31">
        <f>IF(OR(IPC!BF10="",IPC!AT10=""),"",AVERAGE(IPC!AU10:BF10)/AVERAGE(IPC!AI10:AT10)-1)</f>
        <v>2.8087854619196051E-2</v>
      </c>
      <c r="BG10" s="31">
        <f>IF(OR(IPC!BG10="",IPC!AU10=""),"",AVERAGE(IPC!AV10:BG10)/AVERAGE(IPC!AJ10:AU10)-1)</f>
        <v>2.9328087297189054E-2</v>
      </c>
      <c r="BH10" s="31">
        <f>IF(OR(IPC!BH10="",IPC!AV10=""),"",AVERAGE(IPC!AW10:BH10)/AVERAGE(IPC!AK10:AV10)-1)</f>
        <v>3.0382184097971443E-2</v>
      </c>
      <c r="BI10" s="31">
        <f>IF(OR(IPC!BI10="",IPC!AW10=""),"",AVERAGE(IPC!AX10:BI10)/AVERAGE(IPC!AL10:AW10)-1)</f>
        <v>3.1866094997109684E-2</v>
      </c>
      <c r="BJ10" s="31">
        <f>IF(OR(IPC!BJ10="",IPC!AX10=""),"",AVERAGE(IPC!AY10:BJ10)/AVERAGE(IPC!AM10:AX10)-1)</f>
        <v>3.0598166123527948E-2</v>
      </c>
      <c r="BK10" s="31">
        <f>IF(OR(IPC!BK10="",IPC!AY10=""),"",AVERAGE(IPC!AZ10:BK10)/AVERAGE(IPC!AN10:AY10)-1)</f>
        <v>2.93308151087317E-2</v>
      </c>
      <c r="BL10" s="31">
        <f>IF(OR(IPC!BL10="",IPC!AZ10=""),"",AVERAGE(IPC!BA10:BL10)/AVERAGE(IPC!AO10:AZ10)-1)</f>
        <v>3.026246144415734E-2</v>
      </c>
      <c r="BM10" s="31">
        <f>IF(OR(IPC!BM10="",IPC!BA10=""),"",AVERAGE(IPC!BB10:BM10)/AVERAGE(IPC!AP10:BA10)-1)</f>
        <v>2.9101695188800569E-2</v>
      </c>
      <c r="BN10" s="31">
        <f>IF(OR(IPC!BN10="",IPC!BB10=""),"",AVERAGE(IPC!BC10:BN10)/AVERAGE(IPC!AQ10:BB10)-1)</f>
        <v>2.9611082948219014E-2</v>
      </c>
      <c r="BO10" s="31">
        <f>IF(OR(IPC!BO10="",IPC!BC10=""),"",AVERAGE(IPC!BD10:BO10)/AVERAGE(IPC!AR10:BC10)-1)</f>
        <v>2.7877228105156027E-2</v>
      </c>
      <c r="BP10" s="31">
        <f>IF(OR(IPC!BP10="",IPC!BD10=""),"",AVERAGE(IPC!BE10:BP10)/AVERAGE(IPC!AS10:BD10)-1)</f>
        <v>2.6769675244802782E-2</v>
      </c>
      <c r="BQ10" s="31">
        <f>IF(OR(IPC!BQ10="",IPC!BE10=""),"",AVERAGE(IPC!BF10:BQ10)/AVERAGE(IPC!AT10:BE10)-1)</f>
        <v>2.2445303359658331E-2</v>
      </c>
      <c r="BR10" s="31">
        <f>IF(OR(IPC!BR10="",IPC!BF10=""),"",AVERAGE(IPC!BG10:BR10)/AVERAGE(IPC!AU10:BF10)-1)</f>
        <v>1.9491624471444702E-2</v>
      </c>
      <c r="BS10" s="31">
        <f>IF(OR(IPC!BS10="",IPC!BG10=""),"",AVERAGE(IPC!BH10:BS10)/AVERAGE(IPC!AV10:BG10)-1)</f>
        <v>1.7760988696293722E-2</v>
      </c>
      <c r="BT10" s="31">
        <f>IF(OR(IPC!BT10="",IPC!BH10=""),"",AVERAGE(IPC!BI10:BT10)/AVERAGE(IPC!AW10:BH10)-1)</f>
        <v>1.5563458350464909E-2</v>
      </c>
      <c r="BU10" s="31">
        <f>IF(OR(IPC!BU10="",IPC!BI10=""),"",AVERAGE(IPC!BJ10:BU10)/AVERAGE(IPC!AX10:BI10)-1)</f>
        <v>1.4918486095626626E-2</v>
      </c>
      <c r="BV10" s="31">
        <f>IF(OR(IPC!BV10="",IPC!BJ10=""),"",AVERAGE(IPC!BK10:BV10)/AVERAGE(IPC!AY10:BJ10)-1)</f>
        <v>1.4735467533062208E-2</v>
      </c>
      <c r="BW10" s="31">
        <f>IF(OR(IPC!BW10="",IPC!BK10=""),"",AVERAGE(IPC!BL10:BW10)/AVERAGE(IPC!AZ10:BK10)-1)</f>
        <v>1.4383087083127855E-2</v>
      </c>
      <c r="BX10" s="31">
        <f>IF(OR(IPC!BX10="",IPC!BL10=""),"",AVERAGE(IPC!BM10:BX10)/AVERAGE(IPC!BA10:BL10)-1)</f>
        <v>1.2953909130317465E-2</v>
      </c>
      <c r="BY10" s="31">
        <f>IF(OR(IPC!BY10="",IPC!BM10=""),"",AVERAGE(IPC!BN10:BY10)/AVERAGE(IPC!BB10:BM10)-1)</f>
        <v>1.3514157862607012E-2</v>
      </c>
      <c r="BZ10" s="31">
        <f>IF(OR(IPC!BZ10="",IPC!BN10=""),"",AVERAGE(IPC!BO10:BZ10)/AVERAGE(IPC!BC10:BN10)-1)</f>
        <v>1.2375484027462136E-2</v>
      </c>
      <c r="CA10" s="31">
        <f>IF(OR(IPC!CA10="",IPC!BO10=""),"",AVERAGE(IPC!BP10:CA10)/AVERAGE(IPC!BD10:BO10)-1)</f>
        <v>1.2081453927771602E-2</v>
      </c>
      <c r="CB10" s="31">
        <f>IF(OR(IPC!CB10="",IPC!BP10=""),"",AVERAGE(IPC!BQ10:CB10)/AVERAGE(IPC!BE10:BP10)-1)</f>
        <v>1.0439141216033843E-2</v>
      </c>
      <c r="CC10" s="31">
        <f>IF(OR(IPC!CC10="",IPC!BQ10=""),"",AVERAGE(IPC!BR10:CC10)/AVERAGE(IPC!BF10:BQ10)-1)</f>
        <v>1.1585528580183135E-2</v>
      </c>
      <c r="CD10" s="31">
        <f>IF(OR(IPC!CD10="",IPC!BR10=""),"",AVERAGE(IPC!BS10:CD10)/AVERAGE(IPC!BG10:BR10)-1)</f>
        <v>1.2431039224408913E-2</v>
      </c>
      <c r="CE10" s="31">
        <f>IF(OR(IPC!CE10="",IPC!BS10=""),"",AVERAGE(IPC!BT10:CE10)/AVERAGE(IPC!BH10:BS10)-1)</f>
        <v>1.1663242443447297E-2</v>
      </c>
      <c r="CF10" s="31">
        <f>IF(OR(IPC!CF10="",IPC!BT10=""),"",AVERAGE(IPC!BU10:CF10)/AVERAGE(IPC!BI10:BT10)-1)</f>
        <v>1.2487872075376716E-2</v>
      </c>
      <c r="CG10" s="31">
        <f>IF(OR(IPC!CG10="",IPC!BU10=""),"",AVERAGE(IPC!BV10:CG10)/AVERAGE(IPC!BJ10:BU10)-1)</f>
        <v>1.2382681871306422E-2</v>
      </c>
      <c r="CH10" s="31">
        <f>IF(OR(IPC!CH10="",IPC!BV10=""),"",AVERAGE(IPC!BW10:CH10)/AVERAGE(IPC!BK10:BV10)-1)</f>
        <v>1.2814419774164199E-2</v>
      </c>
      <c r="CI10" s="31">
        <f>IF(OR(IPC!CI10="",IPC!BW10=""),"",AVERAGE(IPC!BX10:CI10)/AVERAGE(IPC!BL10:BW10)-1)</f>
        <v>1.1899042827887119E-2</v>
      </c>
      <c r="CJ10" s="31">
        <f>IF(OR(IPC!CJ10="",IPC!BX10=""),"",AVERAGE(IPC!BY10:CJ10)/AVERAGE(IPC!BM10:BX10)-1)</f>
        <v>1.2479889124784371E-2</v>
      </c>
      <c r="CK10" s="31">
        <f>IF(OR(IPC!CK10="",IPC!BY10=""),"",AVERAGE(IPC!BZ10:CK10)/AVERAGE(IPC!BN10:BY10)-1)</f>
        <v>1.1721660230909814E-2</v>
      </c>
      <c r="CL10" s="31">
        <f>IF(OR(IPC!CL10="",IPC!BZ10=""),"",AVERAGE(IPC!CA10:CL10)/AVERAGE(IPC!BO10:BZ10)-1)</f>
        <v>1.0347494437249694E-2</v>
      </c>
      <c r="CM10" s="31">
        <f>IF(OR(IPC!CM10="",IPC!CA10=""),"",AVERAGE(IPC!CB10:CM10)/AVERAGE(IPC!BP10:CA10)-1)</f>
        <v>9.286425058860015E-3</v>
      </c>
      <c r="CN10" s="31">
        <f>IF(OR(IPC!CN10="",IPC!CB10=""),"",AVERAGE(IPC!CC10:CN10)/AVERAGE(IPC!BQ10:CB10)-1)</f>
        <v>9.0503760271885003E-3</v>
      </c>
      <c r="CO10" s="31">
        <f>IF(OR(IPC!CO10="",IPC!CC10=""),"",AVERAGE(IPC!CD10:CO10)/AVERAGE(IPC!BR10:CC10)-1)</f>
        <v>7.9949591019825572E-3</v>
      </c>
      <c r="CP10" s="31">
        <f>IF(OR(IPC!CP10="",IPC!CD10=""),"",AVERAGE(IPC!CE10:CP10)/AVERAGE(IPC!BS10:CD10)-1)</f>
        <v>6.9104660263390461E-3</v>
      </c>
      <c r="CQ10" s="31">
        <f>IF(OR(IPC!CQ10="",IPC!CE10=""),"",AVERAGE(IPC!CF10:CQ10)/AVERAGE(IPC!BT10:CE10)-1)</f>
        <v>6.5168808179503213E-3</v>
      </c>
      <c r="CR10" s="31">
        <f>IF(OR(IPC!CR10="",IPC!CF10=""),"",AVERAGE(IPC!CG10:CR10)/AVERAGE(IPC!BU10:CF10)-1)</f>
        <v>5.3195652496764723E-3</v>
      </c>
      <c r="CS10" s="31">
        <f>IF(OR(IPC!CS10="",IPC!CG10=""),"",AVERAGE(IPC!CH10:CS10)/AVERAGE(IPC!BV10:CG10)-1)</f>
        <v>4.0761843894729921E-3</v>
      </c>
      <c r="CT10" s="31">
        <f>IF(OR(IPC!CT10="",IPC!CH10=""),"",AVERAGE(IPC!CI10:CT10)/AVERAGE(IPC!BW10:CH10)-1)</f>
        <v>3.231249544356718E-3</v>
      </c>
      <c r="CU10" s="31">
        <f>IF(OR(IPC!CU10="",IPC!CI10=""),"",AVERAGE(IPC!CJ10:CU10)/AVERAGE(IPC!BX10:CI10)-1)</f>
        <v>4.0426180950599022E-3</v>
      </c>
      <c r="CV10" s="31">
        <f>IF(OR(IPC!CV10="",IPC!CJ10=""),"",AVERAGE(IPC!CK10:CV10)/AVERAGE(IPC!BY10:CJ10)-1)</f>
        <v>3.2327676474852574E-3</v>
      </c>
      <c r="CW10" s="31">
        <f>IF(OR(IPC!CW10="",IPC!CK10=""),"",AVERAGE(IPC!CL10:CW10)/AVERAGE(IPC!BZ10:CK10)-1)</f>
        <v>3.3947905719136084E-3</v>
      </c>
      <c r="CX10" s="31">
        <f>IF(OR(IPC!CX10="",IPC!CL10=""),"",AVERAGE(IPC!CM10:CX10)/AVERAGE(IPC!CA10:CL10)-1)</f>
        <v>5.3278930077167441E-3</v>
      </c>
      <c r="CY10" s="31">
        <f>IF(OR(IPC!CY10="",IPC!CM10=""),"",AVERAGE(IPC!CN10:CY10)/AVERAGE(IPC!CB10:CM10)-1)</f>
        <v>6.40805394118793E-3</v>
      </c>
      <c r="CZ10" s="31">
        <f>IF(OR(IPC!CZ10="",IPC!CN10=""),"",AVERAGE(IPC!CO10:CZ10)/AVERAGE(IPC!CC10:CN10)-1)</f>
        <v>6.8776752220909287E-3</v>
      </c>
      <c r="DA10" s="31">
        <f>IF(OR(IPC!DA10="",IPC!CO10=""),"",AVERAGE(IPC!CP10:DA10)/AVERAGE(IPC!CD10:CO10)-1)</f>
        <v>6.9477879296975242E-3</v>
      </c>
      <c r="DB10" s="31">
        <f>IF(OR(IPC!DB10="",IPC!CP10=""),"",AVERAGE(IPC!CQ10:DB10)/AVERAGE(IPC!CE10:CP10)-1)</f>
        <v>7.6896680129645567E-3</v>
      </c>
      <c r="DC10" s="31">
        <f>IF(OR(IPC!DC10="",IPC!CQ10=""),"",AVERAGE(IPC!CR10:DC10)/AVERAGE(IPC!CF10:CQ10)-1)</f>
        <v>9.0351734462015276E-3</v>
      </c>
      <c r="DD10" s="31">
        <f>IF(OR(IPC!DD10="",IPC!CR10=""),"",AVERAGE(IPC!CS10:DD10)/AVERAGE(IPC!CG10:CR10)-1)</f>
        <v>1.0427438828323421E-2</v>
      </c>
      <c r="DE10" s="31">
        <f>IF(OR(IPC!DE10="",IPC!CS10=""),"",AVERAGE(IPC!CT10:DE10)/AVERAGE(IPC!CH10:CS10)-1)</f>
        <v>1.2384860873177583E-2</v>
      </c>
      <c r="DF10" s="31">
        <f>IF(OR(IPC!DF10="",IPC!CT10=""),"",AVERAGE(IPC!CU10:DF10)/AVERAGE(IPC!CI10:CT10)-1)</f>
        <v>1.5017729187689177E-2</v>
      </c>
      <c r="DG10" s="31">
        <f>IF(OR(IPC!DG10="",IPC!CU10=""),"",AVERAGE(IPC!CV10:DG10)/AVERAGE(IPC!CJ10:CU10)-1)</f>
        <v>1.6708010458416522E-2</v>
      </c>
      <c r="DH10" s="31">
        <f>IF(OR(IPC!DH10="",IPC!CV10=""),"",AVERAGE(IPC!CW10:DH10)/AVERAGE(IPC!CK10:CV10)-1)</f>
        <v>1.9121469336775387E-2</v>
      </c>
      <c r="DI10" s="31">
        <f>IF(OR(IPC!DI10="",IPC!CW10=""),"",AVERAGE(IPC!CX10:DI10)/AVERAGE(IPC!CL10:CW10)-1)</f>
        <v>2.1572846451589189E-2</v>
      </c>
      <c r="DJ10" s="31">
        <f>IF(OR(IPC!DJ10="",IPC!CX10=""),"",AVERAGE(IPC!CY10:DJ10)/AVERAGE(IPC!CM10:CX10)-1)</f>
        <v>2.296025378626787E-2</v>
      </c>
      <c r="DK10" s="31">
        <f>IF(OR(IPC!DK10="",IPC!CY10=""),"",AVERAGE(IPC!CZ10:DK10)/AVERAGE(IPC!CN10:CY10)-1)</f>
        <v>2.5060805608542402E-2</v>
      </c>
      <c r="DL10" s="31">
        <f>IF(OR(IPC!DL10="",IPC!CZ10=""),"",AVERAGE(IPC!DA10:DL10)/AVERAGE(IPC!CO10:CZ10)-1)</f>
        <v>2.8122929879396574E-2</v>
      </c>
      <c r="DM10" s="31">
        <f>IF(OR(IPC!DM10="",IPC!DA10=""),"",AVERAGE(IPC!DB10:DM10)/AVERAGE(IPC!CP10:DA10)-1)</f>
        <v>3.074498310873075E-2</v>
      </c>
      <c r="DN10" s="31">
        <f>IF(OR(IPC!DN10="",IPC!DB10=""),"",AVERAGE(IPC!DC10:DN10)/AVERAGE(IPC!CQ10:DB10)-1)</f>
        <v>3.2568386299450802E-2</v>
      </c>
      <c r="DO10" s="31">
        <f>IF(OR(IPC!DO10="",IPC!DC10=""),"",AVERAGE(IPC!DD10:DO10)/AVERAGE(IPC!CR10:DC10)-1)</f>
        <v>3.389024168885979E-2</v>
      </c>
      <c r="DP10" s="31">
        <f>IF(OR(IPC!DP10="",IPC!DD10=""),"",AVERAGE(IPC!DE10:DP10)/AVERAGE(IPC!CS10:DD10)-1)</f>
        <v>3.4373646967280402E-2</v>
      </c>
      <c r="DQ10" s="31">
        <f>IF(OR(IPC!DQ10="",IPC!DE10=""),"",AVERAGE(IPC!DF10:DQ10)/AVERAGE(IPC!CT10:DE10)-1)</f>
        <v>3.4005452692730476E-2</v>
      </c>
      <c r="DR10" s="31">
        <f>IF(OR(IPC!DR10="",IPC!DF10=""),"",AVERAGE(IPC!DG10:DR10)/AVERAGE(IPC!CU10:DF10)-1)</f>
        <v>3.149988157865824E-2</v>
      </c>
      <c r="DS10" s="31">
        <f>IF(OR(IPC!DS10="",IPC!DG10=""),"",AVERAGE(IPC!DH10:DS10)/AVERAGE(IPC!CV10:DG10)-1)</f>
        <v>3.0225549198151569E-2</v>
      </c>
      <c r="DT10" s="31">
        <f>IF(OR(IPC!DT10="",IPC!DH10=""),"",AVERAGE(IPC!DI10:DT10)/AVERAGE(IPC!CW10:DH10)-1)</f>
        <v>2.8801586858491213E-2</v>
      </c>
      <c r="DU10" s="31">
        <f>IF(OR(IPC!DU10="",IPC!DI10=""),"",AVERAGE(IPC!DJ10:DU10)/AVERAGE(IPC!CX10:DI10)-1)</f>
        <v>2.6981667109210017E-2</v>
      </c>
      <c r="DV10" s="31">
        <f>IF(OR(IPC!DV10="",IPC!DJ10=""),"",AVERAGE(IPC!DK10:DV10)/AVERAGE(IPC!CY10:DJ10)-1)</f>
        <v>2.5232427709056315E-2</v>
      </c>
      <c r="DW10" s="31">
        <f>IF(OR(IPC!DW10="",IPC!DK10=""),"",AVERAGE(IPC!DL10:DW10)/AVERAGE(IPC!CZ10:DK10)-1)</f>
        <v>2.3576307214322689E-2</v>
      </c>
      <c r="DX10" s="31">
        <f>IF(OR(IPC!DX10="",IPC!DL10=""),"",AVERAGE(IPC!DM10:DX10)/AVERAGE(IPC!DA10:DL10)-1)</f>
        <v>2.1149623793505823E-2</v>
      </c>
      <c r="DY10" s="31">
        <f>IF(OR(IPC!DY10="",IPC!DM10=""),"",AVERAGE(IPC!DN10:DY10)/AVERAGE(IPC!DB10:DM10)-1)</f>
        <v>2.0190520057735029E-2</v>
      </c>
      <c r="DZ10" s="31">
        <f>IF(OR(IPC!DZ10="",IPC!DN10=""),"",AVERAGE(IPC!DO10:DZ10)/AVERAGE(IPC!DC10:DN10)-1)</f>
        <v>1.9791152038978854E-2</v>
      </c>
      <c r="EA10" s="31">
        <f>IF(OR(IPC!EA10="",IPC!DO10=""),"",AVERAGE(IPC!DP10:EA10)/AVERAGE(IPC!DD10:DO10)-1)</f>
        <v>1.8182631121768988E-2</v>
      </c>
      <c r="EB10" s="31">
        <f>IF(OR(IPC!EB10="",IPC!DP10=""),"",AVERAGE(IPC!DQ10:EB10)/AVERAGE(IPC!DE10:DP10)-1)</f>
        <v>1.8448788515238679E-2</v>
      </c>
      <c r="EC10" s="31">
        <f>IF(OR(IPC!EC10="",IPC!DQ10=""),"",AVERAGE(IPC!DR10:EC10)/AVERAGE(IPC!DF10:DQ10)-1)</f>
        <v>1.7859284939178321E-2</v>
      </c>
      <c r="ED10" s="31">
        <f>IF(OR(IPC!ED10="",IPC!DR10=""),"",AVERAGE(IPC!DS10:ED10)/AVERAGE(IPC!DG10:DR10)-1)</f>
        <v>1.8404637056993023E-2</v>
      </c>
      <c r="EE10" s="31">
        <f>IF(OR(IPC!EE10="",IPC!DS10=""),"",AVERAGE(IPC!DT10:EE10)/AVERAGE(IPC!DH10:DS10)-1)</f>
        <v>1.8223701999409148E-2</v>
      </c>
      <c r="EF10" s="31">
        <f>IF(OR(IPC!EF10="",IPC!DT10=""),"",AVERAGE(IPC!DU10:EF10)/AVERAGE(IPC!DI10:DT10)-1)</f>
        <v>1.8018977631012012E-2</v>
      </c>
      <c r="EG10" s="31">
        <f>IF(OR(IPC!EG10="",IPC!DU10=""),"",AVERAGE(IPC!DV10:EG10)/AVERAGE(IPC!DJ10:DU10)-1)</f>
        <v>1.7830050035663181E-2</v>
      </c>
      <c r="EH10" s="31">
        <f>IF(OR(IPC!EH10="",IPC!DV10=""),"",AVERAGE(IPC!DW10:EH10)/AVERAGE(IPC!DK10:DV10)-1)</f>
        <v>1.8534299931376452E-2</v>
      </c>
      <c r="EI10" s="31">
        <f>IF(OR(IPC!EI10="",IPC!DW10=""),"",AVERAGE(IPC!DX10:EI10)/AVERAGE(IPC!DL10:DW10)-1)</f>
        <v>1.8590815372363734E-2</v>
      </c>
      <c r="EJ10" s="31">
        <f>IF(OR(IPC!EJ10="",IPC!DX10=""),"",AVERAGE(IPC!DY10:EJ10)/AVERAGE(IPC!DM10:DX10)-1)</f>
        <v>1.8806024333400728E-2</v>
      </c>
      <c r="EK10" s="31">
        <f>IF(OR(IPC!EK10="",IPC!DY10=""),"",AVERAGE(IPC!DZ10:EK10)/AVERAGE(IPC!DN10:DY10)-1)</f>
        <v>1.769994656935503E-2</v>
      </c>
      <c r="EL10" s="31">
        <f>IF(OR(IPC!EL10="",IPC!DZ10=""),"",AVERAGE(IPC!EA10:EL10)/AVERAGE(IPC!DO10:DZ10)-1)</f>
        <v>1.5959383064753307E-2</v>
      </c>
      <c r="EM10" s="31">
        <f>IF(OR(IPC!EM10="",IPC!EA10=""),"",AVERAGE(IPC!EB10:EM10)/AVERAGE(IPC!DP10:EA10)-1)</f>
        <v>1.5989290617847152E-2</v>
      </c>
      <c r="EN10" s="31">
        <f>IF(OR(IPC!EN10="",IPC!EB10=""),"",AVERAGE(IPC!EC10:EN10)/AVERAGE(IPC!DQ10:EB10)-1)</f>
        <v>1.4923312005909795E-2</v>
      </c>
      <c r="EO10" s="31">
        <f>IF(OR(IPC!EO10="",IPC!EC10=""),"",AVERAGE(IPC!ED10:EO10)/AVERAGE(IPC!DR10:EC10)-1)</f>
        <v>1.5840785863837858E-2</v>
      </c>
      <c r="EP10" s="31">
        <f>IF(OR(IPC!EP10="",IPC!ED10=""),"",AVERAGE(IPC!EE10:EP10)/AVERAGE(IPC!DS10:ED10)-1)</f>
        <v>1.7154945431960167E-2</v>
      </c>
      <c r="EQ10" s="31">
        <f>IF(OR(IPC!EQ10="",IPC!EE10=""),"",AVERAGE(IPC!EF10:EQ10)/AVERAGE(IPC!DT10:EE10)-1)</f>
        <v>1.855822245693628E-2</v>
      </c>
      <c r="ER10" s="31">
        <f>IF(OR(IPC!ER10="",IPC!EF10=""),"",AVERAGE(IPC!EG10:ER10)/AVERAGE(IPC!DU10:EF10)-1)</f>
        <v>1.9419870066648359E-2</v>
      </c>
      <c r="ES10" s="31">
        <f>IF(OR(IPC!ES10="",IPC!EG10=""),"",AVERAGE(IPC!EH10:ES10)/AVERAGE(IPC!DV10:EG10)-1)</f>
        <v>2.1058451344222684E-2</v>
      </c>
      <c r="ET10" s="31">
        <f>IF(OR(IPC!ET10="",IPC!EH10=""),"",AVERAGE(IPC!EI10:ET10)/AVERAGE(IPC!DW10:EH10)-1)</f>
        <v>2.153778416432961E-2</v>
      </c>
      <c r="EU10" s="31">
        <f>IF(OR(IPC!EU10="",IPC!EI10=""),"",AVERAGE(IPC!EJ10:EU10)/AVERAGE(IPC!DX10:EI10)-1)</f>
        <v>2.2396292052287325E-2</v>
      </c>
      <c r="EV10" s="31">
        <f>IF(OR(IPC!EV10="",IPC!EJ10=""),"",AVERAGE(IPC!EK10:EV10)/AVERAGE(IPC!DY10:EJ10)-1)</f>
        <v>2.3293178712613383E-2</v>
      </c>
      <c r="EW10" s="31">
        <f>IF(OR(IPC!EW10="",IPC!EK10=""),"",AVERAGE(IPC!EL10:EW10)/AVERAGE(IPC!DZ10:EK10)-1)</f>
        <v>2.5668786498722618E-2</v>
      </c>
      <c r="EX10" s="31">
        <f>IF(OR(IPC!EX10="",IPC!EL10=""),"",AVERAGE(IPC!EM10:EX10)/AVERAGE(IPC!EA10:EL10)-1)</f>
        <v>2.8932813645296207E-2</v>
      </c>
      <c r="EY10" s="31">
        <f>IF(OR(IPC!EY10="",IPC!EM10=""),"",AVERAGE(IPC!EN10:EY10)/AVERAGE(IPC!EB10:EM10)-1)</f>
        <v>3.1157753238581609E-2</v>
      </c>
      <c r="EZ10" s="31">
        <f>IF(OR(IPC!EZ10="",IPC!EN10=""),"",AVERAGE(IPC!EO10:EZ10)/AVERAGE(IPC!EC10:EN10)-1)</f>
        <v>3.349894998260261E-2</v>
      </c>
      <c r="FA10" s="31">
        <f>IF(OR(IPC!FA10="",IPC!EO10=""),"",AVERAGE(IPC!EP10:FA10)/AVERAGE(IPC!ED10:EO10)-1)</f>
        <v>3.4037201212774315E-2</v>
      </c>
      <c r="FB10" s="31">
        <f>IF(OR(IPC!FB10="",IPC!EP10=""),"",AVERAGE(IPC!EQ10:FB10)/AVERAGE(IPC!EE10:EP10)-1)</f>
        <v>3.4469203767454548E-2</v>
      </c>
      <c r="FC10" s="31">
        <f>IF(OR(IPC!FC10="",IPC!EQ10=""),"",AVERAGE(IPC!ER10:FC10)/AVERAGE(IPC!EF10:EQ10)-1)</f>
        <v>3.4205333239503144E-2</v>
      </c>
      <c r="FD10" s="31">
        <f>IF(OR(IPC!FD10="",IPC!ER10=""),"",AVERAGE(IPC!ES10:FD10)/AVERAGE(IPC!EG10:ER10)-1)</f>
        <v>3.4534168762783368E-2</v>
      </c>
      <c r="FE10" s="31">
        <f>IF(OR(IPC!FE10="",IPC!ES10=""),"",AVERAGE(IPC!ET10:FE10)/AVERAGE(IPC!EH10:ES10)-1)</f>
        <v>3.4306667972166194E-2</v>
      </c>
      <c r="FF10" s="31">
        <f>IF(OR(IPC!FF10="",IPC!ET10=""),"",AVERAGE(IPC!EU10:FF10)/AVERAGE(IPC!EI10:ET10)-1)</f>
        <v>3.444653274507381E-2</v>
      </c>
      <c r="FG10" s="31">
        <f>IF(OR(IPC!FG10="",IPC!EU10=""),"",AVERAGE(IPC!EV10:FG10)/AVERAGE(IPC!EJ10:EU10)-1)</f>
        <v>3.4575061892839098E-2</v>
      </c>
      <c r="FH10" s="31">
        <f>IF(OR(IPC!FH10="",IPC!EV10=""),"",AVERAGE(IPC!EW10:FH10)/AVERAGE(IPC!EK10:EV10)-1)</f>
        <v>3.5087451802471303E-2</v>
      </c>
      <c r="FI10" s="31">
        <f>IF(OR(IPC!FI10="",IPC!EW10=""),"",AVERAGE(IPC!EX10:FI10)/AVERAGE(IPC!EL10:EW10)-1)</f>
        <v>3.479171779871626E-2</v>
      </c>
      <c r="FJ10" s="31">
        <f>IF(OR(IPC!FJ10="",IPC!EX10=""),"",AVERAGE(IPC!EY10:FJ10)/AVERAGE(IPC!EM10:EX10)-1)</f>
        <v>3.3455645510691356E-2</v>
      </c>
      <c r="FK10" s="31">
        <f>IF(OR(IPC!FK10="",IPC!EY10=""),"",AVERAGE(IPC!EZ10:FK10)/AVERAGE(IPC!EN10:EY10)-1)</f>
        <v>3.2781655954407407E-2</v>
      </c>
      <c r="FL10" s="31">
        <f>IF(OR(IPC!FL10="",IPC!EZ10=""),"",AVERAGE(IPC!FA10:FL10)/AVERAGE(IPC!EO10:EZ10)-1)</f>
        <v>3.2147459327620975E-2</v>
      </c>
      <c r="FM10" s="31">
        <f>IF(OR(IPC!FM10="",IPC!FA10=""),"",AVERAGE(IPC!FB10:FM10)/AVERAGE(IPC!EP10:FA10)-1)</f>
        <v>3.2233137768121312E-2</v>
      </c>
      <c r="FN10" s="31">
        <f>IF(OR(IPC!FN10="",IPC!FB10=""),"",AVERAGE(IPC!FC10:FN10)/AVERAGE(IPC!EQ10:FB10)-1)</f>
        <v>3.1931309951461539E-2</v>
      </c>
      <c r="FO10" s="31">
        <f>IF(OR(IPC!FO10="",IPC!FC10=""),"",AVERAGE(IPC!FD10:FO10)/AVERAGE(IPC!ER10:FC10)-1)</f>
        <v>3.2778782366762682E-2</v>
      </c>
      <c r="FP10" s="31">
        <f>IF(OR(IPC!FP10="",IPC!FD10=""),"",AVERAGE(IPC!FE10:FP10)/AVERAGE(IPC!ES10:FD10)-1)</f>
        <v>3.3497633966196538E-2</v>
      </c>
      <c r="FQ10" s="31">
        <f>IF(OR(IPC!FQ10="",IPC!FE10=""),"",AVERAGE(IPC!FF10:FQ10)/AVERAGE(IPC!ET10:FE10)-1)</f>
        <v>3.3316264123181227E-2</v>
      </c>
      <c r="FR10" s="31">
        <f>IF(OR(IPC!FR10="",IPC!FF10=""),"",AVERAGE(IPC!FG10:FR10)/AVERAGE(IPC!EU10:FF10)-1)</f>
        <v>3.3469610351418266E-2</v>
      </c>
    </row>
    <row r="11" spans="1:174" s="1" customFormat="1" ht="10.199999999999999" x14ac:dyDescent="0.2">
      <c r="A11" s="11" t="s">
        <v>17</v>
      </c>
      <c r="B11" s="13" t="s">
        <v>78</v>
      </c>
      <c r="C11" s="5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>
        <f>IF(OR(IPC!AN11="",IPC!AB11=""),"",AVERAGE(IPC!AC11:AN11)/AVERAGE(IPC!Q11:AB11)-1)</f>
        <v>2.0833119116712817E-2</v>
      </c>
      <c r="AO11" s="31">
        <f>IF(OR(IPC!AO11="",IPC!AC11=""),"",AVERAGE(IPC!AD11:AO11)/AVERAGE(IPC!R11:AC11)-1)</f>
        <v>1.9434477160329422E-2</v>
      </c>
      <c r="AP11" s="31">
        <f>IF(OR(IPC!AP11="",IPC!AD11=""),"",AVERAGE(IPC!AE11:AP11)/AVERAGE(IPC!S11:AD11)-1)</f>
        <v>1.828436318671578E-2</v>
      </c>
      <c r="AQ11" s="31">
        <f>IF(OR(IPC!AQ11="",IPC!AE11=""),"",AVERAGE(IPC!AF11:AQ11)/AVERAGE(IPC!T11:AE11)-1)</f>
        <v>1.7784863583170551E-2</v>
      </c>
      <c r="AR11" s="31">
        <f>IF(OR(IPC!AR11="",IPC!AF11=""),"",AVERAGE(IPC!AG11:AR11)/AVERAGE(IPC!U11:AF11)-1)</f>
        <v>1.64624950996477E-2</v>
      </c>
      <c r="AS11" s="31">
        <f>IF(OR(IPC!AS11="",IPC!AG11=""),"",AVERAGE(IPC!AH11:AS11)/AVERAGE(IPC!V11:AG11)-1)</f>
        <v>1.485002629538057E-2</v>
      </c>
      <c r="AT11" s="31">
        <f>IF(OR(IPC!AT11="",IPC!AH11=""),"",AVERAGE(IPC!AI11:AT11)/AVERAGE(IPC!W11:AH11)-1)</f>
        <v>1.3008652858359948E-2</v>
      </c>
      <c r="AU11" s="31">
        <f>IF(OR(IPC!AU11="",IPC!AI11=""),"",AVERAGE(IPC!AJ11:AU11)/AVERAGE(IPC!X11:AI11)-1)</f>
        <v>1.1123674612274703E-2</v>
      </c>
      <c r="AV11" s="31">
        <f>IF(OR(IPC!AV11="",IPC!AJ11=""),"",AVERAGE(IPC!AK11:AV11)/AVERAGE(IPC!Y11:AJ11)-1)</f>
        <v>9.1048407276776988E-3</v>
      </c>
      <c r="AW11" s="31">
        <f>IF(OR(IPC!AW11="",IPC!AK11=""),"",AVERAGE(IPC!AL11:AW11)/AVERAGE(IPC!Z11:AK11)-1)</f>
        <v>7.252657231708648E-3</v>
      </c>
      <c r="AX11" s="31">
        <f>IF(OR(IPC!AX11="",IPC!AL11=""),"",AVERAGE(IPC!AM11:AX11)/AVERAGE(IPC!AA11:AL11)-1)</f>
        <v>5.7648434453241304E-3</v>
      </c>
      <c r="AY11" s="31">
        <f>IF(OR(IPC!AY11="",IPC!AM11=""),"",AVERAGE(IPC!AN11:AY11)/AVERAGE(IPC!AB11:AM11)-1)</f>
        <v>3.9180462024801521E-3</v>
      </c>
      <c r="AZ11" s="31">
        <f>IF(OR(IPC!AZ11="",IPC!AN11=""),"",AVERAGE(IPC!AO11:AZ11)/AVERAGE(IPC!AC11:AN11)-1)</f>
        <v>3.6751668973236118E-3</v>
      </c>
      <c r="BA11" s="31">
        <f>IF(OR(IPC!BA11="",IPC!AO11=""),"",AVERAGE(IPC!AP11:BA11)/AVERAGE(IPC!AD11:AO11)-1)</f>
        <v>3.905651416812983E-3</v>
      </c>
      <c r="BB11" s="31">
        <f>IF(OR(IPC!BB11="",IPC!AP11=""),"",AVERAGE(IPC!AQ11:BB11)/AVERAGE(IPC!AE11:AP11)-1)</f>
        <v>4.4219851176841019E-3</v>
      </c>
      <c r="BC11" s="31">
        <f>IF(OR(IPC!BC11="",IPC!AQ11=""),"",AVERAGE(IPC!AR11:BC11)/AVERAGE(IPC!AF11:AQ11)-1)</f>
        <v>5.1979934332415656E-3</v>
      </c>
      <c r="BD11" s="31">
        <f>IF(OR(IPC!BD11="",IPC!AR11=""),"",AVERAGE(IPC!AS11:BD11)/AVERAGE(IPC!AG11:AR11)-1)</f>
        <v>6.3170905583116443E-3</v>
      </c>
      <c r="BE11" s="31">
        <f>IF(OR(IPC!BE11="",IPC!AS11=""),"",AVERAGE(IPC!AT11:BE11)/AVERAGE(IPC!AH11:AS11)-1)</f>
        <v>7.445791678926561E-3</v>
      </c>
      <c r="BF11" s="31">
        <f>IF(OR(IPC!BF11="",IPC!AT11=""),"",AVERAGE(IPC!AU11:BF11)/AVERAGE(IPC!AI11:AT11)-1)</f>
        <v>8.9157427923187704E-3</v>
      </c>
      <c r="BG11" s="31">
        <f>IF(OR(IPC!BG11="",IPC!AU11=""),"",AVERAGE(IPC!AV11:BG11)/AVERAGE(IPC!AJ11:AU11)-1)</f>
        <v>9.7063315879328815E-3</v>
      </c>
      <c r="BH11" s="31">
        <f>IF(OR(IPC!BH11="",IPC!AV11=""),"",AVERAGE(IPC!AW11:BH11)/AVERAGE(IPC!AK11:AV11)-1)</f>
        <v>1.0673518530754933E-2</v>
      </c>
      <c r="BI11" s="31">
        <f>IF(OR(IPC!BI11="",IPC!AW11=""),"",AVERAGE(IPC!AX11:BI11)/AVERAGE(IPC!AL11:AW11)-1)</f>
        <v>1.2193841260195626E-2</v>
      </c>
      <c r="BJ11" s="31">
        <f>IF(OR(IPC!BJ11="",IPC!AX11=""),"",AVERAGE(IPC!AY11:BJ11)/AVERAGE(IPC!AM11:AX11)-1)</f>
        <v>1.3227988086783826E-2</v>
      </c>
      <c r="BK11" s="31">
        <f>IF(OR(IPC!BK11="",IPC!AY11=""),"",AVERAGE(IPC!AZ11:BK11)/AVERAGE(IPC!AN11:AY11)-1)</f>
        <v>1.4577809896017202E-2</v>
      </c>
      <c r="BL11" s="31">
        <f>IF(OR(IPC!BL11="",IPC!AZ11=""),"",AVERAGE(IPC!BA11:BL11)/AVERAGE(IPC!AO11:AZ11)-1)</f>
        <v>1.5024417448066041E-2</v>
      </c>
      <c r="BM11" s="31">
        <f>IF(OR(IPC!BM11="",IPC!BA11=""),"",AVERAGE(IPC!BB11:BM11)/AVERAGE(IPC!AP11:BA11)-1)</f>
        <v>1.5115953338147747E-2</v>
      </c>
      <c r="BN11" s="31">
        <f>IF(OR(IPC!BN11="",IPC!BB11=""),"",AVERAGE(IPC!BC11:BN11)/AVERAGE(IPC!AQ11:BB11)-1)</f>
        <v>1.5781572287603129E-2</v>
      </c>
      <c r="BO11" s="31">
        <f>IF(OR(IPC!BO11="",IPC!BC11=""),"",AVERAGE(IPC!BD11:BO11)/AVERAGE(IPC!AR11:BC11)-1)</f>
        <v>1.5169913887199016E-2</v>
      </c>
      <c r="BP11" s="31">
        <f>IF(OR(IPC!BP11="",IPC!BD11=""),"",AVERAGE(IPC!BE11:BP11)/AVERAGE(IPC!AS11:BD11)-1)</f>
        <v>1.4470074266467625E-2</v>
      </c>
      <c r="BQ11" s="31">
        <f>IF(OR(IPC!BQ11="",IPC!BE11=""),"",AVERAGE(IPC!BF11:BQ11)/AVERAGE(IPC!AT11:BE11)-1)</f>
        <v>1.3222188301497573E-2</v>
      </c>
      <c r="BR11" s="31">
        <f>IF(OR(IPC!BR11="",IPC!BF11=""),"",AVERAGE(IPC!BG11:BR11)/AVERAGE(IPC!AU11:BF11)-1)</f>
        <v>1.1274046941023519E-2</v>
      </c>
      <c r="BS11" s="31">
        <f>IF(OR(IPC!BS11="",IPC!BG11=""),"",AVERAGE(IPC!BH11:BS11)/AVERAGE(IPC!AV11:BG11)-1)</f>
        <v>1.021296704681296E-2</v>
      </c>
      <c r="BT11" s="31">
        <f>IF(OR(IPC!BT11="",IPC!BH11=""),"",AVERAGE(IPC!BI11:BT11)/AVERAGE(IPC!AW11:BH11)-1)</f>
        <v>8.7478303537134039E-3</v>
      </c>
      <c r="BU11" s="31">
        <f>IF(OR(IPC!BU11="",IPC!BI11=""),"",AVERAGE(IPC!BJ11:BU11)/AVERAGE(IPC!AX11:BI11)-1)</f>
        <v>7.6675292519010618E-3</v>
      </c>
      <c r="BV11" s="31">
        <f>IF(OR(IPC!BV11="",IPC!BJ11=""),"",AVERAGE(IPC!BK11:BV11)/AVERAGE(IPC!AY11:BJ11)-1)</f>
        <v>6.9206209149843545E-3</v>
      </c>
      <c r="BW11" s="31">
        <f>IF(OR(IPC!BW11="",IPC!BK11=""),"",AVERAGE(IPC!BL11:BW11)/AVERAGE(IPC!AZ11:BK11)-1)</f>
        <v>6.2979133783318542E-3</v>
      </c>
      <c r="BX11" s="31">
        <f>IF(OR(IPC!BX11="",IPC!BL11=""),"",AVERAGE(IPC!BM11:BX11)/AVERAGE(IPC!BA11:BL11)-1)</f>
        <v>6.0174161969659412E-3</v>
      </c>
      <c r="BY11" s="31">
        <f>IF(OR(IPC!BY11="",IPC!BM11=""),"",AVERAGE(IPC!BN11:BY11)/AVERAGE(IPC!BB11:BM11)-1)</f>
        <v>5.6704464301540192E-3</v>
      </c>
      <c r="BZ11" s="31">
        <f>IF(OR(IPC!BZ11="",IPC!BN11=""),"",AVERAGE(IPC!BO11:BZ11)/AVERAGE(IPC!BC11:BN11)-1)</f>
        <v>4.0377551190751149E-3</v>
      </c>
      <c r="CA11" s="31">
        <f>IF(OR(IPC!CA11="",IPC!BO11=""),"",AVERAGE(IPC!BP11:CA11)/AVERAGE(IPC!BD11:BO11)-1)</f>
        <v>3.3091901237083388E-3</v>
      </c>
      <c r="CB11" s="31">
        <f>IF(OR(IPC!CB11="",IPC!BP11=""),"",AVERAGE(IPC!BQ11:CB11)/AVERAGE(IPC!BE11:BP11)-1)</f>
        <v>2.7251730303063937E-3</v>
      </c>
      <c r="CC11" s="31">
        <f>IF(OR(IPC!CC11="",IPC!BQ11=""),"",AVERAGE(IPC!BR11:CC11)/AVERAGE(IPC!BF11:BQ11)-1)</f>
        <v>2.6747250038272607E-3</v>
      </c>
      <c r="CD11" s="31">
        <f>IF(OR(IPC!CD11="",IPC!BR11=""),"",AVERAGE(IPC!BS11:CD11)/AVERAGE(IPC!BG11:BR11)-1)</f>
        <v>3.6011709710512818E-3</v>
      </c>
      <c r="CE11" s="31">
        <f>IF(OR(IPC!CE11="",IPC!BS11=""),"",AVERAGE(IPC!BT11:CE11)/AVERAGE(IPC!BH11:BS11)-1)</f>
        <v>3.9558231668908039E-3</v>
      </c>
      <c r="CF11" s="31">
        <f>IF(OR(IPC!CF11="",IPC!BT11=""),"",AVERAGE(IPC!BU11:CF11)/AVERAGE(IPC!BI11:BT11)-1)</f>
        <v>4.4332747445738896E-3</v>
      </c>
      <c r="CG11" s="31">
        <f>IF(OR(IPC!CG11="",IPC!BU11=""),"",AVERAGE(IPC!BV11:CG11)/AVERAGE(IPC!BJ11:BU11)-1)</f>
        <v>4.0348505030676218E-3</v>
      </c>
      <c r="CH11" s="31">
        <f>IF(OR(IPC!CH11="",IPC!BV11=""),"",AVERAGE(IPC!BW11:CH11)/AVERAGE(IPC!BK11:BV11)-1)</f>
        <v>3.515056205600553E-3</v>
      </c>
      <c r="CI11" s="31">
        <f>IF(OR(IPC!CI11="",IPC!BW11=""),"",AVERAGE(IPC!BX11:CI11)/AVERAGE(IPC!BL11:BW11)-1)</f>
        <v>2.9976660396560106E-3</v>
      </c>
      <c r="CJ11" s="31">
        <f>IF(OR(IPC!CJ11="",IPC!BX11=""),"",AVERAGE(IPC!BY11:CJ11)/AVERAGE(IPC!BM11:BX11)-1)</f>
        <v>2.1281659502974115E-3</v>
      </c>
      <c r="CK11" s="31">
        <f>IF(OR(IPC!CK11="",IPC!BY11=""),"",AVERAGE(IPC!BZ11:CK11)/AVERAGE(IPC!BN11:BY11)-1)</f>
        <v>2.0732128210310119E-3</v>
      </c>
      <c r="CL11" s="31">
        <f>IF(OR(IPC!CL11="",IPC!BZ11=""),"",AVERAGE(IPC!CA11:CL11)/AVERAGE(IPC!BO11:BZ11)-1)</f>
        <v>2.3384531521841723E-3</v>
      </c>
      <c r="CM11" s="31">
        <f>IF(OR(IPC!CM11="",IPC!CA11=""),"",AVERAGE(IPC!CB11:CM11)/AVERAGE(IPC!BP11:CA11)-1)</f>
        <v>2.8825387603126362E-3</v>
      </c>
      <c r="CN11" s="31">
        <f>IF(OR(IPC!CN11="",IPC!CB11=""),"",AVERAGE(IPC!CC11:CN11)/AVERAGE(IPC!BQ11:CB11)-1)</f>
        <v>3.7640240044103379E-3</v>
      </c>
      <c r="CO11" s="31">
        <f>IF(OR(IPC!CO11="",IPC!CC11=""),"",AVERAGE(IPC!CD11:CO11)/AVERAGE(IPC!BR11:CC11)-1)</f>
        <v>4.4446594720246591E-3</v>
      </c>
      <c r="CP11" s="31">
        <f>IF(OR(IPC!CP11="",IPC!CD11=""),"",AVERAGE(IPC!CE11:CP11)/AVERAGE(IPC!BS11:CD11)-1)</f>
        <v>4.595746883392593E-3</v>
      </c>
      <c r="CQ11" s="31">
        <f>IF(OR(IPC!CQ11="",IPC!CE11=""),"",AVERAGE(IPC!CF11:CQ11)/AVERAGE(IPC!BT11:CE11)-1)</f>
        <v>4.9581943255587735E-3</v>
      </c>
      <c r="CR11" s="31">
        <f>IF(OR(IPC!CR11="",IPC!CF11=""),"",AVERAGE(IPC!CG11:CR11)/AVERAGE(IPC!BU11:CF11)-1)</f>
        <v>5.7257996926762811E-3</v>
      </c>
      <c r="CS11" s="31">
        <f>IF(OR(IPC!CS11="",IPC!CG11=""),"",AVERAGE(IPC!CH11:CS11)/AVERAGE(IPC!BV11:CG11)-1)</f>
        <v>6.8361519298829609E-3</v>
      </c>
      <c r="CT11" s="31">
        <f>IF(OR(IPC!CT11="",IPC!CH11=""),"",AVERAGE(IPC!CI11:CT11)/AVERAGE(IPC!BW11:CH11)-1)</f>
        <v>7.9698450581038305E-3</v>
      </c>
      <c r="CU11" s="31">
        <f>IF(OR(IPC!CU11="",IPC!CI11=""),"",AVERAGE(IPC!CJ11:CU11)/AVERAGE(IPC!BX11:CI11)-1)</f>
        <v>8.9199001162083569E-3</v>
      </c>
      <c r="CV11" s="31">
        <f>IF(OR(IPC!CV11="",IPC!CJ11=""),"",AVERAGE(IPC!CK11:CV11)/AVERAGE(IPC!BY11:CJ11)-1)</f>
        <v>1.0556192876998827E-2</v>
      </c>
      <c r="CW11" s="31">
        <f>IF(OR(IPC!CW11="",IPC!CK11=""),"",AVERAGE(IPC!CL11:CW11)/AVERAGE(IPC!BZ11:CK11)-1)</f>
        <v>1.1819198832132338E-2</v>
      </c>
      <c r="CX11" s="31">
        <f>IF(OR(IPC!CX11="",IPC!CL11=""),"",AVERAGE(IPC!CM11:CX11)/AVERAGE(IPC!CA11:CL11)-1)</f>
        <v>1.3409443732145698E-2</v>
      </c>
      <c r="CY11" s="31">
        <f>IF(OR(IPC!CY11="",IPC!CM11=""),"",AVERAGE(IPC!CN11:CY11)/AVERAGE(IPC!CB11:CM11)-1)</f>
        <v>1.460801411849677E-2</v>
      </c>
      <c r="CZ11" s="31">
        <f>IF(OR(IPC!CZ11="",IPC!CN11=""),"",AVERAGE(IPC!CO11:CZ11)/AVERAGE(IPC!CC11:CN11)-1)</f>
        <v>1.5401925305451369E-2</v>
      </c>
      <c r="DA11" s="31">
        <f>IF(OR(IPC!DA11="",IPC!CO11=""),"",AVERAGE(IPC!CP11:DA11)/AVERAGE(IPC!CD11:CO11)-1)</f>
        <v>1.6063706848631121E-2</v>
      </c>
      <c r="DB11" s="31">
        <f>IF(OR(IPC!DB11="",IPC!CP11=""),"",AVERAGE(IPC!CQ11:DB11)/AVERAGE(IPC!CE11:CP11)-1)</f>
        <v>1.6886715367612659E-2</v>
      </c>
      <c r="DC11" s="31">
        <f>IF(OR(IPC!DC11="",IPC!CQ11=""),"",AVERAGE(IPC!CR11:DC11)/AVERAGE(IPC!CF11:CQ11)-1)</f>
        <v>1.765025679694987E-2</v>
      </c>
      <c r="DD11" s="31">
        <f>IF(OR(IPC!DD11="",IPC!CR11=""),"",AVERAGE(IPC!CS11:DD11)/AVERAGE(IPC!CG11:CR11)-1)</f>
        <v>1.7931020519652563E-2</v>
      </c>
      <c r="DE11" s="31">
        <f>IF(OR(IPC!DE11="",IPC!CS11=""),"",AVERAGE(IPC!CT11:DE11)/AVERAGE(IPC!CH11:CS11)-1)</f>
        <v>1.8130586836001994E-2</v>
      </c>
      <c r="DF11" s="31">
        <f>IF(OR(IPC!DF11="",IPC!CT11=""),"",AVERAGE(IPC!CU11:DF11)/AVERAGE(IPC!CI11:CT11)-1)</f>
        <v>1.8474914195306891E-2</v>
      </c>
      <c r="DG11" s="31">
        <f>IF(OR(IPC!DG11="",IPC!CU11=""),"",AVERAGE(IPC!CV11:DG11)/AVERAGE(IPC!CJ11:CU11)-1)</f>
        <v>1.8783282241587651E-2</v>
      </c>
      <c r="DH11" s="31">
        <f>IF(OR(IPC!DH11="",IPC!CV11=""),"",AVERAGE(IPC!CW11:DH11)/AVERAGE(IPC!CK11:CV11)-1)</f>
        <v>1.8624774847584069E-2</v>
      </c>
      <c r="DI11" s="31">
        <f>IF(OR(IPC!DI11="",IPC!CW11=""),"",AVERAGE(IPC!CX11:DI11)/AVERAGE(IPC!CL11:CW11)-1)</f>
        <v>1.8115700839622884E-2</v>
      </c>
      <c r="DJ11" s="31">
        <f>IF(OR(IPC!DJ11="",IPC!CX11=""),"",AVERAGE(IPC!CY11:DJ11)/AVERAGE(IPC!CM11:CX11)-1)</f>
        <v>1.7392632661698437E-2</v>
      </c>
      <c r="DK11" s="31">
        <f>IF(OR(IPC!DK11="",IPC!CY11=""),"",AVERAGE(IPC!CZ11:DK11)/AVERAGE(IPC!CN11:CY11)-1)</f>
        <v>1.6496151454753472E-2</v>
      </c>
      <c r="DL11" s="31">
        <f>IF(OR(IPC!DL11="",IPC!CZ11=""),"",AVERAGE(IPC!DA11:DL11)/AVERAGE(IPC!CO11:CZ11)-1)</f>
        <v>1.5894303356680739E-2</v>
      </c>
      <c r="DM11" s="31">
        <f>IF(OR(IPC!DM11="",IPC!DA11=""),"",AVERAGE(IPC!DB11:DM11)/AVERAGE(IPC!CP11:DA11)-1)</f>
        <v>1.5685023508615004E-2</v>
      </c>
      <c r="DN11" s="31">
        <f>IF(OR(IPC!DN11="",IPC!DB11=""),"",AVERAGE(IPC!DC11:DN11)/AVERAGE(IPC!CQ11:DB11)-1)</f>
        <v>1.5374004823895282E-2</v>
      </c>
      <c r="DO11" s="31">
        <f>IF(OR(IPC!DO11="",IPC!DC11=""),"",AVERAGE(IPC!DD11:DO11)/AVERAGE(IPC!CR11:DC11)-1)</f>
        <v>1.5069541416133703E-2</v>
      </c>
      <c r="DP11" s="31">
        <f>IF(OR(IPC!DP11="",IPC!DD11=""),"",AVERAGE(IPC!DE11:DP11)/AVERAGE(IPC!CS11:DD11)-1)</f>
        <v>1.5133982469250684E-2</v>
      </c>
      <c r="DQ11" s="31">
        <f>IF(OR(IPC!DQ11="",IPC!DE11=""),"",AVERAGE(IPC!DF11:DQ11)/AVERAGE(IPC!CT11:DE11)-1)</f>
        <v>1.5310824200384321E-2</v>
      </c>
      <c r="DR11" s="31">
        <f>IF(OR(IPC!DR11="",IPC!DF11=""),"",AVERAGE(IPC!DG11:DR11)/AVERAGE(IPC!CU11:DF11)-1)</f>
        <v>1.5348700832041207E-2</v>
      </c>
      <c r="DS11" s="31">
        <f>IF(OR(IPC!DS11="",IPC!DG11=""),"",AVERAGE(IPC!DH11:DS11)/AVERAGE(IPC!CV11:DG11)-1)</f>
        <v>1.5313124924875243E-2</v>
      </c>
      <c r="DT11" s="31">
        <f>IF(OR(IPC!DT11="",IPC!DH11=""),"",AVERAGE(IPC!DI11:DT11)/AVERAGE(IPC!CW11:DH11)-1)</f>
        <v>1.533028335891351E-2</v>
      </c>
      <c r="DU11" s="31">
        <f>IF(OR(IPC!DU11="",IPC!DI11=""),"",AVERAGE(IPC!DJ11:DU11)/AVERAGE(IPC!CX11:DI11)-1)</f>
        <v>1.5797958294184067E-2</v>
      </c>
      <c r="DV11" s="31">
        <f>IF(OR(IPC!DV11="",IPC!DJ11=""),"",AVERAGE(IPC!DK11:DV11)/AVERAGE(IPC!CY11:DJ11)-1)</f>
        <v>1.641455493751276E-2</v>
      </c>
      <c r="DW11" s="31">
        <f>IF(OR(IPC!DW11="",IPC!DK11=""),"",AVERAGE(IPC!DL11:DW11)/AVERAGE(IPC!CZ11:DK11)-1)</f>
        <v>1.7045745578005755E-2</v>
      </c>
      <c r="DX11" s="31">
        <f>IF(OR(IPC!DX11="",IPC!DL11=""),"",AVERAGE(IPC!DM11:DX11)/AVERAGE(IPC!DA11:DL11)-1)</f>
        <v>1.7141844065734047E-2</v>
      </c>
      <c r="DY11" s="31">
        <f>IF(OR(IPC!DY11="",IPC!DM11=""),"",AVERAGE(IPC!DN11:DY11)/AVERAGE(IPC!DB11:DM11)-1)</f>
        <v>1.6762567946591478E-2</v>
      </c>
      <c r="DZ11" s="31">
        <f>IF(OR(IPC!DZ11="",IPC!DN11=""),"",AVERAGE(IPC!DO11:DZ11)/AVERAGE(IPC!DC11:DN11)-1)</f>
        <v>1.6702376644027517E-2</v>
      </c>
      <c r="EA11" s="31">
        <f>IF(OR(IPC!EA11="",IPC!DO11=""),"",AVERAGE(IPC!DP11:EA11)/AVERAGE(IPC!DD11:DO11)-1)</f>
        <v>1.6594303141725053E-2</v>
      </c>
      <c r="EB11" s="31">
        <f>IF(OR(IPC!EB11="",IPC!DP11=""),"",AVERAGE(IPC!DQ11:EB11)/AVERAGE(IPC!DE11:DP11)-1)</f>
        <v>1.6053985631447665E-2</v>
      </c>
      <c r="EC11" s="31">
        <f>IF(OR(IPC!EC11="",IPC!DQ11=""),"",AVERAGE(IPC!DR11:EC11)/AVERAGE(IPC!DF11:DQ11)-1)</f>
        <v>1.5297235629091466E-2</v>
      </c>
      <c r="ED11" s="31">
        <f>IF(OR(IPC!ED11="",IPC!DR11=""),"",AVERAGE(IPC!DS11:ED11)/AVERAGE(IPC!DG11:DR11)-1)</f>
        <v>1.4624375269136181E-2</v>
      </c>
      <c r="EE11" s="31">
        <f>IF(OR(IPC!EE11="",IPC!DS11=""),"",AVERAGE(IPC!DT11:EE11)/AVERAGE(IPC!DH11:DS11)-1)</f>
        <v>1.418807840102021E-2</v>
      </c>
      <c r="EF11" s="31">
        <f>IF(OR(IPC!EF11="",IPC!DT11=""),"",AVERAGE(IPC!DU11:EF11)/AVERAGE(IPC!DI11:DT11)-1)</f>
        <v>1.39102385709442E-2</v>
      </c>
      <c r="EG11" s="31">
        <f>IF(OR(IPC!EG11="",IPC!DU11=""),"",AVERAGE(IPC!DV11:EG11)/AVERAGE(IPC!DJ11:DU11)-1)</f>
        <v>1.3987365778024063E-2</v>
      </c>
      <c r="EH11" s="31">
        <f>IF(OR(IPC!EH11="",IPC!DV11=""),"",AVERAGE(IPC!DW11:EH11)/AVERAGE(IPC!DK11:DV11)-1)</f>
        <v>1.4524839202360695E-2</v>
      </c>
      <c r="EI11" s="31">
        <f>IF(OR(IPC!EI11="",IPC!DW11=""),"",AVERAGE(IPC!DX11:EI11)/AVERAGE(IPC!DL11:DW11)-1)</f>
        <v>1.6093247940844657E-2</v>
      </c>
      <c r="EJ11" s="31">
        <f>IF(OR(IPC!EJ11="",IPC!DX11=""),"",AVERAGE(IPC!DY11:EJ11)/AVERAGE(IPC!DM11:DX11)-1)</f>
        <v>1.8753939819837306E-2</v>
      </c>
      <c r="EK11" s="31">
        <f>IF(OR(IPC!EK11="",IPC!DY11=""),"",AVERAGE(IPC!DZ11:EK11)/AVERAGE(IPC!DN11:DY11)-1)</f>
        <v>2.2369611015242041E-2</v>
      </c>
      <c r="EL11" s="31">
        <f>IF(OR(IPC!EL11="",IPC!DZ11=""),"",AVERAGE(IPC!EA11:EL11)/AVERAGE(IPC!DO11:DZ11)-1)</f>
        <v>2.6516147095960507E-2</v>
      </c>
      <c r="EM11" s="31">
        <f>IF(OR(IPC!EM11="",IPC!EA11=""),"",AVERAGE(IPC!EB11:EM11)/AVERAGE(IPC!DP11:EA11)-1)</f>
        <v>3.1060637172956929E-2</v>
      </c>
      <c r="EN11" s="31">
        <f>IF(OR(IPC!EN11="",IPC!EB11=""),"",AVERAGE(IPC!EC11:EN11)/AVERAGE(IPC!DQ11:EB11)-1)</f>
        <v>3.6442101975473928E-2</v>
      </c>
      <c r="EO11" s="31">
        <f>IF(OR(IPC!EO11="",IPC!EC11=""),"",AVERAGE(IPC!ED11:EO11)/AVERAGE(IPC!DR11:EC11)-1)</f>
        <v>4.2455158665569925E-2</v>
      </c>
      <c r="EP11" s="31">
        <f>IF(OR(IPC!EP11="",IPC!ED11=""),"",AVERAGE(IPC!EE11:EP11)/AVERAGE(IPC!DS11:ED11)-1)</f>
        <v>4.9206807530689733E-2</v>
      </c>
      <c r="EQ11" s="31">
        <f>IF(OR(IPC!EQ11="",IPC!EE11=""),"",AVERAGE(IPC!EF11:EQ11)/AVERAGE(IPC!DT11:EE11)-1)</f>
        <v>5.6403716384749947E-2</v>
      </c>
      <c r="ER11" s="31">
        <f>IF(OR(IPC!ER11="",IPC!EF11=""),"",AVERAGE(IPC!EG11:ER11)/AVERAGE(IPC!DU11:EF11)-1)</f>
        <v>6.3877569812487822E-2</v>
      </c>
      <c r="ES11" s="31">
        <f>IF(OR(IPC!ES11="",IPC!EG11=""),"",AVERAGE(IPC!EH11:ES11)/AVERAGE(IPC!DV11:EG11)-1)</f>
        <v>7.0558571433742223E-2</v>
      </c>
      <c r="ET11" s="31">
        <f>IF(OR(IPC!ET11="",IPC!EH11=""),"",AVERAGE(IPC!EI11:ET11)/AVERAGE(IPC!DW11:EH11)-1)</f>
        <v>7.6529306623548843E-2</v>
      </c>
      <c r="EU11" s="31">
        <f>IF(OR(IPC!EU11="",IPC!EI11=""),"",AVERAGE(IPC!EJ11:EU11)/AVERAGE(IPC!DX11:EI11)-1)</f>
        <v>8.123687241473565E-2</v>
      </c>
      <c r="EV11" s="31">
        <f>IF(OR(IPC!EV11="",IPC!EJ11=""),"",AVERAGE(IPC!EK11:EV11)/AVERAGE(IPC!DY11:EJ11)-1)</f>
        <v>8.4452139986964214E-2</v>
      </c>
      <c r="EW11" s="31">
        <f>IF(OR(IPC!EW11="",IPC!EK11=""),"",AVERAGE(IPC!EL11:EW11)/AVERAGE(IPC!DZ11:EK11)-1)</f>
        <v>8.6200782228158523E-2</v>
      </c>
      <c r="EX11" s="31">
        <f>IF(OR(IPC!EX11="",IPC!EL11=""),"",AVERAGE(IPC!EM11:EX11)/AVERAGE(IPC!EA11:EL11)-1)</f>
        <v>8.6309068406409173E-2</v>
      </c>
      <c r="EY11" s="31">
        <f>IF(OR(IPC!EY11="",IPC!EM11=""),"",AVERAGE(IPC!EN11:EY11)/AVERAGE(IPC!EB11:EM11)-1)</f>
        <v>8.5718957358098313E-2</v>
      </c>
      <c r="EZ11" s="31">
        <f>IF(OR(IPC!EZ11="",IPC!EN11=""),"",AVERAGE(IPC!EO11:EZ11)/AVERAGE(IPC!EC11:EN11)-1)</f>
        <v>8.3980651413109619E-2</v>
      </c>
      <c r="FA11" s="31">
        <f>IF(OR(IPC!FA11="",IPC!EO11=""),"",AVERAGE(IPC!EP11:FA11)/AVERAGE(IPC!ED11:EO11)-1)</f>
        <v>8.1274445157391462E-2</v>
      </c>
      <c r="FB11" s="31">
        <f>IF(OR(IPC!FB11="",IPC!EP11=""),"",AVERAGE(IPC!EQ11:FB11)/AVERAGE(IPC!EE11:EP11)-1)</f>
        <v>7.7022189992013823E-2</v>
      </c>
      <c r="FC11" s="31">
        <f>IF(OR(IPC!FC11="",IPC!EQ11=""),"",AVERAGE(IPC!ER11:FC11)/AVERAGE(IPC!EF11:EQ11)-1)</f>
        <v>7.1784530108832234E-2</v>
      </c>
      <c r="FD11" s="31">
        <f>IF(OR(IPC!FD11="",IPC!ER11=""),"",AVERAGE(IPC!ES11:FD11)/AVERAGE(IPC!EG11:ER11)-1)</f>
        <v>6.5541268608479752E-2</v>
      </c>
      <c r="FE11" s="31">
        <f>IF(OR(IPC!FE11="",IPC!ES11=""),"",AVERAGE(IPC!ET11:FE11)/AVERAGE(IPC!EH11:ES11)-1)</f>
        <v>5.9516249567747925E-2</v>
      </c>
      <c r="FF11" s="31">
        <f>IF(OR(IPC!FF11="",IPC!ET11=""),"",AVERAGE(IPC!EU11:FF11)/AVERAGE(IPC!EI11:ET11)-1)</f>
        <v>5.3297589410571611E-2</v>
      </c>
      <c r="FG11" s="31">
        <f>IF(OR(IPC!FG11="",IPC!EU11=""),"",AVERAGE(IPC!EV11:FG11)/AVERAGE(IPC!EJ11:EU11)-1)</f>
        <v>4.7037465363347186E-2</v>
      </c>
      <c r="FH11" s="31">
        <f>IF(OR(IPC!FH11="",IPC!EV11=""),"",AVERAGE(IPC!EW11:FH11)/AVERAGE(IPC!EK11:EV11)-1)</f>
        <v>4.1512620205189643E-2</v>
      </c>
      <c r="FI11" s="31">
        <f>IF(OR(IPC!FI11="",IPC!EW11=""),"",AVERAGE(IPC!EX11:FI11)/AVERAGE(IPC!EL11:EW11)-1)</f>
        <v>3.6673553665264702E-2</v>
      </c>
      <c r="FJ11" s="31">
        <f>IF(OR(IPC!FJ11="",IPC!EX11=""),"",AVERAGE(IPC!EY11:FJ11)/AVERAGE(IPC!EM11:EX11)-1)</f>
        <v>3.2762705542272119E-2</v>
      </c>
      <c r="FK11" s="31">
        <f>IF(OR(IPC!FK11="",IPC!EY11=""),"",AVERAGE(IPC!EZ11:FK11)/AVERAGE(IPC!EN11:EY11)-1)</f>
        <v>2.924894176146986E-2</v>
      </c>
      <c r="FL11" s="31">
        <f>IF(OR(IPC!FL11="",IPC!EZ11=""),"",AVERAGE(IPC!FA11:FL11)/AVERAGE(IPC!EO11:EZ11)-1)</f>
        <v>2.6244583787704556E-2</v>
      </c>
      <c r="FM11" s="31">
        <f>IF(OR(IPC!FM11="",IPC!FA11=""),"",AVERAGE(IPC!FB11:FM11)/AVERAGE(IPC!EP11:FA11)-1)</f>
        <v>2.3559518746515851E-2</v>
      </c>
      <c r="FN11" s="31">
        <f>IF(OR(IPC!FN11="",IPC!FB11=""),"",AVERAGE(IPC!FC11:FN11)/AVERAGE(IPC!EQ11:FB11)-1)</f>
        <v>2.1523421318327074E-2</v>
      </c>
      <c r="FO11" s="31">
        <f>IF(OR(IPC!FO11="",IPC!FC11=""),"",AVERAGE(IPC!FD11:FO11)/AVERAGE(IPC!ER11:FC11)-1)</f>
        <v>1.9745057732554194E-2</v>
      </c>
      <c r="FP11" s="31">
        <f>IF(OR(IPC!FP11="",IPC!FD11=""),"",AVERAGE(IPC!FE11:FP11)/AVERAGE(IPC!ES11:FD11)-1)</f>
        <v>1.8796136481805226E-2</v>
      </c>
      <c r="FQ11" s="31">
        <f>IF(OR(IPC!FQ11="",IPC!FE11=""),"",AVERAGE(IPC!FF11:FQ11)/AVERAGE(IPC!ET11:FE11)-1)</f>
        <v>1.7704553043607518E-2</v>
      </c>
      <c r="FR11" s="31">
        <f>IF(OR(IPC!FR11="",IPC!FF11=""),"",AVERAGE(IPC!FG11:FR11)/AVERAGE(IPC!EU11:FF11)-1)</f>
        <v>1.7008991036285837E-2</v>
      </c>
    </row>
    <row r="12" spans="1:174" s="1" customFormat="1" ht="10.199999999999999" x14ac:dyDescent="0.2">
      <c r="A12" s="11" t="s">
        <v>19</v>
      </c>
      <c r="B12" s="1" t="s">
        <v>33</v>
      </c>
      <c r="C12" s="5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>
        <f>IF(OR(IPC!AN12="",IPC!AB12=""),"",AVERAGE(IPC!AC12:AN12)/AVERAGE(IPC!Q12:AB12)-1)</f>
        <v>6.3554303012136604E-3</v>
      </c>
      <c r="AO12" s="31">
        <f>IF(OR(IPC!AO12="",IPC!AC12=""),"",AVERAGE(IPC!AD12:AO12)/AVERAGE(IPC!R12:AC12)-1)</f>
        <v>6.8255906459666615E-3</v>
      </c>
      <c r="AP12" s="31">
        <f>IF(OR(IPC!AP12="",IPC!AD12=""),"",AVERAGE(IPC!AE12:AP12)/AVERAGE(IPC!S12:AD12)-1)</f>
        <v>7.4857759341802055E-3</v>
      </c>
      <c r="AQ12" s="31">
        <f>IF(OR(IPC!AQ12="",IPC!AE12=""),"",AVERAGE(IPC!AF12:AQ12)/AVERAGE(IPC!T12:AE12)-1)</f>
        <v>7.8683608478882228E-3</v>
      </c>
      <c r="AR12" s="31">
        <f>IF(OR(IPC!AR12="",IPC!AF12=""),"",AVERAGE(IPC!AG12:AR12)/AVERAGE(IPC!U12:AF12)-1)</f>
        <v>8.2347402279892012E-3</v>
      </c>
      <c r="AS12" s="31">
        <f>IF(OR(IPC!AS12="",IPC!AG12=""),"",AVERAGE(IPC!AH12:AS12)/AVERAGE(IPC!V12:AG12)-1)</f>
        <v>7.9723399562510178E-3</v>
      </c>
      <c r="AT12" s="31">
        <f>IF(OR(IPC!AT12="",IPC!AH12=""),"",AVERAGE(IPC!AI12:AT12)/AVERAGE(IPC!W12:AH12)-1)</f>
        <v>8.4450852559807554E-3</v>
      </c>
      <c r="AU12" s="31">
        <f>IF(OR(IPC!AU12="",IPC!AI12=""),"",AVERAGE(IPC!AJ12:AU12)/AVERAGE(IPC!X12:AI12)-1)</f>
        <v>9.4009070975507036E-3</v>
      </c>
      <c r="AV12" s="31">
        <f>IF(OR(IPC!AV12="",IPC!AJ12=""),"",AVERAGE(IPC!AK12:AV12)/AVERAGE(IPC!Y12:AJ12)-1)</f>
        <v>9.9944177044470894E-3</v>
      </c>
      <c r="AW12" s="31">
        <f>IF(OR(IPC!AW12="",IPC!AK12=""),"",AVERAGE(IPC!AL12:AW12)/AVERAGE(IPC!Z12:AK12)-1)</f>
        <v>9.0851958962441248E-3</v>
      </c>
      <c r="AX12" s="31">
        <f>IF(OR(IPC!AX12="",IPC!AL12=""),"",AVERAGE(IPC!AM12:AX12)/AVERAGE(IPC!AA12:AL12)-1)</f>
        <v>8.0294904360762587E-3</v>
      </c>
      <c r="AY12" s="31">
        <f>IF(OR(IPC!AY12="",IPC!AM12=""),"",AVERAGE(IPC!AN12:AY12)/AVERAGE(IPC!AB12:AM12)-1)</f>
        <v>7.3801743035541989E-3</v>
      </c>
      <c r="AZ12" s="31">
        <f>IF(OR(IPC!AZ12="",IPC!AN12=""),"",AVERAGE(IPC!AO12:AZ12)/AVERAGE(IPC!AC12:AN12)-1)</f>
        <v>6.6987948011245635E-3</v>
      </c>
      <c r="BA12" s="31">
        <f>IF(OR(IPC!BA12="",IPC!AO12=""),"",AVERAGE(IPC!AP12:BA12)/AVERAGE(IPC!AD12:AO12)-1)</f>
        <v>6.4333368626474652E-3</v>
      </c>
      <c r="BB12" s="31">
        <f>IF(OR(IPC!BB12="",IPC!AP12=""),"",AVERAGE(IPC!AQ12:BB12)/AVERAGE(IPC!AE12:AP12)-1)</f>
        <v>6.22749931929234E-3</v>
      </c>
      <c r="BC12" s="31">
        <f>IF(OR(IPC!BC12="",IPC!AQ12=""),"",AVERAGE(IPC!AR12:BC12)/AVERAGE(IPC!AF12:AQ12)-1)</f>
        <v>6.3442346943285433E-3</v>
      </c>
      <c r="BD12" s="31">
        <f>IF(OR(IPC!BD12="",IPC!AR12=""),"",AVERAGE(IPC!AS12:BD12)/AVERAGE(IPC!AG12:AR12)-1)</f>
        <v>5.7069983683939451E-3</v>
      </c>
      <c r="BE12" s="31">
        <f>IF(OR(IPC!BE12="",IPC!AS12=""),"",AVERAGE(IPC!AT12:BE12)/AVERAGE(IPC!AH12:AS12)-1)</f>
        <v>5.6072529841830754E-3</v>
      </c>
      <c r="BF12" s="31">
        <f>IF(OR(IPC!BF12="",IPC!AT12=""),"",AVERAGE(IPC!AU12:BF12)/AVERAGE(IPC!AI12:AT12)-1)</f>
        <v>4.8750640591392891E-3</v>
      </c>
      <c r="BG12" s="31">
        <f>IF(OR(IPC!BG12="",IPC!AU12=""),"",AVERAGE(IPC!AV12:BG12)/AVERAGE(IPC!AJ12:AU12)-1)</f>
        <v>3.9747760472943483E-3</v>
      </c>
      <c r="BH12" s="31">
        <f>IF(OR(IPC!BH12="",IPC!AV12=""),"",AVERAGE(IPC!AW12:BH12)/AVERAGE(IPC!AK12:AV12)-1)</f>
        <v>3.4395170639835992E-3</v>
      </c>
      <c r="BI12" s="31">
        <f>IF(OR(IPC!BI12="",IPC!AW12=""),"",AVERAGE(IPC!AX12:BI12)/AVERAGE(IPC!AL12:AW12)-1)</f>
        <v>3.9288272775879207E-3</v>
      </c>
      <c r="BJ12" s="31">
        <f>IF(OR(IPC!BJ12="",IPC!AX12=""),"",AVERAGE(IPC!AY12:BJ12)/AVERAGE(IPC!AM12:AX12)-1)</f>
        <v>4.4608147443232493E-3</v>
      </c>
      <c r="BK12" s="31">
        <f>IF(OR(IPC!BK12="",IPC!AY12=""),"",AVERAGE(IPC!AZ12:BK12)/AVERAGE(IPC!AN12:AY12)-1)</f>
        <v>4.7521614463510442E-3</v>
      </c>
      <c r="BL12" s="31">
        <f>IF(OR(IPC!BL12="",IPC!AZ12=""),"",AVERAGE(IPC!BA12:BL12)/AVERAGE(IPC!AO12:AZ12)-1)</f>
        <v>4.2911908009353184E-3</v>
      </c>
      <c r="BM12" s="31">
        <f>IF(OR(IPC!BM12="",IPC!BA12=""),"",AVERAGE(IPC!BB12:BM12)/AVERAGE(IPC!AP12:BA12)-1)</f>
        <v>3.6988073693948742E-3</v>
      </c>
      <c r="BN12" s="31">
        <f>IF(OR(IPC!BN12="",IPC!BB12=""),"",AVERAGE(IPC!BC12:BN12)/AVERAGE(IPC!AQ12:BB12)-1)</f>
        <v>2.7657788314299214E-3</v>
      </c>
      <c r="BO12" s="31">
        <f>IF(OR(IPC!BO12="",IPC!BC12=""),"",AVERAGE(IPC!BD12:BO12)/AVERAGE(IPC!AR12:BC12)-1)</f>
        <v>1.6918392630298484E-3</v>
      </c>
      <c r="BP12" s="31">
        <f>IF(OR(IPC!BP12="",IPC!BD12=""),"",AVERAGE(IPC!BE12:BP12)/AVERAGE(IPC!AS12:BD12)-1)</f>
        <v>1.2605332937536406E-3</v>
      </c>
      <c r="BQ12" s="31">
        <f>IF(OR(IPC!BQ12="",IPC!BE12=""),"",AVERAGE(IPC!BF12:BQ12)/AVERAGE(IPC!AT12:BE12)-1)</f>
        <v>4.5440749959202442E-4</v>
      </c>
      <c r="BR12" s="31">
        <f>IF(OR(IPC!BR12="",IPC!BF12=""),"",AVERAGE(IPC!BG12:BR12)/AVERAGE(IPC!AU12:BF12)-1)</f>
        <v>2.0257703845016906E-4</v>
      </c>
      <c r="BS12" s="31">
        <f>IF(OR(IPC!BS12="",IPC!BG12=""),"",AVERAGE(IPC!BH12:BS12)/AVERAGE(IPC!AV12:BG12)-1)</f>
        <v>-1.7123515246175725E-4</v>
      </c>
      <c r="BT12" s="31">
        <f>IF(OR(IPC!BT12="",IPC!BH12=""),"",AVERAGE(IPC!BI12:BT12)/AVERAGE(IPC!AW12:BH12)-1)</f>
        <v>-6.2354871877301488E-4</v>
      </c>
      <c r="BU12" s="31">
        <f>IF(OR(IPC!BU12="",IPC!BI12=""),"",AVERAGE(IPC!BJ12:BU12)/AVERAGE(IPC!AX12:BI12)-1)</f>
        <v>-1.7836439753097233E-3</v>
      </c>
      <c r="BV12" s="31">
        <f>IF(OR(IPC!BV12="",IPC!BJ12=""),"",AVERAGE(IPC!BK12:BV12)/AVERAGE(IPC!AY12:BJ12)-1)</f>
        <v>-2.6483840431299477E-3</v>
      </c>
      <c r="BW12" s="31">
        <f>IF(OR(IPC!BW12="",IPC!BK12=""),"",AVERAGE(IPC!BL12:BW12)/AVERAGE(IPC!AZ12:BK12)-1)</f>
        <v>-3.1418364529888221E-3</v>
      </c>
      <c r="BX12" s="31">
        <f>IF(OR(IPC!BX12="",IPC!BL12=""),"",AVERAGE(IPC!BM12:BX12)/AVERAGE(IPC!BA12:BL12)-1)</f>
        <v>-2.9181822571757721E-3</v>
      </c>
      <c r="BY12" s="31">
        <f>IF(OR(IPC!BY12="",IPC!BM12=""),"",AVERAGE(IPC!BN12:BY12)/AVERAGE(IPC!BB12:BM12)-1)</f>
        <v>-2.5290569434986976E-3</v>
      </c>
      <c r="BZ12" s="31">
        <f>IF(OR(IPC!BZ12="",IPC!BN12=""),"",AVERAGE(IPC!BO12:BZ12)/AVERAGE(IPC!BC12:BN12)-1)</f>
        <v>-2.1179655841201406E-3</v>
      </c>
      <c r="CA12" s="31">
        <f>IF(OR(IPC!CA12="",IPC!BO12=""),"",AVERAGE(IPC!BP12:CA12)/AVERAGE(IPC!BD12:BO12)-1)</f>
        <v>-1.8056995109293483E-3</v>
      </c>
      <c r="CB12" s="31">
        <f>IF(OR(IPC!CB12="",IPC!BP12=""),"",AVERAGE(IPC!BQ12:CB12)/AVERAGE(IPC!BE12:BP12)-1)</f>
        <v>-1.2063851976956697E-3</v>
      </c>
      <c r="CC12" s="31">
        <f>IF(OR(IPC!CC12="",IPC!BQ12=""),"",AVERAGE(IPC!BR12:CC12)/AVERAGE(IPC!BF12:BQ12)-1)</f>
        <v>-3.6625220841746131E-4</v>
      </c>
      <c r="CD12" s="31">
        <f>IF(OR(IPC!CD12="",IPC!BR12=""),"",AVERAGE(IPC!BS12:CD12)/AVERAGE(IPC!BG12:BR12)-1)</f>
        <v>2.1199609354960458E-4</v>
      </c>
      <c r="CE12" s="31">
        <f>IF(OR(IPC!CE12="",IPC!BS12=""),"",AVERAGE(IPC!BT12:CE12)/AVERAGE(IPC!BH12:BS12)-1)</f>
        <v>9.0854865268985563E-4</v>
      </c>
      <c r="CF12" s="31">
        <f>IF(OR(IPC!CF12="",IPC!BT12=""),"",AVERAGE(IPC!BU12:CF12)/AVERAGE(IPC!BI12:BT12)-1)</f>
        <v>1.4750138674755053E-3</v>
      </c>
      <c r="CG12" s="31">
        <f>IF(OR(IPC!CG12="",IPC!BU12=""),"",AVERAGE(IPC!BV12:CG12)/AVERAGE(IPC!BJ12:BU12)-1)</f>
        <v>2.3124167392085671E-3</v>
      </c>
      <c r="CH12" s="31">
        <f>IF(OR(IPC!CH12="",IPC!BV12=""),"",AVERAGE(IPC!BW12:CH12)/AVERAGE(IPC!BK12:BV12)-1)</f>
        <v>2.8142643913198206E-3</v>
      </c>
      <c r="CI12" s="31">
        <f>IF(OR(IPC!CI12="",IPC!BW12=""),"",AVERAGE(IPC!BX12:CI12)/AVERAGE(IPC!BL12:BW12)-1)</f>
        <v>3.0022810613279383E-3</v>
      </c>
      <c r="CJ12" s="31">
        <f>IF(OR(IPC!CJ12="",IPC!BX12=""),"",AVERAGE(IPC!BY12:CJ12)/AVERAGE(IPC!BM12:BX12)-1)</f>
        <v>2.8632830773789308E-3</v>
      </c>
      <c r="CK12" s="31">
        <f>IF(OR(IPC!CK12="",IPC!BY12=""),"",AVERAGE(IPC!BZ12:CK12)/AVERAGE(IPC!BN12:BY12)-1)</f>
        <v>2.659862467164098E-3</v>
      </c>
      <c r="CL12" s="31">
        <f>IF(OR(IPC!CL12="",IPC!BZ12=""),"",AVERAGE(IPC!CA12:CL12)/AVERAGE(IPC!BO12:BZ12)-1)</f>
        <v>2.8817869092494508E-3</v>
      </c>
      <c r="CM12" s="31">
        <f>IF(OR(IPC!CM12="",IPC!CA12=""),"",AVERAGE(IPC!CB12:CM12)/AVERAGE(IPC!BP12:CA12)-1)</f>
        <v>3.0731904504022189E-3</v>
      </c>
      <c r="CN12" s="31">
        <f>IF(OR(IPC!CN12="",IPC!CB12=""),"",AVERAGE(IPC!CC12:CN12)/AVERAGE(IPC!BQ12:CB12)-1)</f>
        <v>3.019558067971273E-3</v>
      </c>
      <c r="CO12" s="31">
        <f>IF(OR(IPC!CO12="",IPC!CC12=""),"",AVERAGE(IPC!CD12:CO12)/AVERAGE(IPC!BR12:CC12)-1)</f>
        <v>2.9437057470627082E-3</v>
      </c>
      <c r="CP12" s="31">
        <f>IF(OR(IPC!CP12="",IPC!CD12=""),"",AVERAGE(IPC!CE12:CP12)/AVERAGE(IPC!BS12:CD12)-1)</f>
        <v>3.1006913356741439E-3</v>
      </c>
      <c r="CQ12" s="31">
        <f>IF(OR(IPC!CQ12="",IPC!CE12=""),"",AVERAGE(IPC!CF12:CQ12)/AVERAGE(IPC!BT12:CE12)-1)</f>
        <v>3.2705639212780024E-3</v>
      </c>
      <c r="CR12" s="31">
        <f>IF(OR(IPC!CR12="",IPC!CF12=""),"",AVERAGE(IPC!CG12:CR12)/AVERAGE(IPC!BU12:CF12)-1)</f>
        <v>3.5157968852606025E-3</v>
      </c>
      <c r="CS12" s="31">
        <f>IF(OR(IPC!CS12="",IPC!CG12=""),"",AVERAGE(IPC!CH12:CS12)/AVERAGE(IPC!BV12:CG12)-1)</f>
        <v>3.761182436871513E-3</v>
      </c>
      <c r="CT12" s="31">
        <f>IF(OR(IPC!CT12="",IPC!CH12=""),"",AVERAGE(IPC!CI12:CT12)/AVERAGE(IPC!BW12:CH12)-1)</f>
        <v>4.091960959138774E-3</v>
      </c>
      <c r="CU12" s="31">
        <f>IF(OR(IPC!CU12="",IPC!CI12=""),"",AVERAGE(IPC!CJ12:CU12)/AVERAGE(IPC!BX12:CI12)-1)</f>
        <v>4.4734334851470603E-3</v>
      </c>
      <c r="CV12" s="31">
        <f>IF(OR(IPC!CV12="",IPC!CJ12=""),"",AVERAGE(IPC!CK12:CV12)/AVERAGE(IPC!BY12:CJ12)-1)</f>
        <v>5.0984159762712533E-3</v>
      </c>
      <c r="CW12" s="31">
        <f>IF(OR(IPC!CW12="",IPC!CK12=""),"",AVERAGE(IPC!CL12:CW12)/AVERAGE(IPC!BZ12:CK12)-1)</f>
        <v>5.7121475462513782E-3</v>
      </c>
      <c r="CX12" s="31">
        <f>IF(OR(IPC!CX12="",IPC!CL12=""),"",AVERAGE(IPC!CM12:CX12)/AVERAGE(IPC!CA12:CL12)-1)</f>
        <v>6.2236095792909119E-3</v>
      </c>
      <c r="CY12" s="31">
        <f>IF(OR(IPC!CY12="",IPC!CM12=""),"",AVERAGE(IPC!CN12:CY12)/AVERAGE(IPC!CB12:CM12)-1)</f>
        <v>6.734895215715575E-3</v>
      </c>
      <c r="CZ12" s="31">
        <f>IF(OR(IPC!CZ12="",IPC!CN12=""),"",AVERAGE(IPC!CO12:CZ12)/AVERAGE(IPC!CC12:CN12)-1)</f>
        <v>7.0134948492945881E-3</v>
      </c>
      <c r="DA12" s="31">
        <f>IF(OR(IPC!DA12="",IPC!CO12=""),"",AVERAGE(IPC!CP12:DA12)/AVERAGE(IPC!CD12:CO12)-1)</f>
        <v>7.1685581408174048E-3</v>
      </c>
      <c r="DB12" s="31">
        <f>IF(OR(IPC!DB12="",IPC!CP12=""),"",AVERAGE(IPC!CQ12:DB12)/AVERAGE(IPC!CE12:CP12)-1)</f>
        <v>6.9400992548676044E-3</v>
      </c>
      <c r="DC12" s="31">
        <f>IF(OR(IPC!DC12="",IPC!CQ12=""),"",AVERAGE(IPC!CR12:DC12)/AVERAGE(IPC!CF12:CQ12)-1)</f>
        <v>6.6086922549619675E-3</v>
      </c>
      <c r="DD12" s="31">
        <f>IF(OR(IPC!DD12="",IPC!CR12=""),"",AVERAGE(IPC!CS12:DD12)/AVERAGE(IPC!CG12:CR12)-1)</f>
        <v>6.2939209338521707E-3</v>
      </c>
      <c r="DE12" s="31">
        <f>IF(OR(IPC!DE12="",IPC!CS12=""),"",AVERAGE(IPC!CT12:DE12)/AVERAGE(IPC!CH12:CS12)-1)</f>
        <v>6.0371766523861226E-3</v>
      </c>
      <c r="DF12" s="31">
        <f>IF(OR(IPC!DF12="",IPC!CT12=""),"",AVERAGE(IPC!CU12:DF12)/AVERAGE(IPC!CI12:CT12)-1)</f>
        <v>5.8091970803029191E-3</v>
      </c>
      <c r="DG12" s="31">
        <f>IF(OR(IPC!DG12="",IPC!CU12=""),"",AVERAGE(IPC!CV12:DG12)/AVERAGE(IPC!CJ12:CU12)-1)</f>
        <v>5.593770488327765E-3</v>
      </c>
      <c r="DH12" s="31">
        <f>IF(OR(IPC!DH12="",IPC!CV12=""),"",AVERAGE(IPC!CW12:DH12)/AVERAGE(IPC!CK12:CV12)-1)</f>
        <v>5.2634769312207563E-3</v>
      </c>
      <c r="DI12" s="31">
        <f>IF(OR(IPC!DI12="",IPC!CW12=""),"",AVERAGE(IPC!CX12:DI12)/AVERAGE(IPC!CL12:CW12)-1)</f>
        <v>4.8850155211923596E-3</v>
      </c>
      <c r="DJ12" s="31">
        <f>IF(OR(IPC!DJ12="",IPC!CX12=""),"",AVERAGE(IPC!CY12:DJ12)/AVERAGE(IPC!CM12:CX12)-1)</f>
        <v>4.297520569155111E-3</v>
      </c>
      <c r="DK12" s="31">
        <f>IF(OR(IPC!DK12="",IPC!CY12=""),"",AVERAGE(IPC!CZ12:DK12)/AVERAGE(IPC!CN12:CY12)-1)</f>
        <v>3.7441611135593522E-3</v>
      </c>
      <c r="DL12" s="31">
        <f>IF(OR(IPC!DL12="",IPC!CZ12=""),"",AVERAGE(IPC!DA12:DL12)/AVERAGE(IPC!CO12:CZ12)-1)</f>
        <v>3.3376660903399191E-3</v>
      </c>
      <c r="DM12" s="31">
        <f>IF(OR(IPC!DM12="",IPC!DA12=""),"",AVERAGE(IPC!DB12:DM12)/AVERAGE(IPC!CP12:DA12)-1)</f>
        <v>2.9844157399760984E-3</v>
      </c>
      <c r="DN12" s="31">
        <f>IF(OR(IPC!DN12="",IPC!DB12=""),"",AVERAGE(IPC!DC12:DN12)/AVERAGE(IPC!CQ12:DB12)-1)</f>
        <v>2.7106408380801472E-3</v>
      </c>
      <c r="DO12" s="31">
        <f>IF(OR(IPC!DO12="",IPC!DC12=""),"",AVERAGE(IPC!DD12:DO12)/AVERAGE(IPC!CR12:DC12)-1)</f>
        <v>2.5792712152779007E-3</v>
      </c>
      <c r="DP12" s="31">
        <f>IF(OR(IPC!DP12="",IPC!DD12=""),"",AVERAGE(IPC!DE12:DP12)/AVERAGE(IPC!CS12:DD12)-1)</f>
        <v>2.4955070456267325E-3</v>
      </c>
      <c r="DQ12" s="31">
        <f>IF(OR(IPC!DQ12="",IPC!DE12=""),"",AVERAGE(IPC!DF12:DQ12)/AVERAGE(IPC!CT12:DE12)-1)</f>
        <v>2.4383594466108605E-3</v>
      </c>
      <c r="DR12" s="31">
        <f>IF(OR(IPC!DR12="",IPC!DF12=""),"",AVERAGE(IPC!DG12:DR12)/AVERAGE(IPC!CU12:DF12)-1)</f>
        <v>2.3541085162821496E-3</v>
      </c>
      <c r="DS12" s="31">
        <f>IF(OR(IPC!DS12="",IPC!DG12=""),"",AVERAGE(IPC!DH12:DS12)/AVERAGE(IPC!CV12:DG12)-1)</f>
        <v>2.2477715589674929E-3</v>
      </c>
      <c r="DT12" s="31">
        <f>IF(OR(IPC!DT12="",IPC!DH12=""),"",AVERAGE(IPC!DI12:DT12)/AVERAGE(IPC!CW12:DH12)-1)</f>
        <v>2.1818579173080721E-3</v>
      </c>
      <c r="DU12" s="31">
        <f>IF(OR(IPC!DU12="",IPC!DI12=""),"",AVERAGE(IPC!DJ12:DU12)/AVERAGE(IPC!CX12:DI12)-1)</f>
        <v>2.1225780475164768E-3</v>
      </c>
      <c r="DV12" s="31">
        <f>IF(OR(IPC!DV12="",IPC!DJ12=""),"",AVERAGE(IPC!DK12:DV12)/AVERAGE(IPC!CY12:DJ12)-1)</f>
        <v>2.1101396341642875E-3</v>
      </c>
      <c r="DW12" s="31">
        <f>IF(OR(IPC!DW12="",IPC!DK12=""),"",AVERAGE(IPC!DL12:DW12)/AVERAGE(IPC!CZ12:DK12)-1)</f>
        <v>2.0655645220264418E-3</v>
      </c>
      <c r="DX12" s="31">
        <f>IF(OR(IPC!DX12="",IPC!DL12=""),"",AVERAGE(IPC!DM12:DX12)/AVERAGE(IPC!DA12:DL12)-1)</f>
        <v>1.9904011954081646E-3</v>
      </c>
      <c r="DY12" s="31">
        <f>IF(OR(IPC!DY12="",IPC!DM12=""),"",AVERAGE(IPC!DN12:DY12)/AVERAGE(IPC!DB12:DM12)-1)</f>
        <v>1.902770832338696E-3</v>
      </c>
      <c r="DZ12" s="31">
        <f>IF(OR(IPC!DZ12="",IPC!DN12=""),"",AVERAGE(IPC!DO12:DZ12)/AVERAGE(IPC!DC12:DN12)-1)</f>
        <v>1.9986927781230346E-3</v>
      </c>
      <c r="EA12" s="31">
        <f>IF(OR(IPC!EA12="",IPC!DO12=""),"",AVERAGE(IPC!DP12:EA12)/AVERAGE(IPC!DD12:DO12)-1)</f>
        <v>2.0084167344656123E-3</v>
      </c>
      <c r="EB12" s="31">
        <f>IF(OR(IPC!EB12="",IPC!DP12=""),"",AVERAGE(IPC!DQ12:EB12)/AVERAGE(IPC!DE12:DP12)-1)</f>
        <v>1.912727373626133E-3</v>
      </c>
      <c r="EC12" s="31">
        <f>IF(OR(IPC!EC12="",IPC!DQ12=""),"",AVERAGE(IPC!DR12:EC12)/AVERAGE(IPC!DF12:DQ12)-1)</f>
        <v>1.7654352001412743E-3</v>
      </c>
      <c r="ED12" s="31">
        <f>IF(OR(IPC!ED12="",IPC!DR12=""),"",AVERAGE(IPC!DS12:ED12)/AVERAGE(IPC!DG12:DR12)-1)</f>
        <v>1.6575316462890122E-3</v>
      </c>
      <c r="EE12" s="31">
        <f>IF(OR(IPC!EE12="",IPC!DS12=""),"",AVERAGE(IPC!DT12:EE12)/AVERAGE(IPC!DH12:DS12)-1)</f>
        <v>1.5756593689777443E-3</v>
      </c>
      <c r="EF12" s="31">
        <f>IF(OR(IPC!EF12="",IPC!DT12=""),"",AVERAGE(IPC!DU12:EF12)/AVERAGE(IPC!DI12:DT12)-1)</f>
        <v>1.5200029213726651E-3</v>
      </c>
      <c r="EG12" s="31">
        <f>IF(OR(IPC!EG12="",IPC!DU12=""),"",AVERAGE(IPC!DV12:EG12)/AVERAGE(IPC!DJ12:DU12)-1)</f>
        <v>1.462731740196288E-3</v>
      </c>
      <c r="EH12" s="31">
        <f>IF(OR(IPC!EH12="",IPC!DV12=""),"",AVERAGE(IPC!DW12:EH12)/AVERAGE(IPC!DK12:DV12)-1)</f>
        <v>1.5513497430577061E-3</v>
      </c>
      <c r="EI12" s="31">
        <f>IF(OR(IPC!EI12="",IPC!DW12=""),"",AVERAGE(IPC!DX12:EI12)/AVERAGE(IPC!DL12:DW12)-1)</f>
        <v>1.8131622365524791E-3</v>
      </c>
      <c r="EJ12" s="31">
        <f>IF(OR(IPC!EJ12="",IPC!DX12=""),"",AVERAGE(IPC!DY12:EJ12)/AVERAGE(IPC!DM12:DX12)-1)</f>
        <v>2.0089817464583604E-3</v>
      </c>
      <c r="EK12" s="31">
        <f>IF(OR(IPC!EK12="",IPC!DY12=""),"",AVERAGE(IPC!DZ12:EK12)/AVERAGE(IPC!DN12:DY12)-1)</f>
        <v>2.3268147923805049E-3</v>
      </c>
      <c r="EL12" s="31">
        <f>IF(OR(IPC!EL12="",IPC!DZ12=""),"",AVERAGE(IPC!EA12:EL12)/AVERAGE(IPC!DO12:DZ12)-1)</f>
        <v>2.5508766488968604E-3</v>
      </c>
      <c r="EM12" s="31">
        <f>IF(OR(IPC!EM12="",IPC!EA12=""),"",AVERAGE(IPC!EB12:EM12)/AVERAGE(IPC!DP12:EA12)-1)</f>
        <v>2.7969718315408176E-3</v>
      </c>
      <c r="EN12" s="31">
        <f>IF(OR(IPC!EN12="",IPC!EB12=""),"",AVERAGE(IPC!EC12:EN12)/AVERAGE(IPC!DQ12:EB12)-1)</f>
        <v>3.0931464270913533E-3</v>
      </c>
      <c r="EO12" s="31">
        <f>IF(OR(IPC!EO12="",IPC!EC12=""),"",AVERAGE(IPC!ED12:EO12)/AVERAGE(IPC!DR12:EC12)-1)</f>
        <v>3.4474296388846692E-3</v>
      </c>
      <c r="EP12" s="31">
        <f>IF(OR(IPC!EP12="",IPC!ED12=""),"",AVERAGE(IPC!EE12:EP12)/AVERAGE(IPC!DS12:ED12)-1)</f>
        <v>3.8489285053076028E-3</v>
      </c>
      <c r="EQ12" s="31">
        <f>IF(OR(IPC!EQ12="",IPC!EE12=""),"",AVERAGE(IPC!EF12:EQ12)/AVERAGE(IPC!DT12:EE12)-1)</f>
        <v>4.2547502334819853E-3</v>
      </c>
      <c r="ER12" s="31">
        <f>IF(OR(IPC!ER12="",IPC!EF12=""),"",AVERAGE(IPC!EG12:ER12)/AVERAGE(IPC!DU12:EF12)-1)</f>
        <v>4.7258454890841683E-3</v>
      </c>
      <c r="ES12" s="31">
        <f>IF(OR(IPC!ES12="",IPC!EG12=""),"",AVERAGE(IPC!EH12:ES12)/AVERAGE(IPC!DV12:EG12)-1)</f>
        <v>5.370787390195586E-3</v>
      </c>
      <c r="ET12" s="31">
        <f>IF(OR(IPC!ET12="",IPC!EH12=""),"",AVERAGE(IPC!EI12:ET12)/AVERAGE(IPC!DW12:EH12)-1)</f>
        <v>5.8574619430524777E-3</v>
      </c>
      <c r="EU12" s="31">
        <f>IF(OR(IPC!EU12="",IPC!EI12=""),"",AVERAGE(IPC!EJ12:EU12)/AVERAGE(IPC!DX12:EI12)-1)</f>
        <v>6.2129069439762485E-3</v>
      </c>
      <c r="EV12" s="31">
        <f>IF(OR(IPC!EV12="",IPC!EJ12=""),"",AVERAGE(IPC!EK12:EV12)/AVERAGE(IPC!DY12:EJ12)-1)</f>
        <v>6.7023526846337056E-3</v>
      </c>
      <c r="EW12" s="31">
        <f>IF(OR(IPC!EW12="",IPC!EK12=""),"",AVERAGE(IPC!EL12:EW12)/AVERAGE(IPC!DZ12:EK12)-1)</f>
        <v>6.9889941575891346E-3</v>
      </c>
      <c r="EX12" s="31">
        <f>IF(OR(IPC!EX12="",IPC!EL12=""),"",AVERAGE(IPC!EM12:EX12)/AVERAGE(IPC!EA12:EL12)-1)</f>
        <v>7.3020991033767579E-3</v>
      </c>
      <c r="EY12" s="31">
        <f>IF(OR(IPC!EY12="",IPC!EM12=""),"",AVERAGE(IPC!EN12:EY12)/AVERAGE(IPC!EB12:EM12)-1)</f>
        <v>7.6573615396386963E-3</v>
      </c>
      <c r="EZ12" s="31">
        <f>IF(OR(IPC!EZ12="",IPC!EN12=""),"",AVERAGE(IPC!EO12:EZ12)/AVERAGE(IPC!EC12:EN12)-1)</f>
        <v>7.9922996780312783E-3</v>
      </c>
      <c r="FA12" s="31">
        <f>IF(OR(IPC!FA12="",IPC!EO12=""),"",AVERAGE(IPC!EP12:FA12)/AVERAGE(IPC!ED12:EO12)-1)</f>
        <v>8.2605621558407005E-3</v>
      </c>
      <c r="FB12" s="31">
        <f>IF(OR(IPC!FB12="",IPC!EP12=""),"",AVERAGE(IPC!EQ12:FB12)/AVERAGE(IPC!EE12:EP12)-1)</f>
        <v>8.3878586616150663E-3</v>
      </c>
      <c r="FC12" s="31">
        <f>IF(OR(IPC!FC12="",IPC!EQ12=""),"",AVERAGE(IPC!ER12:FC12)/AVERAGE(IPC!EF12:EQ12)-1)</f>
        <v>8.493662874221819E-3</v>
      </c>
      <c r="FD12" s="31">
        <f>IF(OR(IPC!FD12="",IPC!ER12=""),"",AVERAGE(IPC!ES12:FD12)/AVERAGE(IPC!EG12:ER12)-1)</f>
        <v>8.3877170396247092E-3</v>
      </c>
      <c r="FE12" s="31">
        <f>IF(OR(IPC!FE12="",IPC!ES12=""),"",AVERAGE(IPC!ET12:FE12)/AVERAGE(IPC!EH12:ES12)-1)</f>
        <v>8.0828573694970984E-3</v>
      </c>
      <c r="FF12" s="31">
        <f>IF(OR(IPC!FF12="",IPC!ET12=""),"",AVERAGE(IPC!EU12:FF12)/AVERAGE(IPC!EI12:ET12)-1)</f>
        <v>7.934940145408298E-3</v>
      </c>
      <c r="FG12" s="31">
        <f>IF(OR(IPC!FG12="",IPC!EU12=""),"",AVERAGE(IPC!EV12:FG12)/AVERAGE(IPC!EJ12:EU12)-1)</f>
        <v>7.7132240658477347E-3</v>
      </c>
      <c r="FH12" s="31">
        <f>IF(OR(IPC!FH12="",IPC!EV12=""),"",AVERAGE(IPC!EW12:FH12)/AVERAGE(IPC!EK12:EV12)-1)</f>
        <v>7.4054494066968513E-3</v>
      </c>
      <c r="FI12" s="31">
        <f>IF(OR(IPC!FI12="",IPC!EW12=""),"",AVERAGE(IPC!EX12:FI12)/AVERAGE(IPC!EL12:EW12)-1)</f>
        <v>7.2633391303282835E-3</v>
      </c>
      <c r="FJ12" s="31">
        <f>IF(OR(IPC!FJ12="",IPC!EX12=""),"",AVERAGE(IPC!EY12:FJ12)/AVERAGE(IPC!EM12:EX12)-1)</f>
        <v>7.0936631341997902E-3</v>
      </c>
      <c r="FK12" s="31">
        <f>IF(OR(IPC!FK12="",IPC!EY12=""),"",AVERAGE(IPC!EZ12:FK12)/AVERAGE(IPC!EN12:EY12)-1)</f>
        <v>6.8087821480571353E-3</v>
      </c>
      <c r="FL12" s="31">
        <f>IF(OR(IPC!FL12="",IPC!EZ12=""),"",AVERAGE(IPC!FA12:FL12)/AVERAGE(IPC!EO12:EZ12)-1)</f>
        <v>6.5980794124769204E-3</v>
      </c>
      <c r="FM12" s="31">
        <f>IF(OR(IPC!FM12="",IPC!FA12=""),"",AVERAGE(IPC!FB12:FM12)/AVERAGE(IPC!EP12:FA12)-1)</f>
        <v>6.4386991442233477E-3</v>
      </c>
      <c r="FN12" s="31">
        <f>IF(OR(IPC!FN12="",IPC!FB12=""),"",AVERAGE(IPC!FC12:FN12)/AVERAGE(IPC!EQ12:FB12)-1)</f>
        <v>6.3739635775064141E-3</v>
      </c>
      <c r="FO12" s="31">
        <f>IF(OR(IPC!FO12="",IPC!FC12=""),"",AVERAGE(IPC!FD12:FO12)/AVERAGE(IPC!ER12:FC12)-1)</f>
        <v>6.3719974048137562E-3</v>
      </c>
      <c r="FP12" s="31">
        <f>IF(OR(IPC!FP12="",IPC!FD12=""),"",AVERAGE(IPC!FE12:FP12)/AVERAGE(IPC!ES12:FD12)-1)</f>
        <v>6.4214434066036663E-3</v>
      </c>
      <c r="FQ12" s="31">
        <f>IF(OR(IPC!FQ12="",IPC!FE12=""),"",AVERAGE(IPC!FF12:FQ12)/AVERAGE(IPC!ET12:FE12)-1)</f>
        <v>6.5180013323149488E-3</v>
      </c>
      <c r="FR12" s="31">
        <f>IF(OR(IPC!FR12="",IPC!FF12=""),"",AVERAGE(IPC!FG12:FR12)/AVERAGE(IPC!EU12:FF12)-1)</f>
        <v>6.3437311927039275E-3</v>
      </c>
    </row>
    <row r="13" spans="1:174" s="1" customFormat="1" ht="10.199999999999999" x14ac:dyDescent="0.2">
      <c r="A13" s="11" t="s">
        <v>21</v>
      </c>
      <c r="B13" s="1" t="s">
        <v>22</v>
      </c>
      <c r="C13" s="5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>
        <f>IF(OR(IPC!AN13="",IPC!AB13=""),"",AVERAGE(IPC!AC13:AN13)/AVERAGE(IPC!Q13:AB13)-1)</f>
        <v>1.7964558232456351E-2</v>
      </c>
      <c r="AO13" s="31">
        <f>IF(OR(IPC!AO13="",IPC!AC13=""),"",AVERAGE(IPC!AD13:AO13)/AVERAGE(IPC!R13:AC13)-1)</f>
        <v>1.6221163405345074E-2</v>
      </c>
      <c r="AP13" s="31">
        <f>IF(OR(IPC!AP13="",IPC!AD13=""),"",AVERAGE(IPC!AE13:AP13)/AVERAGE(IPC!S13:AD13)-1)</f>
        <v>1.4602584011698783E-2</v>
      </c>
      <c r="AQ13" s="31">
        <f>IF(OR(IPC!AQ13="",IPC!AE13=""),"",AVERAGE(IPC!AF13:AQ13)/AVERAGE(IPC!T13:AE13)-1)</f>
        <v>1.2616872618430364E-2</v>
      </c>
      <c r="AR13" s="31">
        <f>IF(OR(IPC!AR13="",IPC!AF13=""),"",AVERAGE(IPC!AG13:AR13)/AVERAGE(IPC!U13:AF13)-1)</f>
        <v>1.1555104028376117E-2</v>
      </c>
      <c r="AS13" s="31">
        <f>IF(OR(IPC!AS13="",IPC!AG13=""),"",AVERAGE(IPC!AH13:AS13)/AVERAGE(IPC!V13:AG13)-1)</f>
        <v>1.0447613717033066E-2</v>
      </c>
      <c r="AT13" s="31">
        <f>IF(OR(IPC!AT13="",IPC!AH13=""),"",AVERAGE(IPC!AI13:AT13)/AVERAGE(IPC!W13:AH13)-1)</f>
        <v>2.1605870131427896E-2</v>
      </c>
      <c r="AU13" s="31">
        <f>IF(OR(IPC!AU13="",IPC!AI13=""),"",AVERAGE(IPC!AJ13:AU13)/AVERAGE(IPC!X13:AI13)-1)</f>
        <v>3.2308847928420592E-2</v>
      </c>
      <c r="AV13" s="31">
        <f>IF(OR(IPC!AV13="",IPC!AJ13=""),"",AVERAGE(IPC!AK13:AV13)/AVERAGE(IPC!Y13:AJ13)-1)</f>
        <v>4.3871384778829015E-2</v>
      </c>
      <c r="AW13" s="31">
        <f>IF(OR(IPC!AW13="",IPC!AK13=""),"",AVERAGE(IPC!AL13:AW13)/AVERAGE(IPC!Z13:AK13)-1)</f>
        <v>5.4196269520489171E-2</v>
      </c>
      <c r="AX13" s="31">
        <f>IF(OR(IPC!AX13="",IPC!AL13=""),"",AVERAGE(IPC!AM13:AX13)/AVERAGE(IPC!AA13:AL13)-1)</f>
        <v>6.6097254008508965E-2</v>
      </c>
      <c r="AY13" s="31">
        <f>IF(OR(IPC!AY13="",IPC!AM13=""),"",AVERAGE(IPC!AN13:AY13)/AVERAGE(IPC!AB13:AM13)-1)</f>
        <v>7.7159678684415756E-2</v>
      </c>
      <c r="AZ13" s="31">
        <f>IF(OR(IPC!AZ13="",IPC!AN13=""),"",AVERAGE(IPC!AO13:AZ13)/AVERAGE(IPC!AC13:AN13)-1)</f>
        <v>8.7627737369835312E-2</v>
      </c>
      <c r="BA13" s="31">
        <f>IF(OR(IPC!BA13="",IPC!AO13=""),"",AVERAGE(IPC!AP13:BA13)/AVERAGE(IPC!AD13:AO13)-1)</f>
        <v>9.879401338517968E-2</v>
      </c>
      <c r="BB13" s="31">
        <f>IF(OR(IPC!BB13="",IPC!AP13=""),"",AVERAGE(IPC!AQ13:BB13)/AVERAGE(IPC!AE13:AP13)-1)</f>
        <v>0.1104524610434614</v>
      </c>
      <c r="BC13" s="31">
        <f>IF(OR(IPC!BC13="",IPC!AQ13=""),"",AVERAGE(IPC!AR13:BC13)/AVERAGE(IPC!AF13:AQ13)-1)</f>
        <v>0.12255098421290733</v>
      </c>
      <c r="BD13" s="31">
        <f>IF(OR(IPC!BD13="",IPC!AR13=""),"",AVERAGE(IPC!AS13:BD13)/AVERAGE(IPC!AG13:AR13)-1)</f>
        <v>0.13406554015390681</v>
      </c>
      <c r="BE13" s="31">
        <f>IF(OR(IPC!BE13="",IPC!AS13=""),"",AVERAGE(IPC!AT13:BE13)/AVERAGE(IPC!AH13:AS13)-1)</f>
        <v>0.14534563105167386</v>
      </c>
      <c r="BF13" s="31">
        <f>IF(OR(IPC!BF13="",IPC!AT13=""),"",AVERAGE(IPC!AU13:BF13)/AVERAGE(IPC!AI13:AT13)-1)</f>
        <v>0.13348024494056676</v>
      </c>
      <c r="BG13" s="31">
        <f>IF(OR(IPC!BG13="",IPC!AU13=""),"",AVERAGE(IPC!AV13:BG13)/AVERAGE(IPC!AJ13:AU13)-1)</f>
        <v>0.12222328071383903</v>
      </c>
      <c r="BH13" s="31">
        <f>IF(OR(IPC!BH13="",IPC!AV13=""),"",AVERAGE(IPC!AW13:BH13)/AVERAGE(IPC!AK13:AV13)-1)</f>
        <v>0.1100515610293038</v>
      </c>
      <c r="BI13" s="31">
        <f>IF(OR(IPC!BI13="",IPC!AW13=""),"",AVERAGE(IPC!AX13:BI13)/AVERAGE(IPC!AL13:AW13)-1)</f>
        <v>9.9019173559908635E-2</v>
      </c>
      <c r="BJ13" s="31">
        <f>IF(OR(IPC!BJ13="",IPC!AX13=""),"",AVERAGE(IPC!AY13:BJ13)/AVERAGE(IPC!AM13:AX13)-1)</f>
        <v>8.6667823986077641E-2</v>
      </c>
      <c r="BK13" s="31">
        <f>IF(OR(IPC!BK13="",IPC!AY13=""),"",AVERAGE(IPC!AZ13:BK13)/AVERAGE(IPC!AN13:AY13)-1)</f>
        <v>7.5200889420316441E-2</v>
      </c>
      <c r="BL13" s="31">
        <f>IF(OR(IPC!BL13="",IPC!AZ13=""),"",AVERAGE(IPC!BA13:BL13)/AVERAGE(IPC!AO13:AZ13)-1)</f>
        <v>6.300369521287319E-2</v>
      </c>
      <c r="BM13" s="31">
        <f>IF(OR(IPC!BM13="",IPC!BA13=""),"",AVERAGE(IPC!BB13:BM13)/AVERAGE(IPC!AP13:BA13)-1)</f>
        <v>5.0469724751754264E-2</v>
      </c>
      <c r="BN13" s="31">
        <f>IF(OR(IPC!BN13="",IPC!BB13=""),"",AVERAGE(IPC!BC13:BN13)/AVERAGE(IPC!AQ13:BB13)-1)</f>
        <v>3.8063362910540466E-2</v>
      </c>
      <c r="BO13" s="31">
        <f>IF(OR(IPC!BO13="",IPC!BC13=""),"",AVERAGE(IPC!BD13:BO13)/AVERAGE(IPC!AR13:BC13)-1)</f>
        <v>2.5848951950078414E-2</v>
      </c>
      <c r="BP13" s="31">
        <f>IF(OR(IPC!BP13="",IPC!BD13=""),"",AVERAGE(IPC!BE13:BP13)/AVERAGE(IPC!AS13:BD13)-1)</f>
        <v>1.3767503808521209E-2</v>
      </c>
      <c r="BQ13" s="31">
        <f>IF(OR(IPC!BQ13="",IPC!BE13=""),"",AVERAGE(IPC!BF13:BQ13)/AVERAGE(IPC!AT13:BE13)-1)</f>
        <v>2.0826113584075934E-3</v>
      </c>
      <c r="BR13" s="31">
        <f>IF(OR(IPC!BR13="",IPC!BF13=""),"",AVERAGE(IPC!BG13:BR13)/AVERAGE(IPC!AU13:BF13)-1)</f>
        <v>3.8237713924083039E-4</v>
      </c>
      <c r="BS13" s="31">
        <f>IF(OR(IPC!BS13="",IPC!BG13=""),"",AVERAGE(IPC!BH13:BS13)/AVERAGE(IPC!AV13:BG13)-1)</f>
        <v>-1.4565592596238464E-3</v>
      </c>
      <c r="BT13" s="31">
        <f>IF(OR(IPC!BT13="",IPC!BH13=""),"",AVERAGE(IPC!BI13:BT13)/AVERAGE(IPC!AW13:BH13)-1)</f>
        <v>-3.4500547474741738E-3</v>
      </c>
      <c r="BU13" s="31">
        <f>IF(OR(IPC!BU13="",IPC!BI13=""),"",AVERAGE(IPC!BJ13:BU13)/AVERAGE(IPC!AX13:BI13)-1)</f>
        <v>-4.9757215844323799E-3</v>
      </c>
      <c r="BV13" s="31">
        <f>IF(OR(IPC!BV13="",IPC!BJ13=""),"",AVERAGE(IPC!BK13:BV13)/AVERAGE(IPC!AY13:BJ13)-1)</f>
        <v>-6.0666216593276978E-3</v>
      </c>
      <c r="BW13" s="31">
        <f>IF(OR(IPC!BW13="",IPC!BK13=""),"",AVERAGE(IPC!BL13:BW13)/AVERAGE(IPC!AZ13:BK13)-1)</f>
        <v>-7.0531398997158989E-3</v>
      </c>
      <c r="BX13" s="31">
        <f>IF(OR(IPC!BX13="",IPC!BL13=""),"",AVERAGE(IPC!BM13:BX13)/AVERAGE(IPC!BA13:BL13)-1)</f>
        <v>-5.906532701783318E-3</v>
      </c>
      <c r="BY13" s="31">
        <f>IF(OR(IPC!BY13="",IPC!BM13=""),"",AVERAGE(IPC!BN13:BY13)/AVERAGE(IPC!BB13:BM13)-1)</f>
        <v>-4.2927001852457458E-3</v>
      </c>
      <c r="BZ13" s="31">
        <f>IF(OR(IPC!BZ13="",IPC!BN13=""),"",AVERAGE(IPC!BO13:BZ13)/AVERAGE(IPC!BC13:BN13)-1)</f>
        <v>-3.2262545400687515E-3</v>
      </c>
      <c r="CA13" s="31">
        <f>IF(OR(IPC!CA13="",IPC!BO13=""),"",AVERAGE(IPC!BP13:CA13)/AVERAGE(IPC!BD13:BO13)-1)</f>
        <v>-1.7240118083194922E-3</v>
      </c>
      <c r="CB13" s="31">
        <f>IF(OR(IPC!CB13="",IPC!BP13=""),"",AVERAGE(IPC!BQ13:CB13)/AVERAGE(IPC!BE13:BP13)-1)</f>
        <v>-3.0712963940737747E-4</v>
      </c>
      <c r="CC13" s="31">
        <f>IF(OR(IPC!CC13="",IPC!BQ13=""),"",AVERAGE(IPC!BR13:CC13)/AVERAGE(IPC!BF13:BQ13)-1)</f>
        <v>1.0285468099064943E-3</v>
      </c>
      <c r="CD13" s="31">
        <f>IF(OR(IPC!CD13="",IPC!BR13=""),"",AVERAGE(IPC!BS13:CD13)/AVERAGE(IPC!BG13:BR13)-1)</f>
        <v>2.2098302423516625E-3</v>
      </c>
      <c r="CE13" s="31">
        <f>IF(OR(IPC!CE13="",IPC!BS13=""),"",AVERAGE(IPC!BT13:CE13)/AVERAGE(IPC!BH13:BS13)-1)</f>
        <v>3.172580922107926E-3</v>
      </c>
      <c r="CF13" s="31">
        <f>IF(OR(IPC!CF13="",IPC!BT13=""),"",AVERAGE(IPC!BU13:CF13)/AVERAGE(IPC!BI13:BT13)-1)</f>
        <v>4.9432482883173812E-3</v>
      </c>
      <c r="CG13" s="31">
        <f>IF(OR(IPC!CG13="",IPC!BU13=""),"",AVERAGE(IPC!BV13:CG13)/AVERAGE(IPC!BJ13:BU13)-1)</f>
        <v>5.9209437655407537E-3</v>
      </c>
      <c r="CH13" s="31">
        <f>IF(OR(IPC!CH13="",IPC!BV13=""),"",AVERAGE(IPC!BW13:CH13)/AVERAGE(IPC!BK13:BV13)-1)</f>
        <v>6.9011223468455896E-3</v>
      </c>
      <c r="CI13" s="31">
        <f>IF(OR(IPC!CI13="",IPC!BW13=""),"",AVERAGE(IPC!BX13:CI13)/AVERAGE(IPC!BL13:BW13)-1)</f>
        <v>7.8522861451704173E-3</v>
      </c>
      <c r="CJ13" s="31">
        <f>IF(OR(IPC!CJ13="",IPC!BX13=""),"",AVERAGE(IPC!BY13:CJ13)/AVERAGE(IPC!BM13:BX13)-1)</f>
        <v>7.1099645164498515E-3</v>
      </c>
      <c r="CK13" s="31">
        <f>IF(OR(IPC!CK13="",IPC!BY13=""),"",AVERAGE(IPC!BZ13:CK13)/AVERAGE(IPC!BN13:BY13)-1)</f>
        <v>6.2791820762551076E-3</v>
      </c>
      <c r="CL13" s="31">
        <f>IF(OR(IPC!CL13="",IPC!BZ13=""),"",AVERAGE(IPC!CA13:CL13)/AVERAGE(IPC!BO13:BZ13)-1)</f>
        <v>5.464724520112707E-3</v>
      </c>
      <c r="CM13" s="31">
        <f>IF(OR(IPC!CM13="",IPC!CA13=""),"",AVERAGE(IPC!CB13:CM13)/AVERAGE(IPC!BP13:CA13)-1)</f>
        <v>4.3405650334586987E-3</v>
      </c>
      <c r="CN13" s="31">
        <f>IF(OR(IPC!CN13="",IPC!CB13=""),"",AVERAGE(IPC!CC13:CN13)/AVERAGE(IPC!BQ13:CB13)-1)</f>
        <v>3.5788167806631854E-3</v>
      </c>
      <c r="CO13" s="31">
        <f>IF(OR(IPC!CO13="",IPC!CC13=""),"",AVERAGE(IPC!CD13:CO13)/AVERAGE(IPC!BR13:CC13)-1)</f>
        <v>2.9895697613946393E-3</v>
      </c>
      <c r="CP13" s="31">
        <f>IF(OR(IPC!CP13="",IPC!CD13=""),"",AVERAGE(IPC!CE13:CP13)/AVERAGE(IPC!BS13:CD13)-1)</f>
        <v>3.1705029994246736E-3</v>
      </c>
      <c r="CQ13" s="31">
        <f>IF(OR(IPC!CQ13="",IPC!CE13=""),"",AVERAGE(IPC!CF13:CQ13)/AVERAGE(IPC!BT13:CE13)-1)</f>
        <v>3.6030800891839743E-3</v>
      </c>
      <c r="CR13" s="31">
        <f>IF(OR(IPC!CR13="",IPC!CF13=""),"",AVERAGE(IPC!CG13:CR13)/AVERAGE(IPC!BU13:CF13)-1)</f>
        <v>3.8395149578642762E-3</v>
      </c>
      <c r="CS13" s="31">
        <f>IF(OR(IPC!CS13="",IPC!CG13=""),"",AVERAGE(IPC!CH13:CS13)/AVERAGE(IPC!BV13:CG13)-1)</f>
        <v>4.7891609955073022E-3</v>
      </c>
      <c r="CT13" s="31">
        <f>IF(OR(IPC!CT13="",IPC!CH13=""),"",AVERAGE(IPC!CI13:CT13)/AVERAGE(IPC!BW13:CH13)-1)</f>
        <v>5.8068368724026875E-3</v>
      </c>
      <c r="CU13" s="31">
        <f>IF(OR(IPC!CU13="",IPC!CI13=""),"",AVERAGE(IPC!CJ13:CU13)/AVERAGE(IPC!BX13:CI13)-1)</f>
        <v>6.8619007282035849E-3</v>
      </c>
      <c r="CV13" s="31">
        <f>IF(OR(IPC!CV13="",IPC!CJ13=""),"",AVERAGE(IPC!CK13:CV13)/AVERAGE(IPC!BY13:CJ13)-1)</f>
        <v>8.6355880234927351E-3</v>
      </c>
      <c r="CW13" s="31">
        <f>IF(OR(IPC!CW13="",IPC!CK13=""),"",AVERAGE(IPC!CL13:CW13)/AVERAGE(IPC!BZ13:CK13)-1)</f>
        <v>1.0287013258968525E-2</v>
      </c>
      <c r="CX13" s="31">
        <f>IF(OR(IPC!CX13="",IPC!CL13=""),"",AVERAGE(IPC!CM13:CX13)/AVERAGE(IPC!CA13:CL13)-1)</f>
        <v>1.2322144119643275E-2</v>
      </c>
      <c r="CY13" s="31">
        <f>IF(OR(IPC!CY13="",IPC!CM13=""),"",AVERAGE(IPC!CN13:CY13)/AVERAGE(IPC!CB13:CM13)-1)</f>
        <v>1.4589124057396985E-2</v>
      </c>
      <c r="CZ13" s="31">
        <f>IF(OR(IPC!CZ13="",IPC!CN13=""),"",AVERAGE(IPC!CO13:CZ13)/AVERAGE(IPC!CC13:CN13)-1)</f>
        <v>1.6767406137161656E-2</v>
      </c>
      <c r="DA13" s="31">
        <f>IF(OR(IPC!DA13="",IPC!CO13=""),"",AVERAGE(IPC!CP13:DA13)/AVERAGE(IPC!CD13:CO13)-1)</f>
        <v>1.8716905978167997E-2</v>
      </c>
      <c r="DB13" s="31">
        <f>IF(OR(IPC!DB13="",IPC!CP13=""),"",AVERAGE(IPC!CQ13:DB13)/AVERAGE(IPC!CE13:CP13)-1)</f>
        <v>1.9265866381611207E-2</v>
      </c>
      <c r="DC13" s="31">
        <f>IF(OR(IPC!DC13="",IPC!CQ13=""),"",AVERAGE(IPC!CR13:DC13)/AVERAGE(IPC!CF13:CQ13)-1)</f>
        <v>1.9701969089035432E-2</v>
      </c>
      <c r="DD13" s="31">
        <f>IF(OR(IPC!DD13="",IPC!CR13=""),"",AVERAGE(IPC!CS13:DD13)/AVERAGE(IPC!CG13:CR13)-1)</f>
        <v>2.004500025118805E-2</v>
      </c>
      <c r="DE13" s="31">
        <f>IF(OR(IPC!DE13="",IPC!CS13=""),"",AVERAGE(IPC!CT13:DE13)/AVERAGE(IPC!CH13:CS13)-1)</f>
        <v>1.9884906506710376E-2</v>
      </c>
      <c r="DF13" s="31">
        <f>IF(OR(IPC!DF13="",IPC!CT13=""),"",AVERAGE(IPC!CU13:DF13)/AVERAGE(IPC!CI13:CT13)-1)</f>
        <v>1.9665435072122373E-2</v>
      </c>
      <c r="DG13" s="31">
        <f>IF(OR(IPC!DG13="",IPC!CU13=""),"",AVERAGE(IPC!CV13:DG13)/AVERAGE(IPC!CJ13:CU13)-1)</f>
        <v>1.931748797019428E-2</v>
      </c>
      <c r="DH13" s="31">
        <f>IF(OR(IPC!DH13="",IPC!CV13=""),"",AVERAGE(IPC!CW13:DH13)/AVERAGE(IPC!CK13:CV13)-1)</f>
        <v>1.8420430072952687E-2</v>
      </c>
      <c r="DI13" s="31">
        <f>IF(OR(IPC!DI13="",IPC!CW13=""),"",AVERAGE(IPC!CX13:DI13)/AVERAGE(IPC!CL13:CW13)-1)</f>
        <v>1.7848340824740738E-2</v>
      </c>
      <c r="DJ13" s="31">
        <f>IF(OR(IPC!DJ13="",IPC!CX13=""),"",AVERAGE(IPC!CY13:DJ13)/AVERAGE(IPC!CM13:CX13)-1)</f>
        <v>1.7783305403413774E-2</v>
      </c>
      <c r="DK13" s="31">
        <f>IF(OR(IPC!DK13="",IPC!CY13=""),"",AVERAGE(IPC!CZ13:DK13)/AVERAGE(IPC!CN13:CY13)-1)</f>
        <v>2.0528589312054146E-2</v>
      </c>
      <c r="DL13" s="31">
        <f>IF(OR(IPC!DL13="",IPC!CZ13=""),"",AVERAGE(IPC!DA13:DL13)/AVERAGE(IPC!CO13:CZ13)-1)</f>
        <v>1.989744057751075E-2</v>
      </c>
      <c r="DM13" s="31">
        <f>IF(OR(IPC!DM13="",IPC!DA13=""),"",AVERAGE(IPC!DB13:DM13)/AVERAGE(IPC!CP13:DA13)-1)</f>
        <v>1.9341504073788318E-2</v>
      </c>
      <c r="DN13" s="31">
        <f>IF(OR(IPC!DN13="",IPC!DB13=""),"",AVERAGE(IPC!DC13:DN13)/AVERAGE(IPC!CQ13:DB13)-1)</f>
        <v>1.9278417636165113E-2</v>
      </c>
      <c r="DO13" s="31">
        <f>IF(OR(IPC!DO13="",IPC!DC13=""),"",AVERAGE(IPC!DD13:DO13)/AVERAGE(IPC!CR13:DC13)-1)</f>
        <v>1.9251958290362969E-2</v>
      </c>
      <c r="DP13" s="31">
        <f>IF(OR(IPC!DP13="",IPC!DD13=""),"",AVERAGE(IPC!DE13:DP13)/AVERAGE(IPC!CS13:DD13)-1)</f>
        <v>1.9332660881471231E-2</v>
      </c>
      <c r="DQ13" s="31">
        <f>IF(OR(IPC!DQ13="",IPC!DE13=""),"",AVERAGE(IPC!DF13:DQ13)/AVERAGE(IPC!CT13:DE13)-1)</f>
        <v>1.966610596160101E-2</v>
      </c>
      <c r="DR13" s="31">
        <f>IF(OR(IPC!DR13="",IPC!DF13=""),"",AVERAGE(IPC!DG13:DR13)/AVERAGE(IPC!CU13:DF13)-1)</f>
        <v>2.0074518140849928E-2</v>
      </c>
      <c r="DS13" s="31">
        <f>IF(OR(IPC!DS13="",IPC!DG13=""),"",AVERAGE(IPC!DH13:DS13)/AVERAGE(IPC!CV13:DG13)-1)</f>
        <v>2.0249192433766661E-2</v>
      </c>
      <c r="DT13" s="31">
        <f>IF(OR(IPC!DT13="",IPC!DH13=""),"",AVERAGE(IPC!DI13:DT13)/AVERAGE(IPC!CW13:DH13)-1)</f>
        <v>2.0854771061143751E-2</v>
      </c>
      <c r="DU13" s="31">
        <f>IF(OR(IPC!DU13="",IPC!DI13=""),"",AVERAGE(IPC!DJ13:DU13)/AVERAGE(IPC!CX13:DI13)-1)</f>
        <v>2.0882112339224435E-2</v>
      </c>
      <c r="DV13" s="31">
        <f>IF(OR(IPC!DV13="",IPC!DJ13=""),"",AVERAGE(IPC!DK13:DV13)/AVERAGE(IPC!CY13:DJ13)-1)</f>
        <v>1.9713256072243279E-2</v>
      </c>
      <c r="DW13" s="31">
        <f>IF(OR(IPC!DW13="",IPC!DK13=""),"",AVERAGE(IPC!DL13:DW13)/AVERAGE(IPC!CZ13:DK13)-1)</f>
        <v>1.2272040272507168E-2</v>
      </c>
      <c r="DX13" s="31">
        <f>IF(OR(IPC!DX13="",IPC!DL13=""),"",AVERAGE(IPC!DM13:DX13)/AVERAGE(IPC!DA13:DL13)-1)</f>
        <v>1.1419344157153954E-2</v>
      </c>
      <c r="DY13" s="31">
        <f>IF(OR(IPC!DY13="",IPC!DM13=""),"",AVERAGE(IPC!DN13:DY13)/AVERAGE(IPC!DB13:DM13)-1)</f>
        <v>1.0711315619994499E-2</v>
      </c>
      <c r="DZ13" s="31">
        <f>IF(OR(IPC!DZ13="",IPC!DN13=""),"",AVERAGE(IPC!DO13:DZ13)/AVERAGE(IPC!DC13:DN13)-1)</f>
        <v>1.0418017944346047E-2</v>
      </c>
      <c r="EA13" s="31">
        <f>IF(OR(IPC!EA13="",IPC!DO13=""),"",AVERAGE(IPC!DP13:EA13)/AVERAGE(IPC!DD13:DO13)-1)</f>
        <v>1.0147747356212156E-2</v>
      </c>
      <c r="EB13" s="31">
        <f>IF(OR(IPC!EB13="",IPC!DP13=""),"",AVERAGE(IPC!DQ13:EB13)/AVERAGE(IPC!DE13:DP13)-1)</f>
        <v>9.6430877191464592E-3</v>
      </c>
      <c r="EC13" s="31">
        <f>IF(OR(IPC!EC13="",IPC!DQ13=""),"",AVERAGE(IPC!DR13:EC13)/AVERAGE(IPC!DF13:DQ13)-1)</f>
        <v>8.9603418554444758E-3</v>
      </c>
      <c r="ED13" s="31">
        <f>IF(OR(IPC!ED13="",IPC!DR13=""),"",AVERAGE(IPC!DS13:ED13)/AVERAGE(IPC!DG13:DR13)-1)</f>
        <v>8.2606714043846896E-3</v>
      </c>
      <c r="EE13" s="31">
        <f>IF(OR(IPC!EE13="",IPC!DS13=""),"",AVERAGE(IPC!DT13:EE13)/AVERAGE(IPC!DH13:DS13)-1)</f>
        <v>8.1419766769925683E-3</v>
      </c>
      <c r="EF13" s="31">
        <f>IF(OR(IPC!EF13="",IPC!DT13=""),"",AVERAGE(IPC!DU13:EF13)/AVERAGE(IPC!DI13:DT13)-1)</f>
        <v>8.1714074911418688E-3</v>
      </c>
      <c r="EG13" s="31">
        <f>IF(OR(IPC!EG13="",IPC!DU13=""),"",AVERAGE(IPC!DV13:EG13)/AVERAGE(IPC!DJ13:DU13)-1)</f>
        <v>8.6512049607831987E-3</v>
      </c>
      <c r="EH13" s="31">
        <f>IF(OR(IPC!EH13="",IPC!DV13=""),"",AVERAGE(IPC!DW13:EH13)/AVERAGE(IPC!DK13:DV13)-1)</f>
        <v>9.8346018283741454E-3</v>
      </c>
      <c r="EI13" s="31">
        <f>IF(OR(IPC!EI13="",IPC!DW13=""),"",AVERAGE(IPC!DX13:EI13)/AVERAGE(IPC!DL13:DW13)-1)</f>
        <v>1.4416831962413834E-2</v>
      </c>
      <c r="EJ13" s="31">
        <f>IF(OR(IPC!EJ13="",IPC!DX13=""),"",AVERAGE(IPC!DY13:EJ13)/AVERAGE(IPC!DM13:DX13)-1)</f>
        <v>1.5853615278602184E-2</v>
      </c>
      <c r="EK13" s="31">
        <f>IF(OR(IPC!EK13="",IPC!DY13=""),"",AVERAGE(IPC!DZ13:EK13)/AVERAGE(IPC!DN13:DY13)-1)</f>
        <v>1.7877802291220712E-2</v>
      </c>
      <c r="EL13" s="31">
        <f>IF(OR(IPC!EL13="",IPC!DZ13=""),"",AVERAGE(IPC!EA13:EL13)/AVERAGE(IPC!DO13:DZ13)-1)</f>
        <v>1.9224404107918147E-2</v>
      </c>
      <c r="EM13" s="31">
        <f>IF(OR(IPC!EM13="",IPC!EA13=""),"",AVERAGE(IPC!EB13:EM13)/AVERAGE(IPC!DP13:EA13)-1)</f>
        <v>2.0861792508797494E-2</v>
      </c>
      <c r="EN13" s="31">
        <f>IF(OR(IPC!EN13="",IPC!EB13=""),"",AVERAGE(IPC!EC13:EN13)/AVERAGE(IPC!DQ13:EB13)-1)</f>
        <v>2.2636694454652329E-2</v>
      </c>
      <c r="EO13" s="31">
        <f>IF(OR(IPC!EO13="",IPC!EC13=""),"",AVERAGE(IPC!ED13:EO13)/AVERAGE(IPC!DR13:EC13)-1)</f>
        <v>2.4349970096094298E-2</v>
      </c>
      <c r="EP13" s="31">
        <f>IF(OR(IPC!EP13="",IPC!ED13=""),"",AVERAGE(IPC!EE13:EP13)/AVERAGE(IPC!DS13:ED13)-1)</f>
        <v>2.5939132625911521E-2</v>
      </c>
      <c r="EQ13" s="31">
        <f>IF(OR(IPC!EQ13="",IPC!EE13=""),"",AVERAGE(IPC!EF13:EQ13)/AVERAGE(IPC!DT13:EE13)-1)</f>
        <v>2.6820627424683829E-2</v>
      </c>
      <c r="ER13" s="31">
        <f>IF(OR(IPC!ER13="",IPC!EF13=""),"",AVERAGE(IPC!EG13:ER13)/AVERAGE(IPC!DU13:EF13)-1)</f>
        <v>2.7353165962327619E-2</v>
      </c>
      <c r="ES13" s="31">
        <f>IF(OR(IPC!ES13="",IPC!EG13=""),"",AVERAGE(IPC!EH13:ES13)/AVERAGE(IPC!DV13:EG13)-1)</f>
        <v>3.4961455376809392E-2</v>
      </c>
      <c r="ET13" s="31">
        <f>IF(OR(IPC!ET13="",IPC!EH13=""),"",AVERAGE(IPC!EI13:ET13)/AVERAGE(IPC!DW13:EH13)-1)</f>
        <v>4.6573969205170984E-2</v>
      </c>
      <c r="EU13" s="31">
        <f>IF(OR(IPC!EU13="",IPC!EI13=""),"",AVERAGE(IPC!EJ13:EU13)/AVERAGE(IPC!DX13:EI13)-1)</f>
        <v>5.8097793403830256E-2</v>
      </c>
      <c r="EV13" s="31">
        <f>IF(OR(IPC!EV13="",IPC!EJ13=""),"",AVERAGE(IPC!EK13:EV13)/AVERAGE(IPC!DY13:EJ13)-1)</f>
        <v>6.9603722940639878E-2</v>
      </c>
      <c r="EW13" s="31">
        <f>IF(OR(IPC!EW13="",IPC!EK13=""),"",AVERAGE(IPC!EL13:EW13)/AVERAGE(IPC!DZ13:EK13)-1)</f>
        <v>8.0875124687636246E-2</v>
      </c>
      <c r="EX13" s="31">
        <f>IF(OR(IPC!EX13="",IPC!EL13=""),"",AVERAGE(IPC!EM13:EX13)/AVERAGE(IPC!EA13:EL13)-1)</f>
        <v>9.2716753381861583E-2</v>
      </c>
      <c r="EY13" s="31">
        <f>IF(OR(IPC!EY13="",IPC!EM13=""),"",AVERAGE(IPC!EN13:EY13)/AVERAGE(IPC!EB13:EM13)-1)</f>
        <v>0.10403992642351834</v>
      </c>
      <c r="EZ13" s="31">
        <f>IF(OR(IPC!EZ13="",IPC!EN13=""),"",AVERAGE(IPC!EO13:EZ13)/AVERAGE(IPC!EC13:EN13)-1)</f>
        <v>0.11526587039037395</v>
      </c>
      <c r="FA13" s="31">
        <f>IF(OR(IPC!FA13="",IPC!EO13=""),"",AVERAGE(IPC!EP13:FA13)/AVERAGE(IPC!ED13:EO13)-1)</f>
        <v>0.12637921034681332</v>
      </c>
      <c r="FB13" s="31">
        <f>IF(OR(IPC!FB13="",IPC!EP13=""),"",AVERAGE(IPC!EQ13:FB13)/AVERAGE(IPC!EE13:EP13)-1)</f>
        <v>0.13784235389119304</v>
      </c>
      <c r="FC13" s="31">
        <f>IF(OR(IPC!FC13="",IPC!EQ13=""),"",AVERAGE(IPC!ER13:FC13)/AVERAGE(IPC!EF13:EQ13)-1)</f>
        <v>0.15007079057520389</v>
      </c>
      <c r="FD13" s="31">
        <f>IF(OR(IPC!FD13="",IPC!ER13=""),"",AVERAGE(IPC!ES13:FD13)/AVERAGE(IPC!EG13:ER13)-1)</f>
        <v>0.16200114050832704</v>
      </c>
      <c r="FE13" s="31">
        <f>IF(OR(IPC!FE13="",IPC!ES13=""),"",AVERAGE(IPC!ET13:FE13)/AVERAGE(IPC!EH13:ES13)-1)</f>
        <v>0.164821207509805</v>
      </c>
      <c r="FF13" s="31">
        <f>IF(OR(IPC!FF13="",IPC!ET13=""),"",AVERAGE(IPC!EU13:FF13)/AVERAGE(IPC!EI13:ET13)-1)</f>
        <v>0.16076429782846935</v>
      </c>
      <c r="FG13" s="31">
        <f>IF(OR(IPC!FG13="",IPC!EU13=""),"",AVERAGE(IPC!EV13:FG13)/AVERAGE(IPC!EJ13:EU13)-1)</f>
        <v>0.15737397590602242</v>
      </c>
      <c r="FH13" s="31">
        <f>IF(OR(IPC!FH13="",IPC!EV13=""),"",AVERAGE(IPC!EW13:FH13)/AVERAGE(IPC!EK13:EV13)-1)</f>
        <v>0.15412373039340777</v>
      </c>
      <c r="FI13" s="31">
        <f>IF(OR(IPC!FI13="",IPC!EW13=""),"",AVERAGE(IPC!EX13:FI13)/AVERAGE(IPC!EL13:EW13)-1)</f>
        <v>0.14924237942087859</v>
      </c>
      <c r="FJ13" s="31">
        <f>IF(OR(IPC!FJ13="",IPC!EX13=""),"",AVERAGE(IPC!EY13:FJ13)/AVERAGE(IPC!EM13:EX13)-1)</f>
        <v>0.14400749329181961</v>
      </c>
      <c r="FK13" s="31">
        <f>IF(OR(IPC!FK13="",IPC!EY13=""),"",AVERAGE(IPC!EZ13:FK13)/AVERAGE(IPC!EN13:EY13)-1)</f>
        <v>0.13888532868225845</v>
      </c>
      <c r="FL13" s="31">
        <f>IF(OR(IPC!FL13="",IPC!EZ13=""),"",AVERAGE(IPC!FA13:FL13)/AVERAGE(IPC!EO13:EZ13)-1)</f>
        <v>0.13433911758157424</v>
      </c>
      <c r="FM13" s="31">
        <f>IF(OR(IPC!FM13="",IPC!FA13=""),"",AVERAGE(IPC!FB13:FM13)/AVERAGE(IPC!EP13:FA13)-1)</f>
        <v>0.13070431030413188</v>
      </c>
      <c r="FN13" s="31">
        <f>IF(OR(IPC!FN13="",IPC!FB13=""),"",AVERAGE(IPC!FC13:FN13)/AVERAGE(IPC!EQ13:FB13)-1)</f>
        <v>0.12686267075153945</v>
      </c>
      <c r="FO13" s="31">
        <f>IF(OR(IPC!FO13="",IPC!FC13=""),"",AVERAGE(IPC!FD13:FO13)/AVERAGE(IPC!ER13:FC13)-1)</f>
        <v>0.12244112730232981</v>
      </c>
      <c r="FP13" s="31">
        <f>IF(OR(IPC!FP13="",IPC!FD13=""),"",AVERAGE(IPC!FE13:FP13)/AVERAGE(IPC!ES13:FD13)-1)</f>
        <v>0.11839970759808649</v>
      </c>
      <c r="FQ13" s="31">
        <f>IF(OR(IPC!FQ13="",IPC!FE13=""),"",AVERAGE(IPC!FF13:FQ13)/AVERAGE(IPC!ET13:FE13)-1)</f>
        <v>0.1099004208545884</v>
      </c>
      <c r="FR13" s="31">
        <f>IF(OR(IPC!FR13="",IPC!FF13=""),"",AVERAGE(IPC!FG13:FR13)/AVERAGE(IPC!EU13:FF13)-1)</f>
        <v>0.10196832642351672</v>
      </c>
    </row>
    <row r="14" spans="1:174" s="1" customFormat="1" ht="10.199999999999999" x14ac:dyDescent="0.2">
      <c r="A14" s="11" t="s">
        <v>23</v>
      </c>
      <c r="B14" s="1" t="s">
        <v>24</v>
      </c>
      <c r="C14" s="5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>
        <f>IF(OR(IPC!AN14="",IPC!AB14=""),"",AVERAGE(IPC!AC14:AN14)/AVERAGE(IPC!Q14:AB14)-1)</f>
        <v>-2.8911782437989753E-2</v>
      </c>
      <c r="AO14" s="31">
        <f>IF(OR(IPC!AO14="",IPC!AC14=""),"",AVERAGE(IPC!AD14:AO14)/AVERAGE(IPC!R14:AC14)-1)</f>
        <v>-2.9275951875241013E-2</v>
      </c>
      <c r="AP14" s="31">
        <f>IF(OR(IPC!AP14="",IPC!AD14=""),"",AVERAGE(IPC!AE14:AP14)/AVERAGE(IPC!S14:AD14)-1)</f>
        <v>-2.8907003561954192E-2</v>
      </c>
      <c r="AQ14" s="31">
        <f>IF(OR(IPC!AQ14="",IPC!AE14=""),"",AVERAGE(IPC!AF14:AQ14)/AVERAGE(IPC!T14:AE14)-1)</f>
        <v>-3.0988706132442534E-2</v>
      </c>
      <c r="AR14" s="31">
        <f>IF(OR(IPC!AR14="",IPC!AF14=""),"",AVERAGE(IPC!AG14:AR14)/AVERAGE(IPC!U14:AF14)-1)</f>
        <v>-3.1020026855969274E-2</v>
      </c>
      <c r="AS14" s="31">
        <f>IF(OR(IPC!AS14="",IPC!AG14=""),"",AVERAGE(IPC!AH14:AS14)/AVERAGE(IPC!V14:AG14)-1)</f>
        <v>-2.962125798925519E-2</v>
      </c>
      <c r="AT14" s="31">
        <f>IF(OR(IPC!AT14="",IPC!AH14=""),"",AVERAGE(IPC!AI14:AT14)/AVERAGE(IPC!W14:AH14)-1)</f>
        <v>-2.8332693441276868E-2</v>
      </c>
      <c r="AU14" s="31">
        <f>IF(OR(IPC!AU14="",IPC!AI14=""),"",AVERAGE(IPC!AJ14:AU14)/AVERAGE(IPC!X14:AI14)-1)</f>
        <v>-2.7891423065638854E-2</v>
      </c>
      <c r="AV14" s="31">
        <f>IF(OR(IPC!AV14="",IPC!AJ14=""),"",AVERAGE(IPC!AK14:AV14)/AVERAGE(IPC!Y14:AJ14)-1)</f>
        <v>-2.6397458200685175E-2</v>
      </c>
      <c r="AW14" s="31">
        <f>IF(OR(IPC!AW14="",IPC!AK14=""),"",AVERAGE(IPC!AL14:AW14)/AVERAGE(IPC!Z14:AK14)-1)</f>
        <v>-2.5887603706645224E-2</v>
      </c>
      <c r="AX14" s="31">
        <f>IF(OR(IPC!AX14="",IPC!AL14=""),"",AVERAGE(IPC!AM14:AX14)/AVERAGE(IPC!AA14:AL14)-1)</f>
        <v>-2.4936046686519275E-2</v>
      </c>
      <c r="AY14" s="31">
        <f>IF(OR(IPC!AY14="",IPC!AM14=""),"",AVERAGE(IPC!AN14:AY14)/AVERAGE(IPC!AB14:AM14)-1)</f>
        <v>-2.4908255114184596E-2</v>
      </c>
      <c r="AZ14" s="31">
        <f>IF(OR(IPC!AZ14="",IPC!AN14=""),"",AVERAGE(IPC!AO14:AZ14)/AVERAGE(IPC!AC14:AN14)-1)</f>
        <v>-2.5434160664573602E-2</v>
      </c>
      <c r="BA14" s="31">
        <f>IF(OR(IPC!BA14="",IPC!AO14=""),"",AVERAGE(IPC!AP14:BA14)/AVERAGE(IPC!AD14:AO14)-1)</f>
        <v>-2.5403656139432074E-2</v>
      </c>
      <c r="BB14" s="31">
        <f>IF(OR(IPC!BB14="",IPC!AP14=""),"",AVERAGE(IPC!AQ14:BB14)/AVERAGE(IPC!AE14:AP14)-1)</f>
        <v>-2.6117680699168311E-2</v>
      </c>
      <c r="BC14" s="31">
        <f>IF(OR(IPC!BC14="",IPC!AQ14=""),"",AVERAGE(IPC!AR14:BC14)/AVERAGE(IPC!AF14:AQ14)-1)</f>
        <v>-2.4659256250433192E-2</v>
      </c>
      <c r="BD14" s="31">
        <f>IF(OR(IPC!BD14="",IPC!AR14=""),"",AVERAGE(IPC!AS14:BD14)/AVERAGE(IPC!AG14:AR14)-1)</f>
        <v>-2.3975544408894267E-2</v>
      </c>
      <c r="BE14" s="31">
        <f>IF(OR(IPC!BE14="",IPC!AS14=""),"",AVERAGE(IPC!AT14:BE14)/AVERAGE(IPC!AH14:AS14)-1)</f>
        <v>-2.4266938246722214E-2</v>
      </c>
      <c r="BF14" s="31">
        <f>IF(OR(IPC!BF14="",IPC!AT14=""),"",AVERAGE(IPC!AU14:BF14)/AVERAGE(IPC!AI14:AT14)-1)</f>
        <v>-2.5483885108087967E-2</v>
      </c>
      <c r="BG14" s="31">
        <f>IF(OR(IPC!BG14="",IPC!AU14=""),"",AVERAGE(IPC!AV14:BG14)/AVERAGE(IPC!AJ14:AU14)-1)</f>
        <v>-2.4100143887976877E-2</v>
      </c>
      <c r="BH14" s="31">
        <f>IF(OR(IPC!BH14="",IPC!AV14=""),"",AVERAGE(IPC!AW14:BH14)/AVERAGE(IPC!AK14:AV14)-1)</f>
        <v>-2.5460852526926314E-2</v>
      </c>
      <c r="BI14" s="31">
        <f>IF(OR(IPC!BI14="",IPC!AW14=""),"",AVERAGE(IPC!AX14:BI14)/AVERAGE(IPC!AL14:AW14)-1)</f>
        <v>-2.5837362439358413E-2</v>
      </c>
      <c r="BJ14" s="31">
        <f>IF(OR(IPC!BJ14="",IPC!AX14=""),"",AVERAGE(IPC!AY14:BJ14)/AVERAGE(IPC!AM14:AX14)-1)</f>
        <v>-2.7227737627210868E-2</v>
      </c>
      <c r="BK14" s="31">
        <f>IF(OR(IPC!BK14="",IPC!AY14=""),"",AVERAGE(IPC!AZ14:BK14)/AVERAGE(IPC!AN14:AY14)-1)</f>
        <v>-2.7287453068904566E-2</v>
      </c>
      <c r="BL14" s="31">
        <f>IF(OR(IPC!BL14="",IPC!AZ14=""),"",AVERAGE(IPC!BA14:BL14)/AVERAGE(IPC!AO14:AZ14)-1)</f>
        <v>-2.5961517318492167E-2</v>
      </c>
      <c r="BM14" s="31">
        <f>IF(OR(IPC!BM14="",IPC!BA14=""),"",AVERAGE(IPC!BB14:BM14)/AVERAGE(IPC!AP14:BA14)-1)</f>
        <v>-2.4807012074625989E-2</v>
      </c>
      <c r="BN14" s="31">
        <f>IF(OR(IPC!BN14="",IPC!BB14=""),"",AVERAGE(IPC!BC14:BN14)/AVERAGE(IPC!AQ14:BB14)-1)</f>
        <v>-2.4295531349268096E-2</v>
      </c>
      <c r="BO14" s="31">
        <f>IF(OR(IPC!BO14="",IPC!BC14=""),"",AVERAGE(IPC!BD14:BO14)/AVERAGE(IPC!AR14:BC14)-1)</f>
        <v>-2.4632099386224349E-2</v>
      </c>
      <c r="BP14" s="31">
        <f>IF(OR(IPC!BP14="",IPC!BD14=""),"",AVERAGE(IPC!BE14:BP14)/AVERAGE(IPC!AS14:BD14)-1)</f>
        <v>-2.5287465707851453E-2</v>
      </c>
      <c r="BQ14" s="31">
        <f>IF(OR(IPC!BQ14="",IPC!BE14=""),"",AVERAGE(IPC!BF14:BQ14)/AVERAGE(IPC!AT14:BE14)-1)</f>
        <v>-2.7110044825615409E-2</v>
      </c>
      <c r="BR14" s="31">
        <f>IF(OR(IPC!BR14="",IPC!BF14=""),"",AVERAGE(IPC!BG14:BR14)/AVERAGE(IPC!AU14:BF14)-1)</f>
        <v>-2.7100589500527739E-2</v>
      </c>
      <c r="BS14" s="31">
        <f>IF(OR(IPC!BS14="",IPC!BG14=""),"",AVERAGE(IPC!BH14:BS14)/AVERAGE(IPC!AV14:BG14)-1)</f>
        <v>-2.9046183263875869E-2</v>
      </c>
      <c r="BT14" s="31">
        <f>IF(OR(IPC!BT14="",IPC!BH14=""),"",AVERAGE(IPC!BI14:BT14)/AVERAGE(IPC!AW14:BH14)-1)</f>
        <v>-2.791269423339493E-2</v>
      </c>
      <c r="BU14" s="31">
        <f>IF(OR(IPC!BU14="",IPC!BI14=""),"",AVERAGE(IPC!BJ14:BU14)/AVERAGE(IPC!AX14:BI14)-1)</f>
        <v>-2.7035785298520687E-2</v>
      </c>
      <c r="BV14" s="31">
        <f>IF(OR(IPC!BV14="",IPC!BJ14=""),"",AVERAGE(IPC!BK14:BV14)/AVERAGE(IPC!AY14:BJ14)-1)</f>
        <v>-2.4145291455549556E-2</v>
      </c>
      <c r="BW14" s="31">
        <f>IF(OR(IPC!BW14="",IPC!BK14=""),"",AVERAGE(IPC!BL14:BW14)/AVERAGE(IPC!AZ14:BK14)-1)</f>
        <v>-2.2163290667653768E-2</v>
      </c>
      <c r="BX14" s="31">
        <f>IF(OR(IPC!BX14="",IPC!BL14=""),"",AVERAGE(IPC!BM14:BX14)/AVERAGE(IPC!BA14:BL14)-1)</f>
        <v>-2.1193461874992159E-2</v>
      </c>
      <c r="BY14" s="31">
        <f>IF(OR(IPC!BY14="",IPC!BM14=""),"",AVERAGE(IPC!BN14:BY14)/AVERAGE(IPC!BB14:BM14)-1)</f>
        <v>-2.0797897321663039E-2</v>
      </c>
      <c r="BZ14" s="31">
        <f>IF(OR(IPC!BZ14="",IPC!BN14=""),"",AVERAGE(IPC!BO14:BZ14)/AVERAGE(IPC!BC14:BN14)-1)</f>
        <v>-1.8178548309412568E-2</v>
      </c>
      <c r="CA14" s="31">
        <f>IF(OR(IPC!CA14="",IPC!BO14=""),"",AVERAGE(IPC!BP14:CA14)/AVERAGE(IPC!BD14:BO14)-1)</f>
        <v>-1.4812002547996972E-2</v>
      </c>
      <c r="CB14" s="31">
        <f>IF(OR(IPC!CB14="",IPC!BP14=""),"",AVERAGE(IPC!BQ14:CB14)/AVERAGE(IPC!BE14:BP14)-1)</f>
        <v>-1.1250221544562455E-2</v>
      </c>
      <c r="CC14" s="31">
        <f>IF(OR(IPC!CC14="",IPC!BQ14=""),"",AVERAGE(IPC!BR14:CC14)/AVERAGE(IPC!BF14:BQ14)-1)</f>
        <v>-7.0293562066106041E-3</v>
      </c>
      <c r="CD14" s="31">
        <f>IF(OR(IPC!CD14="",IPC!BR14=""),"",AVERAGE(IPC!BS14:CD14)/AVERAGE(IPC!BG14:BR14)-1)</f>
        <v>-3.5423118520970798E-3</v>
      </c>
      <c r="CE14" s="31">
        <f>IF(OR(IPC!CE14="",IPC!BS14=""),"",AVERAGE(IPC!BT14:CE14)/AVERAGE(IPC!BH14:BS14)-1)</f>
        <v>1.709443186879156E-4</v>
      </c>
      <c r="CF14" s="31">
        <f>IF(OR(IPC!CF14="",IPC!BT14=""),"",AVERAGE(IPC!BU14:CF14)/AVERAGE(IPC!BI14:BT14)-1)</f>
        <v>2.748439781732559E-3</v>
      </c>
      <c r="CG14" s="31">
        <f>IF(OR(IPC!CG14="",IPC!BU14=""),"",AVERAGE(IPC!BV14:CG14)/AVERAGE(IPC!BJ14:BU14)-1)</f>
        <v>5.4764736066026387E-3</v>
      </c>
      <c r="CH14" s="31">
        <f>IF(OR(IPC!CH14="",IPC!BV14=""),"",AVERAGE(IPC!BW14:CH14)/AVERAGE(IPC!BK14:BV14)-1)</f>
        <v>6.0786526029075194E-3</v>
      </c>
      <c r="CI14" s="31">
        <f>IF(OR(IPC!CI14="",IPC!BW14=""),"",AVERAGE(IPC!BX14:CI14)/AVERAGE(IPC!BL14:BW14)-1)</f>
        <v>6.9256620490687482E-3</v>
      </c>
      <c r="CJ14" s="31">
        <f>IF(OR(IPC!CJ14="",IPC!BX14=""),"",AVERAGE(IPC!BY14:CJ14)/AVERAGE(IPC!BM14:BX14)-1)</f>
        <v>7.2159351567846475E-3</v>
      </c>
      <c r="CK14" s="31">
        <f>IF(OR(IPC!CK14="",IPC!BY14=""),"",AVERAGE(IPC!BZ14:CK14)/AVERAGE(IPC!BN14:BY14)-1)</f>
        <v>8.2409093076314388E-3</v>
      </c>
      <c r="CL14" s="31">
        <f>IF(OR(IPC!CL14="",IPC!BZ14=""),"",AVERAGE(IPC!CA14:CL14)/AVERAGE(IPC!BO14:BZ14)-1)</f>
        <v>8.0462166765258303E-3</v>
      </c>
      <c r="CM14" s="31">
        <f>IF(OR(IPC!CM14="",IPC!CA14=""),"",AVERAGE(IPC!CB14:CM14)/AVERAGE(IPC!BP14:CA14)-1)</f>
        <v>7.0523659599877053E-3</v>
      </c>
      <c r="CN14" s="31">
        <f>IF(OR(IPC!CN14="",IPC!CB14=""),"",AVERAGE(IPC!CC14:CN14)/AVERAGE(IPC!BQ14:CB14)-1)</f>
        <v>6.347586125846405E-3</v>
      </c>
      <c r="CO14" s="31">
        <f>IF(OR(IPC!CO14="",IPC!CC14=""),"",AVERAGE(IPC!CD14:CO14)/AVERAGE(IPC!BR14:CC14)-1)</f>
        <v>5.7629375171706076E-3</v>
      </c>
      <c r="CP14" s="31">
        <f>IF(OR(IPC!CP14="",IPC!CD14=""),"",AVERAGE(IPC!CE14:CP14)/AVERAGE(IPC!BS14:CD14)-1)</f>
        <v>4.9161311050480716E-3</v>
      </c>
      <c r="CQ14" s="31">
        <f>IF(OR(IPC!CQ14="",IPC!CE14=""),"",AVERAGE(IPC!CF14:CQ14)/AVERAGE(IPC!BT14:CE14)-1)</f>
        <v>4.0793997604933185E-3</v>
      </c>
      <c r="CR14" s="31">
        <f>IF(OR(IPC!CR14="",IPC!CF14=""),"",AVERAGE(IPC!CG14:CR14)/AVERAGE(IPC!BU14:CF14)-1)</f>
        <v>3.3312055480267944E-3</v>
      </c>
      <c r="CS14" s="31">
        <f>IF(OR(IPC!CS14="",IPC!CG14=""),"",AVERAGE(IPC!CH14:CS14)/AVERAGE(IPC!BV14:CG14)-1)</f>
        <v>2.3175161798467681E-3</v>
      </c>
      <c r="CT14" s="31">
        <f>IF(OR(IPC!CT14="",IPC!CH14=""),"",AVERAGE(IPC!CI14:CT14)/AVERAGE(IPC!BW14:CH14)-1)</f>
        <v>2.329894035376201E-3</v>
      </c>
      <c r="CU14" s="31">
        <f>IF(OR(IPC!CU14="",IPC!CI14=""),"",AVERAGE(IPC!CJ14:CU14)/AVERAGE(IPC!BX14:CI14)-1)</f>
        <v>2.2617637985771211E-3</v>
      </c>
      <c r="CV14" s="31">
        <f>IF(OR(IPC!CV14="",IPC!CJ14=""),"",AVERAGE(IPC!CK14:CV14)/AVERAGE(IPC!BY14:CJ14)-1)</f>
        <v>2.5408027516140574E-3</v>
      </c>
      <c r="CW14" s="31">
        <f>IF(OR(IPC!CW14="",IPC!CK14=""),"",AVERAGE(IPC!CL14:CW14)/AVERAGE(IPC!BZ14:CK14)-1)</f>
        <v>2.6132664838003361E-3</v>
      </c>
      <c r="CX14" s="31">
        <f>IF(OR(IPC!CX14="",IPC!CL14=""),"",AVERAGE(IPC!CM14:CX14)/AVERAGE(IPC!CA14:CL14)-1)</f>
        <v>2.3298270329679127E-3</v>
      </c>
      <c r="CY14" s="31">
        <f>IF(OR(IPC!CY14="",IPC!CM14=""),"",AVERAGE(IPC!CN14:CY14)/AVERAGE(IPC!CB14:CM14)-1)</f>
        <v>2.4010034857406826E-3</v>
      </c>
      <c r="CZ14" s="31">
        <f>IF(OR(IPC!CZ14="",IPC!CN14=""),"",AVERAGE(IPC!CO14:CZ14)/AVERAGE(IPC!CC14:CN14)-1)</f>
        <v>2.3166045880742558E-3</v>
      </c>
      <c r="DA14" s="31">
        <f>IF(OR(IPC!DA14="",IPC!CO14=""),"",AVERAGE(IPC!CP14:DA14)/AVERAGE(IPC!CD14:CO14)-1)</f>
        <v>2.4249395914757166E-3</v>
      </c>
      <c r="DB14" s="31">
        <f>IF(OR(IPC!DB14="",IPC!CP14=""),"",AVERAGE(IPC!CQ14:DB14)/AVERAGE(IPC!CE14:CP14)-1)</f>
        <v>2.4555364917906441E-3</v>
      </c>
      <c r="DC14" s="31">
        <f>IF(OR(IPC!DC14="",IPC!CQ14=""),"",AVERAGE(IPC!CR14:DC14)/AVERAGE(IPC!CF14:CQ14)-1)</f>
        <v>2.4965111344923407E-3</v>
      </c>
      <c r="DD14" s="31">
        <f>IF(OR(IPC!DD14="",IPC!CR14=""),"",AVERAGE(IPC!CS14:DD14)/AVERAGE(IPC!CG14:CR14)-1)</f>
        <v>2.5006553397455278E-3</v>
      </c>
      <c r="DE14" s="31">
        <f>IF(OR(IPC!DE14="",IPC!CS14=""),"",AVERAGE(IPC!CT14:DE14)/AVERAGE(IPC!CH14:CS14)-1)</f>
        <v>2.747512779845529E-3</v>
      </c>
      <c r="DF14" s="31">
        <f>IF(OR(IPC!DF14="",IPC!CT14=""),"",AVERAGE(IPC!CU14:DF14)/AVERAGE(IPC!CI14:CT14)-1)</f>
        <v>2.7685771932621783E-3</v>
      </c>
      <c r="DG14" s="31">
        <f>IF(OR(IPC!DG14="",IPC!CU14=""),"",AVERAGE(IPC!CV14:DG14)/AVERAGE(IPC!CJ14:CU14)-1)</f>
        <v>2.8980682815835657E-3</v>
      </c>
      <c r="DH14" s="31">
        <f>IF(OR(IPC!DH14="",IPC!CV14=""),"",AVERAGE(IPC!CW14:DH14)/AVERAGE(IPC!CK14:CV14)-1)</f>
        <v>3.3331564246381618E-3</v>
      </c>
      <c r="DI14" s="31">
        <f>IF(OR(IPC!DI14="",IPC!CW14=""),"",AVERAGE(IPC!CX14:DI14)/AVERAGE(IPC!CL14:CW14)-1)</f>
        <v>3.5762407716513067E-3</v>
      </c>
      <c r="DJ14" s="31">
        <f>IF(OR(IPC!DJ14="",IPC!CX14=""),"",AVERAGE(IPC!CY14:DJ14)/AVERAGE(IPC!CM14:CX14)-1)</f>
        <v>4.1736888776442438E-3</v>
      </c>
      <c r="DK14" s="31">
        <f>IF(OR(IPC!DK14="",IPC!CY14=""),"",AVERAGE(IPC!CZ14:DK14)/AVERAGE(IPC!CN14:CY14)-1)</f>
        <v>4.8096280588045826E-3</v>
      </c>
      <c r="DL14" s="31">
        <f>IF(OR(IPC!DL14="",IPC!CZ14=""),"",AVERAGE(IPC!DA14:DL14)/AVERAGE(IPC!CO14:CZ14)-1)</f>
        <v>5.1041486441385508E-3</v>
      </c>
      <c r="DM14" s="31">
        <f>IF(OR(IPC!DM14="",IPC!DA14=""),"",AVERAGE(IPC!DB14:DM14)/AVERAGE(IPC!CP14:DA14)-1)</f>
        <v>5.3437340127882038E-3</v>
      </c>
      <c r="DN14" s="31">
        <f>IF(OR(IPC!DN14="",IPC!DB14=""),"",AVERAGE(IPC!DC14:DN14)/AVERAGE(IPC!CQ14:DB14)-1)</f>
        <v>5.6675489103463761E-3</v>
      </c>
      <c r="DO14" s="31">
        <f>IF(OR(IPC!DO14="",IPC!DC14=""),"",AVERAGE(IPC!DD14:DO14)/AVERAGE(IPC!CR14:DC14)-1)</f>
        <v>5.984778600054641E-3</v>
      </c>
      <c r="DP14" s="31">
        <f>IF(OR(IPC!DP14="",IPC!DD14=""),"",AVERAGE(IPC!DE14:DP14)/AVERAGE(IPC!CS14:DD14)-1)</f>
        <v>6.404019865146493E-3</v>
      </c>
      <c r="DQ14" s="31">
        <f>IF(OR(IPC!DQ14="",IPC!DE14=""),"",AVERAGE(IPC!DF14:DQ14)/AVERAGE(IPC!CT14:DE14)-1)</f>
        <v>6.3600495782956123E-3</v>
      </c>
      <c r="DR14" s="31">
        <f>IF(OR(IPC!DR14="",IPC!DF14=""),"",AVERAGE(IPC!DG14:DR14)/AVERAGE(IPC!CU14:DF14)-1)</f>
        <v>6.5073109822462172E-3</v>
      </c>
      <c r="DS14" s="31">
        <f>IF(OR(IPC!DS14="",IPC!DG14=""),"",AVERAGE(IPC!DH14:DS14)/AVERAGE(IPC!CV14:DG14)-1)</f>
        <v>6.4822340742456408E-3</v>
      </c>
      <c r="DT14" s="31">
        <f>IF(OR(IPC!DT14="",IPC!DH14=""),"",AVERAGE(IPC!DI14:DT14)/AVERAGE(IPC!CW14:DH14)-1)</f>
        <v>6.2308886947508579E-3</v>
      </c>
      <c r="DU14" s="31">
        <f>IF(OR(IPC!DU14="",IPC!DI14=""),"",AVERAGE(IPC!DJ14:DU14)/AVERAGE(IPC!CX14:DI14)-1)</f>
        <v>6.133905835402631E-3</v>
      </c>
      <c r="DV14" s="31">
        <f>IF(OR(IPC!DV14="",IPC!DJ14=""),"",AVERAGE(IPC!DK14:DV14)/AVERAGE(IPC!CY14:DJ14)-1)</f>
        <v>5.9433506603085995E-3</v>
      </c>
      <c r="DW14" s="31">
        <f>IF(OR(IPC!DW14="",IPC!DK14=""),"",AVERAGE(IPC!DL14:DW14)/AVERAGE(IPC!CZ14:DK14)-1)</f>
        <v>5.4727596190482508E-3</v>
      </c>
      <c r="DX14" s="31">
        <f>IF(OR(IPC!DX14="",IPC!DL14=""),"",AVERAGE(IPC!DM14:DX14)/AVERAGE(IPC!DA14:DL14)-1)</f>
        <v>5.4336405533481624E-3</v>
      </c>
      <c r="DY14" s="31">
        <f>IF(OR(IPC!DY14="",IPC!DM14=""),"",AVERAGE(IPC!DN14:DY14)/AVERAGE(IPC!DB14:DM14)-1)</f>
        <v>5.3437238038696044E-3</v>
      </c>
      <c r="DZ14" s="31">
        <f>IF(OR(IPC!DZ14="",IPC!DN14=""),"",AVERAGE(IPC!DO14:DZ14)/AVERAGE(IPC!DC14:DN14)-1)</f>
        <v>5.3023316882376825E-3</v>
      </c>
      <c r="EA14" s="31">
        <f>IF(OR(IPC!EA14="",IPC!DO14=""),"",AVERAGE(IPC!DP14:EA14)/AVERAGE(IPC!DD14:DO14)-1)</f>
        <v>5.2965574452052966E-3</v>
      </c>
      <c r="EB14" s="31">
        <f>IF(OR(IPC!EB14="",IPC!DP14=""),"",AVERAGE(IPC!DQ14:EB14)/AVERAGE(IPC!DE14:DP14)-1)</f>
        <v>4.9237715216061684E-3</v>
      </c>
      <c r="EC14" s="31">
        <f>IF(OR(IPC!EC14="",IPC!DQ14=""),"",AVERAGE(IPC!DR14:EC14)/AVERAGE(IPC!DF14:DQ14)-1)</f>
        <v>4.9715943920065619E-3</v>
      </c>
      <c r="ED14" s="31">
        <f>IF(OR(IPC!ED14="",IPC!DR14=""),"",AVERAGE(IPC!DS14:ED14)/AVERAGE(IPC!DG14:DR14)-1)</f>
        <v>4.6281438077420134E-3</v>
      </c>
      <c r="EE14" s="31">
        <f>IF(OR(IPC!EE14="",IPC!DS14=""),"",AVERAGE(IPC!DT14:EE14)/AVERAGE(IPC!DH14:DS14)-1)</f>
        <v>4.4007622870556595E-3</v>
      </c>
      <c r="EF14" s="31">
        <f>IF(OR(IPC!EF14="",IPC!DT14=""),"",AVERAGE(IPC!DU14:EF14)/AVERAGE(IPC!DI14:DT14)-1)</f>
        <v>4.3589088740560999E-3</v>
      </c>
      <c r="EG14" s="31">
        <f>IF(OR(IPC!EG14="",IPC!DU14=""),"",AVERAGE(IPC!DV14:EG14)/AVERAGE(IPC!DJ14:DU14)-1)</f>
        <v>4.1182441652689583E-3</v>
      </c>
      <c r="EH14" s="31">
        <f>IF(OR(IPC!EH14="",IPC!DV14=""),"",AVERAGE(IPC!DW14:EH14)/AVERAGE(IPC!DK14:DV14)-1)</f>
        <v>3.9954009716021144E-3</v>
      </c>
      <c r="EI14" s="31">
        <f>IF(OR(IPC!EI14="",IPC!DW14=""),"",AVERAGE(IPC!DX14:EI14)/AVERAGE(IPC!DL14:DW14)-1)</f>
        <v>4.1505670244736947E-3</v>
      </c>
      <c r="EJ14" s="31">
        <f>IF(OR(IPC!EJ14="",IPC!DX14=""),"",AVERAGE(IPC!DY14:EJ14)/AVERAGE(IPC!DM14:DX14)-1)</f>
        <v>4.1434530069526243E-3</v>
      </c>
      <c r="EK14" s="31">
        <f>IF(OR(IPC!EK14="",IPC!DY14=""),"",AVERAGE(IPC!DZ14:EK14)/AVERAGE(IPC!DN14:DY14)-1)</f>
        <v>4.4107243917896888E-3</v>
      </c>
      <c r="EL14" s="31">
        <f>IF(OR(IPC!EL14="",IPC!DZ14=""),"",AVERAGE(IPC!EA14:EL14)/AVERAGE(IPC!DO14:DZ14)-1)</f>
        <v>4.6068777877732447E-3</v>
      </c>
      <c r="EM14" s="31">
        <f>IF(OR(IPC!EM14="",IPC!EA14=""),"",AVERAGE(IPC!EB14:EM14)/AVERAGE(IPC!DP14:EA14)-1)</f>
        <v>5.125415106278508E-3</v>
      </c>
      <c r="EN14" s="31">
        <f>IF(OR(IPC!EN14="",IPC!EB14=""),"",AVERAGE(IPC!EC14:EN14)/AVERAGE(IPC!DQ14:EB14)-1)</f>
        <v>5.7479632557149163E-3</v>
      </c>
      <c r="EO14" s="31">
        <f>IF(OR(IPC!EO14="",IPC!EC14=""),"",AVERAGE(IPC!ED14:EO14)/AVERAGE(IPC!DR14:EC14)-1)</f>
        <v>6.1624576467012027E-3</v>
      </c>
      <c r="EP14" s="31">
        <f>IF(OR(IPC!EP14="",IPC!ED14=""),"",AVERAGE(IPC!EE14:EP14)/AVERAGE(IPC!DS14:ED14)-1)</f>
        <v>6.8578346647569788E-3</v>
      </c>
      <c r="EQ14" s="31">
        <f>IF(OR(IPC!EQ14="",IPC!EE14=""),"",AVERAGE(IPC!EF14:EQ14)/AVERAGE(IPC!DT14:EE14)-1)</f>
        <v>7.5481795460654588E-3</v>
      </c>
      <c r="ER14" s="31">
        <f>IF(OR(IPC!ER14="",IPC!EF14=""),"",AVERAGE(IPC!EG14:ER14)/AVERAGE(IPC!DU14:EF14)-1)</f>
        <v>8.0150815676651721E-3</v>
      </c>
      <c r="ES14" s="31">
        <f>IF(OR(IPC!ES14="",IPC!EG14=""),"",AVERAGE(IPC!EH14:ES14)/AVERAGE(IPC!DV14:EG14)-1)</f>
        <v>8.6129832941945761E-3</v>
      </c>
      <c r="ET14" s="31">
        <f>IF(OR(IPC!ET14="",IPC!EH14=""),"",AVERAGE(IPC!EI14:ET14)/AVERAGE(IPC!DW14:EH14)-1)</f>
        <v>9.0861473056751407E-3</v>
      </c>
      <c r="EU14" s="31">
        <f>IF(OR(IPC!EU14="",IPC!EI14=""),"",AVERAGE(IPC!EJ14:EU14)/AVERAGE(IPC!DX14:EI14)-1)</f>
        <v>9.3052879818631418E-3</v>
      </c>
      <c r="EV14" s="31">
        <f>IF(OR(IPC!EV14="",IPC!EJ14=""),"",AVERAGE(IPC!EK14:EV14)/AVERAGE(IPC!DY14:EJ14)-1)</f>
        <v>9.4582661367694776E-3</v>
      </c>
      <c r="EW14" s="31">
        <f>IF(OR(IPC!EW14="",IPC!EK14=""),"",AVERAGE(IPC!EL14:EW14)/AVERAGE(IPC!DZ14:EK14)-1)</f>
        <v>9.0322455908442567E-3</v>
      </c>
      <c r="EX14" s="31">
        <f>IF(OR(IPC!EX14="",IPC!EL14=""),"",AVERAGE(IPC!EM14:EX14)/AVERAGE(IPC!EA14:EL14)-1)</f>
        <v>8.5528990558934037E-3</v>
      </c>
      <c r="EY14" s="31">
        <f>IF(OR(IPC!EY14="",IPC!EM14=""),"",AVERAGE(IPC!EN14:EY14)/AVERAGE(IPC!EB14:EM14)-1)</f>
        <v>7.4284351255442527E-3</v>
      </c>
      <c r="EZ14" s="31">
        <f>IF(OR(IPC!EZ14="",IPC!EN14=""),"",AVERAGE(IPC!EO14:EZ14)/AVERAGE(IPC!EC14:EN14)-1)</f>
        <v>6.5380451956351671E-3</v>
      </c>
      <c r="FA14" s="31">
        <f>IF(OR(IPC!FA14="",IPC!EO14=""),"",AVERAGE(IPC!EP14:FA14)/AVERAGE(IPC!ED14:EO14)-1)</f>
        <v>5.6823362117186527E-3</v>
      </c>
      <c r="FB14" s="31">
        <f>IF(OR(IPC!FB14="",IPC!EP14=""),"",AVERAGE(IPC!EQ14:FB14)/AVERAGE(IPC!EE14:EP14)-1)</f>
        <v>4.7472696902999267E-3</v>
      </c>
      <c r="FC14" s="31">
        <f>IF(OR(IPC!FC14="",IPC!EQ14=""),"",AVERAGE(IPC!ER14:FC14)/AVERAGE(IPC!EF14:EQ14)-1)</f>
        <v>3.7328296791172555E-3</v>
      </c>
      <c r="FD14" s="31">
        <f>IF(OR(IPC!FD14="",IPC!ER14=""),"",AVERAGE(IPC!ES14:FD14)/AVERAGE(IPC!EG14:ER14)-1)</f>
        <v>2.9484905147632023E-3</v>
      </c>
      <c r="FE14" s="31">
        <f>IF(OR(IPC!FE14="",IPC!ES14=""),"",AVERAGE(IPC!ET14:FE14)/AVERAGE(IPC!EH14:ES14)-1)</f>
        <v>2.1467745639982549E-3</v>
      </c>
      <c r="FF14" s="31">
        <f>IF(OR(IPC!FF14="",IPC!ET14=""),"",AVERAGE(IPC!EU14:FF14)/AVERAGE(IPC!EI14:ET14)-1)</f>
        <v>1.4840269071001444E-3</v>
      </c>
      <c r="FG14" s="31">
        <f>IF(OR(IPC!FG14="",IPC!EU14=""),"",AVERAGE(IPC!EV14:FG14)/AVERAGE(IPC!EJ14:EU14)-1)</f>
        <v>9.6703806636999623E-4</v>
      </c>
      <c r="FH14" s="31">
        <f>IF(OR(IPC!FH14="",IPC!EV14=""),"",AVERAGE(IPC!EW14:FH14)/AVERAGE(IPC!EK14:EV14)-1)</f>
        <v>4.6802736878004403E-4</v>
      </c>
      <c r="FI14" s="31">
        <f>IF(OR(IPC!FI14="",IPC!EW14=""),"",AVERAGE(IPC!EX14:FI14)/AVERAGE(IPC!EL14:EW14)-1)</f>
        <v>2.5781520504719602E-4</v>
      </c>
      <c r="FJ14" s="31">
        <f>IF(OR(IPC!FJ14="",IPC!EX14=""),"",AVERAGE(IPC!EY14:FJ14)/AVERAGE(IPC!EM14:EX14)-1)</f>
        <v>1.6137758239342936E-4</v>
      </c>
      <c r="FK14" s="31">
        <f>IF(OR(IPC!FK14="",IPC!EY14=""),"",AVERAGE(IPC!EZ14:FK14)/AVERAGE(IPC!EN14:EY14)-1)</f>
        <v>3.7244801416136397E-4</v>
      </c>
      <c r="FL14" s="31">
        <f>IF(OR(IPC!FL14="",IPC!EZ14=""),"",AVERAGE(IPC!FA14:FL14)/AVERAGE(IPC!EO14:EZ14)-1)</f>
        <v>4.386342191691206E-4</v>
      </c>
      <c r="FM14" s="31">
        <f>IF(OR(IPC!FM14="",IPC!FA14=""),"",AVERAGE(IPC!FB14:FM14)/AVERAGE(IPC!EP14:FA14)-1)</f>
        <v>4.3140057270307786E-4</v>
      </c>
      <c r="FN14" s="31">
        <f>IF(OR(IPC!FN14="",IPC!FB14=""),"",AVERAGE(IPC!FC14:FN14)/AVERAGE(IPC!EQ14:FB14)-1)</f>
        <v>3.3499056040042774E-4</v>
      </c>
      <c r="FO14" s="31">
        <f>IF(OR(IPC!FO14="",IPC!FC14=""),"",AVERAGE(IPC!FD14:FO14)/AVERAGE(IPC!ER14:FC14)-1)</f>
        <v>3.1979527362047122E-4</v>
      </c>
      <c r="FP14" s="31">
        <f>IF(OR(IPC!FP14="",IPC!FD14=""),"",AVERAGE(IPC!FE14:FP14)/AVERAGE(IPC!ES14:FD14)-1)</f>
        <v>2.4909689351160225E-4</v>
      </c>
      <c r="FQ14" s="31">
        <f>IF(OR(IPC!FQ14="",IPC!FE14=""),"",AVERAGE(IPC!FF14:FQ14)/AVERAGE(IPC!ET14:FE14)-1)</f>
        <v>7.4053498288817465E-5</v>
      </c>
      <c r="FR14" s="31">
        <f>IF(OR(IPC!FR14="",IPC!FF14=""),"",AVERAGE(IPC!FG14:FR14)/AVERAGE(IPC!EU14:FF14)-1)</f>
        <v>-3.4134272320995862E-4</v>
      </c>
    </row>
    <row r="15" spans="1:174" s="1" customFormat="1" ht="10.199999999999999" x14ac:dyDescent="0.2">
      <c r="A15" s="11" t="s">
        <v>25</v>
      </c>
      <c r="B15" s="1" t="s">
        <v>26</v>
      </c>
      <c r="C15" s="5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>
        <f>IF(OR(IPC!AN15="",IPC!AB15=""),"",AVERAGE(IPC!AC15:AN15)/AVERAGE(IPC!Q15:AB15)-1)</f>
        <v>1.8563436325056415E-3</v>
      </c>
      <c r="AO15" s="31">
        <f>IF(OR(IPC!AO15="",IPC!AC15=""),"",AVERAGE(IPC!AD15:AO15)/AVERAGE(IPC!R15:AC15)-1)</f>
        <v>2.1070222981709463E-3</v>
      </c>
      <c r="AP15" s="31">
        <f>IF(OR(IPC!AP15="",IPC!AD15=""),"",AVERAGE(IPC!AE15:AP15)/AVERAGE(IPC!S15:AD15)-1)</f>
        <v>2.2036137019907365E-3</v>
      </c>
      <c r="AQ15" s="31">
        <f>IF(OR(IPC!AQ15="",IPC!AE15=""),"",AVERAGE(IPC!AF15:AQ15)/AVERAGE(IPC!T15:AE15)-1)</f>
        <v>1.6910495204460751E-3</v>
      </c>
      <c r="AR15" s="31">
        <f>IF(OR(IPC!AR15="",IPC!AF15=""),"",AVERAGE(IPC!AG15:AR15)/AVERAGE(IPC!U15:AF15)-1)</f>
        <v>2.1536026107720208E-3</v>
      </c>
      <c r="AS15" s="31">
        <f>IF(OR(IPC!AS15="",IPC!AG15=""),"",AVERAGE(IPC!AH15:AS15)/AVERAGE(IPC!V15:AG15)-1)</f>
        <v>2.6547261108400555E-3</v>
      </c>
      <c r="AT15" s="31">
        <f>IF(OR(IPC!AT15="",IPC!AH15=""),"",AVERAGE(IPC!AI15:AT15)/AVERAGE(IPC!W15:AH15)-1)</f>
        <v>3.7740702335651299E-3</v>
      </c>
      <c r="AU15" s="31">
        <f>IF(OR(IPC!AU15="",IPC!AI15=""),"",AVERAGE(IPC!AJ15:AU15)/AVERAGE(IPC!X15:AI15)-1)</f>
        <v>4.0666410202696568E-3</v>
      </c>
      <c r="AV15" s="31">
        <f>IF(OR(IPC!AV15="",IPC!AJ15=""),"",AVERAGE(IPC!AK15:AV15)/AVERAGE(IPC!Y15:AJ15)-1)</f>
        <v>5.6205168964003072E-3</v>
      </c>
      <c r="AW15" s="31">
        <f>IF(OR(IPC!AW15="",IPC!AK15=""),"",AVERAGE(IPC!AL15:AW15)/AVERAGE(IPC!Z15:AK15)-1)</f>
        <v>6.8119843719673945E-3</v>
      </c>
      <c r="AX15" s="31">
        <f>IF(OR(IPC!AX15="",IPC!AL15=""),"",AVERAGE(IPC!AM15:AX15)/AVERAGE(IPC!AA15:AL15)-1)</f>
        <v>6.870972981193546E-3</v>
      </c>
      <c r="AY15" s="31">
        <f>IF(OR(IPC!AY15="",IPC!AM15=""),"",AVERAGE(IPC!AN15:AY15)/AVERAGE(IPC!AB15:AM15)-1)</f>
        <v>7.1176020510679283E-3</v>
      </c>
      <c r="AZ15" s="31">
        <f>IF(OR(IPC!AZ15="",IPC!AN15=""),"",AVERAGE(IPC!AO15:AZ15)/AVERAGE(IPC!AC15:AN15)-1)</f>
        <v>7.4553709301732329E-3</v>
      </c>
      <c r="BA15" s="31">
        <f>IF(OR(IPC!BA15="",IPC!AO15=""),"",AVERAGE(IPC!AP15:BA15)/AVERAGE(IPC!AD15:AO15)-1)</f>
        <v>7.2196973951619281E-3</v>
      </c>
      <c r="BB15" s="31">
        <f>IF(OR(IPC!BB15="",IPC!AP15=""),"",AVERAGE(IPC!AQ15:BB15)/AVERAGE(IPC!AE15:AP15)-1)</f>
        <v>6.5948522151602074E-3</v>
      </c>
      <c r="BC15" s="31">
        <f>IF(OR(IPC!BC15="",IPC!AQ15=""),"",AVERAGE(IPC!AR15:BC15)/AVERAGE(IPC!AF15:AQ15)-1)</f>
        <v>5.6959969497214491E-3</v>
      </c>
      <c r="BD15" s="31">
        <f>IF(OR(IPC!BD15="",IPC!AR15=""),"",AVERAGE(IPC!AS15:BD15)/AVERAGE(IPC!AG15:AR15)-1)</f>
        <v>4.4769330764560245E-3</v>
      </c>
      <c r="BE15" s="31">
        <f>IF(OR(IPC!BE15="",IPC!AS15=""),"",AVERAGE(IPC!AT15:BE15)/AVERAGE(IPC!AH15:AS15)-1)</f>
        <v>3.201736453453119E-3</v>
      </c>
      <c r="BF15" s="31">
        <f>IF(OR(IPC!BF15="",IPC!AT15=""),"",AVERAGE(IPC!AU15:BF15)/AVERAGE(IPC!AI15:AT15)-1)</f>
        <v>1.8948657206330211E-3</v>
      </c>
      <c r="BG15" s="31">
        <f>IF(OR(IPC!BG15="",IPC!AU15=""),"",AVERAGE(IPC!AV15:BG15)/AVERAGE(IPC!AJ15:AU15)-1)</f>
        <v>1.3692398890938762E-3</v>
      </c>
      <c r="BH15" s="31">
        <f>IF(OR(IPC!BH15="",IPC!AV15=""),"",AVERAGE(IPC!AW15:BH15)/AVERAGE(IPC!AK15:AV15)-1)</f>
        <v>1.9220483957826939E-3</v>
      </c>
      <c r="BI15" s="31">
        <f>IF(OR(IPC!BI15="",IPC!AW15=""),"",AVERAGE(IPC!AX15:BI15)/AVERAGE(IPC!AL15:AW15)-1)</f>
        <v>2.4888792035548946E-3</v>
      </c>
      <c r="BJ15" s="31">
        <f>IF(OR(IPC!BJ15="",IPC!AX15=""),"",AVERAGE(IPC!AY15:BJ15)/AVERAGE(IPC!AM15:AX15)-1)</f>
        <v>3.5713800016328179E-3</v>
      </c>
      <c r="BK15" s="31">
        <f>IF(OR(IPC!BK15="",IPC!AY15=""),"",AVERAGE(IPC!AZ15:BK15)/AVERAGE(IPC!AN15:AY15)-1)</f>
        <v>4.2220961871053397E-3</v>
      </c>
      <c r="BL15" s="31">
        <f>IF(OR(IPC!BL15="",IPC!AZ15=""),"",AVERAGE(IPC!BA15:BL15)/AVERAGE(IPC!AO15:AZ15)-1)</f>
        <v>5.8831105756447233E-3</v>
      </c>
      <c r="BM15" s="31">
        <f>IF(OR(IPC!BM15="",IPC!BA15=""),"",AVERAGE(IPC!BB15:BM15)/AVERAGE(IPC!AP15:BA15)-1)</f>
        <v>7.3308185688631955E-3</v>
      </c>
      <c r="BN15" s="31">
        <f>IF(OR(IPC!BN15="",IPC!BB15=""),"",AVERAGE(IPC!BC15:BN15)/AVERAGE(IPC!AQ15:BB15)-1)</f>
        <v>9.2236546089727867E-3</v>
      </c>
      <c r="BO15" s="31">
        <f>IF(OR(IPC!BO15="",IPC!BC15=""),"",AVERAGE(IPC!BD15:BO15)/AVERAGE(IPC!AR15:BC15)-1)</f>
        <v>1.1768830240998618E-2</v>
      </c>
      <c r="BP15" s="31">
        <f>IF(OR(IPC!BP15="",IPC!BD15=""),"",AVERAGE(IPC!BE15:BP15)/AVERAGE(IPC!AS15:BD15)-1)</f>
        <v>1.4080151968929755E-2</v>
      </c>
      <c r="BQ15" s="31">
        <f>IF(OR(IPC!BQ15="",IPC!BE15=""),"",AVERAGE(IPC!BF15:BQ15)/AVERAGE(IPC!AT15:BE15)-1)</f>
        <v>1.5953912112119939E-2</v>
      </c>
      <c r="BR15" s="31">
        <f>IF(OR(IPC!BR15="",IPC!BF15=""),"",AVERAGE(IPC!BG15:BR15)/AVERAGE(IPC!AU15:BF15)-1)</f>
        <v>1.7790254112670212E-2</v>
      </c>
      <c r="BS15" s="31">
        <f>IF(OR(IPC!BS15="",IPC!BG15=""),"",AVERAGE(IPC!BH15:BS15)/AVERAGE(IPC!AV15:BG15)-1)</f>
        <v>1.8868458721737591E-2</v>
      </c>
      <c r="BT15" s="31">
        <f>IF(OR(IPC!BT15="",IPC!BH15=""),"",AVERAGE(IPC!BI15:BT15)/AVERAGE(IPC!AW15:BH15)-1)</f>
        <v>1.6950452120515491E-2</v>
      </c>
      <c r="BU15" s="31">
        <f>IF(OR(IPC!BU15="",IPC!BI15=""),"",AVERAGE(IPC!BJ15:BU15)/AVERAGE(IPC!AX15:BI15)-1)</f>
        <v>1.6202867104525787E-2</v>
      </c>
      <c r="BV15" s="31">
        <f>IF(OR(IPC!BV15="",IPC!BJ15=""),"",AVERAGE(IPC!BK15:BV15)/AVERAGE(IPC!AY15:BJ15)-1)</f>
        <v>1.5190328531123898E-2</v>
      </c>
      <c r="BW15" s="31">
        <f>IF(OR(IPC!BW15="",IPC!BK15=""),"",AVERAGE(IPC!BL15:BW15)/AVERAGE(IPC!AZ15:BK15)-1)</f>
        <v>1.4574416656457867E-2</v>
      </c>
      <c r="BX15" s="31">
        <f>IF(OR(IPC!BX15="",IPC!BL15=""),"",AVERAGE(IPC!BM15:BX15)/AVERAGE(IPC!BA15:BL15)-1)</f>
        <v>1.3331845487724481E-2</v>
      </c>
      <c r="BY15" s="31">
        <f>IF(OR(IPC!BY15="",IPC!BM15=""),"",AVERAGE(IPC!BN15:BY15)/AVERAGE(IPC!BB15:BM15)-1)</f>
        <v>1.2626518798462438E-2</v>
      </c>
      <c r="BZ15" s="31">
        <f>IF(OR(IPC!BZ15="",IPC!BN15=""),"",AVERAGE(IPC!BO15:BZ15)/AVERAGE(IPC!BC15:BN15)-1)</f>
        <v>1.1179725270332286E-2</v>
      </c>
      <c r="CA15" s="31">
        <f>IF(OR(IPC!CA15="",IPC!BO15=""),"",AVERAGE(IPC!BP15:CA15)/AVERAGE(IPC!BD15:BO15)-1)</f>
        <v>9.5528385034491237E-3</v>
      </c>
      <c r="CB15" s="31">
        <f>IF(OR(IPC!CB15="",IPC!BP15=""),"",AVERAGE(IPC!BQ15:CB15)/AVERAGE(IPC!BE15:BP15)-1)</f>
        <v>8.2280506742500314E-3</v>
      </c>
      <c r="CC15" s="31">
        <f>IF(OR(IPC!CC15="",IPC!BQ15=""),"",AVERAGE(IPC!BR15:CC15)/AVERAGE(IPC!BF15:BQ15)-1)</f>
        <v>7.2914630452056706E-3</v>
      </c>
      <c r="CD15" s="31">
        <f>IF(OR(IPC!CD15="",IPC!BR15=""),"",AVERAGE(IPC!BS15:CD15)/AVERAGE(IPC!BG15:BR15)-1)</f>
        <v>6.4021936723981376E-3</v>
      </c>
      <c r="CE15" s="31">
        <f>IF(OR(IPC!CE15="",IPC!BS15=""),"",AVERAGE(IPC!BT15:CE15)/AVERAGE(IPC!BH15:BS15)-1)</f>
        <v>6.0464713481862553E-3</v>
      </c>
      <c r="CF15" s="31">
        <f>IF(OR(IPC!CF15="",IPC!BT15=""),"",AVERAGE(IPC!BU15:CF15)/AVERAGE(IPC!BI15:BT15)-1)</f>
        <v>6.5140358884363536E-3</v>
      </c>
      <c r="CG15" s="31">
        <f>IF(OR(IPC!CG15="",IPC!BU15=""),"",AVERAGE(IPC!BV15:CG15)/AVERAGE(IPC!BJ15:BU15)-1)</f>
        <v>6.2714839629649521E-3</v>
      </c>
      <c r="CH15" s="31">
        <f>IF(OR(IPC!CH15="",IPC!BV15=""),"",AVERAGE(IPC!BW15:CH15)/AVERAGE(IPC!BK15:BV15)-1)</f>
        <v>6.5418692933341127E-3</v>
      </c>
      <c r="CI15" s="31">
        <f>IF(OR(IPC!CI15="",IPC!BW15=""),"",AVERAGE(IPC!BX15:CI15)/AVERAGE(IPC!BL15:BW15)-1)</f>
        <v>6.3828156955969551E-3</v>
      </c>
      <c r="CJ15" s="31">
        <f>IF(OR(IPC!CJ15="",IPC!BX15=""),"",AVERAGE(IPC!BY15:CJ15)/AVERAGE(IPC!BM15:BX15)-1)</f>
        <v>6.2929673229643601E-3</v>
      </c>
      <c r="CK15" s="31">
        <f>IF(OR(IPC!CK15="",IPC!BY15=""),"",AVERAGE(IPC!BZ15:CK15)/AVERAGE(IPC!BN15:BY15)-1)</f>
        <v>5.7420768117786292E-3</v>
      </c>
      <c r="CL15" s="31">
        <f>IF(OR(IPC!CL15="",IPC!BZ15=""),"",AVERAGE(IPC!CA15:CL15)/AVERAGE(IPC!BO15:BZ15)-1)</f>
        <v>6.1693244813987302E-3</v>
      </c>
      <c r="CM15" s="31">
        <f>IF(OR(IPC!CM15="",IPC!CA15=""),"",AVERAGE(IPC!CB15:CM15)/AVERAGE(IPC!BP15:CA15)-1)</f>
        <v>6.2815698778735385E-3</v>
      </c>
      <c r="CN15" s="31">
        <f>IF(OR(IPC!CN15="",IPC!CB15=""),"",AVERAGE(IPC!CC15:CN15)/AVERAGE(IPC!BQ15:CB15)-1)</f>
        <v>6.2846101373352781E-3</v>
      </c>
      <c r="CO15" s="31">
        <f>IF(OR(IPC!CO15="",IPC!CC15=""),"",AVERAGE(IPC!CD15:CO15)/AVERAGE(IPC!BR15:CC15)-1)</f>
        <v>6.7070734207677063E-3</v>
      </c>
      <c r="CP15" s="31">
        <f>IF(OR(IPC!CP15="",IPC!CD15=""),"",AVERAGE(IPC!CE15:CP15)/AVERAGE(IPC!BS15:CD15)-1)</f>
        <v>7.1357898250565821E-3</v>
      </c>
      <c r="CQ15" s="31">
        <f>IF(OR(IPC!CQ15="",IPC!CE15=""),"",AVERAGE(IPC!CF15:CQ15)/AVERAGE(IPC!BT15:CE15)-1)</f>
        <v>7.1042927589843874E-3</v>
      </c>
      <c r="CR15" s="31">
        <f>IF(OR(IPC!CR15="",IPC!CF15=""),"",AVERAGE(IPC!CG15:CR15)/AVERAGE(IPC!BU15:CF15)-1)</f>
        <v>7.5584591038049265E-3</v>
      </c>
      <c r="CS15" s="31">
        <f>IF(OR(IPC!CS15="",IPC!CG15=""),"",AVERAGE(IPC!CH15:CS15)/AVERAGE(IPC!BV15:CG15)-1)</f>
        <v>8.0287829452285742E-3</v>
      </c>
      <c r="CT15" s="31">
        <f>IF(OR(IPC!CT15="",IPC!CH15=""),"",AVERAGE(IPC!CI15:CT15)/AVERAGE(IPC!BW15:CH15)-1)</f>
        <v>8.118247417709501E-3</v>
      </c>
      <c r="CU15" s="31">
        <f>IF(OR(IPC!CU15="",IPC!CI15=""),"",AVERAGE(IPC!CJ15:CU15)/AVERAGE(IPC!BX15:CI15)-1)</f>
        <v>8.3676428390575541E-3</v>
      </c>
      <c r="CV15" s="31">
        <f>IF(OR(IPC!CV15="",IPC!CJ15=""),"",AVERAGE(IPC!CK15:CV15)/AVERAGE(IPC!BY15:CJ15)-1)</f>
        <v>8.5842406551455142E-3</v>
      </c>
      <c r="CW15" s="31">
        <f>IF(OR(IPC!CW15="",IPC!CK15=""),"",AVERAGE(IPC!CL15:CW15)/AVERAGE(IPC!BZ15:CK15)-1)</f>
        <v>8.9321871909293638E-3</v>
      </c>
      <c r="CX15" s="31">
        <f>IF(OR(IPC!CX15="",IPC!CL15=""),"",AVERAGE(IPC!CM15:CX15)/AVERAGE(IPC!CA15:CL15)-1)</f>
        <v>9.2324636292642204E-3</v>
      </c>
      <c r="CY15" s="31">
        <f>IF(OR(IPC!CY15="",IPC!CM15=""),"",AVERAGE(IPC!CN15:CY15)/AVERAGE(IPC!CB15:CM15)-1)</f>
        <v>9.9242593316162253E-3</v>
      </c>
      <c r="CZ15" s="31">
        <f>IF(OR(IPC!CZ15="",IPC!CN15=""),"",AVERAGE(IPC!CO15:CZ15)/AVERAGE(IPC!CC15:CN15)-1)</f>
        <v>1.059067098603883E-2</v>
      </c>
      <c r="DA15" s="31">
        <f>IF(OR(IPC!DA15="",IPC!CO15=""),"",AVERAGE(IPC!CP15:DA15)/AVERAGE(IPC!CD15:CO15)-1)</f>
        <v>1.065129494340078E-2</v>
      </c>
      <c r="DB15" s="31">
        <f>IF(OR(IPC!DB15="",IPC!CP15=""),"",AVERAGE(IPC!CQ15:DB15)/AVERAGE(IPC!CE15:CP15)-1)</f>
        <v>1.0559644465096829E-2</v>
      </c>
      <c r="DC15" s="31">
        <f>IF(OR(IPC!DC15="",IPC!CQ15=""),"",AVERAGE(IPC!CR15:DC15)/AVERAGE(IPC!CF15:CQ15)-1)</f>
        <v>1.0799535459905973E-2</v>
      </c>
      <c r="DD15" s="31">
        <f>IF(OR(IPC!DD15="",IPC!CR15=""),"",AVERAGE(IPC!CS15:DD15)/AVERAGE(IPC!CG15:CR15)-1)</f>
        <v>1.1136992754848585E-2</v>
      </c>
      <c r="DE15" s="31">
        <f>IF(OR(IPC!DE15="",IPC!CS15=""),"",AVERAGE(IPC!CT15:DE15)/AVERAGE(IPC!CH15:CS15)-1)</f>
        <v>1.1613130303337327E-2</v>
      </c>
      <c r="DF15" s="31">
        <f>IF(OR(IPC!DF15="",IPC!CT15=""),"",AVERAGE(IPC!CU15:DF15)/AVERAGE(IPC!CI15:CT15)-1)</f>
        <v>1.2246656317438154E-2</v>
      </c>
      <c r="DG15" s="31">
        <f>IF(OR(IPC!DG15="",IPC!CU15=""),"",AVERAGE(IPC!CV15:DG15)/AVERAGE(IPC!CJ15:CU15)-1)</f>
        <v>1.2926689263133895E-2</v>
      </c>
      <c r="DH15" s="31">
        <f>IF(OR(IPC!DH15="",IPC!CV15=""),"",AVERAGE(IPC!CW15:DH15)/AVERAGE(IPC!CK15:CV15)-1)</f>
        <v>1.3622515896924758E-2</v>
      </c>
      <c r="DI15" s="31">
        <f>IF(OR(IPC!DI15="",IPC!CW15=""),"",AVERAGE(IPC!CX15:DI15)/AVERAGE(IPC!CL15:CW15)-1)</f>
        <v>1.4299412450216931E-2</v>
      </c>
      <c r="DJ15" s="31">
        <f>IF(OR(IPC!DJ15="",IPC!CX15=""),"",AVERAGE(IPC!CY15:DJ15)/AVERAGE(IPC!CM15:CX15)-1)</f>
        <v>1.4289949681560055E-2</v>
      </c>
      <c r="DK15" s="31">
        <f>IF(OR(IPC!DK15="",IPC!CY15=""),"",AVERAGE(IPC!CZ15:DK15)/AVERAGE(IPC!CN15:CY15)-1)</f>
        <v>1.4631996350359167E-2</v>
      </c>
      <c r="DL15" s="31">
        <f>IF(OR(IPC!DL15="",IPC!CZ15=""),"",AVERAGE(IPC!DA15:DL15)/AVERAGE(IPC!CO15:CZ15)-1)</f>
        <v>1.4916276641574688E-2</v>
      </c>
      <c r="DM15" s="31">
        <f>IF(OR(IPC!DM15="",IPC!DA15=""),"",AVERAGE(IPC!DB15:DM15)/AVERAGE(IPC!CP15:DA15)-1)</f>
        <v>1.5276964991813191E-2</v>
      </c>
      <c r="DN15" s="31">
        <f>IF(OR(IPC!DN15="",IPC!DB15=""),"",AVERAGE(IPC!DC15:DN15)/AVERAGE(IPC!CQ15:DB15)-1)</f>
        <v>1.5623359557716432E-2</v>
      </c>
      <c r="DO15" s="31">
        <f>IF(OR(IPC!DO15="",IPC!DC15=""),"",AVERAGE(IPC!DD15:DO15)/AVERAGE(IPC!CR15:DC15)-1)</f>
        <v>1.5733290740570505E-2</v>
      </c>
      <c r="DP15" s="31">
        <f>IF(OR(IPC!DP15="",IPC!DD15=""),"",AVERAGE(IPC!DE15:DP15)/AVERAGE(IPC!CS15:DD15)-1)</f>
        <v>1.5696500587259354E-2</v>
      </c>
      <c r="DQ15" s="31">
        <f>IF(OR(IPC!DQ15="",IPC!DE15=""),"",AVERAGE(IPC!DF15:DQ15)/AVERAGE(IPC!CT15:DE15)-1)</f>
        <v>1.5550188525394582E-2</v>
      </c>
      <c r="DR15" s="31">
        <f>IF(OR(IPC!DR15="",IPC!DF15=""),"",AVERAGE(IPC!DG15:DR15)/AVERAGE(IPC!CU15:DF15)-1)</f>
        <v>1.5586908060225557E-2</v>
      </c>
      <c r="DS15" s="31">
        <f>IF(OR(IPC!DS15="",IPC!DG15=""),"",AVERAGE(IPC!DH15:DS15)/AVERAGE(IPC!CV15:DG15)-1)</f>
        <v>1.5549745508523616E-2</v>
      </c>
      <c r="DT15" s="31">
        <f>IF(OR(IPC!DT15="",IPC!DH15=""),"",AVERAGE(IPC!DI15:DT15)/AVERAGE(IPC!CW15:DH15)-1)</f>
        <v>1.5451527994260639E-2</v>
      </c>
      <c r="DU15" s="31">
        <f>IF(OR(IPC!DU15="",IPC!DI15=""),"",AVERAGE(IPC!DJ15:DU15)/AVERAGE(IPC!CX15:DI15)-1)</f>
        <v>1.539077204965178E-2</v>
      </c>
      <c r="DV15" s="31">
        <f>IF(OR(IPC!DV15="",IPC!DJ15=""),"",AVERAGE(IPC!DK15:DV15)/AVERAGE(IPC!CY15:DJ15)-1)</f>
        <v>1.5648149591075411E-2</v>
      </c>
      <c r="DW15" s="31">
        <f>IF(OR(IPC!DW15="",IPC!DK15=""),"",AVERAGE(IPC!DL15:DW15)/AVERAGE(IPC!CZ15:DK15)-1)</f>
        <v>1.4594311542043492E-2</v>
      </c>
      <c r="DX15" s="31">
        <f>IF(OR(IPC!DX15="",IPC!DL15=""),"",AVERAGE(IPC!DM15:DX15)/AVERAGE(IPC!DA15:DL15)-1)</f>
        <v>1.3487575435676025E-2</v>
      </c>
      <c r="DY15" s="31">
        <f>IF(OR(IPC!DY15="",IPC!DM15=""),"",AVERAGE(IPC!DN15:DY15)/AVERAGE(IPC!DB15:DM15)-1)</f>
        <v>1.237225355538607E-2</v>
      </c>
      <c r="DZ15" s="31">
        <f>IF(OR(IPC!DZ15="",IPC!DN15=""),"",AVERAGE(IPC!DO15:DZ15)/AVERAGE(IPC!DC15:DN15)-1)</f>
        <v>1.1671639396423128E-2</v>
      </c>
      <c r="EA15" s="31">
        <f>IF(OR(IPC!EA15="",IPC!DO15=""),"",AVERAGE(IPC!DP15:EA15)/AVERAGE(IPC!DD15:DO15)-1)</f>
        <v>1.1293142334303008E-2</v>
      </c>
      <c r="EB15" s="31">
        <f>IF(OR(IPC!EB15="",IPC!DP15=""),"",AVERAGE(IPC!DQ15:EB15)/AVERAGE(IPC!DE15:DP15)-1)</f>
        <v>1.0920074811064939E-2</v>
      </c>
      <c r="EC15" s="31">
        <f>IF(OR(IPC!EC15="",IPC!DQ15=""),"",AVERAGE(IPC!DR15:EC15)/AVERAGE(IPC!DF15:DQ15)-1)</f>
        <v>1.0472043619509153E-2</v>
      </c>
      <c r="ED15" s="31">
        <f>IF(OR(IPC!ED15="",IPC!DR15=""),"",AVERAGE(IPC!DS15:ED15)/AVERAGE(IPC!DG15:DR15)-1)</f>
        <v>9.8513405734894643E-3</v>
      </c>
      <c r="EE15" s="31">
        <f>IF(OR(IPC!EE15="",IPC!DS15=""),"",AVERAGE(IPC!DT15:EE15)/AVERAGE(IPC!DH15:DS15)-1)</f>
        <v>9.597202959610529E-3</v>
      </c>
      <c r="EF15" s="31">
        <f>IF(OR(IPC!EF15="",IPC!DT15=""),"",AVERAGE(IPC!DU15:EF15)/AVERAGE(IPC!DI15:DT15)-1)</f>
        <v>9.421824190593231E-3</v>
      </c>
      <c r="EG15" s="31">
        <f>IF(OR(IPC!EG15="",IPC!DU15=""),"",AVERAGE(IPC!DV15:EG15)/AVERAGE(IPC!DJ15:DU15)-1)</f>
        <v>9.2843383397691603E-3</v>
      </c>
      <c r="EH15" s="31">
        <f>IF(OR(IPC!EH15="",IPC!DV15=""),"",AVERAGE(IPC!DW15:EH15)/AVERAGE(IPC!DK15:DV15)-1)</f>
        <v>9.2194171582780093E-3</v>
      </c>
      <c r="EI15" s="31">
        <f>IF(OR(IPC!EI15="",IPC!DW15=""),"",AVERAGE(IPC!DX15:EI15)/AVERAGE(IPC!DL15:DW15)-1)</f>
        <v>1.0098074832005199E-2</v>
      </c>
      <c r="EJ15" s="31">
        <f>IF(OR(IPC!EJ15="",IPC!DX15=""),"",AVERAGE(IPC!DY15:EJ15)/AVERAGE(IPC!DM15:DX15)-1)</f>
        <v>1.1357887276348233E-2</v>
      </c>
      <c r="EK15" s="31">
        <f>IF(OR(IPC!EK15="",IPC!DY15=""),"",AVERAGE(IPC!DZ15:EK15)/AVERAGE(IPC!DN15:DY15)-1)</f>
        <v>1.2728569203209972E-2</v>
      </c>
      <c r="EL15" s="31">
        <f>IF(OR(IPC!EL15="",IPC!DZ15=""),"",AVERAGE(IPC!EA15:EL15)/AVERAGE(IPC!DO15:DZ15)-1)</f>
        <v>1.3819543934004308E-2</v>
      </c>
      <c r="EM15" s="31">
        <f>IF(OR(IPC!EM15="",IPC!EA15=""),"",AVERAGE(IPC!EB15:EM15)/AVERAGE(IPC!DP15:EA15)-1)</f>
        <v>1.4328917991124346E-2</v>
      </c>
      <c r="EN15" s="31">
        <f>IF(OR(IPC!EN15="",IPC!EB15=""),"",AVERAGE(IPC!EC15:EN15)/AVERAGE(IPC!DQ15:EB15)-1)</f>
        <v>1.5016720385037097E-2</v>
      </c>
      <c r="EO15" s="31">
        <f>IF(OR(IPC!EO15="",IPC!EC15=""),"",AVERAGE(IPC!ED15:EO15)/AVERAGE(IPC!DR15:EC15)-1)</f>
        <v>1.5706973722119599E-2</v>
      </c>
      <c r="EP15" s="31">
        <f>IF(OR(IPC!EP15="",IPC!ED15=""),"",AVERAGE(IPC!EE15:EP15)/AVERAGE(IPC!DS15:ED15)-1)</f>
        <v>1.6485371500430723E-2</v>
      </c>
      <c r="EQ15" s="31">
        <f>IF(OR(IPC!EQ15="",IPC!EE15=""),"",AVERAGE(IPC!EF15:EQ15)/AVERAGE(IPC!DT15:EE15)-1)</f>
        <v>1.6966884277255678E-2</v>
      </c>
      <c r="ER15" s="31">
        <f>IF(OR(IPC!ER15="",IPC!EF15=""),"",AVERAGE(IPC!EG15:ER15)/AVERAGE(IPC!DU15:EF15)-1)</f>
        <v>1.7372262303982922E-2</v>
      </c>
      <c r="ES15" s="31">
        <f>IF(OR(IPC!ES15="",IPC!EG15=""),"",AVERAGE(IPC!EH15:ES15)/AVERAGE(IPC!DV15:EG15)-1)</f>
        <v>1.7794678884256454E-2</v>
      </c>
      <c r="ET15" s="31">
        <f>IF(OR(IPC!ET15="",IPC!EH15=""),"",AVERAGE(IPC!EI15:ET15)/AVERAGE(IPC!DW15:EH15)-1)</f>
        <v>1.8192565969007646E-2</v>
      </c>
      <c r="EU15" s="31">
        <f>IF(OR(IPC!EU15="",IPC!EI15=""),"",AVERAGE(IPC!EJ15:EU15)/AVERAGE(IPC!DX15:EI15)-1)</f>
        <v>1.8210745179614296E-2</v>
      </c>
      <c r="EV15" s="31">
        <f>IF(OR(IPC!EV15="",IPC!EJ15=""),"",AVERAGE(IPC!EK15:EV15)/AVERAGE(IPC!DY15:EJ15)-1)</f>
        <v>1.788446228881857E-2</v>
      </c>
      <c r="EW15" s="31">
        <f>IF(OR(IPC!EW15="",IPC!EK15=""),"",AVERAGE(IPC!EL15:EW15)/AVERAGE(IPC!DZ15:EK15)-1)</f>
        <v>1.7520574216581597E-2</v>
      </c>
      <c r="EX15" s="31">
        <f>IF(OR(IPC!EX15="",IPC!EL15=""),"",AVERAGE(IPC!EM15:EX15)/AVERAGE(IPC!EA15:EL15)-1)</f>
        <v>1.6973681328836365E-2</v>
      </c>
      <c r="EY15" s="31">
        <f>IF(OR(IPC!EY15="",IPC!EM15=""),"",AVERAGE(IPC!EN15:EY15)/AVERAGE(IPC!EB15:EM15)-1)</f>
        <v>1.760720918652936E-2</v>
      </c>
      <c r="EZ15" s="31">
        <f>IF(OR(IPC!EZ15="",IPC!EN15=""),"",AVERAGE(IPC!EO15:EZ15)/AVERAGE(IPC!EC15:EN15)-1)</f>
        <v>1.8176806075605789E-2</v>
      </c>
      <c r="FA15" s="31">
        <f>IF(OR(IPC!FA15="",IPC!EO15=""),"",AVERAGE(IPC!EP15:FA15)/AVERAGE(IPC!ED15:EO15)-1)</f>
        <v>1.8752910886293828E-2</v>
      </c>
      <c r="FB15" s="31">
        <f>IF(OR(IPC!FB15="",IPC!EP15=""),"",AVERAGE(IPC!EQ15:FB15)/AVERAGE(IPC!EE15:EP15)-1)</f>
        <v>1.8875739373922062E-2</v>
      </c>
      <c r="FC15" s="31">
        <f>IF(OR(IPC!FC15="",IPC!EQ15=""),"",AVERAGE(IPC!ER15:FC15)/AVERAGE(IPC!EF15:EQ15)-1)</f>
        <v>1.8727114646699405E-2</v>
      </c>
      <c r="FD15" s="31">
        <f>IF(OR(IPC!FD15="",IPC!ER15=""),"",AVERAGE(IPC!ES15:FD15)/AVERAGE(IPC!EG15:ER15)-1)</f>
        <v>1.8456890852593943E-2</v>
      </c>
      <c r="FE15" s="31">
        <f>IF(OR(IPC!FE15="",IPC!ES15=""),"",AVERAGE(IPC!ET15:FE15)/AVERAGE(IPC!EH15:ES15)-1)</f>
        <v>1.8038169806634308E-2</v>
      </c>
      <c r="FF15" s="31">
        <f>IF(OR(IPC!FF15="",IPC!ET15=""),"",AVERAGE(IPC!EU15:FF15)/AVERAGE(IPC!EI15:ET15)-1)</f>
        <v>1.7419768799406654E-2</v>
      </c>
      <c r="FG15" s="31">
        <f>IF(OR(IPC!FG15="",IPC!EU15=""),"",AVERAGE(IPC!EV15:FG15)/AVERAGE(IPC!EJ15:EU15)-1)</f>
        <v>1.6954119649105648E-2</v>
      </c>
      <c r="FH15" s="31">
        <f>IF(OR(IPC!FH15="",IPC!EV15=""),"",AVERAGE(IPC!EW15:FH15)/AVERAGE(IPC!EK15:EV15)-1)</f>
        <v>1.6543443824794446E-2</v>
      </c>
      <c r="FI15" s="31">
        <f>IF(OR(IPC!FI15="",IPC!EW15=""),"",AVERAGE(IPC!EX15:FI15)/AVERAGE(IPC!EL15:EW15)-1)</f>
        <v>1.5965440748545667E-2</v>
      </c>
      <c r="FJ15" s="31">
        <f>IF(OR(IPC!FJ15="",IPC!EX15=""),"",AVERAGE(IPC!EY15:FJ15)/AVERAGE(IPC!EM15:EX15)-1)</f>
        <v>1.5342048256414831E-2</v>
      </c>
      <c r="FK15" s="31">
        <f>IF(OR(IPC!FK15="",IPC!EY15=""),"",AVERAGE(IPC!EZ15:FK15)/AVERAGE(IPC!EN15:EY15)-1)</f>
        <v>1.3954540984012054E-2</v>
      </c>
      <c r="FL15" s="31">
        <f>IF(OR(IPC!FL15="",IPC!EZ15=""),"",AVERAGE(IPC!FA15:FL15)/AVERAGE(IPC!EO15:EZ15)-1)</f>
        <v>1.2240153928047004E-2</v>
      </c>
      <c r="FM15" s="31">
        <f>IF(OR(IPC!FM15="",IPC!FA15=""),"",AVERAGE(IPC!FB15:FM15)/AVERAGE(IPC!EP15:FA15)-1)</f>
        <v>1.0637839233566648E-2</v>
      </c>
      <c r="FN15" s="31">
        <f>IF(OR(IPC!FN15="",IPC!FB15=""),"",AVERAGE(IPC!FC15:FN15)/AVERAGE(IPC!EQ15:FB15)-1)</f>
        <v>9.406849003947837E-3</v>
      </c>
      <c r="FO15" s="31">
        <f>IF(OR(IPC!FO15="",IPC!FC15=""),"",AVERAGE(IPC!FD15:FO15)/AVERAGE(IPC!ER15:FC15)-1)</f>
        <v>8.3945436202725876E-3</v>
      </c>
      <c r="FP15" s="31">
        <f>IF(OR(IPC!FP15="",IPC!FD15=""),"",AVERAGE(IPC!FE15:FP15)/AVERAGE(IPC!ES15:FD15)-1)</f>
        <v>7.4818612768470238E-3</v>
      </c>
      <c r="FQ15" s="31">
        <f>IF(OR(IPC!FQ15="",IPC!FE15=""),"",AVERAGE(IPC!FF15:FQ15)/AVERAGE(IPC!ET15:FE15)-1)</f>
        <v>6.6613931676524629E-3</v>
      </c>
      <c r="FR15" s="31">
        <f>IF(OR(IPC!FR15="",IPC!FF15=""),"",AVERAGE(IPC!FG15:FR15)/AVERAGE(IPC!EU15:FF15)-1)</f>
        <v>5.9844913805182642E-3</v>
      </c>
    </row>
    <row r="16" spans="1:174" s="1" customFormat="1" ht="10.199999999999999" x14ac:dyDescent="0.2">
      <c r="A16" s="11">
        <v>10</v>
      </c>
      <c r="B16" s="1" t="s">
        <v>27</v>
      </c>
      <c r="C16" s="5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>
        <f>IF(OR(IPC!AN16="",IPC!AB16=""),"",AVERAGE(IPC!AC16:AN16)/AVERAGE(IPC!Q16:AB16)-1)</f>
        <v>2.6728434678981783E-2</v>
      </c>
      <c r="AO16" s="31">
        <f>IF(OR(IPC!AO16="",IPC!AC16=""),"",AVERAGE(IPC!AD16:AO16)/AVERAGE(IPC!R16:AC16)-1)</f>
        <v>2.3258838355826539E-2</v>
      </c>
      <c r="AP16" s="31">
        <f>IF(OR(IPC!AP16="",IPC!AD16=""),"",AVERAGE(IPC!AE16:AP16)/AVERAGE(IPC!S16:AD16)-1)</f>
        <v>1.9852020687983529E-2</v>
      </c>
      <c r="AQ16" s="31">
        <f>IF(OR(IPC!AQ16="",IPC!AE16=""),"",AVERAGE(IPC!AF16:AQ16)/AVERAGE(IPC!T16:AE16)-1)</f>
        <v>1.6530284111309301E-2</v>
      </c>
      <c r="AR16" s="31">
        <f>IF(OR(IPC!AR16="",IPC!AF16=""),"",AVERAGE(IPC!AG16:AR16)/AVERAGE(IPC!U16:AF16)-1)</f>
        <v>1.3552111941731004E-2</v>
      </c>
      <c r="AS16" s="31">
        <f>IF(OR(IPC!AS16="",IPC!AG16=""),"",AVERAGE(IPC!AH16:AS16)/AVERAGE(IPC!V16:AG16)-1)</f>
        <v>1.0516342158478853E-2</v>
      </c>
      <c r="AT16" s="31">
        <f>IF(OR(IPC!AT16="",IPC!AH16=""),"",AVERAGE(IPC!AI16:AT16)/AVERAGE(IPC!W16:AH16)-1)</f>
        <v>8.3194909454586963E-3</v>
      </c>
      <c r="AU16" s="31">
        <f>IF(OR(IPC!AU16="",IPC!AI16=""),"",AVERAGE(IPC!AJ16:AU16)/AVERAGE(IPC!X16:AI16)-1)</f>
        <v>8.2289662600494307E-3</v>
      </c>
      <c r="AV16" s="31">
        <f>IF(OR(IPC!AV16="",IPC!AJ16=""),"",AVERAGE(IPC!AK16:AV16)/AVERAGE(IPC!Y16:AJ16)-1)</f>
        <v>8.5776033834772392E-3</v>
      </c>
      <c r="AW16" s="31">
        <f>IF(OR(IPC!AW16="",IPC!AK16=""),"",AVERAGE(IPC!AL16:AW16)/AVERAGE(IPC!Z16:AK16)-1)</f>
        <v>9.0646577949275997E-3</v>
      </c>
      <c r="AX16" s="31">
        <f>IF(OR(IPC!AX16="",IPC!AL16=""),"",AVERAGE(IPC!AM16:AX16)/AVERAGE(IPC!AA16:AL16)-1)</f>
        <v>9.8352937511876348E-3</v>
      </c>
      <c r="AY16" s="31">
        <f>IF(OR(IPC!AY16="",IPC!AM16=""),"",AVERAGE(IPC!AN16:AY16)/AVERAGE(IPC!AB16:AM16)-1)</f>
        <v>1.0613836404758326E-2</v>
      </c>
      <c r="AZ16" s="31">
        <f>IF(OR(IPC!AZ16="",IPC!AN16=""),"",AVERAGE(IPC!AO16:AZ16)/AVERAGE(IPC!AC16:AN16)-1)</f>
        <v>1.1405362680519282E-2</v>
      </c>
      <c r="BA16" s="31">
        <f>IF(OR(IPC!BA16="",IPC!AO16=""),"",AVERAGE(IPC!AP16:BA16)/AVERAGE(IPC!AD16:AO16)-1)</f>
        <v>1.2398406448843158E-2</v>
      </c>
      <c r="BB16" s="31">
        <f>IF(OR(IPC!BB16="",IPC!AP16=""),"",AVERAGE(IPC!AQ16:BB16)/AVERAGE(IPC!AE16:AP16)-1)</f>
        <v>1.3313131654862476E-2</v>
      </c>
      <c r="BC16" s="31">
        <f>IF(OR(IPC!BC16="",IPC!AQ16=""),"",AVERAGE(IPC!AR16:BC16)/AVERAGE(IPC!AF16:AQ16)-1)</f>
        <v>1.4049014550542305E-2</v>
      </c>
      <c r="BD16" s="31">
        <f>IF(OR(IPC!BD16="",IPC!AR16=""),"",AVERAGE(IPC!AS16:BD16)/AVERAGE(IPC!AG16:AR16)-1)</f>
        <v>1.4686734462993956E-2</v>
      </c>
      <c r="BE16" s="31">
        <f>IF(OR(IPC!BE16="",IPC!AS16=""),"",AVERAGE(IPC!AT16:BE16)/AVERAGE(IPC!AH16:AS16)-1)</f>
        <v>1.5643381267770096E-2</v>
      </c>
      <c r="BF16" s="31">
        <f>IF(OR(IPC!BF16="",IPC!AT16=""),"",AVERAGE(IPC!AU16:BF16)/AVERAGE(IPC!AI16:AT16)-1)</f>
        <v>1.5932291314801006E-2</v>
      </c>
      <c r="BG16" s="31">
        <f>IF(OR(IPC!BG16="",IPC!AU16=""),"",AVERAGE(IPC!AV16:BG16)/AVERAGE(IPC!AJ16:AU16)-1)</f>
        <v>1.643172758929845E-2</v>
      </c>
      <c r="BH16" s="31">
        <f>IF(OR(IPC!BH16="",IPC!AV16=""),"",AVERAGE(IPC!AW16:BH16)/AVERAGE(IPC!AK16:AV16)-1)</f>
        <v>1.7779457358098716E-2</v>
      </c>
      <c r="BI16" s="31">
        <f>IF(OR(IPC!BI16="",IPC!AW16=""),"",AVERAGE(IPC!AX16:BI16)/AVERAGE(IPC!AL16:AW16)-1)</f>
        <v>1.9574732199975742E-2</v>
      </c>
      <c r="BJ16" s="31">
        <f>IF(OR(IPC!BJ16="",IPC!AX16=""),"",AVERAGE(IPC!AY16:BJ16)/AVERAGE(IPC!AM16:AX16)-1)</f>
        <v>2.0737969387928601E-2</v>
      </c>
      <c r="BK16" s="31">
        <f>IF(OR(IPC!BK16="",IPC!AY16=""),"",AVERAGE(IPC!AZ16:BK16)/AVERAGE(IPC!AN16:AY16)-1)</f>
        <v>2.2156527111335089E-2</v>
      </c>
      <c r="BL16" s="31">
        <f>IF(OR(IPC!BL16="",IPC!AZ16=""),"",AVERAGE(IPC!BA16:BL16)/AVERAGE(IPC!AO16:AZ16)-1)</f>
        <v>2.3410714648394615E-2</v>
      </c>
      <c r="BM16" s="31">
        <f>IF(OR(IPC!BM16="",IPC!BA16=""),"",AVERAGE(IPC!BB16:BM16)/AVERAGE(IPC!AP16:BA16)-1)</f>
        <v>2.4516593731070069E-2</v>
      </c>
      <c r="BN16" s="31">
        <f>IF(OR(IPC!BN16="",IPC!BB16=""),"",AVERAGE(IPC!BC16:BN16)/AVERAGE(IPC!AQ16:BB16)-1)</f>
        <v>2.5997064827301353E-2</v>
      </c>
      <c r="BO16" s="31">
        <f>IF(OR(IPC!BO16="",IPC!BC16=""),"",AVERAGE(IPC!BD16:BO16)/AVERAGE(IPC!AR16:BC16)-1)</f>
        <v>2.7663378156984164E-2</v>
      </c>
      <c r="BP16" s="31">
        <f>IF(OR(IPC!BP16="",IPC!BD16=""),"",AVERAGE(IPC!BE16:BP16)/AVERAGE(IPC!AS16:BD16)-1)</f>
        <v>2.9344491264814421E-2</v>
      </c>
      <c r="BQ16" s="31">
        <f>IF(OR(IPC!BQ16="",IPC!BE16=""),"",AVERAGE(IPC!BF16:BQ16)/AVERAGE(IPC!AT16:BE16)-1)</f>
        <v>3.0680779858645479E-2</v>
      </c>
      <c r="BR16" s="31">
        <f>IF(OR(IPC!BR16="",IPC!BF16=""),"",AVERAGE(IPC!BG16:BR16)/AVERAGE(IPC!AU16:BF16)-1)</f>
        <v>3.2700586897279171E-2</v>
      </c>
      <c r="BS16" s="31">
        <f>IF(OR(IPC!BS16="",IPC!BG16=""),"",AVERAGE(IPC!BH16:BS16)/AVERAGE(IPC!AV16:BG16)-1)</f>
        <v>3.3282290931380354E-2</v>
      </c>
      <c r="BT16" s="31">
        <f>IF(OR(IPC!BT16="",IPC!BH16=""),"",AVERAGE(IPC!BI16:BT16)/AVERAGE(IPC!AW16:BH16)-1)</f>
        <v>3.2185225644574933E-2</v>
      </c>
      <c r="BU16" s="31">
        <f>IF(OR(IPC!BU16="",IPC!BI16=""),"",AVERAGE(IPC!BJ16:BU16)/AVERAGE(IPC!AX16:BI16)-1)</f>
        <v>2.9771137714462936E-2</v>
      </c>
      <c r="BV16" s="31">
        <f>IF(OR(IPC!BV16="",IPC!BJ16=""),"",AVERAGE(IPC!BK16:BV16)/AVERAGE(IPC!AY16:BJ16)-1)</f>
        <v>2.7933516559703664E-2</v>
      </c>
      <c r="BW16" s="31">
        <f>IF(OR(IPC!BW16="",IPC!BK16=""),"",AVERAGE(IPC!BL16:BW16)/AVERAGE(IPC!AZ16:BK16)-1)</f>
        <v>2.6054954659614715E-2</v>
      </c>
      <c r="BX16" s="31">
        <f>IF(OR(IPC!BX16="",IPC!BL16=""),"",AVERAGE(IPC!BM16:BX16)/AVERAGE(IPC!BA16:BL16)-1)</f>
        <v>2.4436777434047707E-2</v>
      </c>
      <c r="BY16" s="31">
        <f>IF(OR(IPC!BY16="",IPC!BM16=""),"",AVERAGE(IPC!BN16:BY16)/AVERAGE(IPC!BB16:BM16)-1)</f>
        <v>2.2726700888482609E-2</v>
      </c>
      <c r="BZ16" s="31">
        <f>IF(OR(IPC!BZ16="",IPC!BN16=""),"",AVERAGE(IPC!BO16:BZ16)/AVERAGE(IPC!BC16:BN16)-1)</f>
        <v>2.0489171306487863E-2</v>
      </c>
      <c r="CA16" s="31">
        <f>IF(OR(IPC!CA16="",IPC!BO16=""),"",AVERAGE(IPC!BP16:CA16)/AVERAGE(IPC!BD16:BO16)-1)</f>
        <v>1.8415821096814611E-2</v>
      </c>
      <c r="CB16" s="31">
        <f>IF(OR(IPC!CB16="",IPC!BP16=""),"",AVERAGE(IPC!BQ16:CB16)/AVERAGE(IPC!BE16:BP16)-1)</f>
        <v>1.6384696373801244E-2</v>
      </c>
      <c r="CC16" s="31">
        <f>IF(OR(IPC!CC16="",IPC!BQ16=""),"",AVERAGE(IPC!BR16:CC16)/AVERAGE(IPC!BF16:BQ16)-1)</f>
        <v>1.4272245399686412E-2</v>
      </c>
      <c r="CD16" s="31">
        <f>IF(OR(IPC!CD16="",IPC!BR16=""),"",AVERAGE(IPC!BS16:CD16)/AVERAGE(IPC!BG16:BR16)-1)</f>
        <v>1.1556426553194443E-2</v>
      </c>
      <c r="CE16" s="31">
        <f>IF(OR(IPC!CE16="",IPC!BS16=""),"",AVERAGE(IPC!BT16:CE16)/AVERAGE(IPC!BH16:BS16)-1)</f>
        <v>9.8747594936847705E-3</v>
      </c>
      <c r="CF16" s="31">
        <f>IF(OR(IPC!CF16="",IPC!BT16=""),"",AVERAGE(IPC!BU16:CF16)/AVERAGE(IPC!BI16:BT16)-1)</f>
        <v>8.8896705588068503E-3</v>
      </c>
      <c r="CG16" s="31">
        <f>IF(OR(IPC!CG16="",IPC!BU16=""),"",AVERAGE(IPC!BV16:CG16)/AVERAGE(IPC!BJ16:BU16)-1)</f>
        <v>9.5104010375670622E-3</v>
      </c>
      <c r="CH16" s="31">
        <f>IF(OR(IPC!CH16="",IPC!BV16=""),"",AVERAGE(IPC!BW16:CH16)/AVERAGE(IPC!BK16:BV16)-1)</f>
        <v>9.8038666095565663E-3</v>
      </c>
      <c r="CI16" s="31">
        <f>IF(OR(IPC!CI16="",IPC!BW16=""),"",AVERAGE(IPC!BX16:CI16)/AVERAGE(IPC!BL16:BW16)-1)</f>
        <v>9.9622595998405394E-3</v>
      </c>
      <c r="CJ16" s="31">
        <f>IF(OR(IPC!CJ16="",IPC!BX16=""),"",AVERAGE(IPC!BY16:CJ16)/AVERAGE(IPC!BM16:BX16)-1)</f>
        <v>9.7840875556229889E-3</v>
      </c>
      <c r="CK16" s="31">
        <f>IF(OR(IPC!CK16="",IPC!BY16=""),"",AVERAGE(IPC!BZ16:CK16)/AVERAGE(IPC!BN16:BY16)-1)</f>
        <v>9.9225708318031458E-3</v>
      </c>
      <c r="CL16" s="31">
        <f>IF(OR(IPC!CL16="",IPC!BZ16=""),"",AVERAGE(IPC!CA16:CL16)/AVERAGE(IPC!BO16:BZ16)-1)</f>
        <v>1.0257767727290812E-2</v>
      </c>
      <c r="CM16" s="31">
        <f>IF(OR(IPC!CM16="",IPC!CA16=""),"",AVERAGE(IPC!CB16:CM16)/AVERAGE(IPC!BP16:CA16)-1)</f>
        <v>1.0185201770778418E-2</v>
      </c>
      <c r="CN16" s="31">
        <f>IF(OR(IPC!CN16="",IPC!CB16=""),"",AVERAGE(IPC!CC16:CN16)/AVERAGE(IPC!BQ16:CB16)-1)</f>
        <v>1.0163266588620878E-2</v>
      </c>
      <c r="CO16" s="31">
        <f>IF(OR(IPC!CO16="",IPC!CC16=""),"",AVERAGE(IPC!CD16:CO16)/AVERAGE(IPC!BR16:CC16)-1)</f>
        <v>1.0283955519825527E-2</v>
      </c>
      <c r="CP16" s="31">
        <f>IF(OR(IPC!CP16="",IPC!CD16=""),"",AVERAGE(IPC!CE16:CP16)/AVERAGE(IPC!BS16:CD16)-1)</f>
        <v>1.0712201561092538E-2</v>
      </c>
      <c r="CQ16" s="31">
        <f>IF(OR(IPC!CQ16="",IPC!CE16=""),"",AVERAGE(IPC!CF16:CQ16)/AVERAGE(IPC!BT16:CE16)-1)</f>
        <v>1.1205654796457631E-2</v>
      </c>
      <c r="CR16" s="31">
        <f>IF(OR(IPC!CR16="",IPC!CF16=""),"",AVERAGE(IPC!CG16:CR16)/AVERAGE(IPC!BU16:CF16)-1)</f>
        <v>1.1698890755331259E-2</v>
      </c>
      <c r="CS16" s="31">
        <f>IF(OR(IPC!CS16="",IPC!CG16=""),"",AVERAGE(IPC!CH16:CS16)/AVERAGE(IPC!BV16:CG16)-1)</f>
        <v>1.1660401182189251E-2</v>
      </c>
      <c r="CT16" s="31">
        <f>IF(OR(IPC!CT16="",IPC!CH16=""),"",AVERAGE(IPC!CI16:CT16)/AVERAGE(IPC!BW16:CH16)-1)</f>
        <v>1.1941256897222141E-2</v>
      </c>
      <c r="CU16" s="31">
        <f>IF(OR(IPC!CU16="",IPC!CI16=""),"",AVERAGE(IPC!CJ16:CU16)/AVERAGE(IPC!BX16:CI16)-1)</f>
        <v>1.2243874345698069E-2</v>
      </c>
      <c r="CV16" s="31">
        <f>IF(OR(IPC!CV16="",IPC!CJ16=""),"",AVERAGE(IPC!CK16:CV16)/AVERAGE(IPC!BY16:CJ16)-1)</f>
        <v>1.2707943393618581E-2</v>
      </c>
      <c r="CW16" s="31">
        <f>IF(OR(IPC!CW16="",IPC!CK16=""),"",AVERAGE(IPC!CL16:CW16)/AVERAGE(IPC!BZ16:CK16)-1)</f>
        <v>1.2922655182587617E-2</v>
      </c>
      <c r="CX16" s="31">
        <f>IF(OR(IPC!CX16="",IPC!CL16=""),"",AVERAGE(IPC!CM16:CX16)/AVERAGE(IPC!CA16:CL16)-1)</f>
        <v>1.3152705647072604E-2</v>
      </c>
      <c r="CY16" s="31">
        <f>IF(OR(IPC!CY16="",IPC!CM16=""),"",AVERAGE(IPC!CN16:CY16)/AVERAGE(IPC!CB16:CM16)-1)</f>
        <v>1.3607066029701187E-2</v>
      </c>
      <c r="CZ16" s="31">
        <f>IF(OR(IPC!CZ16="",IPC!CN16=""),"",AVERAGE(IPC!CO16:CZ16)/AVERAGE(IPC!CC16:CN16)-1)</f>
        <v>1.398506065669558E-2</v>
      </c>
      <c r="DA16" s="31">
        <f>IF(OR(IPC!DA16="",IPC!CO16=""),"",AVERAGE(IPC!CP16:DA16)/AVERAGE(IPC!CD16:CO16)-1)</f>
        <v>1.4372257479947637E-2</v>
      </c>
      <c r="DB16" s="31">
        <f>IF(OR(IPC!DB16="",IPC!CP16=""),"",AVERAGE(IPC!CQ16:DB16)/AVERAGE(IPC!CE16:CP16)-1)</f>
        <v>1.464307817211985E-2</v>
      </c>
      <c r="DC16" s="31">
        <f>IF(OR(IPC!DC16="",IPC!CQ16=""),"",AVERAGE(IPC!CR16:DC16)/AVERAGE(IPC!CF16:CQ16)-1)</f>
        <v>1.4660240355943044E-2</v>
      </c>
      <c r="DD16" s="31">
        <f>IF(OR(IPC!DD16="",IPC!CR16=""),"",AVERAGE(IPC!CS16:DD16)/AVERAGE(IPC!CG16:CR16)-1)</f>
        <v>1.4302862685905193E-2</v>
      </c>
      <c r="DE16" s="31">
        <f>IF(OR(IPC!DE16="",IPC!CS16=""),"",AVERAGE(IPC!CT16:DE16)/AVERAGE(IPC!CH16:CS16)-1)</f>
        <v>1.3808635288806714E-2</v>
      </c>
      <c r="DF16" s="31">
        <f>IF(OR(IPC!DF16="",IPC!CT16=""),"",AVERAGE(IPC!CU16:DF16)/AVERAGE(IPC!CI16:CT16)-1)</f>
        <v>1.2938323245261119E-2</v>
      </c>
      <c r="DG16" s="31">
        <f>IF(OR(IPC!DG16="",IPC!CU16=""),"",AVERAGE(IPC!CV16:DG16)/AVERAGE(IPC!CJ16:CU16)-1)</f>
        <v>1.2335916531023061E-2</v>
      </c>
      <c r="DH16" s="31">
        <f>IF(OR(IPC!DH16="",IPC!CV16=""),"",AVERAGE(IPC!CW16:DH16)/AVERAGE(IPC!CK16:CV16)-1)</f>
        <v>1.1485633311794752E-2</v>
      </c>
      <c r="DI16" s="31">
        <f>IF(OR(IPC!DI16="",IPC!CW16=""),"",AVERAGE(IPC!CX16:DI16)/AVERAGE(IPC!CL16:CW16)-1)</f>
        <v>1.0696018496813231E-2</v>
      </c>
      <c r="DJ16" s="31">
        <f>IF(OR(IPC!DJ16="",IPC!CX16=""),"",AVERAGE(IPC!CY16:DJ16)/AVERAGE(IPC!CM16:CX16)-1)</f>
        <v>9.9554329410436182E-3</v>
      </c>
      <c r="DK16" s="31">
        <f>IF(OR(IPC!DK16="",IPC!CY16=""),"",AVERAGE(IPC!CZ16:DK16)/AVERAGE(IPC!CN16:CY16)-1)</f>
        <v>9.1984210452082937E-3</v>
      </c>
      <c r="DL16" s="31">
        <f>IF(OR(IPC!DL16="",IPC!CZ16=""),"",AVERAGE(IPC!DA16:DL16)/AVERAGE(IPC!CO16:CZ16)-1)</f>
        <v>8.4332634023402964E-3</v>
      </c>
      <c r="DM16" s="31">
        <f>IF(OR(IPC!DM16="",IPC!DA16=""),"",AVERAGE(IPC!DB16:DM16)/AVERAGE(IPC!CP16:DA16)-1)</f>
        <v>7.6714998834093162E-3</v>
      </c>
      <c r="DN16" s="31">
        <f>IF(OR(IPC!DN16="",IPC!DB16=""),"",AVERAGE(IPC!DC16:DN16)/AVERAGE(IPC!CQ16:DB16)-1)</f>
        <v>7.0648520044955809E-3</v>
      </c>
      <c r="DO16" s="31">
        <f>IF(OR(IPC!DO16="",IPC!DC16=""),"",AVERAGE(IPC!DD16:DO16)/AVERAGE(IPC!CR16:DC16)-1)</f>
        <v>6.3673634506229426E-3</v>
      </c>
      <c r="DP16" s="31">
        <f>IF(OR(IPC!DP16="",IPC!DD16=""),"",AVERAGE(IPC!DE16:DP16)/AVERAGE(IPC!CS16:DD16)-1)</f>
        <v>6.2328744364834598E-3</v>
      </c>
      <c r="DQ16" s="31">
        <f>IF(OR(IPC!DQ16="",IPC!DE16=""),"",AVERAGE(IPC!DF16:DQ16)/AVERAGE(IPC!CT16:DE16)-1)</f>
        <v>6.2182935255183924E-3</v>
      </c>
      <c r="DR16" s="31">
        <f>IF(OR(IPC!DR16="",IPC!DF16=""),"",AVERAGE(IPC!DG16:DR16)/AVERAGE(IPC!CU16:DF16)-1)</f>
        <v>6.5995779662064713E-3</v>
      </c>
      <c r="DS16" s="31">
        <f>IF(OR(IPC!DS16="",IPC!DG16=""),"",AVERAGE(IPC!DH16:DS16)/AVERAGE(IPC!CV16:DG16)-1)</f>
        <v>6.51501790358755E-3</v>
      </c>
      <c r="DT16" s="31">
        <f>IF(OR(IPC!DT16="",IPC!DH16=""),"",AVERAGE(IPC!DI16:DT16)/AVERAGE(IPC!CW16:DH16)-1)</f>
        <v>6.8995722527012138E-3</v>
      </c>
      <c r="DU16" s="31">
        <f>IF(OR(IPC!DU16="",IPC!DI16=""),"",AVERAGE(IPC!DJ16:DU16)/AVERAGE(IPC!CX16:DI16)-1)</f>
        <v>7.229839379698566E-3</v>
      </c>
      <c r="DV16" s="31">
        <f>IF(OR(IPC!DV16="",IPC!DJ16=""),"",AVERAGE(IPC!DK16:DV16)/AVERAGE(IPC!CY16:DJ16)-1)</f>
        <v>7.5348692863395073E-3</v>
      </c>
      <c r="DW16" s="31">
        <f>IF(OR(IPC!DW16="",IPC!DK16=""),"",AVERAGE(IPC!DL16:DW16)/AVERAGE(IPC!CZ16:DK16)-1)</f>
        <v>7.7676600093488091E-3</v>
      </c>
      <c r="DX16" s="31">
        <f>IF(OR(IPC!DX16="",IPC!DL16=""),"",AVERAGE(IPC!DM16:DX16)/AVERAGE(IPC!DA16:DL16)-1)</f>
        <v>8.0101213712286956E-3</v>
      </c>
      <c r="DY16" s="31">
        <f>IF(OR(IPC!DY16="",IPC!DM16=""),"",AVERAGE(IPC!DN16:DY16)/AVERAGE(IPC!DB16:DM16)-1)</f>
        <v>8.262578033602308E-3</v>
      </c>
      <c r="DZ16" s="31">
        <f>IF(OR(IPC!DZ16="",IPC!DN16=""),"",AVERAGE(IPC!DO16:DZ16)/AVERAGE(IPC!DC16:DN16)-1)</f>
        <v>8.6438302850084803E-3</v>
      </c>
      <c r="EA16" s="31">
        <f>IF(OR(IPC!EA16="",IPC!DO16=""),"",AVERAGE(IPC!DP16:EA16)/AVERAGE(IPC!DD16:DO16)-1)</f>
        <v>9.5453734913568677E-3</v>
      </c>
      <c r="EB16" s="31">
        <f>IF(OR(IPC!EB16="",IPC!DP16=""),"",AVERAGE(IPC!DQ16:EB16)/AVERAGE(IPC!DE16:DP16)-1)</f>
        <v>1.0167865506987672E-2</v>
      </c>
      <c r="EC16" s="31">
        <f>IF(OR(IPC!EC16="",IPC!DQ16=""),"",AVERAGE(IPC!DR16:EC16)/AVERAGE(IPC!DF16:DQ16)-1)</f>
        <v>1.0747097681218287E-2</v>
      </c>
      <c r="ED16" s="31">
        <f>IF(OR(IPC!ED16="",IPC!DR16=""),"",AVERAGE(IPC!DS16:ED16)/AVERAGE(IPC!DG16:DR16)-1)</f>
        <v>1.1199578091925622E-2</v>
      </c>
      <c r="EE16" s="31">
        <f>IF(OR(IPC!EE16="",IPC!DS16=""),"",AVERAGE(IPC!DT16:EE16)/AVERAGE(IPC!DH16:DS16)-1)</f>
        <v>1.1942185496388591E-2</v>
      </c>
      <c r="EF16" s="31">
        <f>IF(OR(IPC!EF16="",IPC!DT16=""),"",AVERAGE(IPC!DU16:EF16)/AVERAGE(IPC!DI16:DT16)-1)</f>
        <v>1.2412547622776993E-2</v>
      </c>
      <c r="EG16" s="31">
        <f>IF(OR(IPC!EG16="",IPC!DU16=""),"",AVERAGE(IPC!DV16:EG16)/AVERAGE(IPC!DJ16:DU16)-1)</f>
        <v>1.298575323636908E-2</v>
      </c>
      <c r="EH16" s="31">
        <f>IF(OR(IPC!EH16="",IPC!DV16=""),"",AVERAGE(IPC!DW16:EH16)/AVERAGE(IPC!DK16:DV16)-1)</f>
        <v>1.3564316691023759E-2</v>
      </c>
      <c r="EI16" s="31">
        <f>IF(OR(IPC!EI16="",IPC!DW16=""),"",AVERAGE(IPC!DX16:EI16)/AVERAGE(IPC!DL16:DW16)-1)</f>
        <v>1.4205656320408488E-2</v>
      </c>
      <c r="EJ16" s="31">
        <f>IF(OR(IPC!EJ16="",IPC!DX16=""),"",AVERAGE(IPC!DY16:EJ16)/AVERAGE(IPC!DM16:DX16)-1)</f>
        <v>1.4900099490564145E-2</v>
      </c>
      <c r="EK16" s="31">
        <f>IF(OR(IPC!EK16="",IPC!DY16=""),"",AVERAGE(IPC!DZ16:EK16)/AVERAGE(IPC!DN16:DY16)-1)</f>
        <v>1.5568476360002359E-2</v>
      </c>
      <c r="EL16" s="31">
        <f>IF(OR(IPC!EL16="",IPC!DZ16=""),"",AVERAGE(IPC!EA16:EL16)/AVERAGE(IPC!DO16:DZ16)-1)</f>
        <v>1.6138585862608856E-2</v>
      </c>
      <c r="EM16" s="31">
        <f>IF(OR(IPC!EM16="",IPC!EA16=""),"",AVERAGE(IPC!EB16:EM16)/AVERAGE(IPC!DP16:EA16)-1)</f>
        <v>1.7599182862676033E-2</v>
      </c>
      <c r="EN16" s="31">
        <f>IF(OR(IPC!EN16="",IPC!EB16=""),"",AVERAGE(IPC!EC16:EN16)/AVERAGE(IPC!DQ16:EB16)-1)</f>
        <v>1.9849281651969308E-2</v>
      </c>
      <c r="EO16" s="31">
        <f>IF(OR(IPC!EO16="",IPC!EC16=""),"",AVERAGE(IPC!ED16:EO16)/AVERAGE(IPC!DR16:EC16)-1)</f>
        <v>2.191154996553446E-2</v>
      </c>
      <c r="EP16" s="31">
        <f>IF(OR(IPC!EP16="",IPC!ED16=""),"",AVERAGE(IPC!EE16:EP16)/AVERAGE(IPC!DS16:ED16)-1)</f>
        <v>2.3639251660156679E-2</v>
      </c>
      <c r="EQ16" s="31">
        <f>IF(OR(IPC!EQ16="",IPC!EE16=""),"",AVERAGE(IPC!EF16:EQ16)/AVERAGE(IPC!DT16:EE16)-1)</f>
        <v>2.5236118992967738E-2</v>
      </c>
      <c r="ER16" s="31">
        <f>IF(OR(IPC!ER16="",IPC!EF16=""),"",AVERAGE(IPC!EG16:ER16)/AVERAGE(IPC!DU16:EF16)-1)</f>
        <v>2.7022795471507211E-2</v>
      </c>
      <c r="ES16" s="31">
        <f>IF(OR(IPC!ES16="",IPC!EG16=""),"",AVERAGE(IPC!EH16:ES16)/AVERAGE(IPC!DV16:EG16)-1)</f>
        <v>2.8762625007848097E-2</v>
      </c>
      <c r="ET16" s="31">
        <f>IF(OR(IPC!ET16="",IPC!EH16=""),"",AVERAGE(IPC!EI16:ET16)/AVERAGE(IPC!DW16:EH16)-1)</f>
        <v>3.0470263447378354E-2</v>
      </c>
      <c r="EU16" s="31">
        <f>IF(OR(IPC!EU16="",IPC!EI16=""),"",AVERAGE(IPC!EJ16:EU16)/AVERAGE(IPC!DX16:EI16)-1)</f>
        <v>3.2167098123440541E-2</v>
      </c>
      <c r="EV16" s="31">
        <f>IF(OR(IPC!EV16="",IPC!EJ16=""),"",AVERAGE(IPC!EK16:EV16)/AVERAGE(IPC!DY16:EJ16)-1)</f>
        <v>3.3771775845036434E-2</v>
      </c>
      <c r="EW16" s="31">
        <f>IF(OR(IPC!EW16="",IPC!EK16=""),"",AVERAGE(IPC!EL16:EW16)/AVERAGE(IPC!DZ16:EK16)-1)</f>
        <v>3.5422518850571905E-2</v>
      </c>
      <c r="EX16" s="31">
        <f>IF(OR(IPC!EX16="",IPC!EL16=""),"",AVERAGE(IPC!EM16:EX16)/AVERAGE(IPC!EA16:EL16)-1)</f>
        <v>3.666632825430316E-2</v>
      </c>
      <c r="EY16" s="31">
        <f>IF(OR(IPC!EY16="",IPC!EM16=""),"",AVERAGE(IPC!EN16:EY16)/AVERAGE(IPC!EB16:EM16)-1)</f>
        <v>3.6155875474072952E-2</v>
      </c>
      <c r="EZ16" s="31">
        <f>IF(OR(IPC!EZ16="",IPC!EN16=""),"",AVERAGE(IPC!EO16:EZ16)/AVERAGE(IPC!EC16:EN16)-1)</f>
        <v>3.4805967619393918E-2</v>
      </c>
      <c r="FA16" s="31">
        <f>IF(OR(IPC!FA16="",IPC!EO16=""),"",AVERAGE(IPC!EP16:FA16)/AVERAGE(IPC!ED16:EO16)-1)</f>
        <v>3.3535238370230314E-2</v>
      </c>
      <c r="FB16" s="31">
        <f>IF(OR(IPC!FB16="",IPC!EP16=""),"",AVERAGE(IPC!EQ16:FB16)/AVERAGE(IPC!EE16:EP16)-1)</f>
        <v>3.2530332903984105E-2</v>
      </c>
      <c r="FC16" s="31">
        <f>IF(OR(IPC!FC16="",IPC!EQ16=""),"",AVERAGE(IPC!ER16:FC16)/AVERAGE(IPC!EF16:EQ16)-1)</f>
        <v>3.1593041726134974E-2</v>
      </c>
      <c r="FD16" s="31">
        <f>IF(OR(IPC!FD16="",IPC!ER16=""),"",AVERAGE(IPC!ES16:FD16)/AVERAGE(IPC!EG16:ER16)-1)</f>
        <v>3.0343002221571158E-2</v>
      </c>
      <c r="FE16" s="31">
        <f>IF(OR(IPC!FE16="",IPC!ES16=""),"",AVERAGE(IPC!ET16:FE16)/AVERAGE(IPC!EH16:ES16)-1)</f>
        <v>2.9022773657995771E-2</v>
      </c>
      <c r="FF16" s="31">
        <f>IF(OR(IPC!FF16="",IPC!ET16=""),"",AVERAGE(IPC!EU16:FF16)/AVERAGE(IPC!EI16:ET16)-1)</f>
        <v>2.7723758553488409E-2</v>
      </c>
      <c r="FG16" s="31">
        <f>IF(OR(IPC!FG16="",IPC!EU16=""),"",AVERAGE(IPC!EV16:FG16)/AVERAGE(IPC!EJ16:EU16)-1)</f>
        <v>2.6436002875043663E-2</v>
      </c>
      <c r="FH16" s="31">
        <f>IF(OR(IPC!FH16="",IPC!EV16=""),"",AVERAGE(IPC!EW16:FH16)/AVERAGE(IPC!EK16:EV16)-1)</f>
        <v>2.5217696844148429E-2</v>
      </c>
      <c r="FI16" s="31">
        <f>IF(OR(IPC!FI16="",IPC!EW16=""),"",AVERAGE(IPC!EX16:FI16)/AVERAGE(IPC!EL16:EW16)-1)</f>
        <v>2.4017547252024762E-2</v>
      </c>
      <c r="FJ16" s="31">
        <f>IF(OR(IPC!FJ16="",IPC!EX16=""),"",AVERAGE(IPC!EY16:FJ16)/AVERAGE(IPC!EM16:EX16)-1)</f>
        <v>2.331546892241354E-2</v>
      </c>
      <c r="FK16" s="31">
        <f>IF(OR(IPC!FK16="",IPC!EY16=""),"",AVERAGE(IPC!EZ16:FK16)/AVERAGE(IPC!EN16:EY16)-1)</f>
        <v>2.2499394008296258E-2</v>
      </c>
      <c r="FL16" s="31">
        <f>IF(OR(IPC!FL16="",IPC!EZ16=""),"",AVERAGE(IPC!FA16:FL16)/AVERAGE(IPC!EO16:EZ16)-1)</f>
        <v>2.1626057573358226E-2</v>
      </c>
      <c r="FM16" s="31">
        <f>IF(OR(IPC!FM16="",IPC!FA16=""),"",AVERAGE(IPC!FB16:FM16)/AVERAGE(IPC!EP16:FA16)-1)</f>
        <v>2.0891483306636927E-2</v>
      </c>
      <c r="FN16" s="31">
        <f>IF(OR(IPC!FN16="",IPC!FB16=""),"",AVERAGE(IPC!FC16:FN16)/AVERAGE(IPC!EQ16:FB16)-1)</f>
        <v>2.0136170662163666E-2</v>
      </c>
      <c r="FO16" s="31">
        <f>IF(OR(IPC!FO16="",IPC!FC16=""),"",AVERAGE(IPC!FD16:FO16)/AVERAGE(IPC!ER16:FC16)-1)</f>
        <v>1.9382557570546188E-2</v>
      </c>
      <c r="FP16" s="31">
        <f>IF(OR(IPC!FP16="",IPC!FD16=""),"",AVERAGE(IPC!FE16:FP16)/AVERAGE(IPC!ES16:FD16)-1)</f>
        <v>1.8800828387824708E-2</v>
      </c>
      <c r="FQ16" s="31">
        <f>IF(OR(IPC!FQ16="",IPC!FE16=""),"",AVERAGE(IPC!FF16:FQ16)/AVERAGE(IPC!ET16:FE16)-1)</f>
        <v>1.8365991907534962E-2</v>
      </c>
      <c r="FR16" s="31">
        <f>IF(OR(IPC!FR16="",IPC!FF16=""),"",AVERAGE(IPC!FG16:FR16)/AVERAGE(IPC!EU16:FF16)-1)</f>
        <v>1.8015154823935786E-2</v>
      </c>
    </row>
    <row r="17" spans="1:174" s="1" customFormat="1" ht="10.199999999999999" x14ac:dyDescent="0.2">
      <c r="A17" s="11">
        <v>11</v>
      </c>
      <c r="B17" s="1" t="s">
        <v>28</v>
      </c>
      <c r="C17" s="5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>
        <f>IF(OR(IPC!AN17="",IPC!AB17=""),"",AVERAGE(IPC!AC17:AN17)/AVERAGE(IPC!Q17:AB17)-1)</f>
        <v>2.010310206526067E-2</v>
      </c>
      <c r="AO17" s="31">
        <f>IF(OR(IPC!AO17="",IPC!AC17=""),"",AVERAGE(IPC!AD17:AO17)/AVERAGE(IPC!R17:AC17)-1)</f>
        <v>2.100537735553587E-2</v>
      </c>
      <c r="AP17" s="31">
        <f>IF(OR(IPC!AP17="",IPC!AD17=""),"",AVERAGE(IPC!AE17:AP17)/AVERAGE(IPC!S17:AD17)-1)</f>
        <v>2.1257629440204484E-2</v>
      </c>
      <c r="AQ17" s="31">
        <f>IF(OR(IPC!AQ17="",IPC!AE17=""),"",AVERAGE(IPC!AF17:AQ17)/AVERAGE(IPC!T17:AE17)-1)</f>
        <v>2.2980692540053305E-2</v>
      </c>
      <c r="AR17" s="31">
        <f>IF(OR(IPC!AR17="",IPC!AF17=""),"",AVERAGE(IPC!AG17:AR17)/AVERAGE(IPC!U17:AF17)-1)</f>
        <v>2.5426755888873886E-2</v>
      </c>
      <c r="AS17" s="31">
        <f>IF(OR(IPC!AS17="",IPC!AG17=""),"",AVERAGE(IPC!AH17:AS17)/AVERAGE(IPC!V17:AG17)-1)</f>
        <v>2.6579190448633883E-2</v>
      </c>
      <c r="AT17" s="31">
        <f>IF(OR(IPC!AT17="",IPC!AH17=""),"",AVERAGE(IPC!AI17:AT17)/AVERAGE(IPC!W17:AH17)-1)</f>
        <v>2.8480779518188726E-2</v>
      </c>
      <c r="AU17" s="31">
        <f>IF(OR(IPC!AU17="",IPC!AI17=""),"",AVERAGE(IPC!AJ17:AU17)/AVERAGE(IPC!X17:AI17)-1)</f>
        <v>3.0190340823667006E-2</v>
      </c>
      <c r="AV17" s="31">
        <f>IF(OR(IPC!AV17="",IPC!AJ17=""),"",AVERAGE(IPC!AK17:AV17)/AVERAGE(IPC!Y17:AJ17)-1)</f>
        <v>3.0869719076893176E-2</v>
      </c>
      <c r="AW17" s="31">
        <f>IF(OR(IPC!AW17="",IPC!AK17=""),"",AVERAGE(IPC!AL17:AW17)/AVERAGE(IPC!Z17:AK17)-1)</f>
        <v>3.213850002443297E-2</v>
      </c>
      <c r="AX17" s="31">
        <f>IF(OR(IPC!AX17="",IPC!AL17=""),"",AVERAGE(IPC!AM17:AX17)/AVERAGE(IPC!AA17:AL17)-1)</f>
        <v>3.3884416693690911E-2</v>
      </c>
      <c r="AY17" s="31">
        <f>IF(OR(IPC!AY17="",IPC!AM17=""),"",AVERAGE(IPC!AN17:AY17)/AVERAGE(IPC!AB17:AM17)-1)</f>
        <v>3.5534747112542009E-2</v>
      </c>
      <c r="AZ17" s="31">
        <f>IF(OR(IPC!AZ17="",IPC!AN17=""),"",AVERAGE(IPC!AO17:AZ17)/AVERAGE(IPC!AC17:AN17)-1)</f>
        <v>3.5686311175084029E-2</v>
      </c>
      <c r="BA17" s="31">
        <f>IF(OR(IPC!BA17="",IPC!AO17=""),"",AVERAGE(IPC!AP17:BA17)/AVERAGE(IPC!AD17:AO17)-1)</f>
        <v>3.7657902036805524E-2</v>
      </c>
      <c r="BB17" s="31">
        <f>IF(OR(IPC!BB17="",IPC!AP17=""),"",AVERAGE(IPC!AQ17:BB17)/AVERAGE(IPC!AE17:AP17)-1)</f>
        <v>4.2365015947458673E-2</v>
      </c>
      <c r="BC17" s="31">
        <f>IF(OR(IPC!BC17="",IPC!AQ17=""),"",AVERAGE(IPC!AR17:BC17)/AVERAGE(IPC!AF17:AQ17)-1)</f>
        <v>4.6189599659628655E-2</v>
      </c>
      <c r="BD17" s="31">
        <f>IF(OR(IPC!BD17="",IPC!AR17=""),"",AVERAGE(IPC!AS17:BD17)/AVERAGE(IPC!AG17:AR17)-1)</f>
        <v>4.8669841949984916E-2</v>
      </c>
      <c r="BE17" s="31">
        <f>IF(OR(IPC!BE17="",IPC!AS17=""),"",AVERAGE(IPC!AT17:BE17)/AVERAGE(IPC!AH17:AS17)-1)</f>
        <v>5.1987880432246003E-2</v>
      </c>
      <c r="BF17" s="31">
        <f>IF(OR(IPC!BF17="",IPC!AT17=""),"",AVERAGE(IPC!AU17:BF17)/AVERAGE(IPC!AI17:AT17)-1)</f>
        <v>5.3886090477083703E-2</v>
      </c>
      <c r="BG17" s="31">
        <f>IF(OR(IPC!BG17="",IPC!AU17=""),"",AVERAGE(IPC!AV17:BG17)/AVERAGE(IPC!AJ17:AU17)-1)</f>
        <v>5.4886271752608407E-2</v>
      </c>
      <c r="BH17" s="31">
        <f>IF(OR(IPC!BH17="",IPC!AV17=""),"",AVERAGE(IPC!AW17:BH17)/AVERAGE(IPC!AK17:AV17)-1)</f>
        <v>5.5988459207502839E-2</v>
      </c>
      <c r="BI17" s="31">
        <f>IF(OR(IPC!BI17="",IPC!AW17=""),"",AVERAGE(IPC!AX17:BI17)/AVERAGE(IPC!AL17:AW17)-1)</f>
        <v>5.6942738540479043E-2</v>
      </c>
      <c r="BJ17" s="31">
        <f>IF(OR(IPC!BJ17="",IPC!AX17=""),"",AVERAGE(IPC!AY17:BJ17)/AVERAGE(IPC!AM17:AX17)-1)</f>
        <v>5.8125041108059605E-2</v>
      </c>
      <c r="BK17" s="31">
        <f>IF(OR(IPC!BK17="",IPC!AY17=""),"",AVERAGE(IPC!AZ17:BK17)/AVERAGE(IPC!AN17:AY17)-1)</f>
        <v>5.8524333812304263E-2</v>
      </c>
      <c r="BL17" s="31">
        <f>IF(OR(IPC!BL17="",IPC!AZ17=""),"",AVERAGE(IPC!BA17:BL17)/AVERAGE(IPC!AO17:AZ17)-1)</f>
        <v>6.1666690839188076E-2</v>
      </c>
      <c r="BM17" s="31">
        <f>IF(OR(IPC!BM17="",IPC!BA17=""),"",AVERAGE(IPC!BB17:BM17)/AVERAGE(IPC!AP17:BA17)-1)</f>
        <v>6.2182775741356E-2</v>
      </c>
      <c r="BN17" s="31">
        <f>IF(OR(IPC!BN17="",IPC!BB17=""),"",AVERAGE(IPC!BC17:BN17)/AVERAGE(IPC!AQ17:BB17)-1)</f>
        <v>5.8929340171119948E-2</v>
      </c>
      <c r="BO17" s="31">
        <f>IF(OR(IPC!BO17="",IPC!BC17=""),"",AVERAGE(IPC!BD17:BO17)/AVERAGE(IPC!AR17:BC17)-1)</f>
        <v>5.5355354664139877E-2</v>
      </c>
      <c r="BP17" s="31">
        <f>IF(OR(IPC!BP17="",IPC!BD17=""),"",AVERAGE(IPC!BE17:BP17)/AVERAGE(IPC!AS17:BD17)-1)</f>
        <v>5.2348891273187759E-2</v>
      </c>
      <c r="BQ17" s="31">
        <f>IF(OR(IPC!BQ17="",IPC!BE17=""),"",AVERAGE(IPC!BF17:BQ17)/AVERAGE(IPC!AT17:BE17)-1)</f>
        <v>4.9145399453076388E-2</v>
      </c>
      <c r="BR17" s="31">
        <f>IF(OR(IPC!BR17="",IPC!BF17=""),"",AVERAGE(IPC!BG17:BR17)/AVERAGE(IPC!AU17:BF17)-1)</f>
        <v>4.5502532013498742E-2</v>
      </c>
      <c r="BS17" s="31">
        <f>IF(OR(IPC!BS17="",IPC!BG17=""),"",AVERAGE(IPC!BH17:BS17)/AVERAGE(IPC!AV17:BG17)-1)</f>
        <v>4.3204150033865574E-2</v>
      </c>
      <c r="BT17" s="31">
        <f>IF(OR(IPC!BT17="",IPC!BH17=""),"",AVERAGE(IPC!BI17:BT17)/AVERAGE(IPC!AW17:BH17)-1)</f>
        <v>4.1199994992434652E-2</v>
      </c>
      <c r="BU17" s="31">
        <f>IF(OR(IPC!BU17="",IPC!BI17=""),"",AVERAGE(IPC!BJ17:BU17)/AVERAGE(IPC!AX17:BI17)-1)</f>
        <v>3.9078837483759621E-2</v>
      </c>
      <c r="BV17" s="31">
        <f>IF(OR(IPC!BV17="",IPC!BJ17=""),"",AVERAGE(IPC!BK17:BV17)/AVERAGE(IPC!AY17:BJ17)-1)</f>
        <v>3.6552212135648077E-2</v>
      </c>
      <c r="BW17" s="31">
        <f>IF(OR(IPC!BW17="",IPC!BK17=""),"",AVERAGE(IPC!BL17:BW17)/AVERAGE(IPC!AZ17:BK17)-1)</f>
        <v>3.4515034588974647E-2</v>
      </c>
      <c r="BX17" s="31">
        <f>IF(OR(IPC!BX17="",IPC!BL17=""),"",AVERAGE(IPC!BM17:BX17)/AVERAGE(IPC!BA17:BL17)-1)</f>
        <v>2.9982495927992181E-2</v>
      </c>
      <c r="BY17" s="31">
        <f>IF(OR(IPC!BY17="",IPC!BM17=""),"",AVERAGE(IPC!BN17:BY17)/AVERAGE(IPC!BB17:BM17)-1)</f>
        <v>2.6158075122586055E-2</v>
      </c>
      <c r="BZ17" s="31">
        <f>IF(OR(IPC!BZ17="",IPC!BN17=""),"",AVERAGE(IPC!BO17:BZ17)/AVERAGE(IPC!BC17:BN17)-1)</f>
        <v>2.4373027192559071E-2</v>
      </c>
      <c r="CA17" s="31">
        <f>IF(OR(IPC!CA17="",IPC!BO17=""),"",AVERAGE(IPC!BP17:CA17)/AVERAGE(IPC!BD17:BO17)-1)</f>
        <v>2.2762086540841775E-2</v>
      </c>
      <c r="CB17" s="31">
        <f>IF(OR(IPC!CB17="",IPC!BP17=""),"",AVERAGE(IPC!BQ17:CB17)/AVERAGE(IPC!BE17:BP17)-1)</f>
        <v>2.0944541347946544E-2</v>
      </c>
      <c r="CC17" s="31">
        <f>IF(OR(IPC!CC17="",IPC!BQ17=""),"",AVERAGE(IPC!BR17:CC17)/AVERAGE(IPC!BF17:BQ17)-1)</f>
        <v>1.9107481750401778E-2</v>
      </c>
      <c r="CD17" s="31">
        <f>IF(OR(IPC!CD17="",IPC!BR17=""),"",AVERAGE(IPC!BS17:CD17)/AVERAGE(IPC!BG17:BR17)-1)</f>
        <v>1.8375763174352189E-2</v>
      </c>
      <c r="CE17" s="31">
        <f>IF(OR(IPC!CE17="",IPC!BS17=""),"",AVERAGE(IPC!BT17:CE17)/AVERAGE(IPC!BH17:BS17)-1)</f>
        <v>1.6822523683806212E-2</v>
      </c>
      <c r="CF17" s="31">
        <f>IF(OR(IPC!CF17="",IPC!BT17=""),"",AVERAGE(IPC!BU17:CF17)/AVERAGE(IPC!BI17:BT17)-1)</f>
        <v>1.4556245556183622E-2</v>
      </c>
      <c r="CG17" s="31">
        <f>IF(OR(IPC!CG17="",IPC!BU17=""),"",AVERAGE(IPC!BV17:CG17)/AVERAGE(IPC!BJ17:BU17)-1)</f>
        <v>1.2668352497894553E-2</v>
      </c>
      <c r="CH17" s="31">
        <f>IF(OR(IPC!CH17="",IPC!BV17=""),"",AVERAGE(IPC!BW17:CH17)/AVERAGE(IPC!BK17:BV17)-1)</f>
        <v>1.0997933219411005E-2</v>
      </c>
      <c r="CI17" s="31">
        <f>IF(OR(IPC!CI17="",IPC!BW17=""),"",AVERAGE(IPC!BX17:CI17)/AVERAGE(IPC!BL17:BW17)-1)</f>
        <v>9.326426031422308E-3</v>
      </c>
      <c r="CJ17" s="31">
        <f>IF(OR(IPC!CJ17="",IPC!BX17=""),"",AVERAGE(IPC!BY17:CJ17)/AVERAGE(IPC!BM17:BX17)-1)</f>
        <v>8.424752979774297E-3</v>
      </c>
      <c r="CK17" s="31">
        <f>IF(OR(IPC!CK17="",IPC!BY17=""),"",AVERAGE(IPC!BZ17:CK17)/AVERAGE(IPC!BN17:BY17)-1)</f>
        <v>7.8194610188078162E-3</v>
      </c>
      <c r="CL17" s="31">
        <f>IF(OR(IPC!CL17="",IPC!BZ17=""),"",AVERAGE(IPC!CA17:CL17)/AVERAGE(IPC!BO17:BZ17)-1)</f>
        <v>7.0593084254608751E-3</v>
      </c>
      <c r="CM17" s="31">
        <f>IF(OR(IPC!CM17="",IPC!CA17=""),"",AVERAGE(IPC!CB17:CM17)/AVERAGE(IPC!BP17:CA17)-1)</f>
        <v>5.8978133471763172E-3</v>
      </c>
      <c r="CN17" s="31">
        <f>IF(OR(IPC!CN17="",IPC!CB17=""),"",AVERAGE(IPC!CC17:CN17)/AVERAGE(IPC!BQ17:CB17)-1)</f>
        <v>5.8780375949496477E-3</v>
      </c>
      <c r="CO17" s="31">
        <f>IF(OR(IPC!CO17="",IPC!CC17=""),"",AVERAGE(IPC!CD17:CO17)/AVERAGE(IPC!BR17:CC17)-1)</f>
        <v>6.0704774376454385E-3</v>
      </c>
      <c r="CP17" s="31">
        <f>IF(OR(IPC!CP17="",IPC!CD17=""),"",AVERAGE(IPC!CE17:CP17)/AVERAGE(IPC!BS17:CD17)-1)</f>
        <v>6.8111321473949271E-3</v>
      </c>
      <c r="CQ17" s="31">
        <f>IF(OR(IPC!CQ17="",IPC!CE17=""),"",AVERAGE(IPC!CF17:CQ17)/AVERAGE(IPC!BT17:CE17)-1)</f>
        <v>8.0306827487970356E-3</v>
      </c>
      <c r="CR17" s="31">
        <f>IF(OR(IPC!CR17="",IPC!CF17=""),"",AVERAGE(IPC!CG17:CR17)/AVERAGE(IPC!BU17:CF17)-1)</f>
        <v>1.0143622777467609E-2</v>
      </c>
      <c r="CS17" s="31">
        <f>IF(OR(IPC!CS17="",IPC!CG17=""),"",AVERAGE(IPC!CH17:CS17)/AVERAGE(IPC!BV17:CG17)-1)</f>
        <v>1.2093845647608514E-2</v>
      </c>
      <c r="CT17" s="31">
        <f>IF(OR(IPC!CT17="",IPC!CH17=""),"",AVERAGE(IPC!CI17:CT17)/AVERAGE(IPC!BW17:CH17)-1)</f>
        <v>1.4231456724897118E-2</v>
      </c>
      <c r="CU17" s="31">
        <f>IF(OR(IPC!CU17="",IPC!CI17=""),"",AVERAGE(IPC!CJ17:CU17)/AVERAGE(IPC!BX17:CI17)-1)</f>
        <v>1.7481759924707685E-2</v>
      </c>
      <c r="CV17" s="31">
        <f>IF(OR(IPC!CV17="",IPC!CJ17=""),"",AVERAGE(IPC!CK17:CV17)/AVERAGE(IPC!BY17:CJ17)-1)</f>
        <v>2.0637020869912037E-2</v>
      </c>
      <c r="CW17" s="31">
        <f>IF(OR(IPC!CW17="",IPC!CK17=""),"",AVERAGE(IPC!CL17:CW17)/AVERAGE(IPC!BZ17:CK17)-1)</f>
        <v>2.3836310541178074E-2</v>
      </c>
      <c r="CX17" s="31">
        <f>IF(OR(IPC!CX17="",IPC!CL17=""),"",AVERAGE(IPC!CM17:CX17)/AVERAGE(IPC!CA17:CL17)-1)</f>
        <v>2.8602892554357329E-2</v>
      </c>
      <c r="CY17" s="31">
        <f>IF(OR(IPC!CY17="",IPC!CM17=""),"",AVERAGE(IPC!CN17:CY17)/AVERAGE(IPC!CB17:CM17)-1)</f>
        <v>3.4634334228072605E-2</v>
      </c>
      <c r="CZ17" s="31">
        <f>IF(OR(IPC!CZ17="",IPC!CN17=""),"",AVERAGE(IPC!CO17:CZ17)/AVERAGE(IPC!CC17:CN17)-1)</f>
        <v>3.9960024410684358E-2</v>
      </c>
      <c r="DA17" s="31">
        <f>IF(OR(IPC!DA17="",IPC!CO17=""),"",AVERAGE(IPC!CP17:DA17)/AVERAGE(IPC!CD17:CO17)-1)</f>
        <v>4.4624486494867943E-2</v>
      </c>
      <c r="DB17" s="31">
        <f>IF(OR(IPC!DB17="",IPC!CP17=""),"",AVERAGE(IPC!CQ17:DB17)/AVERAGE(IPC!CE17:CP17)-1)</f>
        <v>4.7780452558010778E-2</v>
      </c>
      <c r="DC17" s="31">
        <f>IF(OR(IPC!DC17="",IPC!CQ17=""),"",AVERAGE(IPC!CR17:DC17)/AVERAGE(IPC!CF17:CQ17)-1)</f>
        <v>5.0603149397991043E-2</v>
      </c>
      <c r="DD17" s="31">
        <f>IF(OR(IPC!DD17="",IPC!CR17=""),"",AVERAGE(IPC!CS17:DD17)/AVERAGE(IPC!CG17:CR17)-1)</f>
        <v>5.2975309349865052E-2</v>
      </c>
      <c r="DE17" s="31">
        <f>IF(OR(IPC!DE17="",IPC!CS17=""),"",AVERAGE(IPC!CT17:DE17)/AVERAGE(IPC!CH17:CS17)-1)</f>
        <v>5.5375080746751015E-2</v>
      </c>
      <c r="DF17" s="31">
        <f>IF(OR(IPC!DF17="",IPC!CT17=""),"",AVERAGE(IPC!CU17:DF17)/AVERAGE(IPC!CI17:CT17)-1)</f>
        <v>5.7384622154159848E-2</v>
      </c>
      <c r="DG17" s="31">
        <f>IF(OR(IPC!DG17="",IPC!CU17=""),"",AVERAGE(IPC!CV17:DG17)/AVERAGE(IPC!CJ17:CU17)-1)</f>
        <v>5.7345609358943506E-2</v>
      </c>
      <c r="DH17" s="31">
        <f>IF(OR(IPC!DH17="",IPC!CV17=""),"",AVERAGE(IPC!CW17:DH17)/AVERAGE(IPC!CK17:CV17)-1)</f>
        <v>5.71828175124518E-2</v>
      </c>
      <c r="DI17" s="31">
        <f>IF(OR(IPC!DI17="",IPC!CW17=""),"",AVERAGE(IPC!CX17:DI17)/AVERAGE(IPC!CL17:CW17)-1)</f>
        <v>5.710739908999507E-2</v>
      </c>
      <c r="DJ17" s="31">
        <f>IF(OR(IPC!DJ17="",IPC!CX17=""),"",AVERAGE(IPC!CY17:DJ17)/AVERAGE(IPC!CM17:CX17)-1)</f>
        <v>5.3843189685416126E-2</v>
      </c>
      <c r="DK17" s="31">
        <f>IF(OR(IPC!DK17="",IPC!CY17=""),"",AVERAGE(IPC!CZ17:DK17)/AVERAGE(IPC!CN17:CY17)-1)</f>
        <v>4.9303634504656024E-2</v>
      </c>
      <c r="DL17" s="31">
        <f>IF(OR(IPC!DL17="",IPC!CZ17=""),"",AVERAGE(IPC!DA17:DL17)/AVERAGE(IPC!CO17:CZ17)-1)</f>
        <v>4.4488366283898628E-2</v>
      </c>
      <c r="DM17" s="31">
        <f>IF(OR(IPC!DM17="",IPC!DA17=""),"",AVERAGE(IPC!DB17:DM17)/AVERAGE(IPC!CP17:DA17)-1)</f>
        <v>4.014714461565716E-2</v>
      </c>
      <c r="DN17" s="31">
        <f>IF(OR(IPC!DN17="",IPC!DB17=""),"",AVERAGE(IPC!DC17:DN17)/AVERAGE(IPC!CQ17:DB17)-1)</f>
        <v>3.6884866649484316E-2</v>
      </c>
      <c r="DO17" s="31">
        <f>IF(OR(IPC!DO17="",IPC!DC17=""),"",AVERAGE(IPC!DD17:DO17)/AVERAGE(IPC!CR17:DC17)-1)</f>
        <v>3.3871052707526994E-2</v>
      </c>
      <c r="DP17" s="31">
        <f>IF(OR(IPC!DP17="",IPC!DD17=""),"",AVERAGE(IPC!DE17:DP17)/AVERAGE(IPC!CS17:DD17)-1)</f>
        <v>3.0902848147878359E-2</v>
      </c>
      <c r="DQ17" s="31">
        <f>IF(OR(IPC!DQ17="",IPC!DE17=""),"",AVERAGE(IPC!DF17:DQ17)/AVERAGE(IPC!CT17:DE17)-1)</f>
        <v>2.7887092157631077E-2</v>
      </c>
      <c r="DR17" s="31">
        <f>IF(OR(IPC!DR17="",IPC!DF17=""),"",AVERAGE(IPC!DG17:DR17)/AVERAGE(IPC!CU17:DF17)-1)</f>
        <v>2.5043293466260996E-2</v>
      </c>
      <c r="DS17" s="31">
        <f>IF(OR(IPC!DS17="",IPC!DG17=""),"",AVERAGE(IPC!DH17:DS17)/AVERAGE(IPC!CV17:DG17)-1)</f>
        <v>2.2966197986408199E-2</v>
      </c>
      <c r="DT17" s="31">
        <f>IF(OR(IPC!DT17="",IPC!DH17=""),"",AVERAGE(IPC!DI17:DT17)/AVERAGE(IPC!CW17:DH17)-1)</f>
        <v>2.0740406371331011E-2</v>
      </c>
      <c r="DU17" s="31">
        <f>IF(OR(IPC!DU17="",IPC!DI17=""),"",AVERAGE(IPC!DJ17:DU17)/AVERAGE(IPC!CX17:DI17)-1)</f>
        <v>1.8443155369375575E-2</v>
      </c>
      <c r="DV17" s="31">
        <f>IF(OR(IPC!DV17="",IPC!DJ17=""),"",AVERAGE(IPC!DK17:DV17)/AVERAGE(IPC!CY17:DJ17)-1)</f>
        <v>1.7670710312630566E-2</v>
      </c>
      <c r="DW17" s="31">
        <f>IF(OR(IPC!DW17="",IPC!DK17=""),"",AVERAGE(IPC!DL17:DW17)/AVERAGE(IPC!CZ17:DK17)-1)</f>
        <v>1.740078031804293E-2</v>
      </c>
      <c r="DX17" s="31">
        <f>IF(OR(IPC!DX17="",IPC!DL17=""),"",AVERAGE(IPC!DM17:DX17)/AVERAGE(IPC!DA17:DL17)-1)</f>
        <v>1.7419367683687126E-2</v>
      </c>
      <c r="DY17" s="31">
        <f>IF(OR(IPC!DY17="",IPC!DM17=""),"",AVERAGE(IPC!DN17:DY17)/AVERAGE(IPC!DB17:DM17)-1)</f>
        <v>1.7462783094969181E-2</v>
      </c>
      <c r="DZ17" s="31">
        <f>IF(OR(IPC!DZ17="",IPC!DN17=""),"",AVERAGE(IPC!DO17:DZ17)/AVERAGE(IPC!DC17:DN17)-1)</f>
        <v>1.6766443055721947E-2</v>
      </c>
      <c r="EA17" s="31">
        <f>IF(OR(IPC!EA17="",IPC!DO17=""),"",AVERAGE(IPC!DP17:EA17)/AVERAGE(IPC!DD17:DO17)-1)</f>
        <v>1.6114914193267493E-2</v>
      </c>
      <c r="EB17" s="31">
        <f>IF(OR(IPC!EB17="",IPC!DP17=""),"",AVERAGE(IPC!DQ17:EB17)/AVERAGE(IPC!DE17:DP17)-1)</f>
        <v>1.5531620928178169E-2</v>
      </c>
      <c r="EC17" s="31">
        <f>IF(OR(IPC!EC17="",IPC!DQ17=""),"",AVERAGE(IPC!DR17:EC17)/AVERAGE(IPC!DF17:DQ17)-1)</f>
        <v>1.505065224168245E-2</v>
      </c>
      <c r="ED17" s="31">
        <f>IF(OR(IPC!ED17="",IPC!DR17=""),"",AVERAGE(IPC!DS17:ED17)/AVERAGE(IPC!DG17:DR17)-1)</f>
        <v>1.4642962996677333E-2</v>
      </c>
      <c r="EE17" s="31">
        <f>IF(OR(IPC!EE17="",IPC!DS17=""),"",AVERAGE(IPC!DT17:EE17)/AVERAGE(IPC!DH17:DS17)-1)</f>
        <v>1.5488679997435639E-2</v>
      </c>
      <c r="EF17" s="31">
        <f>IF(OR(IPC!EF17="",IPC!DT17=""),"",AVERAGE(IPC!DU17:EF17)/AVERAGE(IPC!DI17:DT17)-1)</f>
        <v>1.715841064891932E-2</v>
      </c>
      <c r="EG17" s="31">
        <f>IF(OR(IPC!EG17="",IPC!DU17=""),"",AVERAGE(IPC!DV17:EG17)/AVERAGE(IPC!DJ17:DU17)-1)</f>
        <v>1.8786709707752758E-2</v>
      </c>
      <c r="EH17" s="31">
        <f>IF(OR(IPC!EH17="",IPC!DV17=""),"",AVERAGE(IPC!DW17:EH17)/AVERAGE(IPC!DK17:DV17)-1)</f>
        <v>2.0405215884376826E-2</v>
      </c>
      <c r="EI17" s="31">
        <f>IF(OR(IPC!EI17="",IPC!DW17=""),"",AVERAGE(IPC!DX17:EI17)/AVERAGE(IPC!DL17:DW17)-1)</f>
        <v>2.2958334141420789E-2</v>
      </c>
      <c r="EJ17" s="31">
        <f>IF(OR(IPC!EJ17="",IPC!DX17=""),"",AVERAGE(IPC!DY17:EJ17)/AVERAGE(IPC!DM17:DX17)-1)</f>
        <v>2.6814771176234986E-2</v>
      </c>
      <c r="EK17" s="31">
        <f>IF(OR(IPC!EK17="",IPC!DY17=""),"",AVERAGE(IPC!DZ17:EK17)/AVERAGE(IPC!DN17:DY17)-1)</f>
        <v>3.0965948442626345E-2</v>
      </c>
      <c r="EL17" s="31">
        <f>IF(OR(IPC!EL17="",IPC!DZ17=""),"",AVERAGE(IPC!EA17:EL17)/AVERAGE(IPC!DO17:DZ17)-1)</f>
        <v>3.6129226798740977E-2</v>
      </c>
      <c r="EM17" s="31">
        <f>IF(OR(IPC!EM17="",IPC!EA17=""),"",AVERAGE(IPC!EB17:EM17)/AVERAGE(IPC!DP17:EA17)-1)</f>
        <v>4.1294816835108383E-2</v>
      </c>
      <c r="EN17" s="31">
        <f>IF(OR(IPC!EN17="",IPC!EB17=""),"",AVERAGE(IPC!EC17:EN17)/AVERAGE(IPC!DQ17:EB17)-1)</f>
        <v>4.7664072727897189E-2</v>
      </c>
      <c r="EO17" s="31">
        <f>IF(OR(IPC!EO17="",IPC!EC17=""),"",AVERAGE(IPC!ED17:EO17)/AVERAGE(IPC!DR17:EC17)-1)</f>
        <v>5.3463288101991413E-2</v>
      </c>
      <c r="EP17" s="31">
        <f>IF(OR(IPC!EP17="",IPC!ED17=""),"",AVERAGE(IPC!EE17:EP17)/AVERAGE(IPC!DS17:ED17)-1)</f>
        <v>5.9325883005546531E-2</v>
      </c>
      <c r="EQ17" s="31">
        <f>IF(OR(IPC!EQ17="",IPC!EE17=""),"",AVERAGE(IPC!EF17:EQ17)/AVERAGE(IPC!DT17:EE17)-1)</f>
        <v>6.3213628783841846E-2</v>
      </c>
      <c r="ER17" s="31">
        <f>IF(OR(IPC!ER17="",IPC!EF17=""),"",AVERAGE(IPC!EG17:ER17)/AVERAGE(IPC!DU17:EF17)-1)</f>
        <v>6.6299311778181602E-2</v>
      </c>
      <c r="ES17" s="31">
        <f>IF(OR(IPC!ES17="",IPC!EG17=""),"",AVERAGE(IPC!EH17:ES17)/AVERAGE(IPC!DV17:EG17)-1)</f>
        <v>6.9833594454112191E-2</v>
      </c>
      <c r="ET17" s="31">
        <f>IF(OR(IPC!ET17="",IPC!EH17=""),"",AVERAGE(IPC!EI17:ET17)/AVERAGE(IPC!DW17:EH17)-1)</f>
        <v>7.3350643652483116E-2</v>
      </c>
      <c r="EU17" s="31">
        <f>IF(OR(IPC!EU17="",IPC!EI17=""),"",AVERAGE(IPC!EJ17:EU17)/AVERAGE(IPC!DX17:EI17)-1)</f>
        <v>7.5123389486711378E-2</v>
      </c>
      <c r="EV17" s="31">
        <f>IF(OR(IPC!EV17="",IPC!EJ17=""),"",AVERAGE(IPC!EK17:EV17)/AVERAGE(IPC!DY17:EJ17)-1)</f>
        <v>7.4271882035557013E-2</v>
      </c>
      <c r="EW17" s="31">
        <f>IF(OR(IPC!EW17="",IPC!EK17=""),"",AVERAGE(IPC!EL17:EW17)/AVERAGE(IPC!DZ17:EK17)-1)</f>
        <v>7.2891669496510714E-2</v>
      </c>
      <c r="EX17" s="31">
        <f>IF(OR(IPC!EX17="",IPC!EL17=""),"",AVERAGE(IPC!EM17:EX17)/AVERAGE(IPC!EA17:EL17)-1)</f>
        <v>7.0212540003162127E-2</v>
      </c>
      <c r="EY17" s="31">
        <f>IF(OR(IPC!EY17="",IPC!EM17=""),"",AVERAGE(IPC!EN17:EY17)/AVERAGE(IPC!EB17:EM17)-1)</f>
        <v>6.7397152627381107E-2</v>
      </c>
      <c r="EZ17" s="31">
        <f>IF(OR(IPC!EZ17="",IPC!EN17=""),"",AVERAGE(IPC!EO17:EZ17)/AVERAGE(IPC!EC17:EN17)-1)</f>
        <v>6.2321234224915534E-2</v>
      </c>
      <c r="FA17" s="31">
        <f>IF(OR(IPC!FA17="",IPC!EO17=""),"",AVERAGE(IPC!EP17:FA17)/AVERAGE(IPC!ED17:EO17)-1)</f>
        <v>5.7970331599224156E-2</v>
      </c>
      <c r="FB17" s="31">
        <f>IF(OR(IPC!FB17="",IPC!EP17=""),"",AVERAGE(IPC!EQ17:FB17)/AVERAGE(IPC!EE17:EP17)-1)</f>
        <v>5.341593139349321E-2</v>
      </c>
      <c r="FC17" s="31">
        <f>IF(OR(IPC!FC17="",IPC!EQ17=""),"",AVERAGE(IPC!ER17:FC17)/AVERAGE(IPC!EF17:EQ17)-1)</f>
        <v>4.9508726339151155E-2</v>
      </c>
      <c r="FD17" s="31">
        <f>IF(OR(IPC!FD17="",IPC!ER17=""),"",AVERAGE(IPC!ES17:FD17)/AVERAGE(IPC!EG17:ER17)-1)</f>
        <v>4.5649941566296537E-2</v>
      </c>
      <c r="FE17" s="31">
        <f>IF(OR(IPC!FE17="",IPC!ES17=""),"",AVERAGE(IPC!ET17:FE17)/AVERAGE(IPC!EH17:ES17)-1)</f>
        <v>4.1276980901475913E-2</v>
      </c>
      <c r="FF17" s="31">
        <f>IF(OR(IPC!FF17="",IPC!ET17=""),"",AVERAGE(IPC!EU17:FF17)/AVERAGE(IPC!EI17:ET17)-1)</f>
        <v>3.6572847313471879E-2</v>
      </c>
      <c r="FG17" s="31">
        <f>IF(OR(IPC!FG17="",IPC!EU17=""),"",AVERAGE(IPC!EV17:FG17)/AVERAGE(IPC!EJ17:EU17)-1)</f>
        <v>3.2382300291859289E-2</v>
      </c>
      <c r="FH17" s="31">
        <f>IF(OR(IPC!FH17="",IPC!EV17=""),"",AVERAGE(IPC!EW17:FH17)/AVERAGE(IPC!EK17:EV17)-1)</f>
        <v>2.9418733789750462E-2</v>
      </c>
      <c r="FI17" s="31">
        <f>IF(OR(IPC!FI17="",IPC!EW17=""),"",AVERAGE(IPC!EX17:FI17)/AVERAGE(IPC!EL17:EW17)-1)</f>
        <v>2.6757107537101366E-2</v>
      </c>
      <c r="FJ17" s="31">
        <f>IF(OR(IPC!FJ17="",IPC!EX17=""),"",AVERAGE(IPC!EY17:FJ17)/AVERAGE(IPC!EM17:EX17)-1)</f>
        <v>2.4845546944108232E-2</v>
      </c>
      <c r="FK17" s="31">
        <f>IF(OR(IPC!FK17="",IPC!EY17=""),"",AVERAGE(IPC!EZ17:FK17)/AVERAGE(IPC!EN17:EY17)-1)</f>
        <v>2.2854696969469401E-2</v>
      </c>
      <c r="FL17" s="31">
        <f>IF(OR(IPC!FL17="",IPC!EZ17=""),"",AVERAGE(IPC!FA17:FL17)/AVERAGE(IPC!EO17:EZ17)-1)</f>
        <v>2.1796726461010607E-2</v>
      </c>
      <c r="FM17" s="31">
        <f>IF(OR(IPC!FM17="",IPC!FA17=""),"",AVERAGE(IPC!FB17:FM17)/AVERAGE(IPC!EP17:FA17)-1)</f>
        <v>2.0526138386748105E-2</v>
      </c>
      <c r="FN17" s="31">
        <f>IF(OR(IPC!FN17="",IPC!FB17=""),"",AVERAGE(IPC!FC17:FN17)/AVERAGE(IPC!EQ17:FB17)-1)</f>
        <v>1.9625288340961555E-2</v>
      </c>
      <c r="FO17" s="31">
        <f>IF(OR(IPC!FO17="",IPC!FC17=""),"",AVERAGE(IPC!FD17:FO17)/AVERAGE(IPC!ER17:FC17)-1)</f>
        <v>1.9090691802998272E-2</v>
      </c>
      <c r="FP17" s="31">
        <f>IF(OR(IPC!FP17="",IPC!FD17=""),"",AVERAGE(IPC!FE17:FP17)/AVERAGE(IPC!ES17:FD17)-1)</f>
        <v>1.8897306271764114E-2</v>
      </c>
      <c r="FQ17" s="31">
        <f>IF(OR(IPC!FQ17="",IPC!FE17=""),"",AVERAGE(IPC!FF17:FQ17)/AVERAGE(IPC!ET17:FE17)-1)</f>
        <v>1.8850092910716931E-2</v>
      </c>
      <c r="FR17" s="31">
        <f>IF(OR(IPC!FR17="",IPC!FF17=""),"",AVERAGE(IPC!FG17:FR17)/AVERAGE(IPC!EU17:FF17)-1)</f>
        <v>1.9094682907136562E-2</v>
      </c>
    </row>
    <row r="18" spans="1:174" s="1" customFormat="1" ht="10.199999999999999" x14ac:dyDescent="0.2">
      <c r="A18" s="11">
        <v>12</v>
      </c>
      <c r="B18" s="1" t="s">
        <v>29</v>
      </c>
      <c r="C18" s="5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>
        <f>IF(OR(IPC!AN18="",IPC!AB18=""),"",AVERAGE(IPC!AC18:AN18)/AVERAGE(IPC!Q18:AB18)-1)</f>
        <v>1.3057604318083005E-2</v>
      </c>
      <c r="AO18" s="31">
        <f>IF(OR(IPC!AO18="",IPC!AC18=""),"",AVERAGE(IPC!AD18:AO18)/AVERAGE(IPC!R18:AC18)-1)</f>
        <v>1.194936880900821E-2</v>
      </c>
      <c r="AP18" s="31">
        <f>IF(OR(IPC!AP18="",IPC!AD18=""),"",AVERAGE(IPC!AE18:AP18)/AVERAGE(IPC!S18:AD18)-1)</f>
        <v>1.1279885236049836E-2</v>
      </c>
      <c r="AQ18" s="31">
        <f>IF(OR(IPC!AQ18="",IPC!AE18=""),"",AVERAGE(IPC!AF18:AQ18)/AVERAGE(IPC!T18:AE18)-1)</f>
        <v>1.0909320737400252E-2</v>
      </c>
      <c r="AR18" s="31">
        <f>IF(OR(IPC!AR18="",IPC!AF18=""),"",AVERAGE(IPC!AG18:AR18)/AVERAGE(IPC!U18:AF18)-1)</f>
        <v>1.0547596489456801E-2</v>
      </c>
      <c r="AS18" s="31">
        <f>IF(OR(IPC!AS18="",IPC!AG18=""),"",AVERAGE(IPC!AH18:AS18)/AVERAGE(IPC!V18:AG18)-1)</f>
        <v>9.4711771026216862E-3</v>
      </c>
      <c r="AT18" s="31">
        <f>IF(OR(IPC!AT18="",IPC!AH18=""),"",AVERAGE(IPC!AI18:AT18)/AVERAGE(IPC!W18:AH18)-1)</f>
        <v>9.208523751590425E-3</v>
      </c>
      <c r="AU18" s="31">
        <f>IF(OR(IPC!AU18="",IPC!AI18=""),"",AVERAGE(IPC!AJ18:AU18)/AVERAGE(IPC!X18:AI18)-1)</f>
        <v>8.2950265976287074E-3</v>
      </c>
      <c r="AV18" s="31">
        <f>IF(OR(IPC!AV18="",IPC!AJ18=""),"",AVERAGE(IPC!AK18:AV18)/AVERAGE(IPC!Y18:AJ18)-1)</f>
        <v>7.9747582466307421E-3</v>
      </c>
      <c r="AW18" s="31">
        <f>IF(OR(IPC!AW18="",IPC!AK18=""),"",AVERAGE(IPC!AL18:AW18)/AVERAGE(IPC!Z18:AK18)-1)</f>
        <v>8.4309826047861414E-3</v>
      </c>
      <c r="AX18" s="31">
        <f>IF(OR(IPC!AX18="",IPC!AL18=""),"",AVERAGE(IPC!AM18:AX18)/AVERAGE(IPC!AA18:AL18)-1)</f>
        <v>9.0001021464740649E-3</v>
      </c>
      <c r="AY18" s="31">
        <f>IF(OR(IPC!AY18="",IPC!AM18=""),"",AVERAGE(IPC!AN18:AY18)/AVERAGE(IPC!AB18:AM18)-1)</f>
        <v>9.1758724109862744E-3</v>
      </c>
      <c r="AZ18" s="31">
        <f>IF(OR(IPC!AZ18="",IPC!AN18=""),"",AVERAGE(IPC!AO18:AZ18)/AVERAGE(IPC!AC18:AN18)-1)</f>
        <v>1.0952991270314127E-2</v>
      </c>
      <c r="BA18" s="31">
        <f>IF(OR(IPC!BA18="",IPC!AO18=""),"",AVERAGE(IPC!AP18:BA18)/AVERAGE(IPC!AD18:AO18)-1)</f>
        <v>1.2341967680753019E-2</v>
      </c>
      <c r="BB18" s="31">
        <f>IF(OR(IPC!BB18="",IPC!AP18=""),"",AVERAGE(IPC!AQ18:BB18)/AVERAGE(IPC!AE18:AP18)-1)</f>
        <v>1.3448366342427853E-2</v>
      </c>
      <c r="BC18" s="31">
        <f>IF(OR(IPC!BC18="",IPC!AQ18=""),"",AVERAGE(IPC!AR18:BC18)/AVERAGE(IPC!AF18:AQ18)-1)</f>
        <v>1.4281463248589032E-2</v>
      </c>
      <c r="BD18" s="31">
        <f>IF(OR(IPC!BD18="",IPC!AR18=""),"",AVERAGE(IPC!AS18:BD18)/AVERAGE(IPC!AG18:AR18)-1)</f>
        <v>1.5629799546372336E-2</v>
      </c>
      <c r="BE18" s="31">
        <f>IF(OR(IPC!BE18="",IPC!AS18=""),"",AVERAGE(IPC!AT18:BE18)/AVERAGE(IPC!AH18:AS18)-1)</f>
        <v>1.8031139693263754E-2</v>
      </c>
      <c r="BF18" s="31">
        <f>IF(OR(IPC!BF18="",IPC!AT18=""),"",AVERAGE(IPC!AU18:BF18)/AVERAGE(IPC!AI18:AT18)-1)</f>
        <v>1.964289034418476E-2</v>
      </c>
      <c r="BG18" s="31">
        <f>IF(OR(IPC!BG18="",IPC!AU18=""),"",AVERAGE(IPC!AV18:BG18)/AVERAGE(IPC!AJ18:AU18)-1)</f>
        <v>2.1385209713381759E-2</v>
      </c>
      <c r="BH18" s="31">
        <f>IF(OR(IPC!BH18="",IPC!AV18=""),"",AVERAGE(IPC!AW18:BH18)/AVERAGE(IPC!AK18:AV18)-1)</f>
        <v>2.2705351853710143E-2</v>
      </c>
      <c r="BI18" s="31">
        <f>IF(OR(IPC!BI18="",IPC!AW18=""),"",AVERAGE(IPC!AX18:BI18)/AVERAGE(IPC!AL18:AW18)-1)</f>
        <v>2.4573042416431434E-2</v>
      </c>
      <c r="BJ18" s="31">
        <f>IF(OR(IPC!BJ18="",IPC!AX18=""),"",AVERAGE(IPC!AY18:BJ18)/AVERAGE(IPC!AM18:AX18)-1)</f>
        <v>2.6103061822348117E-2</v>
      </c>
      <c r="BK18" s="31">
        <f>IF(OR(IPC!BK18="",IPC!AY18=""),"",AVERAGE(IPC!AZ18:BK18)/AVERAGE(IPC!AN18:AY18)-1)</f>
        <v>2.6643572508171065E-2</v>
      </c>
      <c r="BL18" s="31">
        <f>IF(OR(IPC!BL18="",IPC!AZ18=""),"",AVERAGE(IPC!BA18:BL18)/AVERAGE(IPC!AO18:AZ18)-1)</f>
        <v>2.5988540187640519E-2</v>
      </c>
      <c r="BM18" s="31">
        <f>IF(OR(IPC!BM18="",IPC!BA18=""),"",AVERAGE(IPC!BB18:BM18)/AVERAGE(IPC!AP18:BA18)-1)</f>
        <v>2.5759880963355686E-2</v>
      </c>
      <c r="BN18" s="31">
        <f>IF(OR(IPC!BN18="",IPC!BB18=""),"",AVERAGE(IPC!BC18:BN18)/AVERAGE(IPC!AQ18:BB18)-1)</f>
        <v>2.5530092287484596E-2</v>
      </c>
      <c r="BO18" s="31">
        <f>IF(OR(IPC!BO18="",IPC!BC18=""),"",AVERAGE(IPC!BD18:BO18)/AVERAGE(IPC!AR18:BC18)-1)</f>
        <v>2.5675936272978372E-2</v>
      </c>
      <c r="BP18" s="31">
        <f>IF(OR(IPC!BP18="",IPC!BD18=""),"",AVERAGE(IPC!BE18:BP18)/AVERAGE(IPC!AS18:BD18)-1)</f>
        <v>2.4844024260282982E-2</v>
      </c>
      <c r="BQ18" s="31">
        <f>IF(OR(IPC!BQ18="",IPC!BE18=""),"",AVERAGE(IPC!BF18:BQ18)/AVERAGE(IPC!AT18:BE18)-1)</f>
        <v>2.3260792010203923E-2</v>
      </c>
      <c r="BR18" s="31">
        <f>IF(OR(IPC!BR18="",IPC!BF18=""),"",AVERAGE(IPC!BG18:BR18)/AVERAGE(IPC!AU18:BF18)-1)</f>
        <v>2.2662154928191347E-2</v>
      </c>
      <c r="BS18" s="31">
        <f>IF(OR(IPC!BS18="",IPC!BG18=""),"",AVERAGE(IPC!BH18:BS18)/AVERAGE(IPC!AV18:BG18)-1)</f>
        <v>2.2174099231024647E-2</v>
      </c>
      <c r="BT18" s="31">
        <f>IF(OR(IPC!BT18="",IPC!BH18=""),"",AVERAGE(IPC!BI18:BT18)/AVERAGE(IPC!AW18:BH18)-1)</f>
        <v>2.1532100349495487E-2</v>
      </c>
      <c r="BU18" s="31">
        <f>IF(OR(IPC!BU18="",IPC!BI18=""),"",AVERAGE(IPC!BJ18:BU18)/AVERAGE(IPC!AX18:BI18)-1)</f>
        <v>1.9907997991579496E-2</v>
      </c>
      <c r="BV18" s="31">
        <f>IF(OR(IPC!BV18="",IPC!BJ18=""),"",AVERAGE(IPC!BK18:BV18)/AVERAGE(IPC!AY18:BJ18)-1)</f>
        <v>1.8622406642681E-2</v>
      </c>
      <c r="BW18" s="31">
        <f>IF(OR(IPC!BW18="",IPC!BK18=""),"",AVERAGE(IPC!BL18:BW18)/AVERAGE(IPC!AZ18:BK18)-1)</f>
        <v>1.7669960411689889E-2</v>
      </c>
      <c r="BX18" s="31">
        <f>IF(OR(IPC!BX18="",IPC!BL18=""),"",AVERAGE(IPC!BM18:BX18)/AVERAGE(IPC!BA18:BL18)-1)</f>
        <v>1.7350784931922547E-2</v>
      </c>
      <c r="BY18" s="31">
        <f>IF(OR(IPC!BY18="",IPC!BM18=""),"",AVERAGE(IPC!BN18:BY18)/AVERAGE(IPC!BB18:BM18)-1)</f>
        <v>1.7110884162990336E-2</v>
      </c>
      <c r="BZ18" s="31">
        <f>IF(OR(IPC!BZ18="",IPC!BN18=""),"",AVERAGE(IPC!BO18:BZ18)/AVERAGE(IPC!BC18:BN18)-1)</f>
        <v>1.7240450557429066E-2</v>
      </c>
      <c r="CA18" s="31">
        <f>IF(OR(IPC!CA18="",IPC!BO18=""),"",AVERAGE(IPC!BP18:CA18)/AVERAGE(IPC!BD18:BO18)-1)</f>
        <v>1.7006361876536813E-2</v>
      </c>
      <c r="CB18" s="31">
        <f>IF(OR(IPC!CB18="",IPC!BP18=""),"",AVERAGE(IPC!BQ18:CB18)/AVERAGE(IPC!BE18:BP18)-1)</f>
        <v>1.7543354623757113E-2</v>
      </c>
      <c r="CC18" s="31">
        <f>IF(OR(IPC!CC18="",IPC!BQ18=""),"",AVERAGE(IPC!BR18:CC18)/AVERAGE(IPC!BF18:BQ18)-1)</f>
        <v>1.7979653411392738E-2</v>
      </c>
      <c r="CD18" s="31">
        <f>IF(OR(IPC!CD18="",IPC!BR18=""),"",AVERAGE(IPC!BS18:CD18)/AVERAGE(IPC!BG18:BR18)-1)</f>
        <v>1.8039910749763965E-2</v>
      </c>
      <c r="CE18" s="31">
        <f>IF(OR(IPC!CE18="",IPC!BS18=""),"",AVERAGE(IPC!BT18:CE18)/AVERAGE(IPC!BH18:BS18)-1)</f>
        <v>1.7924166554114995E-2</v>
      </c>
      <c r="CF18" s="31">
        <f>IF(OR(IPC!CF18="",IPC!BT18=""),"",AVERAGE(IPC!BU18:CF18)/AVERAGE(IPC!BI18:BT18)-1)</f>
        <v>1.8150918281805817E-2</v>
      </c>
      <c r="CG18" s="31">
        <f>IF(OR(IPC!CG18="",IPC!BU18=""),"",AVERAGE(IPC!BV18:CG18)/AVERAGE(IPC!BJ18:BU18)-1)</f>
        <v>1.841970838382645E-2</v>
      </c>
      <c r="CH18" s="31">
        <f>IF(OR(IPC!CH18="",IPC!BV18=""),"",AVERAGE(IPC!BW18:CH18)/AVERAGE(IPC!BK18:BV18)-1)</f>
        <v>1.8562791999660933E-2</v>
      </c>
      <c r="CI18" s="31">
        <f>IF(OR(IPC!CI18="",IPC!BW18=""),"",AVERAGE(IPC!BX18:CI18)/AVERAGE(IPC!BL18:BW18)-1)</f>
        <v>1.8782776066244233E-2</v>
      </c>
      <c r="CJ18" s="31">
        <f>IF(OR(IPC!CJ18="",IPC!BX18=""),"",AVERAGE(IPC!BY18:CJ18)/AVERAGE(IPC!BM18:BX18)-1)</f>
        <v>1.8685892675639915E-2</v>
      </c>
      <c r="CK18" s="31">
        <f>IF(OR(IPC!CK18="",IPC!BY18=""),"",AVERAGE(IPC!BZ18:CK18)/AVERAGE(IPC!BN18:BY18)-1)</f>
        <v>1.8656735135838654E-2</v>
      </c>
      <c r="CL18" s="31">
        <f>IF(OR(IPC!CL18="",IPC!BZ18=""),"",AVERAGE(IPC!CA18:CL18)/AVERAGE(IPC!BO18:BZ18)-1)</f>
        <v>1.7922477999240405E-2</v>
      </c>
      <c r="CM18" s="31">
        <f>IF(OR(IPC!CM18="",IPC!CA18=""),"",AVERAGE(IPC!CB18:CM18)/AVERAGE(IPC!BP18:CA18)-1)</f>
        <v>1.723268518457588E-2</v>
      </c>
      <c r="CN18" s="31">
        <f>IF(OR(IPC!CN18="",IPC!CB18=""),"",AVERAGE(IPC!CC18:CN18)/AVERAGE(IPC!BQ18:CB18)-1)</f>
        <v>1.6657382222752704E-2</v>
      </c>
      <c r="CO18" s="31">
        <f>IF(OR(IPC!CO18="",IPC!CC18=""),"",AVERAGE(IPC!CD18:CO18)/AVERAGE(IPC!BR18:CC18)-1)</f>
        <v>1.6237089120850534E-2</v>
      </c>
      <c r="CP18" s="31">
        <f>IF(OR(IPC!CP18="",IPC!CD18=""),"",AVERAGE(IPC!CE18:CP18)/AVERAGE(IPC!BS18:CD18)-1)</f>
        <v>1.5433565687760886E-2</v>
      </c>
      <c r="CQ18" s="31">
        <f>IF(OR(IPC!CQ18="",IPC!CE18=""),"",AVERAGE(IPC!CF18:CQ18)/AVERAGE(IPC!BT18:CE18)-1)</f>
        <v>1.5137660287371402E-2</v>
      </c>
      <c r="CR18" s="31">
        <f>IF(OR(IPC!CR18="",IPC!CF18=""),"",AVERAGE(IPC!CG18:CR18)/AVERAGE(IPC!BU18:CF18)-1)</f>
        <v>1.4627632608649854E-2</v>
      </c>
      <c r="CS18" s="31">
        <f>IF(OR(IPC!CS18="",IPC!CG18=""),"",AVERAGE(IPC!CH18:CS18)/AVERAGE(IPC!BV18:CG18)-1)</f>
        <v>1.4494124004926556E-2</v>
      </c>
      <c r="CT18" s="31">
        <f>IF(OR(IPC!CT18="",IPC!CH18=""),"",AVERAGE(IPC!CI18:CT18)/AVERAGE(IPC!BW18:CH18)-1)</f>
        <v>1.4605984314873588E-2</v>
      </c>
      <c r="CU18" s="31">
        <f>IF(OR(IPC!CU18="",IPC!CI18=""),"",AVERAGE(IPC!CJ18:CU18)/AVERAGE(IPC!BX18:CI18)-1)</f>
        <v>1.5056120755233326E-2</v>
      </c>
      <c r="CV18" s="31">
        <f>IF(OR(IPC!CV18="",IPC!CJ18=""),"",AVERAGE(IPC!CK18:CV18)/AVERAGE(IPC!BY18:CJ18)-1)</f>
        <v>1.5735752765369648E-2</v>
      </c>
      <c r="CW18" s="31">
        <f>IF(OR(IPC!CW18="",IPC!CK18=""),"",AVERAGE(IPC!CL18:CW18)/AVERAGE(IPC!BZ18:CK18)-1)</f>
        <v>1.6478080458783184E-2</v>
      </c>
      <c r="CX18" s="31">
        <f>IF(OR(IPC!CX18="",IPC!CL18=""),"",AVERAGE(IPC!CM18:CX18)/AVERAGE(IPC!CA18:CL18)-1)</f>
        <v>1.7851645339377109E-2</v>
      </c>
      <c r="CY18" s="31">
        <f>IF(OR(IPC!CY18="",IPC!CM18=""),"",AVERAGE(IPC!CN18:CY18)/AVERAGE(IPC!CB18:CM18)-1)</f>
        <v>1.9343892572040389E-2</v>
      </c>
      <c r="CZ18" s="31">
        <f>IF(OR(IPC!CZ18="",IPC!CN18=""),"",AVERAGE(IPC!CO18:CZ18)/AVERAGE(IPC!CC18:CN18)-1)</f>
        <v>2.0338401079736501E-2</v>
      </c>
      <c r="DA18" s="31">
        <f>IF(OR(IPC!DA18="",IPC!CO18=""),"",AVERAGE(IPC!CP18:DA18)/AVERAGE(IPC!CD18:CO18)-1)</f>
        <v>2.1627190984008449E-2</v>
      </c>
      <c r="DB18" s="31">
        <f>IF(OR(IPC!DB18="",IPC!CP18=""),"",AVERAGE(IPC!CQ18:DB18)/AVERAGE(IPC!CE18:CP18)-1)</f>
        <v>2.3063538350735158E-2</v>
      </c>
      <c r="DC18" s="31">
        <f>IF(OR(IPC!DC18="",IPC!CQ18=""),"",AVERAGE(IPC!CR18:DC18)/AVERAGE(IPC!CF18:CQ18)-1)</f>
        <v>2.3946606470014453E-2</v>
      </c>
      <c r="DD18" s="31">
        <f>IF(OR(IPC!DD18="",IPC!CR18=""),"",AVERAGE(IPC!CS18:DD18)/AVERAGE(IPC!CG18:CR18)-1)</f>
        <v>2.4590789417797243E-2</v>
      </c>
      <c r="DE18" s="31">
        <f>IF(OR(IPC!DE18="",IPC!CS18=""),"",AVERAGE(IPC!CT18:DE18)/AVERAGE(IPC!CH18:CS18)-1)</f>
        <v>2.5083989243232852E-2</v>
      </c>
      <c r="DF18" s="31">
        <f>IF(OR(IPC!DF18="",IPC!CT18=""),"",AVERAGE(IPC!CU18:DF18)/AVERAGE(IPC!CI18:CT18)-1)</f>
        <v>2.5426487210577386E-2</v>
      </c>
      <c r="DG18" s="31">
        <f>IF(OR(IPC!DG18="",IPC!CU18=""),"",AVERAGE(IPC!CV18:DG18)/AVERAGE(IPC!CJ18:CU18)-1)</f>
        <v>2.551732608622137E-2</v>
      </c>
      <c r="DH18" s="31">
        <f>IF(OR(IPC!DH18="",IPC!CV18=""),"",AVERAGE(IPC!CW18:DH18)/AVERAGE(IPC!CK18:CV18)-1)</f>
        <v>2.5059917726308445E-2</v>
      </c>
      <c r="DI18" s="31">
        <f>IF(OR(IPC!DI18="",IPC!CW18=""),"",AVERAGE(IPC!CX18:DI18)/AVERAGE(IPC!CL18:CW18)-1)</f>
        <v>2.4434661869173091E-2</v>
      </c>
      <c r="DJ18" s="31">
        <f>IF(OR(IPC!DJ18="",IPC!CX18=""),"",AVERAGE(IPC!CY18:DJ18)/AVERAGE(IPC!CM18:CX18)-1)</f>
        <v>2.3132239395236676E-2</v>
      </c>
      <c r="DK18" s="31">
        <f>IF(OR(IPC!DK18="",IPC!CY18=""),"",AVERAGE(IPC!CZ18:DK18)/AVERAGE(IPC!CN18:CY18)-1)</f>
        <v>2.1854187220906818E-2</v>
      </c>
      <c r="DL18" s="31">
        <f>IF(OR(IPC!DL18="",IPC!CZ18=""),"",AVERAGE(IPC!DA18:DL18)/AVERAGE(IPC!CO18:CZ18)-1)</f>
        <v>2.0571133166640498E-2</v>
      </c>
      <c r="DM18" s="31">
        <f>IF(OR(IPC!DM18="",IPC!DA18=""),"",AVERAGE(IPC!DB18:DM18)/AVERAGE(IPC!CP18:DA18)-1)</f>
        <v>1.9058530187435974E-2</v>
      </c>
      <c r="DN18" s="31">
        <f>IF(OR(IPC!DN18="",IPC!DB18=""),"",AVERAGE(IPC!DC18:DN18)/AVERAGE(IPC!CQ18:DB18)-1)</f>
        <v>1.7636681830729639E-2</v>
      </c>
      <c r="DO18" s="31">
        <f>IF(OR(IPC!DO18="",IPC!DC18=""),"",AVERAGE(IPC!DD18:DO18)/AVERAGE(IPC!CR18:DC18)-1)</f>
        <v>1.6359856284374308E-2</v>
      </c>
      <c r="DP18" s="31">
        <f>IF(OR(IPC!DP18="",IPC!DD18=""),"",AVERAGE(IPC!DE18:DP18)/AVERAGE(IPC!CS18:DD18)-1)</f>
        <v>1.5653265884797651E-2</v>
      </c>
      <c r="DQ18" s="31">
        <f>IF(OR(IPC!DQ18="",IPC!DE18=""),"",AVERAGE(IPC!DF18:DQ18)/AVERAGE(IPC!CT18:DE18)-1)</f>
        <v>1.4970538576315917E-2</v>
      </c>
      <c r="DR18" s="31">
        <f>IF(OR(IPC!DR18="",IPC!DF18=""),"",AVERAGE(IPC!DG18:DR18)/AVERAGE(IPC!CU18:DF18)-1)</f>
        <v>1.4241339714944345E-2</v>
      </c>
      <c r="DS18" s="31">
        <f>IF(OR(IPC!DS18="",IPC!DG18=""),"",AVERAGE(IPC!DH18:DS18)/AVERAGE(IPC!CV18:DG18)-1)</f>
        <v>1.3432127208819589E-2</v>
      </c>
      <c r="DT18" s="31">
        <f>IF(OR(IPC!DT18="",IPC!DH18=""),"",AVERAGE(IPC!DI18:DT18)/AVERAGE(IPC!CW18:DH18)-1)</f>
        <v>1.3086396357574692E-2</v>
      </c>
      <c r="DU18" s="31">
        <f>IF(OR(IPC!DU18="",IPC!DI18=""),"",AVERAGE(IPC!DJ18:DU18)/AVERAGE(IPC!CX18:DI18)-1)</f>
        <v>1.2660599782801096E-2</v>
      </c>
      <c r="DV18" s="31">
        <f>IF(OR(IPC!DV18="",IPC!DJ18=""),"",AVERAGE(IPC!DK18:DV18)/AVERAGE(IPC!CY18:DJ18)-1)</f>
        <v>1.2768401800151485E-2</v>
      </c>
      <c r="DW18" s="31">
        <f>IF(OR(IPC!DW18="",IPC!DK18=""),"",AVERAGE(IPC!DL18:DW18)/AVERAGE(IPC!CZ18:DK18)-1)</f>
        <v>1.2578680628855476E-2</v>
      </c>
      <c r="DX18" s="31">
        <f>IF(OR(IPC!DX18="",IPC!DL18=""),"",AVERAGE(IPC!DM18:DX18)/AVERAGE(IPC!DA18:DL18)-1)</f>
        <v>1.2616856316117087E-2</v>
      </c>
      <c r="DY18" s="31">
        <f>IF(OR(IPC!DY18="",IPC!DM18=""),"",AVERAGE(IPC!DN18:DY18)/AVERAGE(IPC!DB18:DM18)-1)</f>
        <v>1.2567723963127442E-2</v>
      </c>
      <c r="DZ18" s="31">
        <f>IF(OR(IPC!DZ18="",IPC!DN18=""),"",AVERAGE(IPC!DO18:DZ18)/AVERAGE(IPC!DC18:DN18)-1)</f>
        <v>1.2508947528402148E-2</v>
      </c>
      <c r="EA18" s="31">
        <f>IF(OR(IPC!EA18="",IPC!DO18=""),"",AVERAGE(IPC!DP18:EA18)/AVERAGE(IPC!DD18:DO18)-1)</f>
        <v>1.2467120850728985E-2</v>
      </c>
      <c r="EB18" s="31">
        <f>IF(OR(IPC!EB18="",IPC!DP18=""),"",AVERAGE(IPC!DQ18:EB18)/AVERAGE(IPC!DE18:DP18)-1)</f>
        <v>1.1881661464481441E-2</v>
      </c>
      <c r="EC18" s="31">
        <f>IF(OR(IPC!EC18="",IPC!DQ18=""),"",AVERAGE(IPC!DR18:EC18)/AVERAGE(IPC!DF18:DQ18)-1)</f>
        <v>1.1366537929841547E-2</v>
      </c>
      <c r="ED18" s="31">
        <f>IF(OR(IPC!ED18="",IPC!DR18=""),"",AVERAGE(IPC!DS18:ED18)/AVERAGE(IPC!DG18:DR18)-1)</f>
        <v>1.0927499745460034E-2</v>
      </c>
      <c r="EE18" s="31">
        <f>IF(OR(IPC!EE18="",IPC!DS18=""),"",AVERAGE(IPC!DT18:EE18)/AVERAGE(IPC!DH18:DS18)-1)</f>
        <v>1.0775043209868329E-2</v>
      </c>
      <c r="EF18" s="31">
        <f>IF(OR(IPC!EF18="",IPC!DT18=""),"",AVERAGE(IPC!DU18:EF18)/AVERAGE(IPC!DI18:DT18)-1)</f>
        <v>1.0797066535166211E-2</v>
      </c>
      <c r="EG18" s="31">
        <f>IF(OR(IPC!EG18="",IPC!DU18=""),"",AVERAGE(IPC!DV18:EG18)/AVERAGE(IPC!DJ18:DU18)-1)</f>
        <v>1.1149951981890061E-2</v>
      </c>
      <c r="EH18" s="31">
        <f>IF(OR(IPC!EH18="",IPC!DV18=""),"",AVERAGE(IPC!DW18:EH18)/AVERAGE(IPC!DK18:DV18)-1)</f>
        <v>1.1805083532426375E-2</v>
      </c>
      <c r="EI18" s="31">
        <f>IF(OR(IPC!EI18="",IPC!DW18=""),"",AVERAGE(IPC!DX18:EI18)/AVERAGE(IPC!DL18:DW18)-1)</f>
        <v>1.3206648161999013E-2</v>
      </c>
      <c r="EJ18" s="31">
        <f>IF(OR(IPC!EJ18="",IPC!DX18=""),"",AVERAGE(IPC!DY18:EJ18)/AVERAGE(IPC!DM18:DX18)-1)</f>
        <v>1.5066565184304714E-2</v>
      </c>
      <c r="EK18" s="31">
        <f>IF(OR(IPC!EK18="",IPC!DY18=""),"",AVERAGE(IPC!DZ18:EK18)/AVERAGE(IPC!DN18:DY18)-1)</f>
        <v>1.7247678764434893E-2</v>
      </c>
      <c r="EL18" s="31">
        <f>IF(OR(IPC!EL18="",IPC!DZ18=""),"",AVERAGE(IPC!EA18:EL18)/AVERAGE(IPC!DO18:DZ18)-1)</f>
        <v>1.9965124216839047E-2</v>
      </c>
      <c r="EM18" s="31">
        <f>IF(OR(IPC!EM18="",IPC!EA18=""),"",AVERAGE(IPC!EB18:EM18)/AVERAGE(IPC!DP18:EA18)-1)</f>
        <v>2.3284784126901936E-2</v>
      </c>
      <c r="EN18" s="31">
        <f>IF(OR(IPC!EN18="",IPC!EB18=""),"",AVERAGE(IPC!EC18:EN18)/AVERAGE(IPC!DQ18:EB18)-1)</f>
        <v>2.7162979896051098E-2</v>
      </c>
      <c r="EO18" s="31">
        <f>IF(OR(IPC!EO18="",IPC!EC18=""),"",AVERAGE(IPC!ED18:EO18)/AVERAGE(IPC!DR18:EC18)-1)</f>
        <v>3.1445834639746817E-2</v>
      </c>
      <c r="EP18" s="31">
        <f>IF(OR(IPC!EP18="",IPC!ED18=""),"",AVERAGE(IPC!EE18:EP18)/AVERAGE(IPC!DS18:ED18)-1)</f>
        <v>3.5776439419215045E-2</v>
      </c>
      <c r="EQ18" s="31">
        <f>IF(OR(IPC!EQ18="",IPC!EE18=""),"",AVERAGE(IPC!EF18:EQ18)/AVERAGE(IPC!DT18:EE18)-1)</f>
        <v>4.0229557581393127E-2</v>
      </c>
      <c r="ER18" s="31">
        <f>IF(OR(IPC!ER18="",IPC!EF18=""),"",AVERAGE(IPC!EG18:ER18)/AVERAGE(IPC!DU18:EF18)-1)</f>
        <v>4.4691599810010141E-2</v>
      </c>
      <c r="ES18" s="31">
        <f>IF(OR(IPC!ES18="",IPC!EG18=""),"",AVERAGE(IPC!EH18:ES18)/AVERAGE(IPC!DV18:EG18)-1)</f>
        <v>4.9101314690874309E-2</v>
      </c>
      <c r="ET18" s="31">
        <f>IF(OR(IPC!ET18="",IPC!EH18=""),"",AVERAGE(IPC!EI18:ET18)/AVERAGE(IPC!DW18:EH18)-1)</f>
        <v>5.2632839404344711E-2</v>
      </c>
      <c r="EU18" s="31">
        <f>IF(OR(IPC!EU18="",IPC!EI18=""),"",AVERAGE(IPC!EJ18:EU18)/AVERAGE(IPC!DX18:EI18)-1)</f>
        <v>5.550805160102823E-2</v>
      </c>
      <c r="EV18" s="31">
        <f>IF(OR(IPC!EV18="",IPC!EJ18=""),"",AVERAGE(IPC!EK18:EV18)/AVERAGE(IPC!DY18:EJ18)-1)</f>
        <v>5.760402405925924E-2</v>
      </c>
      <c r="EW18" s="31">
        <f>IF(OR(IPC!EW18="",IPC!EK18=""),"",AVERAGE(IPC!EL18:EW18)/AVERAGE(IPC!DZ18:EK18)-1)</f>
        <v>5.9514308502635505E-2</v>
      </c>
      <c r="EX18" s="31">
        <f>IF(OR(IPC!EX18="",IPC!EL18=""),"",AVERAGE(IPC!EM18:EX18)/AVERAGE(IPC!EA18:EL18)-1)</f>
        <v>6.0153192618422668E-2</v>
      </c>
      <c r="EY18" s="31">
        <f>IF(OR(IPC!EY18="",IPC!EM18=""),"",AVERAGE(IPC!EN18:EY18)/AVERAGE(IPC!EB18:EM18)-1)</f>
        <v>5.9650773291199499E-2</v>
      </c>
      <c r="EZ18" s="31">
        <f>IF(OR(IPC!EZ18="",IPC!EN18=""),"",AVERAGE(IPC!EO18:EZ18)/AVERAGE(IPC!EC18:EN18)-1)</f>
        <v>5.8801814084783244E-2</v>
      </c>
      <c r="FA18" s="31">
        <f>IF(OR(IPC!FA18="",IPC!EO18=""),"",AVERAGE(IPC!EP18:FA18)/AVERAGE(IPC!ED18:EO18)-1)</f>
        <v>5.7104869854101681E-2</v>
      </c>
      <c r="FB18" s="31">
        <f>IF(OR(IPC!FB18="",IPC!EP18=""),"",AVERAGE(IPC!EQ18:FB18)/AVERAGE(IPC!EE18:EP18)-1)</f>
        <v>5.5259790578778167E-2</v>
      </c>
      <c r="FC18" s="31">
        <f>IF(OR(IPC!FC18="",IPC!EQ18=""),"",AVERAGE(IPC!ER18:FC18)/AVERAGE(IPC!EF18:EQ18)-1)</f>
        <v>5.2905503644307794E-2</v>
      </c>
      <c r="FD18" s="31">
        <f>IF(OR(IPC!FD18="",IPC!ER18=""),"",AVERAGE(IPC!ES18:FD18)/AVERAGE(IPC!EG18:ER18)-1)</f>
        <v>4.9710809547673929E-2</v>
      </c>
      <c r="FE18" s="31">
        <f>IF(OR(IPC!FE18="",IPC!ES18=""),"",AVERAGE(IPC!ET18:FE18)/AVERAGE(IPC!EH18:ES18)-1)</f>
        <v>4.6161109333802575E-2</v>
      </c>
      <c r="FF18" s="31">
        <f>IF(OR(IPC!FF18="",IPC!ET18=""),"",AVERAGE(IPC!EU18:FF18)/AVERAGE(IPC!EI18:ET18)-1)</f>
        <v>4.309963216250523E-2</v>
      </c>
      <c r="FG18" s="31">
        <f>IF(OR(IPC!FG18="",IPC!EU18=""),"",AVERAGE(IPC!EV18:FG18)/AVERAGE(IPC!EJ18:EU18)-1)</f>
        <v>3.9940224448956396E-2</v>
      </c>
      <c r="FH18" s="31">
        <f>IF(OR(IPC!FH18="",IPC!EV18=""),"",AVERAGE(IPC!EW18:FH18)/AVERAGE(IPC!EK18:EV18)-1)</f>
        <v>3.6808531417212409E-2</v>
      </c>
      <c r="FI18" s="31">
        <f>IF(OR(IPC!FI18="",IPC!EW18=""),"",AVERAGE(IPC!EX18:FI18)/AVERAGE(IPC!EL18:EW18)-1)</f>
        <v>3.369383647576063E-2</v>
      </c>
      <c r="FJ18" s="31">
        <f>IF(OR(IPC!FJ18="",IPC!EX18=""),"",AVERAGE(IPC!EY18:FJ18)/AVERAGE(IPC!EM18:EX18)-1)</f>
        <v>3.1294552178968704E-2</v>
      </c>
      <c r="FK18" s="31">
        <f>IF(OR(IPC!FK18="",IPC!EY18=""),"",AVERAGE(IPC!EZ18:FK18)/AVERAGE(IPC!EN18:EY18)-1)</f>
        <v>2.9468089171791334E-2</v>
      </c>
      <c r="FL18" s="31">
        <f>IF(OR(IPC!FL18="",IPC!EZ18=""),"",AVERAGE(IPC!FA18:FL18)/AVERAGE(IPC!EO18:EZ18)-1)</f>
        <v>2.7497528353265688E-2</v>
      </c>
      <c r="FM18" s="31">
        <f>IF(OR(IPC!FM18="",IPC!FA18=""),"",AVERAGE(IPC!FB18:FM18)/AVERAGE(IPC!EP18:FA18)-1)</f>
        <v>2.5870110447912875E-2</v>
      </c>
      <c r="FN18" s="31">
        <f>IF(OR(IPC!FN18="",IPC!FB18=""),"",AVERAGE(IPC!FC18:FN18)/AVERAGE(IPC!EQ18:FB18)-1)</f>
        <v>2.4459070141100048E-2</v>
      </c>
      <c r="FO18" s="31">
        <f>IF(OR(IPC!FO18="",IPC!FC18=""),"",AVERAGE(IPC!FD18:FO18)/AVERAGE(IPC!ER18:FC18)-1)</f>
        <v>2.32018299749015E-2</v>
      </c>
      <c r="FP18" s="31">
        <f>IF(OR(IPC!FP18="",IPC!FD18=""),"",AVERAGE(IPC!FE18:FP18)/AVERAGE(IPC!ES18:FD18)-1)</f>
        <v>2.2426433486992137E-2</v>
      </c>
      <c r="FQ18" s="31">
        <f>IF(OR(IPC!FQ18="",IPC!FE18=""),"",AVERAGE(IPC!FF18:FQ18)/AVERAGE(IPC!ET18:FE18)-1)</f>
        <v>2.1656517052859092E-2</v>
      </c>
      <c r="FR18" s="31">
        <f>IF(OR(IPC!FR18="",IPC!FF18=""),"",AVERAGE(IPC!FG18:FR18)/AVERAGE(IPC!EU18:FF18)-1)</f>
        <v>2.0687231835259778E-2</v>
      </c>
    </row>
    <row r="19" spans="1:174" s="85" customFormat="1" ht="10.199999999999999" x14ac:dyDescent="0.2">
      <c r="B19" s="86" t="s">
        <v>2</v>
      </c>
      <c r="C19" s="87">
        <f>+SUM(C6:C8)</f>
        <v>0</v>
      </c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>
        <f>IF(OR(IPC!AN19="",IPC!AB19=""),"",AVERAGE(IPC!AC19:AN19)/AVERAGE(IPC!Q19:AB19)-1)</f>
        <v>1.9324092367422052E-2</v>
      </c>
      <c r="AO19" s="88">
        <f>IF(OR(IPC!AO19="",IPC!AC19=""),"",AVERAGE(IPC!AD19:AO19)/AVERAGE(IPC!R19:AC19)-1)</f>
        <v>1.8272912586276835E-2</v>
      </c>
      <c r="AP19" s="88">
        <f>IF(OR(IPC!AP19="",IPC!AD19=""),"",AVERAGE(IPC!AE19:AP19)/AVERAGE(IPC!S19:AD19)-1)</f>
        <v>1.7245093330613859E-2</v>
      </c>
      <c r="AQ19" s="88">
        <f>IF(OR(IPC!AQ19="",IPC!AE19=""),"",AVERAGE(IPC!AF19:AQ19)/AVERAGE(IPC!T19:AE19)-1)</f>
        <v>1.6316495158914757E-2</v>
      </c>
      <c r="AR19" s="88">
        <f>IF(OR(IPC!AR19="",IPC!AF19=""),"",AVERAGE(IPC!AG19:AR19)/AVERAGE(IPC!U19:AF19)-1)</f>
        <v>1.5869985499742167E-2</v>
      </c>
      <c r="AS19" s="88">
        <f>IF(OR(IPC!AS19="",IPC!AG19=""),"",AVERAGE(IPC!AH19:AS19)/AVERAGE(IPC!V19:AG19)-1)</f>
        <v>1.4905915906192835E-2</v>
      </c>
      <c r="AT19" s="88">
        <f>IF(OR(IPC!AT19="",IPC!AH19=""),"",AVERAGE(IPC!AI19:AT19)/AVERAGE(IPC!W19:AH19)-1)</f>
        <v>1.5997584845482082E-2</v>
      </c>
      <c r="AU19" s="88">
        <f>IF(OR(IPC!AU19="",IPC!AI19=""),"",AVERAGE(IPC!AJ19:AU19)/AVERAGE(IPC!X19:AI19)-1)</f>
        <v>1.6862109732896258E-2</v>
      </c>
      <c r="AV19" s="88">
        <f>IF(OR(IPC!AV19="",IPC!AJ19=""),"",AVERAGE(IPC!AK19:AV19)/AVERAGE(IPC!Y19:AJ19)-1)</f>
        <v>1.7423245993188674E-2</v>
      </c>
      <c r="AW19" s="88">
        <f>IF(OR(IPC!AW19="",IPC!AK19=""),"",AVERAGE(IPC!AL19:AW19)/AVERAGE(IPC!Z19:AK19)-1)</f>
        <v>1.7441116776693244E-2</v>
      </c>
      <c r="AX19" s="88">
        <f>IF(OR(IPC!AX19="",IPC!AL19=""),"",AVERAGE(IPC!AM19:AX19)/AVERAGE(IPC!AA19:AL19)-1)</f>
        <v>1.7727814550872356E-2</v>
      </c>
      <c r="AY19" s="88">
        <f>IF(OR(IPC!AY19="",IPC!AM19=""),"",AVERAGE(IPC!AN19:AY19)/AVERAGE(IPC!AB19:AM19)-1)</f>
        <v>1.8548985036678012E-2</v>
      </c>
      <c r="AZ19" s="88">
        <f>IF(OR(IPC!AZ19="",IPC!AN19=""),"",AVERAGE(IPC!AO19:AZ19)/AVERAGE(IPC!AC19:AN19)-1)</f>
        <v>1.9590649776059399E-2</v>
      </c>
      <c r="BA19" s="88">
        <f>IF(OR(IPC!BA19="",IPC!AO19=""),"",AVERAGE(IPC!AP19:BA19)/AVERAGE(IPC!AD19:AO19)-1)</f>
        <v>2.0919623006404153E-2</v>
      </c>
      <c r="BB19" s="88">
        <f>IF(OR(IPC!BB19="",IPC!AP19=""),"",AVERAGE(IPC!AQ19:BB19)/AVERAGE(IPC!AE19:AP19)-1)</f>
        <v>2.2603782004749107E-2</v>
      </c>
      <c r="BC19" s="88">
        <f>IF(OR(IPC!BC19="",IPC!AQ19=""),"",AVERAGE(IPC!AR19:BC19)/AVERAGE(IPC!AF19:AQ19)-1)</f>
        <v>2.5039341191791742E-2</v>
      </c>
      <c r="BD19" s="88">
        <f>IF(OR(IPC!BD19="",IPC!AR19=""),"",AVERAGE(IPC!AS19:BD19)/AVERAGE(IPC!AG19:AR19)-1)</f>
        <v>2.7018294799979525E-2</v>
      </c>
      <c r="BE19" s="88">
        <f>IF(OR(IPC!BE19="",IPC!AS19=""),"",AVERAGE(IPC!AT19:BE19)/AVERAGE(IPC!AH19:AS19)-1)</f>
        <v>2.9906982236717061E-2</v>
      </c>
      <c r="BF19" s="88">
        <f>IF(OR(IPC!BF19="",IPC!AT19=""),"",AVERAGE(IPC!AU19:BF19)/AVERAGE(IPC!AI19:AT19)-1)</f>
        <v>2.9384456852646679E-2</v>
      </c>
      <c r="BG19" s="88">
        <f>IF(OR(IPC!BG19="",IPC!AU19=""),"",AVERAGE(IPC!AV19:BG19)/AVERAGE(IPC!AJ19:AU19)-1)</f>
        <v>2.8936308784528242E-2</v>
      </c>
      <c r="BH19" s="88">
        <f>IF(OR(IPC!BH19="",IPC!AV19=""),"",AVERAGE(IPC!AW19:BH19)/AVERAGE(IPC!AK19:AV19)-1)</f>
        <v>2.8532416342309297E-2</v>
      </c>
      <c r="BI19" s="88">
        <f>IF(OR(IPC!BI19="",IPC!AW19=""),"",AVERAGE(IPC!AX19:BI19)/AVERAGE(IPC!AL19:AW19)-1)</f>
        <v>2.8712966398681372E-2</v>
      </c>
      <c r="BJ19" s="88">
        <f>IF(OR(IPC!BJ19="",IPC!AX19=""),"",AVERAGE(IPC!AY19:BJ19)/AVERAGE(IPC!AM19:AX19)-1)</f>
        <v>2.7786762780519503E-2</v>
      </c>
      <c r="BK19" s="88">
        <f>IF(OR(IPC!BK19="",IPC!AY19=""),"",AVERAGE(IPC!AZ19:BK19)/AVERAGE(IPC!AN19:AY19)-1)</f>
        <v>2.6784391438096078E-2</v>
      </c>
      <c r="BL19" s="88">
        <f>IF(OR(IPC!BL19="",IPC!AZ19=""),"",AVERAGE(IPC!BA19:BL19)/AVERAGE(IPC!AO19:AZ19)-1)</f>
        <v>2.6043230695800279E-2</v>
      </c>
      <c r="BM19" s="88">
        <f>IF(OR(IPC!BM19="",IPC!BA19=""),"",AVERAGE(IPC!BB19:BM19)/AVERAGE(IPC!AP19:BA19)-1)</f>
        <v>2.462191343149378E-2</v>
      </c>
      <c r="BN19" s="88">
        <f>IF(OR(IPC!BN19="",IPC!BB19=""),"",AVERAGE(IPC!BC19:BN19)/AVERAGE(IPC!AQ19:BB19)-1)</f>
        <v>2.3185845166554309E-2</v>
      </c>
      <c r="BO19" s="88">
        <f>IF(OR(IPC!BO19="",IPC!BC19=""),"",AVERAGE(IPC!BD19:BO19)/AVERAGE(IPC!AR19:BC19)-1)</f>
        <v>2.0898843849064486E-2</v>
      </c>
      <c r="BP19" s="88">
        <f>IF(OR(IPC!BP19="",IPC!BD19=""),"",AVERAGE(IPC!BE19:BP19)/AVERAGE(IPC!AS19:BD19)-1)</f>
        <v>1.9043748071669864E-2</v>
      </c>
      <c r="BQ19" s="88">
        <f>IF(OR(IPC!BQ19="",IPC!BE19=""),"",AVERAGE(IPC!BF19:BQ19)/AVERAGE(IPC!AT19:BE19)-1)</f>
        <v>1.6088161706331094E-2</v>
      </c>
      <c r="BR19" s="88">
        <f>IF(OR(IPC!BR19="",IPC!BF19=""),"",AVERAGE(IPC!BG19:BR19)/AVERAGE(IPC!AU19:BF19)-1)</f>
        <v>1.4515782693431234E-2</v>
      </c>
      <c r="BS19" s="88">
        <f>IF(OR(IPC!BS19="",IPC!BG19=""),"",AVERAGE(IPC!BH19:BS19)/AVERAGE(IPC!AV19:BG19)-1)</f>
        <v>1.3491270342948836E-2</v>
      </c>
      <c r="BT19" s="88">
        <f>IF(OR(IPC!BT19="",IPC!BH19=""),"",AVERAGE(IPC!BI19:BT19)/AVERAGE(IPC!AW19:BH19)-1)</f>
        <v>1.2164622526623647E-2</v>
      </c>
      <c r="BU19" s="88">
        <f>IF(OR(IPC!BU19="",IPC!BI19=""),"",AVERAGE(IPC!BJ19:BU19)/AVERAGE(IPC!AX19:BI19)-1)</f>
        <v>1.0535186901666549E-2</v>
      </c>
      <c r="BV19" s="88">
        <f>IF(OR(IPC!BV19="",IPC!BJ19=""),"",AVERAGE(IPC!BK19:BV19)/AVERAGE(IPC!AY19:BJ19)-1)</f>
        <v>9.6927484404518705E-3</v>
      </c>
      <c r="BW19" s="88">
        <f>IF(OR(IPC!BW19="",IPC!BK19=""),"",AVERAGE(IPC!BL19:BW19)/AVERAGE(IPC!AZ19:BK19)-1)</f>
        <v>8.7279648608864502E-3</v>
      </c>
      <c r="BX19" s="88">
        <f>IF(OR(IPC!BX19="",IPC!BL19=""),"",AVERAGE(IPC!BM19:BX19)/AVERAGE(IPC!BA19:BL19)-1)</f>
        <v>7.672610673957081E-3</v>
      </c>
      <c r="BY19" s="88">
        <f>IF(OR(IPC!BY19="",IPC!BM19=""),"",AVERAGE(IPC!BN19:BY19)/AVERAGE(IPC!BB19:BM19)-1)</f>
        <v>6.9836073304712087E-3</v>
      </c>
      <c r="BZ19" s="88">
        <f>IF(OR(IPC!BZ19="",IPC!BN19=""),"",AVERAGE(IPC!BO19:BZ19)/AVERAGE(IPC!BC19:BN19)-1)</f>
        <v>6.1588727760233386E-3</v>
      </c>
      <c r="CA19" s="88">
        <f>IF(OR(IPC!CA19="",IPC!BO19=""),"",AVERAGE(IPC!BP19:CA19)/AVERAGE(IPC!BD19:BO19)-1)</f>
        <v>5.8930686535871857E-3</v>
      </c>
      <c r="CB19" s="88">
        <f>IF(OR(IPC!CB19="",IPC!BP19=""),"",AVERAGE(IPC!BQ19:CB19)/AVERAGE(IPC!BE19:BP19)-1)</f>
        <v>5.0361889577490437E-3</v>
      </c>
      <c r="CC19" s="88">
        <f>IF(OR(IPC!CC19="",IPC!BQ19=""),"",AVERAGE(IPC!BR19:CC19)/AVERAGE(IPC!BF19:BQ19)-1)</f>
        <v>4.9647329330104739E-3</v>
      </c>
      <c r="CD19" s="88">
        <f>IF(OR(IPC!CD19="",IPC!BR19=""),"",AVERAGE(IPC!BS19:CD19)/AVERAGE(IPC!BG19:BR19)-1)</f>
        <v>5.0913573133994916E-3</v>
      </c>
      <c r="CE19" s="88">
        <f>IF(OR(IPC!CE19="",IPC!BS19=""),"",AVERAGE(IPC!BT19:CE19)/AVERAGE(IPC!BH19:BS19)-1)</f>
        <v>4.8893976220734103E-3</v>
      </c>
      <c r="CF19" s="88">
        <f>IF(OR(IPC!CF19="",IPC!BT19=""),"",AVERAGE(IPC!BU19:CF19)/AVERAGE(IPC!BI19:BT19)-1)</f>
        <v>5.1060689622961508E-3</v>
      </c>
      <c r="CG19" s="88">
        <f>IF(OR(IPC!CG19="",IPC!BU19=""),"",AVERAGE(IPC!BV19:CG19)/AVERAGE(IPC!BJ19:BU19)-1)</f>
        <v>5.6374322036130131E-3</v>
      </c>
      <c r="CH19" s="88">
        <f>IF(OR(IPC!CH19="",IPC!BV19=""),"",AVERAGE(IPC!BW19:CH19)/AVERAGE(IPC!BK19:BV19)-1)</f>
        <v>6.0148028116149277E-3</v>
      </c>
      <c r="CI19" s="88">
        <f>IF(OR(IPC!CI19="",IPC!BW19=""),"",AVERAGE(IPC!BX19:CI19)/AVERAGE(IPC!BL19:BW19)-1)</f>
        <v>6.4072443941860513E-3</v>
      </c>
      <c r="CJ19" s="88">
        <f>IF(OR(IPC!CJ19="",IPC!BX19=""),"",AVERAGE(IPC!BY19:CJ19)/AVERAGE(IPC!BM19:BX19)-1)</f>
        <v>6.7782119332739921E-3</v>
      </c>
      <c r="CK19" s="88">
        <f>IF(OR(IPC!CK19="",IPC!BY19=""),"",AVERAGE(IPC!BZ19:CK19)/AVERAGE(IPC!BN19:BY19)-1)</f>
        <v>7.0813722535680856E-3</v>
      </c>
      <c r="CL19" s="88">
        <f>IF(OR(IPC!CL19="",IPC!BZ19=""),"",AVERAGE(IPC!CA19:CL19)/AVERAGE(IPC!BO19:BZ19)-1)</f>
        <v>7.3406714844337362E-3</v>
      </c>
      <c r="CM19" s="88">
        <f>IF(OR(IPC!CM19="",IPC!CA19=""),"",AVERAGE(IPC!CB19:CM19)/AVERAGE(IPC!BP19:CA19)-1)</f>
        <v>7.2434397249070415E-3</v>
      </c>
      <c r="CN19" s="88">
        <f>IF(OR(IPC!CN19="",IPC!CB19=""),"",AVERAGE(IPC!CC19:CN19)/AVERAGE(IPC!BQ19:CB19)-1)</f>
        <v>7.6951783309056054E-3</v>
      </c>
      <c r="CO19" s="88">
        <f>IF(OR(IPC!CO19="",IPC!CC19=""),"",AVERAGE(IPC!CD19:CO19)/AVERAGE(IPC!BR19:CC19)-1)</f>
        <v>7.954099262933445E-3</v>
      </c>
      <c r="CP19" s="88">
        <f>IF(OR(IPC!CP19="",IPC!CD19=""),"",AVERAGE(IPC!CE19:CP19)/AVERAGE(IPC!BS19:CD19)-1)</f>
        <v>8.224537988214653E-3</v>
      </c>
      <c r="CQ19" s="88">
        <f>IF(OR(IPC!CQ19="",IPC!CE19=""),"",AVERAGE(IPC!CF19:CQ19)/AVERAGE(IPC!BT19:CE19)-1)</f>
        <v>8.2811579862143159E-3</v>
      </c>
      <c r="CR19" s="88">
        <f>IF(OR(IPC!CR19="",IPC!CF19=""),"",AVERAGE(IPC!CG19:CR19)/AVERAGE(IPC!BU19:CF19)-1)</f>
        <v>8.3920956978134065E-3</v>
      </c>
      <c r="CS19" s="88">
        <f>IF(OR(IPC!CS19="",IPC!CG19=""),"",AVERAGE(IPC!CH19:CS19)/AVERAGE(IPC!BV19:CG19)-1)</f>
        <v>8.9291522789540778E-3</v>
      </c>
      <c r="CT19" s="88">
        <f>IF(OR(IPC!CT19="",IPC!CH19=""),"",AVERAGE(IPC!CI19:CT19)/AVERAGE(IPC!BW19:CH19)-1)</f>
        <v>9.625535859228318E-3</v>
      </c>
      <c r="CU19" s="88">
        <f>IF(OR(IPC!CU19="",IPC!CI19=""),"",AVERAGE(IPC!CJ19:CU19)/AVERAGE(IPC!BX19:CI19)-1)</f>
        <v>1.0637919899295412E-2</v>
      </c>
      <c r="CV19" s="88">
        <f>IF(OR(IPC!CV19="",IPC!CJ19=""),"",AVERAGE(IPC!CK19:CV19)/AVERAGE(IPC!BY19:CJ19)-1)</f>
        <v>1.1485653719623512E-2</v>
      </c>
      <c r="CW19" s="88">
        <f>IF(OR(IPC!CW19="",IPC!CK19=""),"",AVERAGE(IPC!CL19:CW19)/AVERAGE(IPC!BZ19:CK19)-1)</f>
        <v>1.2649409190407024E-2</v>
      </c>
      <c r="CX19" s="88">
        <f>IF(OR(IPC!CX19="",IPC!CL19=""),"",AVERAGE(IPC!CM19:CX19)/AVERAGE(IPC!CA19:CL19)-1)</f>
        <v>1.4210393642677399E-2</v>
      </c>
      <c r="CY19" s="88">
        <f>IF(OR(IPC!CY19="",IPC!CM19=""),"",AVERAGE(IPC!CN19:CY19)/AVERAGE(IPC!CB19:CM19)-1)</f>
        <v>1.5816215749855811E-2</v>
      </c>
      <c r="CZ19" s="88">
        <f>IF(OR(IPC!CZ19="",IPC!CN19=""),"",AVERAGE(IPC!CO19:CZ19)/AVERAGE(IPC!CC19:CN19)-1)</f>
        <v>1.7085009875274615E-2</v>
      </c>
      <c r="DA19" s="88">
        <f>IF(OR(IPC!DA19="",IPC!CO19=""),"",AVERAGE(IPC!CP19:DA19)/AVERAGE(IPC!CD19:CO19)-1)</f>
        <v>1.846832713270552E-2</v>
      </c>
      <c r="DB19" s="88">
        <f>IF(OR(IPC!DB19="",IPC!CP19=""),"",AVERAGE(IPC!CQ19:DB19)/AVERAGE(IPC!CE19:CP19)-1)</f>
        <v>1.9942123736231165E-2</v>
      </c>
      <c r="DC19" s="88">
        <f>IF(OR(IPC!DC19="",IPC!CQ19=""),"",AVERAGE(IPC!CR19:DC19)/AVERAGE(IPC!CF19:CQ19)-1)</f>
        <v>2.1615121117221303E-2</v>
      </c>
      <c r="DD19" s="88">
        <f>IF(OR(IPC!DD19="",IPC!CR19=""),"",AVERAGE(IPC!CS19:DD19)/AVERAGE(IPC!CG19:CR19)-1)</f>
        <v>2.2879415930877167E-2</v>
      </c>
      <c r="DE19" s="88">
        <f>IF(OR(IPC!DE19="",IPC!CS19=""),"",AVERAGE(IPC!CT19:DE19)/AVERAGE(IPC!CH19:CS19)-1)</f>
        <v>2.3528258274908787E-2</v>
      </c>
      <c r="DF19" s="88">
        <f>IF(OR(IPC!DF19="",IPC!CT19=""),"",AVERAGE(IPC!CU19:DF19)/AVERAGE(IPC!CI19:CT19)-1)</f>
        <v>2.4187454761179117E-2</v>
      </c>
      <c r="DG19" s="88">
        <f>IF(OR(IPC!DG19="",IPC!CU19=""),"",AVERAGE(IPC!CV19:DG19)/AVERAGE(IPC!CJ19:CU19)-1)</f>
        <v>2.4563294950604497E-2</v>
      </c>
      <c r="DH19" s="88">
        <f>IF(OR(IPC!DH19="",IPC!CV19=""),"",AVERAGE(IPC!CW19:DH19)/AVERAGE(IPC!CK19:CV19)-1)</f>
        <v>2.5285120398924832E-2</v>
      </c>
      <c r="DI19" s="88">
        <f>IF(OR(IPC!DI19="",IPC!CW19=""),"",AVERAGE(IPC!CX19:DI19)/AVERAGE(IPC!CL19:CW19)-1)</f>
        <v>2.5580657856834943E-2</v>
      </c>
      <c r="DJ19" s="88">
        <f>IF(OR(IPC!DJ19="",IPC!CX19=""),"",AVERAGE(IPC!CY19:DJ19)/AVERAGE(IPC!CM19:CX19)-1)</f>
        <v>2.5473369926357847E-2</v>
      </c>
      <c r="DK19" s="88">
        <f>IF(OR(IPC!DK19="",IPC!CY19=""),"",AVERAGE(IPC!CZ19:DK19)/AVERAGE(IPC!CN19:CY19)-1)</f>
        <v>2.5550994291470008E-2</v>
      </c>
      <c r="DL19" s="88">
        <f>IF(OR(IPC!DL19="",IPC!CZ19=""),"",AVERAGE(IPC!DA19:DL19)/AVERAGE(IPC!CO19:CZ19)-1)</f>
        <v>2.5518110244729719E-2</v>
      </c>
      <c r="DM19" s="88">
        <f>IF(OR(IPC!DM19="",IPC!DA19=""),"",AVERAGE(IPC!DB19:DM19)/AVERAGE(IPC!CP19:DA19)-1)</f>
        <v>2.534205549405244E-2</v>
      </c>
      <c r="DN19" s="88">
        <f>IF(OR(IPC!DN19="",IPC!DB19=""),"",AVERAGE(IPC!DC19:DN19)/AVERAGE(IPC!CQ19:DB19)-1)</f>
        <v>2.5222302312672085E-2</v>
      </c>
      <c r="DO19" s="88">
        <f>IF(OR(IPC!DO19="",IPC!DC19=""),"",AVERAGE(IPC!DD19:DO19)/AVERAGE(IPC!CR19:DC19)-1)</f>
        <v>2.5092800355415168E-2</v>
      </c>
      <c r="DP19" s="88">
        <f>IF(OR(IPC!DP19="",IPC!DD19=""),"",AVERAGE(IPC!DE19:DP19)/AVERAGE(IPC!CS19:DD19)-1)</f>
        <v>2.5022395329128422E-2</v>
      </c>
      <c r="DQ19" s="88">
        <f>IF(OR(IPC!DQ19="",IPC!DE19=""),"",AVERAGE(IPC!DF19:DQ19)/AVERAGE(IPC!CT19:DE19)-1)</f>
        <v>2.5109087179110201E-2</v>
      </c>
      <c r="DR19" s="88">
        <f>IF(OR(IPC!DR19="",IPC!DF19=""),"",AVERAGE(IPC!DG19:DR19)/AVERAGE(IPC!CU19:DF19)-1)</f>
        <v>2.4766316687590662E-2</v>
      </c>
      <c r="DS19" s="88">
        <f>IF(OR(IPC!DS19="",IPC!DG19=""),"",AVERAGE(IPC!DH19:DS19)/AVERAGE(IPC!CV19:DG19)-1)</f>
        <v>2.450526961881061E-2</v>
      </c>
      <c r="DT19" s="88">
        <f>IF(OR(IPC!DT19="",IPC!DH19=""),"",AVERAGE(IPC!DI19:DT19)/AVERAGE(IPC!CW19:DH19)-1)</f>
        <v>2.3779655100443442E-2</v>
      </c>
      <c r="DU19" s="88">
        <f>IF(OR(IPC!DU19="",IPC!DI19=""),"",AVERAGE(IPC!DJ19:DU19)/AVERAGE(IPC!CX19:DI19)-1)</f>
        <v>2.3181835451368649E-2</v>
      </c>
      <c r="DV19" s="88">
        <f>IF(OR(IPC!DV19="",IPC!DJ19=""),"",AVERAGE(IPC!DK19:DV19)/AVERAGE(IPC!CY19:DJ19)-1)</f>
        <v>2.2667650070731904E-2</v>
      </c>
      <c r="DW19" s="88">
        <f>IF(OR(IPC!DW19="",IPC!DK19=""),"",AVERAGE(IPC!DL19:DW19)/AVERAGE(IPC!CZ19:DK19)-1)</f>
        <v>2.1832624815153245E-2</v>
      </c>
      <c r="DX19" s="88">
        <f>IF(OR(IPC!DX19="",IPC!DL19=""),"",AVERAGE(IPC!DM19:DX19)/AVERAGE(IPC!DA19:DL19)-1)</f>
        <v>2.1724801012158901E-2</v>
      </c>
      <c r="DY19" s="88">
        <f>IF(OR(IPC!DY19="",IPC!DM19=""),"",AVERAGE(IPC!DN19:DY19)/AVERAGE(IPC!DB19:DM19)-1)</f>
        <v>2.1765737241582483E-2</v>
      </c>
      <c r="DZ19" s="88">
        <f>IF(OR(IPC!DZ19="",IPC!DN19=""),"",AVERAGE(IPC!DO19:DZ19)/AVERAGE(IPC!DC19:DN19)-1)</f>
        <v>2.1731387363248311E-2</v>
      </c>
      <c r="EA19" s="88">
        <f>IF(OR(IPC!EA19="",IPC!DO19=""),"",AVERAGE(IPC!DP19:EA19)/AVERAGE(IPC!DD19:DO19)-1)</f>
        <v>2.1511821612036686E-2</v>
      </c>
      <c r="EB19" s="88">
        <f>IF(OR(IPC!EB19="",IPC!DP19=""),"",AVERAGE(IPC!DQ19:EB19)/AVERAGE(IPC!DE19:DP19)-1)</f>
        <v>2.1537706825711878E-2</v>
      </c>
      <c r="EC19" s="88">
        <f>IF(OR(IPC!EC19="",IPC!DQ19=""),"",AVERAGE(IPC!DR19:EC19)/AVERAGE(IPC!DF19:DQ19)-1)</f>
        <v>2.1295165259939131E-2</v>
      </c>
      <c r="ED19" s="88">
        <f>IF(OR(IPC!ED19="",IPC!DR19=""),"",AVERAGE(IPC!DS19:ED19)/AVERAGE(IPC!DG19:DR19)-1)</f>
        <v>2.1494695198027047E-2</v>
      </c>
      <c r="EE19" s="88">
        <f>IF(OR(IPC!EE19="",IPC!DS19=""),"",AVERAGE(IPC!DT19:EE19)/AVERAGE(IPC!DH19:DS19)-1)</f>
        <v>2.2619561486628692E-2</v>
      </c>
      <c r="EF19" s="88">
        <f>IF(OR(IPC!EF19="",IPC!DT19=""),"",AVERAGE(IPC!DU19:EF19)/AVERAGE(IPC!DI19:DT19)-1)</f>
        <v>2.4458609105032503E-2</v>
      </c>
      <c r="EG19" s="88">
        <f>IF(OR(IPC!EG19="",IPC!DU19=""),"",AVERAGE(IPC!DV19:EG19)/AVERAGE(IPC!DJ19:DU19)-1)</f>
        <v>2.6600541690216861E-2</v>
      </c>
      <c r="EH19" s="88">
        <f>IF(OR(IPC!EH19="",IPC!DV19=""),"",AVERAGE(IPC!DW19:EH19)/AVERAGE(IPC!DK19:DV19)-1)</f>
        <v>2.8928703739263373E-2</v>
      </c>
      <c r="EI19" s="88">
        <f>IF(OR(IPC!EI19="",IPC!DW19=""),"",AVERAGE(IPC!DX19:EI19)/AVERAGE(IPC!DL19:DW19)-1)</f>
        <v>3.2174539033665628E-2</v>
      </c>
      <c r="EJ19" s="88">
        <f>IF(OR(IPC!EJ19="",IPC!DX19=""),"",AVERAGE(IPC!DY19:EJ19)/AVERAGE(IPC!DM19:DX19)-1)</f>
        <v>3.5273616176213274E-2</v>
      </c>
      <c r="EK19" s="88">
        <f>IF(OR(IPC!EK19="",IPC!DY19=""),"",AVERAGE(IPC!DZ19:EK19)/AVERAGE(IPC!DN19:DY19)-1)</f>
        <v>3.8303037632624992E-2</v>
      </c>
      <c r="EL19" s="88">
        <f>IF(OR(IPC!EL19="",IPC!DZ19=""),"",AVERAGE(IPC!EA19:EL19)/AVERAGE(IPC!DO19:DZ19)-1)</f>
        <v>4.1358323121325924E-2</v>
      </c>
      <c r="EM19" s="88">
        <f>IF(OR(IPC!EM19="",IPC!EA19=""),"",AVERAGE(IPC!EB19:EM19)/AVERAGE(IPC!DP19:EA19)-1)</f>
        <v>4.5365702511540817E-2</v>
      </c>
      <c r="EN19" s="88">
        <f>IF(OR(IPC!EN19="",IPC!EB19=""),"",AVERAGE(IPC!EC19:EN19)/AVERAGE(IPC!DQ19:EB19)-1)</f>
        <v>4.9748658137519275E-2</v>
      </c>
      <c r="EO19" s="88">
        <f>IF(OR(IPC!EO19="",IPC!EC19=""),"",AVERAGE(IPC!ED19:EO19)/AVERAGE(IPC!DR19:EC19)-1)</f>
        <v>5.4426381908800003E-2</v>
      </c>
      <c r="EP19" s="88">
        <f>IF(OR(IPC!EP19="",IPC!ED19=""),"",AVERAGE(IPC!EE19:EP19)/AVERAGE(IPC!DS19:ED19)-1)</f>
        <v>5.929977174231893E-2</v>
      </c>
      <c r="EQ19" s="88">
        <f>IF(OR(IPC!EQ19="",IPC!EE19=""),"",AVERAGE(IPC!EF19:EQ19)/AVERAGE(IPC!DT19:EE19)-1)</f>
        <v>6.2512968661580626E-2</v>
      </c>
      <c r="ER19" s="88">
        <f>IF(OR(IPC!ER19="",IPC!EF19=""),"",AVERAGE(IPC!EG19:ER19)/AVERAGE(IPC!DU19:EF19)-1)</f>
        <v>6.5040926931913878E-2</v>
      </c>
      <c r="ES19" s="88">
        <f>IF(OR(IPC!ES19="",IPC!EG19=""),"",AVERAGE(IPC!EH19:ES19)/AVERAGE(IPC!DV19:EG19)-1)</f>
        <v>6.819229416901007E-2</v>
      </c>
      <c r="ET19" s="88">
        <f>IF(OR(IPC!ET19="",IPC!EH19=""),"",AVERAGE(IPC!EI19:ET19)/AVERAGE(IPC!DW19:EH19)-1)</f>
        <v>7.1392014016477212E-2</v>
      </c>
      <c r="EU19" s="88">
        <f>IF(OR(IPC!EU19="",IPC!EI19=""),"",AVERAGE(IPC!EJ19:EU19)/AVERAGE(IPC!DX19:EI19)-1)</f>
        <v>7.3430019648015987E-2</v>
      </c>
      <c r="EV19" s="88">
        <f>IF(OR(IPC!EV19="",IPC!EJ19=""),"",AVERAGE(IPC!EK19:EV19)/AVERAGE(IPC!DY19:EJ19)-1)</f>
        <v>7.4964289845163012E-2</v>
      </c>
      <c r="EW19" s="88">
        <f>IF(OR(IPC!EW19="",IPC!EK19=""),"",AVERAGE(IPC!EL19:EW19)/AVERAGE(IPC!DZ19:EK19)-1)</f>
        <v>7.6636408048564419E-2</v>
      </c>
      <c r="EX19" s="88">
        <f>IF(OR(IPC!EX19="",IPC!EL19=""),"",AVERAGE(IPC!EM19:EX19)/AVERAGE(IPC!EA19:EL19)-1)</f>
        <v>7.7922107377487615E-2</v>
      </c>
      <c r="EY19" s="88">
        <f>IF(OR(IPC!EY19="",IPC!EM19=""),"",AVERAGE(IPC!EN19:EY19)/AVERAGE(IPC!EB19:EM19)-1)</f>
        <v>7.8172079797758975E-2</v>
      </c>
      <c r="EZ19" s="88">
        <f>IF(OR(IPC!EZ19="",IPC!EN19=""),"",AVERAGE(IPC!EO19:EZ19)/AVERAGE(IPC!EC19:EN19)-1)</f>
        <v>7.7535434505026757E-2</v>
      </c>
      <c r="FA19" s="88">
        <f>IF(OR(IPC!FA19="",IPC!EO19=""),"",AVERAGE(IPC!EP19:FA19)/AVERAGE(IPC!ED19:EO19)-1)</f>
        <v>7.6662932160357133E-2</v>
      </c>
      <c r="FB19" s="88">
        <f>IF(OR(IPC!FB19="",IPC!EP19=""),"",AVERAGE(IPC!EQ19:FB19)/AVERAGE(IPC!EE19:EP19)-1)</f>
        <v>7.4949079163938004E-2</v>
      </c>
      <c r="FC19" s="88">
        <f>IF(OR(IPC!FC19="",IPC!EQ19=""),"",AVERAGE(IPC!ER19:FC19)/AVERAGE(IPC!EF19:EQ19)-1)</f>
        <v>7.3633160763857397E-2</v>
      </c>
      <c r="FD19" s="88">
        <f>IF(OR(IPC!FD19="",IPC!ER19=""),"",AVERAGE(IPC!ES19:FD19)/AVERAGE(IPC!EG19:ER19)-1)</f>
        <v>7.1929022320389668E-2</v>
      </c>
      <c r="FE19" s="88">
        <f>IF(OR(IPC!FE19="",IPC!ES19=""),"",AVERAGE(IPC!ET19:FE19)/AVERAGE(IPC!EH19:ES19)-1)</f>
        <v>6.920784282338821E-2</v>
      </c>
      <c r="FF19" s="88">
        <f>IF(OR(IPC!FF19="",IPC!ET19=""),"",AVERAGE(IPC!EU19:FF19)/AVERAGE(IPC!EI19:ET19)-1)</f>
        <v>6.6080441428639114E-2</v>
      </c>
      <c r="FG19" s="88">
        <f>IF(OR(IPC!FG19="",IPC!EU19=""),"",AVERAGE(IPC!EV19:FG19)/AVERAGE(IPC!EJ19:EU19)-1)</f>
        <v>6.3250704150220383E-2</v>
      </c>
      <c r="FH19" s="88">
        <f>IF(OR(IPC!FH19="",IPC!EV19=""),"",AVERAGE(IPC!EW19:FH19)/AVERAGE(IPC!EK19:EV19)-1)</f>
        <v>6.0476914524026038E-2</v>
      </c>
      <c r="FI19" s="88">
        <f>IF(OR(IPC!FI19="",IPC!EW19=""),"",AVERAGE(IPC!EX19:FI19)/AVERAGE(IPC!EL19:EW19)-1)</f>
        <v>5.7312917875509406E-2</v>
      </c>
      <c r="FJ19" s="88">
        <f>IF(OR(IPC!FJ19="",IPC!EX19=""),"",AVERAGE(IPC!EY19:FJ19)/AVERAGE(IPC!EM19:EX19)-1)</f>
        <v>5.4158156613420827E-2</v>
      </c>
      <c r="FK19" s="88">
        <f>IF(OR(IPC!FK19="",IPC!EY19=""),"",AVERAGE(IPC!EZ19:FK19)/AVERAGE(IPC!EN19:EY19)-1)</f>
        <v>5.1157031189810631E-2</v>
      </c>
      <c r="FL19" s="88">
        <f>IF(OR(IPC!FL19="",IPC!EZ19=""),"",AVERAGE(IPC!FA19:FL19)/AVERAGE(IPC!EO19:EZ19)-1)</f>
        <v>4.9075104733147024E-2</v>
      </c>
      <c r="FM19" s="88">
        <f>IF(OR(IPC!FM19="",IPC!FA19=""),"",AVERAGE(IPC!FB19:FM19)/AVERAGE(IPC!EP19:FA19)-1)</f>
        <v>4.7218017234057497E-2</v>
      </c>
      <c r="FN19" s="88">
        <f>IF(OR(IPC!FN19="",IPC!FB19=""),"",AVERAGE(IPC!FC19:FN19)/AVERAGE(IPC!EQ19:FB19)-1)</f>
        <v>4.5879809946005601E-2</v>
      </c>
      <c r="FO19" s="88">
        <f>IF(OR(IPC!FO19="",IPC!FC19=""),"",AVERAGE(IPC!FD19:FO19)/AVERAGE(IPC!ER19:FC19)-1)</f>
        <v>4.5357858808926066E-2</v>
      </c>
      <c r="FP19" s="88">
        <f>IF(OR(IPC!FP19="",IPC!FD19=""),"",AVERAGE(IPC!FE19:FP19)/AVERAGE(IPC!ES19:FD19)-1)</f>
        <v>4.5443425780395286E-2</v>
      </c>
      <c r="FQ19" s="88">
        <f>IF(OR(IPC!FQ19="",IPC!FE19=""),"",AVERAGE(IPC!FF19:FQ19)/AVERAGE(IPC!ET19:FE19)-1)</f>
        <v>4.4609901053994427E-2</v>
      </c>
      <c r="FR19" s="88">
        <f>IF(OR(IPC!FR19="",IPC!FF19=""),"",AVERAGE(IPC!FG19:FR19)/AVERAGE(IPC!EU19:FF19)-1)</f>
        <v>4.3704583504375227E-2</v>
      </c>
    </row>
    <row r="20" spans="1:174" s="14" customFormat="1" ht="10.8" x14ac:dyDescent="0.25">
      <c r="C20" s="15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M20" s="197"/>
      <c r="FN20" s="197"/>
      <c r="FO20" s="197"/>
      <c r="FP20" s="197"/>
      <c r="FQ20" s="197"/>
      <c r="FR20" s="197"/>
    </row>
    <row r="21" spans="1:174" s="74" customFormat="1" ht="10.199999999999999" x14ac:dyDescent="0.2">
      <c r="B21" s="74" t="s">
        <v>3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>
        <f>IF(OR(IPC!AN21="",IPC!AB21=""),"",AVERAGE(IPC!AC21:AN21)/AVERAGE(IPC!Q21:AB21)-1)</f>
        <v>1.9561267309399222E-2</v>
      </c>
      <c r="AO21" s="75">
        <f>IF(OR(IPC!AO21="",IPC!AC21=""),"",AVERAGE(IPC!AD21:AO21)/AVERAGE(IPC!R21:AC21)-1)</f>
        <v>1.8128661599561058E-2</v>
      </c>
      <c r="AP21" s="75">
        <f>IF(OR(IPC!AP21="",IPC!AD21=""),"",AVERAGE(IPC!AE21:AP21)/AVERAGE(IPC!S21:AD21)-1)</f>
        <v>1.6884174673777563E-2</v>
      </c>
      <c r="AQ21" s="75">
        <f>IF(OR(IPC!AQ21="",IPC!AE21=""),"",AVERAGE(IPC!AF21:AQ21)/AVERAGE(IPC!T21:AE21)-1)</f>
        <v>1.6055139368802873E-2</v>
      </c>
      <c r="AR21" s="75">
        <f>IF(OR(IPC!AR21="",IPC!AF21=""),"",AVERAGE(IPC!AG21:AR21)/AVERAGE(IPC!U21:AF21)-1)</f>
        <v>1.5733061832954309E-2</v>
      </c>
      <c r="AS21" s="75">
        <f>IF(OR(IPC!AS21="",IPC!AG21=""),"",AVERAGE(IPC!AH21:AS21)/AVERAGE(IPC!V21:AG21)-1)</f>
        <v>1.4629381071805225E-2</v>
      </c>
      <c r="AT21" s="75">
        <f>IF(OR(IPC!AT21="",IPC!AH21=""),"",AVERAGE(IPC!AI21:AT21)/AVERAGE(IPC!W21:AH21)-1)</f>
        <v>1.5895023629490579E-2</v>
      </c>
      <c r="AU21" s="75">
        <f>IF(OR(IPC!AU21="",IPC!AI21=""),"",AVERAGE(IPC!AJ21:AU21)/AVERAGE(IPC!X21:AI21)-1)</f>
        <v>1.7062374329379626E-2</v>
      </c>
      <c r="AV21" s="75">
        <f>IF(OR(IPC!AV21="",IPC!AJ21=""),"",AVERAGE(IPC!AK21:AV21)/AVERAGE(IPC!Y21:AJ21)-1)</f>
        <v>1.7982564799944756E-2</v>
      </c>
      <c r="AW21" s="75">
        <f>IF(OR(IPC!AW21="",IPC!AK21=""),"",AVERAGE(IPC!AL21:AW21)/AVERAGE(IPC!Z21:AK21)-1)</f>
        <v>1.824539588417462E-2</v>
      </c>
      <c r="AX21" s="75">
        <f>IF(OR(IPC!AX21="",IPC!AL21=""),"",AVERAGE(IPC!AM21:AX21)/AVERAGE(IPC!AA21:AL21)-1)</f>
        <v>1.8957557964952798E-2</v>
      </c>
      <c r="AY21" s="75">
        <f>IF(OR(IPC!AY21="",IPC!AM21=""),"",AVERAGE(IPC!AN21:AY21)/AVERAGE(IPC!AB21:AM21)-1)</f>
        <v>2.0535236777859067E-2</v>
      </c>
      <c r="AZ21" s="75">
        <f>IF(OR(IPC!AZ21="",IPC!AN21=""),"",AVERAGE(IPC!AO21:AZ21)/AVERAGE(IPC!AC21:AN21)-1)</f>
        <v>2.203527070164002E-2</v>
      </c>
      <c r="BA21" s="75">
        <f>IF(OR(IPC!BA21="",IPC!AO21=""),"",AVERAGE(IPC!AP21:BA21)/AVERAGE(IPC!AD21:AO21)-1)</f>
        <v>2.3684057626513155E-2</v>
      </c>
      <c r="BB21" s="75">
        <f>IF(OR(IPC!BB21="",IPC!AP21=""),"",AVERAGE(IPC!AQ21:BB21)/AVERAGE(IPC!AE21:AP21)-1)</f>
        <v>2.5599385596739133E-2</v>
      </c>
      <c r="BC21" s="75">
        <f>IF(OR(IPC!BC21="",IPC!AQ21=""),"",AVERAGE(IPC!AR21:BC21)/AVERAGE(IPC!AF21:AQ21)-1)</f>
        <v>2.8372335059724696E-2</v>
      </c>
      <c r="BD21" s="75">
        <f>IF(OR(IPC!BD21="",IPC!AR21=""),"",AVERAGE(IPC!AS21:BD21)/AVERAGE(IPC!AG21:AR21)-1)</f>
        <v>3.0656838208671155E-2</v>
      </c>
      <c r="BE21" s="75">
        <f>IF(OR(IPC!BE21="",IPC!AS21=""),"",AVERAGE(IPC!AT21:BE21)/AVERAGE(IPC!AH21:AS21)-1)</f>
        <v>3.4061696329280799E-2</v>
      </c>
      <c r="BF21" s="75">
        <f>IF(OR(IPC!BF21="",IPC!AT21=""),"",AVERAGE(IPC!AU21:BF21)/AVERAGE(IPC!AI21:AT21)-1)</f>
        <v>3.4066393781234883E-2</v>
      </c>
      <c r="BG21" s="75">
        <f>IF(OR(IPC!BG21="",IPC!AU21=""),"",AVERAGE(IPC!AV21:BG21)/AVERAGE(IPC!AJ21:AU21)-1)</f>
        <v>3.3922233573838279E-2</v>
      </c>
      <c r="BH21" s="75">
        <f>IF(OR(IPC!BH21="",IPC!AV21=""),"",AVERAGE(IPC!AW21:BH21)/AVERAGE(IPC!AK21:AV21)-1)</f>
        <v>3.3991638805314972E-2</v>
      </c>
      <c r="BI21" s="75">
        <f>IF(OR(IPC!BI21="",IPC!AW21=""),"",AVERAGE(IPC!AX21:BI21)/AVERAGE(IPC!AL21:AW21)-1)</f>
        <v>3.4492709259181353E-2</v>
      </c>
      <c r="BJ21" s="75">
        <f>IF(OR(IPC!BJ21="",IPC!AX21=""),"",AVERAGE(IPC!AY21:BJ21)/AVERAGE(IPC!AM21:AX21)-1)</f>
        <v>3.3748775862368241E-2</v>
      </c>
      <c r="BK21" s="75">
        <f>IF(OR(IPC!BK21="",IPC!AY21=""),"",AVERAGE(IPC!AZ21:BK21)/AVERAGE(IPC!AN21:AY21)-1)</f>
        <v>3.2581968045330312E-2</v>
      </c>
      <c r="BL21" s="75">
        <f>IF(OR(IPC!BL21="",IPC!AZ21=""),"",AVERAGE(IPC!BA21:BL21)/AVERAGE(IPC!AO21:AZ21)-1)</f>
        <v>3.2112133207145899E-2</v>
      </c>
      <c r="BM21" s="75">
        <f>IF(OR(IPC!BM21="",IPC!BA21=""),"",AVERAGE(IPC!BB21:BM21)/AVERAGE(IPC!AP21:BA21)-1)</f>
        <v>3.0899905786682336E-2</v>
      </c>
      <c r="BN21" s="75">
        <f>IF(OR(IPC!BN21="",IPC!BB21=""),"",AVERAGE(IPC!BC21:BN21)/AVERAGE(IPC!AQ21:BB21)-1)</f>
        <v>2.961127094145688E-2</v>
      </c>
      <c r="BO21" s="75">
        <f>IF(OR(IPC!BO21="",IPC!BC21=""),"",AVERAGE(IPC!BD21:BO21)/AVERAGE(IPC!AR21:BC21)-1)</f>
        <v>2.736640504735588E-2</v>
      </c>
      <c r="BP21" s="75">
        <f>IF(OR(IPC!BP21="",IPC!BD21=""),"",AVERAGE(IPC!BE21:BP21)/AVERAGE(IPC!AS21:BD21)-1)</f>
        <v>2.5757888844982091E-2</v>
      </c>
      <c r="BQ21" s="75">
        <f>IF(OR(IPC!BQ21="",IPC!BE21=""),"",AVERAGE(IPC!BF21:BQ21)/AVERAGE(IPC!AT21:BE21)-1)</f>
        <v>2.2776187940977577E-2</v>
      </c>
      <c r="BR21" s="75">
        <f>IF(OR(IPC!BR21="",IPC!BF21=""),"",AVERAGE(IPC!BG21:BR21)/AVERAGE(IPC!AU21:BF21)-1)</f>
        <v>2.074445646484846E-2</v>
      </c>
      <c r="BS21" s="75">
        <f>IF(OR(IPC!BS21="",IPC!BG21=""),"",AVERAGE(IPC!BH21:BS21)/AVERAGE(IPC!AV21:BG21)-1)</f>
        <v>1.9740462836795203E-2</v>
      </c>
      <c r="BT21" s="75">
        <f>IF(OR(IPC!BT21="",IPC!BH21=""),"",AVERAGE(IPC!BI21:BT21)/AVERAGE(IPC!AW21:BH21)-1)</f>
        <v>1.7877669797531137E-2</v>
      </c>
      <c r="BU21" s="75">
        <f>IF(OR(IPC!BU21="",IPC!BI21=""),"",AVERAGE(IPC!BJ21:BU21)/AVERAGE(IPC!AX21:BI21)-1)</f>
        <v>1.5837226823052664E-2</v>
      </c>
      <c r="BV21" s="75">
        <f>IF(OR(IPC!BV21="",IPC!BJ21=""),"",AVERAGE(IPC!BK21:BV21)/AVERAGE(IPC!AY21:BJ21)-1)</f>
        <v>1.4435334635686248E-2</v>
      </c>
      <c r="BW21" s="75">
        <f>IF(OR(IPC!BW21="",IPC!BK21=""),"",AVERAGE(IPC!BL21:BW21)/AVERAGE(IPC!AZ21:BK21)-1)</f>
        <v>1.2918041185516094E-2</v>
      </c>
      <c r="BX21" s="75">
        <f>IF(OR(IPC!BX21="",IPC!BL21=""),"",AVERAGE(IPC!BM21:BX21)/AVERAGE(IPC!BA21:BL21)-1)</f>
        <v>1.1293086412497377E-2</v>
      </c>
      <c r="BY21" s="75">
        <f>IF(OR(IPC!BY21="",IPC!BM21=""),"",AVERAGE(IPC!BN21:BY21)/AVERAGE(IPC!BB21:BM21)-1)</f>
        <v>1.0151554033332344E-2</v>
      </c>
      <c r="BZ21" s="75">
        <f>IF(OR(IPC!BZ21="",IPC!BN21=""),"",AVERAGE(IPC!BO21:BZ21)/AVERAGE(IPC!BC21:BN21)-1)</f>
        <v>9.0872229601075549E-3</v>
      </c>
      <c r="CA21" s="75">
        <f>IF(OR(IPC!CA21="",IPC!BO21=""),"",AVERAGE(IPC!BP21:CA21)/AVERAGE(IPC!BD21:BO21)-1)</f>
        <v>8.4320875200072365E-3</v>
      </c>
      <c r="CB21" s="75">
        <f>IF(OR(IPC!CB21="",IPC!BP21=""),"",AVERAGE(IPC!BQ21:CB21)/AVERAGE(IPC!BE21:BP21)-1)</f>
        <v>6.6050271518409698E-3</v>
      </c>
      <c r="CC21" s="75">
        <f>IF(OR(IPC!CC21="",IPC!BQ21=""),"",AVERAGE(IPC!BR21:CC21)/AVERAGE(IPC!BF21:BQ21)-1)</f>
        <v>5.8496464890123168E-3</v>
      </c>
      <c r="CD21" s="75">
        <f>IF(OR(IPC!CD21="",IPC!BR21=""),"",AVERAGE(IPC!BS21:CD21)/AVERAGE(IPC!BG21:BR21)-1)</f>
        <v>5.6911679915416791E-3</v>
      </c>
      <c r="CE21" s="75">
        <f>IF(OR(IPC!CE21="",IPC!BS21=""),"",AVERAGE(IPC!BT21:CE21)/AVERAGE(IPC!BH21:BS21)-1)</f>
        <v>4.8447422413409047E-3</v>
      </c>
      <c r="CF21" s="75">
        <f>IF(OR(IPC!CF21="",IPC!BT21=""),"",AVERAGE(IPC!BU21:CF21)/AVERAGE(IPC!BI21:BT21)-1)</f>
        <v>5.0075379678979903E-3</v>
      </c>
      <c r="CG21" s="75">
        <f>IF(OR(IPC!CG21="",IPC!BU21=""),"",AVERAGE(IPC!BV21:CG21)/AVERAGE(IPC!BJ21:BU21)-1)</f>
        <v>5.2018750087667875E-3</v>
      </c>
      <c r="CH21" s="75">
        <f>IF(OR(IPC!CH21="",IPC!BV21=""),"",AVERAGE(IPC!BW21:CH21)/AVERAGE(IPC!BK21:BV21)-1)</f>
        <v>5.5555644739735399E-3</v>
      </c>
      <c r="CI21" s="75">
        <f>IF(OR(IPC!CI21="",IPC!BW21=""),"",AVERAGE(IPC!BX21:CI21)/AVERAGE(IPC!BL21:BW21)-1)</f>
        <v>5.9235664963666057E-3</v>
      </c>
      <c r="CJ21" s="75">
        <f>IF(OR(IPC!CJ21="",IPC!BX21=""),"",AVERAGE(IPC!BY21:CJ21)/AVERAGE(IPC!BM21:BX21)-1)</f>
        <v>6.0604338417644676E-3</v>
      </c>
      <c r="CK21" s="75">
        <f>IF(OR(IPC!CK21="",IPC!BY21=""),"",AVERAGE(IPC!BZ21:CK21)/AVERAGE(IPC!BN21:BY21)-1)</f>
        <v>5.9766169659249968E-3</v>
      </c>
      <c r="CL21" s="75">
        <f>IF(OR(IPC!CL21="",IPC!BZ21=""),"",AVERAGE(IPC!CA21:CL21)/AVERAGE(IPC!BO21:BZ21)-1)</f>
        <v>5.6428020845238347E-3</v>
      </c>
      <c r="CM21" s="75">
        <f>IF(OR(IPC!CM21="",IPC!CA21=""),"",AVERAGE(IPC!CB21:CM21)/AVERAGE(IPC!BP21:CA21)-1)</f>
        <v>5.0009567775484154E-3</v>
      </c>
      <c r="CN21" s="75">
        <f>IF(OR(IPC!CN21="",IPC!CB21=""),"",AVERAGE(IPC!CC21:CN21)/AVERAGE(IPC!BQ21:CB21)-1)</f>
        <v>5.2499548527216167E-3</v>
      </c>
      <c r="CO21" s="75">
        <f>IF(OR(IPC!CO21="",IPC!CC21=""),"",AVERAGE(IPC!CD21:CO21)/AVERAGE(IPC!BR21:CC21)-1)</f>
        <v>5.1508635928794178E-3</v>
      </c>
      <c r="CP21" s="75">
        <f>IF(OR(IPC!CP21="",IPC!CD21=""),"",AVERAGE(IPC!CE21:CP21)/AVERAGE(IPC!BS21:CD21)-1)</f>
        <v>5.1087211990636927E-3</v>
      </c>
      <c r="CQ21" s="75">
        <f>IF(OR(IPC!CQ21="",IPC!CE21=""),"",AVERAGE(IPC!CF21:CQ21)/AVERAGE(IPC!BT21:CE21)-1)</f>
        <v>4.8303462929113472E-3</v>
      </c>
      <c r="CR21" s="75">
        <f>IF(OR(IPC!CR21="",IPC!CF21=""),"",AVERAGE(IPC!CG21:CR21)/AVERAGE(IPC!BU21:CF21)-1)</f>
        <v>4.3761314139090235E-3</v>
      </c>
      <c r="CS21" s="75">
        <f>IF(OR(IPC!CS21="",IPC!CG21=""),"",AVERAGE(IPC!CH21:CS21)/AVERAGE(IPC!BV21:CG21)-1)</f>
        <v>5.0125168337162851E-3</v>
      </c>
      <c r="CT21" s="75">
        <f>IF(OR(IPC!CT21="",IPC!CH21=""),"",AVERAGE(IPC!CI21:CT21)/AVERAGE(IPC!BW21:CH21)-1)</f>
        <v>5.6557885070629421E-3</v>
      </c>
      <c r="CU21" s="75">
        <f>IF(OR(IPC!CU21="",IPC!CI21=""),"",AVERAGE(IPC!CJ21:CU21)/AVERAGE(IPC!BX21:CI21)-1)</f>
        <v>6.7755066028623023E-3</v>
      </c>
      <c r="CV21" s="75">
        <f>IF(OR(IPC!CV21="",IPC!CJ21=""),"",AVERAGE(IPC!CK21:CV21)/AVERAGE(IPC!BY21:CJ21)-1)</f>
        <v>7.8861429126817484E-3</v>
      </c>
      <c r="CW21" s="75">
        <f>IF(OR(IPC!CW21="",IPC!CK21=""),"",AVERAGE(IPC!CL21:CW21)/AVERAGE(IPC!BZ21:CK21)-1)</f>
        <v>9.3742540131807051E-3</v>
      </c>
      <c r="CX21" s="75">
        <f>IF(OR(IPC!CX21="",IPC!CL21=""),"",AVERAGE(IPC!CM21:CX21)/AVERAGE(IPC!CA21:CL21)-1)</f>
        <v>1.1333869091535664E-2</v>
      </c>
      <c r="CY21" s="75">
        <f>IF(OR(IPC!CY21="",IPC!CM21=""),"",AVERAGE(IPC!CN21:CY21)/AVERAGE(IPC!CB21:CM21)-1)</f>
        <v>1.356691476997951E-2</v>
      </c>
      <c r="CZ21" s="75">
        <f>IF(OR(IPC!CZ21="",IPC!CN21=""),"",AVERAGE(IPC!CO21:CZ21)/AVERAGE(IPC!CC21:CN21)-1)</f>
        <v>1.5501294090955797E-2</v>
      </c>
      <c r="DA21" s="75">
        <f>IF(OR(IPC!DA21="",IPC!CO21=""),"",AVERAGE(IPC!CP21:DA21)/AVERAGE(IPC!CD21:CO21)-1)</f>
        <v>1.7551883497255893E-2</v>
      </c>
      <c r="DB21" s="75">
        <f>IF(OR(IPC!DB21="",IPC!CP21=""),"",AVERAGE(IPC!CQ21:DB21)/AVERAGE(IPC!CE21:CP21)-1)</f>
        <v>1.9588255114958208E-2</v>
      </c>
      <c r="DC21" s="75">
        <f>IF(OR(IPC!DC21="",IPC!CQ21=""),"",AVERAGE(IPC!CR21:DC21)/AVERAGE(IPC!CF21:CQ21)-1)</f>
        <v>2.1884254767870592E-2</v>
      </c>
      <c r="DD21" s="75">
        <f>IF(OR(IPC!DD21="",IPC!CR21=""),"",AVERAGE(IPC!CS21:DD21)/AVERAGE(IPC!CG21:CR21)-1)</f>
        <v>2.3665479988269844E-2</v>
      </c>
      <c r="DE21" s="75">
        <f>IF(OR(IPC!DE21="",IPC!CS21=""),"",AVERAGE(IPC!CT21:DE21)/AVERAGE(IPC!CH21:CS21)-1)</f>
        <v>2.427458838477059E-2</v>
      </c>
      <c r="DF21" s="75">
        <f>IF(OR(IPC!DF21="",IPC!CT21=""),"",AVERAGE(IPC!CU21:DF21)/AVERAGE(IPC!CI21:CT21)-1)</f>
        <v>2.5134573188588361E-2</v>
      </c>
      <c r="DG21" s="75">
        <f>IF(OR(IPC!DG21="",IPC!CU21=""),"",AVERAGE(IPC!CV21:DG21)/AVERAGE(IPC!CJ21:CU21)-1)</f>
        <v>2.5575269619400931E-2</v>
      </c>
      <c r="DH21" s="75">
        <f>IF(OR(IPC!DH21="",IPC!CV21=""),"",AVERAGE(IPC!CW21:DH21)/AVERAGE(IPC!CK21:CV21)-1)</f>
        <v>2.632980471766011E-2</v>
      </c>
      <c r="DI21" s="75">
        <f>IF(OR(IPC!DI21="",IPC!CW21=""),"",AVERAGE(IPC!CX21:DI21)/AVERAGE(IPC!CL21:CW21)-1)</f>
        <v>2.6750987142223126E-2</v>
      </c>
      <c r="DJ21" s="75">
        <f>IF(OR(IPC!DJ21="",IPC!CX21=""),"",AVERAGE(IPC!CY21:DJ21)/AVERAGE(IPC!CM21:CX21)-1)</f>
        <v>2.6865569739749073E-2</v>
      </c>
      <c r="DK21" s="75">
        <f>IF(OR(IPC!DK21="",IPC!CY21=""),"",AVERAGE(IPC!CZ21:DK21)/AVERAGE(IPC!CN21:CY21)-1)</f>
        <v>2.699064930038908E-2</v>
      </c>
      <c r="DL21" s="75">
        <f>IF(OR(IPC!DL21="",IPC!CZ21=""),"",AVERAGE(IPC!DA21:DL21)/AVERAGE(IPC!CO21:CZ21)-1)</f>
        <v>2.6935267217134351E-2</v>
      </c>
      <c r="DM21" s="75">
        <f>IF(OR(IPC!DM21="",IPC!DA21=""),"",AVERAGE(IPC!DB21:DM21)/AVERAGE(IPC!CP21:DA21)-1)</f>
        <v>2.6755469909734764E-2</v>
      </c>
      <c r="DN21" s="75">
        <f>IF(OR(IPC!DN21="",IPC!DB21=""),"",AVERAGE(IPC!DC21:DN21)/AVERAGE(IPC!CQ21:DB21)-1)</f>
        <v>2.6630170264994035E-2</v>
      </c>
      <c r="DO21" s="75">
        <f>IF(OR(IPC!DO21="",IPC!DC21=""),"",AVERAGE(IPC!DD21:DO21)/AVERAGE(IPC!CR21:DC21)-1)</f>
        <v>2.6558582503241279E-2</v>
      </c>
      <c r="DP21" s="75">
        <f>IF(OR(IPC!DP21="",IPC!DD21=""),"",AVERAGE(IPC!DE21:DP21)/AVERAGE(IPC!CS21:DD21)-1)</f>
        <v>2.6621762002037697E-2</v>
      </c>
      <c r="DQ21" s="75">
        <f>IF(OR(IPC!DQ21="",IPC!DE21=""),"",AVERAGE(IPC!DF21:DQ21)/AVERAGE(IPC!CT21:DE21)-1)</f>
        <v>2.7011744210334365E-2</v>
      </c>
      <c r="DR21" s="75">
        <f>IF(OR(IPC!DR21="",IPC!DF21=""),"",AVERAGE(IPC!DG21:DR21)/AVERAGE(IPC!CU21:DF21)-1)</f>
        <v>2.6632862383291656E-2</v>
      </c>
      <c r="DS21" s="75">
        <f>IF(OR(IPC!DS21="",IPC!DG21=""),"",AVERAGE(IPC!DH21:DS21)/AVERAGE(IPC!CV21:DG21)-1)</f>
        <v>2.6384267645747084E-2</v>
      </c>
      <c r="DT21" s="75">
        <f>IF(OR(IPC!DT21="",IPC!DH21=""),"",AVERAGE(IPC!DI21:DT21)/AVERAGE(IPC!CW21:DH21)-1)</f>
        <v>2.564510488735805E-2</v>
      </c>
      <c r="DU21" s="75">
        <f>IF(OR(IPC!DU21="",IPC!DI21=""),"",AVERAGE(IPC!DJ21:DU21)/AVERAGE(IPC!CX21:DI21)-1)</f>
        <v>2.4889025070796489E-2</v>
      </c>
      <c r="DV21" s="75">
        <f>IF(OR(IPC!DV21="",IPC!DJ21=""),"",AVERAGE(IPC!DK21:DV21)/AVERAGE(IPC!CY21:DJ21)-1)</f>
        <v>2.3987724552502865E-2</v>
      </c>
      <c r="DW21" s="75">
        <f>IF(OR(IPC!DW21="",IPC!DK21=""),"",AVERAGE(IPC!DL21:DW21)/AVERAGE(IPC!CZ21:DK21)-1)</f>
        <v>2.2822897407399179E-2</v>
      </c>
      <c r="DX21" s="75">
        <f>IF(OR(IPC!DX21="",IPC!DL21=""),"",AVERAGE(IPC!DM21:DX21)/AVERAGE(IPC!DA21:DL21)-1)</f>
        <v>2.265868304976304E-2</v>
      </c>
      <c r="DY21" s="75">
        <f>IF(OR(IPC!DY21="",IPC!DM21=""),"",AVERAGE(IPC!DN21:DY21)/AVERAGE(IPC!DB21:DM21)-1)</f>
        <v>2.2763937531683487E-2</v>
      </c>
      <c r="DZ21" s="75">
        <f>IF(OR(IPC!DZ21="",IPC!DN21=""),"",AVERAGE(IPC!DO21:DZ21)/AVERAGE(IPC!DC21:DN21)-1)</f>
        <v>2.2763029384700761E-2</v>
      </c>
      <c r="EA21" s="75">
        <f>IF(OR(IPC!EA21="",IPC!DO21=""),"",AVERAGE(IPC!DP21:EA21)/AVERAGE(IPC!DD21:DO21)-1)</f>
        <v>2.2410801695215365E-2</v>
      </c>
      <c r="EB21" s="75">
        <f>IF(OR(IPC!EB21="",IPC!DP21=""),"",AVERAGE(IPC!DQ21:EB21)/AVERAGE(IPC!DE21:DP21)-1)</f>
        <v>2.2313790720330795E-2</v>
      </c>
      <c r="EC21" s="75">
        <f>IF(OR(IPC!EC21="",IPC!DQ21=""),"",AVERAGE(IPC!DR21:EC21)/AVERAGE(IPC!DF21:DQ21)-1)</f>
        <v>2.1624653511515435E-2</v>
      </c>
      <c r="ED21" s="75">
        <f>IF(OR(IPC!ED21="",IPC!DR21=""),"",AVERAGE(IPC!DS21:ED21)/AVERAGE(IPC!DG21:DR21)-1)</f>
        <v>2.1444487414806312E-2</v>
      </c>
      <c r="EE21" s="75">
        <f>IF(OR(IPC!EE21="",IPC!DS21=""),"",AVERAGE(IPC!DT21:EE21)/AVERAGE(IPC!DH21:DS21)-1)</f>
        <v>2.2339701930113032E-2</v>
      </c>
      <c r="EF21" s="75">
        <f>IF(OR(IPC!EF21="",IPC!DT21=""),"",AVERAGE(IPC!DU21:EF21)/AVERAGE(IPC!DI21:DT21)-1)</f>
        <v>2.4060074803577525E-2</v>
      </c>
      <c r="EG21" s="75">
        <f>IF(OR(IPC!EG21="",IPC!DU21=""),"",AVERAGE(IPC!DV21:EG21)/AVERAGE(IPC!DJ21:DU21)-1)</f>
        <v>2.6099934502077149E-2</v>
      </c>
      <c r="EH21" s="75">
        <f>IF(OR(IPC!EH21="",IPC!DV21=""),"",AVERAGE(IPC!DW21:EH21)/AVERAGE(IPC!DK21:DV21)-1)</f>
        <v>2.8502926437169229E-2</v>
      </c>
      <c r="EI21" s="75">
        <f>IF(OR(IPC!EI21="",IPC!DW21=""),"",AVERAGE(IPC!DX21:EI21)/AVERAGE(IPC!DL21:DW21)-1)</f>
        <v>3.1788940635593343E-2</v>
      </c>
      <c r="EJ21" s="75">
        <f>IF(OR(IPC!EJ21="",IPC!DX21=""),"",AVERAGE(IPC!DY21:EJ21)/AVERAGE(IPC!DM21:DX21)-1)</f>
        <v>3.4661620900829027E-2</v>
      </c>
      <c r="EK21" s="75">
        <f>IF(OR(IPC!EK21="",IPC!DY21=""),"",AVERAGE(IPC!DZ21:EK21)/AVERAGE(IPC!DN21:DY21)-1)</f>
        <v>3.7322494138928741E-2</v>
      </c>
      <c r="EL21" s="75">
        <f>IF(OR(IPC!EL21="",IPC!DZ21=""),"",AVERAGE(IPC!EA21:EL21)/AVERAGE(IPC!DO21:DZ21)-1)</f>
        <v>4.0174128778723395E-2</v>
      </c>
      <c r="EM21" s="75">
        <f>IF(OR(IPC!EM21="",IPC!EA21=""),"",AVERAGE(IPC!EB21:EM21)/AVERAGE(IPC!DP21:EA21)-1)</f>
        <v>4.4203070081726858E-2</v>
      </c>
      <c r="EN21" s="75">
        <f>IF(OR(IPC!EN21="",IPC!EB21=""),"",AVERAGE(IPC!EC21:EN21)/AVERAGE(IPC!DQ21:EB21)-1)</f>
        <v>4.8713109806835631E-2</v>
      </c>
      <c r="EO21" s="75">
        <f>IF(OR(IPC!EO21="",IPC!EC21=""),"",AVERAGE(IPC!ED21:EO21)/AVERAGE(IPC!DR21:EC21)-1)</f>
        <v>5.4029098358507888E-2</v>
      </c>
      <c r="EP21" s="75">
        <f>IF(OR(IPC!EP21="",IPC!ED21=""),"",AVERAGE(IPC!EE21:EP21)/AVERAGE(IPC!DS21:ED21)-1)</f>
        <v>5.9849721498125508E-2</v>
      </c>
      <c r="EQ21" s="75">
        <f>IF(OR(IPC!EQ21="",IPC!EE21=""),"",AVERAGE(IPC!EF21:EQ21)/AVERAGE(IPC!DT21:EE21)-1)</f>
        <v>6.358676074510039E-2</v>
      </c>
      <c r="ER21" s="75">
        <f>IF(OR(IPC!ER21="",IPC!EF21=""),"",AVERAGE(IPC!EG21:ER21)/AVERAGE(IPC!DU21:EF21)-1)</f>
        <v>6.6695481801559486E-2</v>
      </c>
      <c r="ES21" s="75">
        <f>IF(OR(IPC!ES21="",IPC!EG21=""),"",AVERAGE(IPC!EH21:ES21)/AVERAGE(IPC!DV21:EG21)-1)</f>
        <v>7.053761250180246E-2</v>
      </c>
      <c r="ET21" s="75">
        <f>IF(OR(IPC!ET21="",IPC!EH21=""),"",AVERAGE(IPC!EI21:ET21)/AVERAGE(IPC!DW21:EH21)-1)</f>
        <v>7.4539842558194236E-2</v>
      </c>
      <c r="EU21" s="75">
        <f>IF(OR(IPC!EU21="",IPC!EI21=""),"",AVERAGE(IPC!EJ21:EU21)/AVERAGE(IPC!DX21:EI21)-1)</f>
        <v>7.7368438063518452E-2</v>
      </c>
      <c r="EV21" s="75">
        <f>IF(OR(IPC!EV21="",IPC!EJ21=""),"",AVERAGE(IPC!EK21:EV21)/AVERAGE(IPC!DY21:EJ21)-1)</f>
        <v>7.9814145439320638E-2</v>
      </c>
      <c r="EW21" s="75">
        <f>IF(OR(IPC!EW21="",IPC!EK21=""),"",AVERAGE(IPC!EL21:EW21)/AVERAGE(IPC!DZ21:EK21)-1)</f>
        <v>8.2520653275897526E-2</v>
      </c>
      <c r="EX21" s="75">
        <f>IF(OR(IPC!EX21="",IPC!EL21=""),"",AVERAGE(IPC!EM21:EX21)/AVERAGE(IPC!EA21:EL21)-1)</f>
        <v>8.4379876507635565E-2</v>
      </c>
      <c r="EY21" s="75">
        <f>IF(OR(IPC!EY21="",IPC!EM21=""),"",AVERAGE(IPC!EN21:EY21)/AVERAGE(IPC!EB21:EM21)-1)</f>
        <v>8.5213551883043914E-2</v>
      </c>
      <c r="EZ21" s="75">
        <f>IF(OR(IPC!EZ21="",IPC!EN21=""),"",AVERAGE(IPC!EO21:EZ21)/AVERAGE(IPC!EC21:EN21)-1)</f>
        <v>8.5009653234870308E-2</v>
      </c>
      <c r="FA21" s="75">
        <f>IF(OR(IPC!FA21="",IPC!EO21=""),"",AVERAGE(IPC!EP21:FA21)/AVERAGE(IPC!ED21:EO21)-1)</f>
        <v>8.4385619394574896E-2</v>
      </c>
      <c r="FB21" s="75">
        <f>IF(OR(IPC!FB21="",IPC!EP21=""),"",AVERAGE(IPC!EQ21:FB21)/AVERAGE(IPC!EE21:EP21)-1)</f>
        <v>8.2558910283831777E-2</v>
      </c>
      <c r="FC21" s="75">
        <f>IF(OR(IPC!FC21="",IPC!EQ21=""),"",AVERAGE(IPC!ER21:FC21)/AVERAGE(IPC!EF21:EQ21)-1)</f>
        <v>8.1499999999999684E-2</v>
      </c>
      <c r="FD21" s="75">
        <f>IF(OR(IPC!FD21="",IPC!ER21=""),"",AVERAGE(IPC!ES21:FD21)/AVERAGE(IPC!EG21:ER21)-1)</f>
        <v>7.9434764929468438E-2</v>
      </c>
      <c r="FE21" s="75">
        <f>IF(OR(IPC!FE21="",IPC!ES21=""),"",AVERAGE(IPC!ET21:FE21)/AVERAGE(IPC!EH21:ES21)-1)</f>
        <v>7.6294077088472578E-2</v>
      </c>
      <c r="FF21" s="75">
        <f>IF(OR(IPC!FF21="",IPC!ET21=""),"",AVERAGE(IPC!EU21:FF21)/AVERAGE(IPC!EI21:ET21)-1)</f>
        <v>7.2412081800108608E-2</v>
      </c>
      <c r="FG21" s="75">
        <f>IF(OR(IPC!FG21="",IPC!EU21=""),"",AVERAGE(IPC!EV21:FG21)/AVERAGE(IPC!EJ21:EU21)-1)</f>
        <v>6.8849881606683816E-2</v>
      </c>
      <c r="FH21" s="75">
        <f>IF(OR(IPC!FH21="",IPC!EV21=""),"",AVERAGE(IPC!EW21:FH21)/AVERAGE(IPC!EK21:EV21)-1)</f>
        <v>6.5337062676214863E-2</v>
      </c>
      <c r="FI21" s="75">
        <f>IF(OR(IPC!FI21="",IPC!EW21=""),"",AVERAGE(IPC!EX21:FI21)/AVERAGE(IPC!EL21:EW21)-1)</f>
        <v>6.1470842460136677E-2</v>
      </c>
      <c r="FJ21" s="75">
        <f>IF(OR(IPC!FJ21="",IPC!EX21=""),"",AVERAGE(IPC!EY21:FJ21)/AVERAGE(IPC!EM21:EX21)-1)</f>
        <v>5.7850030008562037E-2</v>
      </c>
      <c r="FK21" s="75">
        <f>IF(OR(IPC!FK21="",IPC!EY21=""),"",AVERAGE(IPC!EZ21:FK21)/AVERAGE(IPC!EN21:EY21)-1)</f>
        <v>5.4305499780819666E-2</v>
      </c>
      <c r="FL21" s="75">
        <f>IF(OR(IPC!FL21="",IPC!EZ21=""),"",AVERAGE(IPC!FA21:FL21)/AVERAGE(IPC!EO21:EZ21)-1)</f>
        <v>5.1693287342160055E-2</v>
      </c>
      <c r="FM21" s="75">
        <f>IF(OR(IPC!FM21="",IPC!FA21=""),"",AVERAGE(IPC!FB21:FM21)/AVERAGE(IPC!EP21:FA21)-1)</f>
        <v>4.9283445845306195E-2</v>
      </c>
      <c r="FN21" s="75">
        <f>IF(OR(IPC!FN21="",IPC!FB21=""),"",AVERAGE(IPC!FC21:FN21)/AVERAGE(IPC!EQ21:FB21)-1)</f>
        <v>4.7460332410618422E-2</v>
      </c>
      <c r="FO21" s="75">
        <f>IF(OR(IPC!FO21="",IPC!FC21=""),"",AVERAGE(IPC!FD21:FO21)/AVERAGE(IPC!ER21:FC21)-1)</f>
        <v>4.6463245492371907E-2</v>
      </c>
      <c r="FP21" s="75">
        <f>IF(OR(IPC!FP21="",IPC!FD21=""),"",AVERAGE(IPC!FE21:FP21)/AVERAGE(IPC!ES21:FD21)-1)</f>
        <v>4.6647230320699729E-2</v>
      </c>
      <c r="FQ21" s="75">
        <f>IF(OR(IPC!FQ21="",IPC!FE21=""),"",AVERAGE(IPC!FF21:FQ21)/AVERAGE(IPC!ET21:FE21)-1)</f>
        <v>4.5992818397127211E-2</v>
      </c>
      <c r="FR21" s="75">
        <f>IF(OR(IPC!FR21="",IPC!FF21=""),"",AVERAGE(IPC!FG21:FR21)/AVERAGE(IPC!EU21:FF21)-1)</f>
        <v>4.5433789954338E-2</v>
      </c>
    </row>
    <row r="22" spans="1:174" s="81" customFormat="1" ht="10.199999999999999" x14ac:dyDescent="0.2">
      <c r="B22" s="81" t="s">
        <v>4</v>
      </c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>
        <f>IF(OR(IPC!AN22="",IPC!AB22=""),"",AVERAGE(IPC!AC22:AN22)/AVERAGE(IPC!Q22:AB22)-1)</f>
        <v>1.6771134775767971E-2</v>
      </c>
      <c r="AO22" s="84">
        <f>IF(OR(IPC!AO22="",IPC!AC22=""),"",AVERAGE(IPC!AD22:AO22)/AVERAGE(IPC!R22:AC22)-1)</f>
        <v>1.5792318272187078E-2</v>
      </c>
      <c r="AP22" s="84">
        <f>IF(OR(IPC!AP22="",IPC!AD22=""),"",AVERAGE(IPC!AE22:AP22)/AVERAGE(IPC!S22:AD22)-1)</f>
        <v>1.4903747487210683E-2</v>
      </c>
      <c r="AQ22" s="84">
        <f>IF(OR(IPC!AQ22="",IPC!AE22=""),"",AVERAGE(IPC!AF22:AQ22)/AVERAGE(IPC!T22:AE22)-1)</f>
        <v>1.3613793989771805E-2</v>
      </c>
      <c r="AR22" s="84">
        <f>IF(OR(IPC!AR22="",IPC!AF22=""),"",AVERAGE(IPC!AG22:AR22)/AVERAGE(IPC!U22:AF22)-1)</f>
        <v>1.2793753134498598E-2</v>
      </c>
      <c r="AS22" s="84">
        <f>IF(OR(IPC!AS22="",IPC!AG22=""),"",AVERAGE(IPC!AH22:AS22)/AVERAGE(IPC!V22:AG22)-1)</f>
        <v>1.2436664982954149E-2</v>
      </c>
      <c r="AT22" s="84">
        <f>IF(OR(IPC!AT22="",IPC!AH22=""),"",AVERAGE(IPC!AI22:AT22)/AVERAGE(IPC!W22:AH22)-1)</f>
        <v>1.2974800570327849E-2</v>
      </c>
      <c r="AU22" s="84">
        <f>IF(OR(IPC!AU22="",IPC!AI22=""),"",AVERAGE(IPC!AJ22:AU22)/AVERAGE(IPC!X22:AI22)-1)</f>
        <v>1.3497787422242391E-2</v>
      </c>
      <c r="AV22" s="84">
        <f>IF(OR(IPC!AV22="",IPC!AJ22=""),"",AVERAGE(IPC!AK22:AV22)/AVERAGE(IPC!Y22:AJ22)-1)</f>
        <v>1.3594804978039221E-2</v>
      </c>
      <c r="AW22" s="84">
        <f>IF(OR(IPC!AW22="",IPC!AK22=""),"",AVERAGE(IPC!AL22:AW22)/AVERAGE(IPC!Z22:AK22)-1)</f>
        <v>1.3017350824215512E-2</v>
      </c>
      <c r="AX22" s="84">
        <f>IF(OR(IPC!AX22="",IPC!AL22=""),"",AVERAGE(IPC!AM22:AX22)/AVERAGE(IPC!AA22:AL22)-1)</f>
        <v>1.2589321371718309E-2</v>
      </c>
      <c r="AY22" s="84">
        <f>IF(OR(IPC!AY22="",IPC!AM22=""),"",AVERAGE(IPC!AN22:AY22)/AVERAGE(IPC!AB22:AM22)-1)</f>
        <v>1.2844232465401673E-2</v>
      </c>
      <c r="AZ22" s="84">
        <f>IF(OR(IPC!AZ22="",IPC!AN22=""),"",AVERAGE(IPC!AO22:AZ22)/AVERAGE(IPC!AC22:AN22)-1)</f>
        <v>1.2945363746687866E-2</v>
      </c>
      <c r="BA22" s="84">
        <f>IF(OR(IPC!BA22="",IPC!AO22=""),"",AVERAGE(IPC!AP22:BA22)/AVERAGE(IPC!AD22:AO22)-1)</f>
        <v>1.3179310525613719E-2</v>
      </c>
      <c r="BB22" s="84">
        <f>IF(OR(IPC!BB22="",IPC!AP22=""),"",AVERAGE(IPC!AQ22:BB22)/AVERAGE(IPC!AE22:AP22)-1)</f>
        <v>1.3757044642650262E-2</v>
      </c>
      <c r="BC22" s="84">
        <f>IF(OR(IPC!BC22="",IPC!AQ22=""),"",AVERAGE(IPC!AR22:BC22)/AVERAGE(IPC!AF22:AQ22)-1)</f>
        <v>1.4683909658236516E-2</v>
      </c>
      <c r="BD22" s="84">
        <f>IF(OR(IPC!BD22="",IPC!AR22=""),"",AVERAGE(IPC!AS22:BD22)/AVERAGE(IPC!AG22:AR22)-1)</f>
        <v>1.541393223637999E-2</v>
      </c>
      <c r="BE22" s="84">
        <f>IF(OR(IPC!BE22="",IPC!AS22=""),"",AVERAGE(IPC!AT22:BE22)/AVERAGE(IPC!AH22:AS22)-1)</f>
        <v>1.6023939504844265E-2</v>
      </c>
      <c r="BF22" s="84">
        <f>IF(OR(IPC!BF22="",IPC!AT22=""),"",AVERAGE(IPC!AU22:BF22)/AVERAGE(IPC!AI22:AT22)-1)</f>
        <v>1.40945031768136E-2</v>
      </c>
      <c r="BG22" s="84">
        <f>IF(OR(IPC!BG22="",IPC!AU22=""),"",AVERAGE(IPC!AV22:BG22)/AVERAGE(IPC!AJ22:AU22)-1)</f>
        <v>1.2403244626548071E-2</v>
      </c>
      <c r="BH22" s="84">
        <f>IF(OR(IPC!BH22="",IPC!AV22=""),"",AVERAGE(IPC!AW22:BH22)/AVERAGE(IPC!AK22:AV22)-1)</f>
        <v>1.094114197032825E-2</v>
      </c>
      <c r="BI22" s="84">
        <f>IF(OR(IPC!BI22="",IPC!AW22=""),"",AVERAGE(IPC!AX22:BI22)/AVERAGE(IPC!AL22:AW22)-1)</f>
        <v>1.0329787505029886E-2</v>
      </c>
      <c r="BJ22" s="84">
        <f>IF(OR(IPC!BJ22="",IPC!AX22=""),"",AVERAGE(IPC!AY22:BJ22)/AVERAGE(IPC!AM22:AX22)-1)</f>
        <v>9.4071742404486791E-3</v>
      </c>
      <c r="BK22" s="84">
        <f>IF(OR(IPC!BK22="",IPC!AY22=""),"",AVERAGE(IPC!AZ22:BK22)/AVERAGE(IPC!AN22:AY22)-1)</f>
        <v>8.4291123887312303E-3</v>
      </c>
      <c r="BL22" s="84">
        <f>IF(OR(IPC!BL22="",IPC!AZ22=""),"",AVERAGE(IPC!BA22:BL22)/AVERAGE(IPC!AO22:AZ22)-1)</f>
        <v>7.4505998491085634E-3</v>
      </c>
      <c r="BM22" s="84">
        <f>IF(OR(IPC!BM22="",IPC!BA22=""),"",AVERAGE(IPC!BB22:BM22)/AVERAGE(IPC!AP22:BA22)-1)</f>
        <v>6.1834306763635105E-3</v>
      </c>
      <c r="BN22" s="84">
        <f>IF(OR(IPC!BN22="",IPC!BB22=""),"",AVERAGE(IPC!BC22:BN22)/AVERAGE(IPC!AQ22:BB22)-1)</f>
        <v>5.04386034858606E-3</v>
      </c>
      <c r="BO22" s="84">
        <f>IF(OR(IPC!BO22="",IPC!BC22=""),"",AVERAGE(IPC!BD22:BO22)/AVERAGE(IPC!AR22:BC22)-1)</f>
        <v>3.2442464980861896E-3</v>
      </c>
      <c r="BP22" s="84">
        <f>IF(OR(IPC!BP22="",IPC!BD22=""),"",AVERAGE(IPC!BE22:BP22)/AVERAGE(IPC!AS22:BD22)-1)</f>
        <v>1.2398775355382252E-3</v>
      </c>
      <c r="BQ22" s="84">
        <f>IF(OR(IPC!BQ22="",IPC!BE22=""),"",AVERAGE(IPC!BF22:BQ22)/AVERAGE(IPC!AT22:BE22)-1)</f>
        <v>-8.625484935644856E-4</v>
      </c>
      <c r="BR22" s="84">
        <f>IF(OR(IPC!BR22="",IPC!BF22=""),"",AVERAGE(IPC!BG22:BR22)/AVERAGE(IPC!AU22:BF22)-1)</f>
        <v>-1.1497457248009768E-3</v>
      </c>
      <c r="BS22" s="84">
        <f>IF(OR(IPC!BS22="",IPC!BG22=""),"",AVERAGE(IPC!BH22:BS22)/AVERAGE(IPC!AV22:BG22)-1)</f>
        <v>-2.045718203933844E-3</v>
      </c>
      <c r="BT22" s="84">
        <f>IF(OR(IPC!BT22="",IPC!BH22=""),"",AVERAGE(IPC!BI22:BT22)/AVERAGE(IPC!AW22:BH22)-1)</f>
        <v>-2.9759989855632218E-3</v>
      </c>
      <c r="BU22" s="84">
        <f>IF(OR(IPC!BU22="",IPC!BI22=""),"",AVERAGE(IPC!BJ22:BU22)/AVERAGE(IPC!AX22:BI22)-1)</f>
        <v>-4.2308923528056042E-3</v>
      </c>
      <c r="BV22" s="84">
        <f>IF(OR(IPC!BV22="",IPC!BJ22=""),"",AVERAGE(IPC!BK22:BV22)/AVERAGE(IPC!AY22:BJ22)-1)</f>
        <v>-5.5985045797652955E-3</v>
      </c>
      <c r="BW22" s="84">
        <f>IF(OR(IPC!BW22="",IPC!BK22=""),"",AVERAGE(IPC!BL22:BW22)/AVERAGE(IPC!AZ22:BK22)-1)</f>
        <v>-5.9874433002817806E-3</v>
      </c>
      <c r="BX22" s="84">
        <f>IF(OR(IPC!BX22="",IPC!BL22=""),"",AVERAGE(IPC!BM22:BX22)/AVERAGE(IPC!BA22:BL22)-1)</f>
        <v>-6.2497379190340485E-3</v>
      </c>
      <c r="BY22" s="84">
        <f>IF(OR(IPC!BY22="",IPC!BM22=""),"",AVERAGE(IPC!BN22:BY22)/AVERAGE(IPC!BB22:BM22)-1)</f>
        <v>-6.1671148788824404E-3</v>
      </c>
      <c r="BZ22" s="84">
        <f>IF(OR(IPC!BZ22="",IPC!BN22=""),"",AVERAGE(IPC!BO22:BZ22)/AVERAGE(IPC!BC22:BN22)-1)</f>
        <v>-6.6488225594041328E-3</v>
      </c>
      <c r="CA22" s="84">
        <f>IF(OR(IPC!CA22="",IPC!BO22=""),"",AVERAGE(IPC!BP22:CA22)/AVERAGE(IPC!BD22:BO22)-1)</f>
        <v>-5.9938934592650428E-3</v>
      </c>
      <c r="CB22" s="84">
        <f>IF(OR(IPC!CB22="",IPC!BP22=""),"",AVERAGE(IPC!BQ22:CB22)/AVERAGE(IPC!BE22:BP22)-1)</f>
        <v>-5.2549823731202761E-3</v>
      </c>
      <c r="CC22" s="84">
        <f>IF(OR(IPC!CC22="",IPC!BQ22=""),"",AVERAGE(IPC!BR22:CC22)/AVERAGE(IPC!BF22:BQ22)-1)</f>
        <v>-4.3051314454658485E-3</v>
      </c>
      <c r="CD22" s="84">
        <f>IF(OR(IPC!CD22="",IPC!BR22=""),"",AVERAGE(IPC!BS22:CD22)/AVERAGE(IPC!BG22:BR22)-1)</f>
        <v>-3.7642612932635711E-3</v>
      </c>
      <c r="CE22" s="84">
        <f>IF(OR(IPC!CE22="",IPC!BS22=""),"",AVERAGE(IPC!BT22:CE22)/AVERAGE(IPC!BH22:BS22)-1)</f>
        <v>-2.0784305238262801E-3</v>
      </c>
      <c r="CF22" s="84">
        <f>IF(OR(IPC!CF22="",IPC!BT22=""),"",AVERAGE(IPC!BU22:CF22)/AVERAGE(IPC!BI22:BT22)-1)</f>
        <v>-4.1278942149214348E-4</v>
      </c>
      <c r="CG22" s="84">
        <f>IF(OR(IPC!CG22="",IPC!BU22=""),"",AVERAGE(IPC!BV22:CG22)/AVERAGE(IPC!BJ22:BU22)-1)</f>
        <v>1.462239002323118E-3</v>
      </c>
      <c r="CH22" s="84">
        <f>IF(OR(IPC!CH22="",IPC!BV22=""),"",AVERAGE(IPC!BW22:CH22)/AVERAGE(IPC!BK22:BV22)-1)</f>
        <v>3.3010026814006554E-3</v>
      </c>
      <c r="CI22" s="84">
        <f>IF(OR(IPC!CI22="",IPC!BW22=""),"",AVERAGE(IPC!BX22:CI22)/AVERAGE(IPC!BL22:BW22)-1)</f>
        <v>4.1807221654828197E-3</v>
      </c>
      <c r="CJ22" s="84">
        <f>IF(OR(IPC!CJ22="",IPC!BX22=""),"",AVERAGE(IPC!BY22:CJ22)/AVERAGE(IPC!BM22:BX22)-1)</f>
        <v>5.6589146385972455E-3</v>
      </c>
      <c r="CK22" s="84">
        <f>IF(OR(IPC!CK22="",IPC!BY22=""),"",AVERAGE(IPC!BZ22:CK22)/AVERAGE(IPC!BN22:BY22)-1)</f>
        <v>6.9320389874376609E-3</v>
      </c>
      <c r="CL22" s="84">
        <f>IF(OR(IPC!CL22="",IPC!BZ22=""),"",AVERAGE(IPC!CA22:CL22)/AVERAGE(IPC!BO22:BZ22)-1)</f>
        <v>8.8120482510403164E-3</v>
      </c>
      <c r="CM22" s="84">
        <f>IF(OR(IPC!CM22="",IPC!CA22=""),"",AVERAGE(IPC!CB22:CM22)/AVERAGE(IPC!BP22:CA22)-1)</f>
        <v>1.0121987019734435E-2</v>
      </c>
      <c r="CN22" s="84">
        <f>IF(OR(IPC!CN22="",IPC!CB22=""),"",AVERAGE(IPC!CC22:CN22)/AVERAGE(IPC!BQ22:CB22)-1)</f>
        <v>1.1863936687154464E-2</v>
      </c>
      <c r="CO22" s="84">
        <f>IF(OR(IPC!CO22="",IPC!CC22=""),"",AVERAGE(IPC!CD22:CO22)/AVERAGE(IPC!BR22:CC22)-1)</f>
        <v>1.3362980297707994E-2</v>
      </c>
      <c r="CP22" s="84">
        <f>IF(OR(IPC!CP22="",IPC!CD22=""),"",AVERAGE(IPC!CE22:CP22)/AVERAGE(IPC!BS22:CD22)-1)</f>
        <v>1.4958406928060386E-2</v>
      </c>
      <c r="CQ22" s="84">
        <f>IF(OR(IPC!CQ22="",IPC!CE22=""),"",AVERAGE(IPC!CF22:CQ22)/AVERAGE(IPC!BT22:CE22)-1)</f>
        <v>1.5683199762750233E-2</v>
      </c>
      <c r="CR22" s="84">
        <f>IF(OR(IPC!CR22="",IPC!CF22=""),"",AVERAGE(IPC!CG22:CR22)/AVERAGE(IPC!BU22:CF22)-1)</f>
        <v>1.6805941242861167E-2</v>
      </c>
      <c r="CS22" s="84">
        <f>IF(OR(IPC!CS22="",IPC!CG22=""),"",AVERAGE(IPC!CH22:CS22)/AVERAGE(IPC!BV22:CG22)-1)</f>
        <v>1.7501539905874441E-2</v>
      </c>
      <c r="CT22" s="84">
        <f>IF(OR(IPC!CT22="",IPC!CH22=""),"",AVERAGE(IPC!CI22:CT22)/AVERAGE(IPC!BW22:CH22)-1)</f>
        <v>1.8672797723072732E-2</v>
      </c>
      <c r="CU22" s="84">
        <f>IF(OR(IPC!CU22="",IPC!CI22=""),"",AVERAGE(IPC!CJ22:CU22)/AVERAGE(IPC!BX22:CI22)-1)</f>
        <v>2.0052335409656674E-2</v>
      </c>
      <c r="CV22" s="84">
        <f>IF(OR(IPC!CV22="",IPC!CJ22=""),"",AVERAGE(IPC!CK22:CV22)/AVERAGE(IPC!BY22:CJ22)-1)</f>
        <v>2.0805249371191659E-2</v>
      </c>
      <c r="CW22" s="84">
        <f>IF(OR(IPC!CW22="",IPC!CK22=""),"",AVERAGE(IPC!CL22:CW22)/AVERAGE(IPC!BZ22:CK22)-1)</f>
        <v>2.1815995169043534E-2</v>
      </c>
      <c r="CX22" s="84">
        <f>IF(OR(IPC!CX22="",IPC!CL22=""),"",AVERAGE(IPC!CM22:CX22)/AVERAGE(IPC!CA22:CL22)-1)</f>
        <v>2.2899522478100121E-2</v>
      </c>
      <c r="CY22" s="84">
        <f>IF(OR(IPC!CY22="",IPC!CM22=""),"",AVERAGE(IPC!CN22:CY22)/AVERAGE(IPC!CB22:CM22)-1)</f>
        <v>2.3649508732077829E-2</v>
      </c>
      <c r="CZ22" s="84">
        <f>IF(OR(IPC!CZ22="",IPC!CN22=""),"",AVERAGE(IPC!CO22:CZ22)/AVERAGE(IPC!CC22:CN22)-1)</f>
        <v>2.3735452628873555E-2</v>
      </c>
      <c r="DA22" s="84">
        <f>IF(OR(IPC!DA22="",IPC!CO22=""),"",AVERAGE(IPC!CP22:DA22)/AVERAGE(IPC!CD22:CO22)-1)</f>
        <v>2.3871479864439715E-2</v>
      </c>
      <c r="DB22" s="84">
        <f>IF(OR(IPC!DB22="",IPC!CP22=""),"",AVERAGE(IPC!CQ22:DB22)/AVERAGE(IPC!CE22:CP22)-1)</f>
        <v>2.359592853030601E-2</v>
      </c>
      <c r="DC22" s="84">
        <f>IF(OR(IPC!DC22="",IPC!CQ22=""),"",AVERAGE(IPC!CR22:DC22)/AVERAGE(IPC!CF22:CQ22)-1)</f>
        <v>2.3509578451623714E-2</v>
      </c>
      <c r="DD22" s="84">
        <f>IF(OR(IPC!DD22="",IPC!CR22=""),"",AVERAGE(IPC!CS22:DD22)/AVERAGE(IPC!CG22:CR22)-1)</f>
        <v>2.2862197685200591E-2</v>
      </c>
      <c r="DE22" s="84">
        <f>IF(OR(IPC!DE22="",IPC!CS22=""),"",AVERAGE(IPC!CT22:DE22)/AVERAGE(IPC!CH22:CS22)-1)</f>
        <v>2.2646119157701872E-2</v>
      </c>
      <c r="DF22" s="84">
        <f>IF(OR(IPC!DF22="",IPC!CT22=""),"",AVERAGE(IPC!CU22:DF22)/AVERAGE(IPC!CI22:CT22)-1)</f>
        <v>2.2146299965688288E-2</v>
      </c>
      <c r="DG22" s="84">
        <f>IF(OR(IPC!DG22="",IPC!CU22=""),"",AVERAGE(IPC!CV22:DG22)/AVERAGE(IPC!CJ22:CU22)-1)</f>
        <v>2.1804632491706499E-2</v>
      </c>
      <c r="DH22" s="84">
        <f>IF(OR(IPC!DH22="",IPC!CV22=""),"",AVERAGE(IPC!CW22:DH22)/AVERAGE(IPC!CK22:CV22)-1)</f>
        <v>2.1339790696197847E-2</v>
      </c>
      <c r="DI22" s="84">
        <f>IF(OR(IPC!DI22="",IPC!CW22=""),"",AVERAGE(IPC!CX22:DI22)/AVERAGE(IPC!CL22:CW22)-1)</f>
        <v>2.0688099404178484E-2</v>
      </c>
      <c r="DJ22" s="84">
        <f>IF(OR(IPC!DJ22="",IPC!CX22=""),"",AVERAGE(IPC!CY22:DJ22)/AVERAGE(IPC!CM22:CX22)-1)</f>
        <v>1.9422623840481323E-2</v>
      </c>
      <c r="DK22" s="84">
        <f>IF(OR(IPC!DK22="",IPC!CY22=""),"",AVERAGE(IPC!CZ22:DK22)/AVERAGE(IPC!CN22:CY22)-1)</f>
        <v>1.8981237451803024E-2</v>
      </c>
      <c r="DL22" s="84">
        <f>IF(OR(IPC!DL22="",IPC!CZ22=""),"",AVERAGE(IPC!DA22:DL22)/AVERAGE(IPC!CO22:CZ22)-1)</f>
        <v>1.8836125792811576E-2</v>
      </c>
      <c r="DM22" s="84">
        <f>IF(OR(IPC!DM22="",IPC!DA22=""),"",AVERAGE(IPC!DB22:DM22)/AVERAGE(IPC!CP22:DA22)-1)</f>
        <v>1.9086160390212825E-2</v>
      </c>
      <c r="DN22" s="84">
        <f>IF(OR(IPC!DN22="",IPC!DB22=""),"",AVERAGE(IPC!DC22:DN22)/AVERAGE(IPC!CQ22:DB22)-1)</f>
        <v>1.9688630611936819E-2</v>
      </c>
      <c r="DO22" s="84">
        <f>IF(OR(IPC!DO22="",IPC!DC22=""),"",AVERAGE(IPC!DD22:DO22)/AVERAGE(IPC!CR22:DC22)-1)</f>
        <v>2.0303160456059288E-2</v>
      </c>
      <c r="DP22" s="84">
        <f>IF(OR(IPC!DP22="",IPC!DD22=""),"",AVERAGE(IPC!DE22:DP22)/AVERAGE(IPC!CS22:DD22)-1)</f>
        <v>2.127567805508046E-2</v>
      </c>
      <c r="DQ22" s="84">
        <f>IF(OR(IPC!DQ22="",IPC!DE22=""),"",AVERAGE(IPC!DF22:DQ22)/AVERAGE(IPC!CT22:DE22)-1)</f>
        <v>2.2066442886137461E-2</v>
      </c>
      <c r="DR22" s="84">
        <f>IF(OR(IPC!DR22="",IPC!DF22=""),"",AVERAGE(IPC!DG22:DR22)/AVERAGE(IPC!CU22:DF22)-1)</f>
        <v>2.2833180004358633E-2</v>
      </c>
      <c r="DS22" s="84">
        <f>IF(OR(IPC!DS22="",IPC!DG22=""),"",AVERAGE(IPC!DH22:DS22)/AVERAGE(IPC!CV22:DG22)-1)</f>
        <v>2.3605737128454152E-2</v>
      </c>
      <c r="DT22" s="84">
        <f>IF(OR(IPC!DT22="",IPC!DH22=""),"",AVERAGE(IPC!DI22:DT22)/AVERAGE(IPC!CW22:DH22)-1)</f>
        <v>2.478442562943628E-2</v>
      </c>
      <c r="DU22" s="84">
        <f>IF(OR(IPC!DU22="",IPC!DI22=""),"",AVERAGE(IPC!DJ22:DU22)/AVERAGE(IPC!CX22:DI22)-1)</f>
        <v>2.5999737372452758E-2</v>
      </c>
      <c r="DV22" s="84">
        <f>IF(OR(IPC!DV22="",IPC!DJ22=""),"",AVERAGE(IPC!DK22:DV22)/AVERAGE(IPC!CY22:DJ22)-1)</f>
        <v>2.7873944499488656E-2</v>
      </c>
      <c r="DW22" s="84">
        <f>IF(OR(IPC!DW22="",IPC!DK22=""),"",AVERAGE(IPC!DL22:DW22)/AVERAGE(IPC!CZ22:DK22)-1)</f>
        <v>2.8687715737307329E-2</v>
      </c>
      <c r="DX22" s="84">
        <f>IF(OR(IPC!DX22="",IPC!DL22=""),"",AVERAGE(IPC!DM22:DX22)/AVERAGE(IPC!DA22:DL22)-1)</f>
        <v>2.9463619694045207E-2</v>
      </c>
      <c r="DY22" s="84">
        <f>IF(OR(IPC!DY22="",IPC!DM22=""),"",AVERAGE(IPC!DN22:DY22)/AVERAGE(IPC!DB22:DM22)-1)</f>
        <v>2.960909553510449E-2</v>
      </c>
      <c r="DZ22" s="84">
        <f>IF(OR(IPC!DZ22="",IPC!DN22=""),"",AVERAGE(IPC!DO22:DZ22)/AVERAGE(IPC!DC22:DN22)-1)</f>
        <v>3.0028007380695554E-2</v>
      </c>
      <c r="EA22" s="84">
        <f>IF(OR(IPC!EA22="",IPC!DO22=""),"",AVERAGE(IPC!DP22:EA22)/AVERAGE(IPC!DD22:DO22)-1)</f>
        <v>3.0283186789815675E-2</v>
      </c>
      <c r="EB22" s="84">
        <f>IF(OR(IPC!EB22="",IPC!DP22=""),"",AVERAGE(IPC!DQ22:EB22)/AVERAGE(IPC!DE22:DP22)-1)</f>
        <v>3.0253644882118458E-2</v>
      </c>
      <c r="EC22" s="84">
        <f>IF(OR(IPC!EC22="",IPC!DQ22=""),"",AVERAGE(IPC!DR22:EC22)/AVERAGE(IPC!DF22:DQ22)-1)</f>
        <v>2.9989982832819617E-2</v>
      </c>
      <c r="ED22" s="84">
        <f>IF(OR(IPC!ED22="",IPC!DR22=""),"",AVERAGE(IPC!DS22:ED22)/AVERAGE(IPC!DG22:DR22)-1)</f>
        <v>3.0133349754468242E-2</v>
      </c>
      <c r="EE22" s="84">
        <f>IF(OR(IPC!EE22="",IPC!DS22=""),"",AVERAGE(IPC!DT22:EE22)/AVERAGE(IPC!DH22:DS22)-1)</f>
        <v>3.0436975362916785E-2</v>
      </c>
      <c r="EF22" s="84">
        <f>IF(OR(IPC!EF22="",IPC!DT22=""),"",AVERAGE(IPC!DU22:EF22)/AVERAGE(IPC!DI22:DT22)-1)</f>
        <v>3.0424745936209474E-2</v>
      </c>
      <c r="EG22" s="84">
        <f>IF(OR(IPC!EG22="",IPC!DU22=""),"",AVERAGE(IPC!DV22:EG22)/AVERAGE(IPC!DJ22:DU22)-1)</f>
        <v>3.0793434986971402E-2</v>
      </c>
      <c r="EH22" s="84">
        <f>IF(OR(IPC!EH22="",IPC!DV22=""),"",AVERAGE(IPC!DW22:EH22)/AVERAGE(IPC!DK22:DV22)-1)</f>
        <v>3.0691979763789679E-2</v>
      </c>
      <c r="EI22" s="84">
        <f>IF(OR(IPC!EI22="",IPC!DW22=""),"",AVERAGE(IPC!DX22:EI22)/AVERAGE(IPC!DL22:DW22)-1)</f>
        <v>3.1698458171464994E-2</v>
      </c>
      <c r="EJ22" s="84">
        <f>IF(OR(IPC!EJ22="",IPC!DX22=""),"",AVERAGE(IPC!DY22:EJ22)/AVERAGE(IPC!DM22:DX22)-1)</f>
        <v>3.3367211034096567E-2</v>
      </c>
      <c r="EK22" s="84">
        <f>IF(OR(IPC!EK22="",IPC!DY22=""),"",AVERAGE(IPC!DZ22:EK22)/AVERAGE(IPC!DN22:DY22)-1)</f>
        <v>3.5598904951135601E-2</v>
      </c>
      <c r="EL22" s="84">
        <f>IF(OR(IPC!EL22="",IPC!DZ22=""),"",AVERAGE(IPC!EA22:EL22)/AVERAGE(IPC!DO22:DZ22)-1)</f>
        <v>3.7108110798492966E-2</v>
      </c>
      <c r="EM22" s="84">
        <f>IF(OR(IPC!EM22="",IPC!EA22=""),"",AVERAGE(IPC!EB22:EM22)/AVERAGE(IPC!DP22:EA22)-1)</f>
        <v>3.948807532673948E-2</v>
      </c>
      <c r="EN22" s="84">
        <f>IF(OR(IPC!EN22="",IPC!EB22=""),"",AVERAGE(IPC!EC22:EN22)/AVERAGE(IPC!DQ22:EB22)-1)</f>
        <v>4.2245368885930557E-2</v>
      </c>
      <c r="EO22" s="84">
        <f>IF(OR(IPC!EO22="",IPC!EC22=""),"",AVERAGE(IPC!ED22:EO22)/AVERAGE(IPC!DR22:EC22)-1)</f>
        <v>4.545263510135733E-2</v>
      </c>
      <c r="EP22" s="84">
        <f>IF(OR(IPC!EP22="",IPC!ED22=""),"",AVERAGE(IPC!EE22:EP22)/AVERAGE(IPC!DS22:ED22)-1)</f>
        <v>4.7904583497476727E-2</v>
      </c>
      <c r="EQ22" s="84">
        <f>IF(OR(IPC!EQ22="",IPC!EE22=""),"",AVERAGE(IPC!EF22:EQ22)/AVERAGE(IPC!DT22:EE22)-1)</f>
        <v>5.0180740447476113E-2</v>
      </c>
      <c r="ER22" s="84">
        <f>IF(OR(IPC!ER22="",IPC!EF22=""),"",AVERAGE(IPC!EG22:ER22)/AVERAGE(IPC!DU22:EF22)-1)</f>
        <v>5.2323377829977868E-2</v>
      </c>
      <c r="ES22" s="84">
        <f>IF(OR(IPC!ES22="",IPC!EG22=""),"",AVERAGE(IPC!EH22:ES22)/AVERAGE(IPC!DV22:EG22)-1)</f>
        <v>5.4873458737385139E-2</v>
      </c>
      <c r="ET22" s="84">
        <f>IF(OR(IPC!ET22="",IPC!EH22=""),"",AVERAGE(IPC!EI22:ET22)/AVERAGE(IPC!DW22:EH22)-1)</f>
        <v>5.7292824713328416E-2</v>
      </c>
      <c r="EU22" s="84">
        <f>IF(OR(IPC!EU22="",IPC!EI22=""),"",AVERAGE(IPC!EJ22:EU22)/AVERAGE(IPC!DX22:EI22)-1)</f>
        <v>5.8836151003015313E-2</v>
      </c>
      <c r="EV22" s="84">
        <f>IF(OR(IPC!EV22="",IPC!EJ22=""),"",AVERAGE(IPC!EK22:EV22)/AVERAGE(IPC!DY22:EJ22)-1)</f>
        <v>5.9454175704589218E-2</v>
      </c>
      <c r="EW22" s="84">
        <f>IF(OR(IPC!EW22="",IPC!EK22=""),"",AVERAGE(IPC!EL22:EW22)/AVERAGE(IPC!DZ22:EK22)-1)</f>
        <v>5.9763044864813208E-2</v>
      </c>
      <c r="EX22" s="84">
        <f>IF(OR(IPC!EX22="",IPC!EL22=""),"",AVERAGE(IPC!EM22:EX22)/AVERAGE(IPC!EA22:EL22)-1)</f>
        <v>6.079181515151344E-2</v>
      </c>
      <c r="EY22" s="84">
        <f>IF(OR(IPC!EY22="",IPC!EM22=""),"",AVERAGE(IPC!EN22:EY22)/AVERAGE(IPC!EB22:EM22)-1)</f>
        <v>6.0495360031792123E-2</v>
      </c>
      <c r="EZ22" s="84">
        <f>IF(OR(IPC!EZ22="",IPC!EN22=""),"",AVERAGE(IPC!EO22:EZ22)/AVERAGE(IPC!EC22:EN22)-1)</f>
        <v>5.9705217165970659E-2</v>
      </c>
      <c r="FA22" s="84">
        <f>IF(OR(IPC!FA22="",IPC!EO22=""),"",AVERAGE(IPC!EP22:FA22)/AVERAGE(IPC!ED22:EO22)-1)</f>
        <v>5.8384753857559701E-2</v>
      </c>
      <c r="FB22" s="84">
        <f>IF(OR(IPC!FB22="",IPC!EP22=""),"",AVERAGE(IPC!EQ22:FB22)/AVERAGE(IPC!EE22:EP22)-1)</f>
        <v>5.7365657937002323E-2</v>
      </c>
      <c r="FC22" s="84">
        <f>IF(OR(IPC!FC22="",IPC!EQ22=""),"",AVERAGE(IPC!ER22:FC22)/AVERAGE(IPC!EF22:EQ22)-1)</f>
        <v>5.5833333333333846E-2</v>
      </c>
      <c r="FD22" s="84">
        <f>IF(OR(IPC!FD22="",IPC!ER22=""),"",AVERAGE(IPC!ES22:FD22)/AVERAGE(IPC!EG22:ER22)-1)</f>
        <v>5.4491206331795272E-2</v>
      </c>
      <c r="FE22" s="84">
        <f>IF(OR(IPC!FE22="",IPC!ES22=""),"",AVERAGE(IPC!ET22:FE22)/AVERAGE(IPC!EH22:ES22)-1)</f>
        <v>5.2240387928299326E-2</v>
      </c>
      <c r="FF22" s="84">
        <f>IF(OR(IPC!FF22="",IPC!ET22=""),"",AVERAGE(IPC!EU22:FF22)/AVERAGE(IPC!EI22:ET22)-1)</f>
        <v>5.0291186239378005E-2</v>
      </c>
      <c r="FG22" s="84">
        <f>IF(OR(IPC!FG22="",IPC!EU22=""),"",AVERAGE(IPC!EV22:FG22)/AVERAGE(IPC!EJ22:EU22)-1)</f>
        <v>4.858936014497095E-2</v>
      </c>
      <c r="FH22" s="84">
        <f>IF(OR(IPC!FH22="",IPC!EV22=""),"",AVERAGE(IPC!EW22:FH22)/AVERAGE(IPC!EK22:EV22)-1)</f>
        <v>4.7006997621661162E-2</v>
      </c>
      <c r="FI22" s="84">
        <f>IF(OR(IPC!FI22="",IPC!EW22=""),"",AVERAGE(IPC!EX22:FI22)/AVERAGE(IPC!EL22:EW22)-1)</f>
        <v>4.5027047358565442E-2</v>
      </c>
      <c r="FJ22" s="84">
        <f>IF(OR(IPC!FJ22="",IPC!EX22=""),"",AVERAGE(IPC!EY22:FJ22)/AVERAGE(IPC!EM22:EX22)-1)</f>
        <v>4.2924831667653374E-2</v>
      </c>
      <c r="FK22" s="84">
        <f>IF(OR(IPC!FK22="",IPC!EY22=""),"",AVERAGE(IPC!EZ22:FK22)/AVERAGE(IPC!EN22:EY22)-1)</f>
        <v>4.1314485000709222E-2</v>
      </c>
      <c r="FL22" s="84">
        <f>IF(OR(IPC!FL22="",IPC!EZ22=""),"",AVERAGE(IPC!FA22:FL22)/AVERAGE(IPC!EO22:EZ22)-1)</f>
        <v>4.0488217075246968E-2</v>
      </c>
      <c r="FM22" s="84">
        <f>IF(OR(IPC!FM22="",IPC!FA22=""),"",AVERAGE(IPC!FB22:FM22)/AVERAGE(IPC!EP22:FA22)-1)</f>
        <v>4.0012717552740718E-2</v>
      </c>
      <c r="FN22" s="84">
        <f>IF(OR(IPC!FN22="",IPC!FB22=""),"",AVERAGE(IPC!FC22:FN22)/AVERAGE(IPC!EQ22:FB22)-1)</f>
        <v>3.9758434102588058E-2</v>
      </c>
      <c r="FO22" s="84">
        <f>IF(OR(IPC!FO22="",IPC!FC22=""),"",AVERAGE(IPC!FD22:FO22)/AVERAGE(IPC!ER22:FC22)-1)</f>
        <v>4.0015785319652775E-2</v>
      </c>
      <c r="FP22" s="84">
        <f>IF(OR(IPC!FP22="",IPC!FD22=""),"",AVERAGE(IPC!FE22:FP22)/AVERAGE(IPC!ES22:FD22)-1)</f>
        <v>4.0195075906552358E-2</v>
      </c>
      <c r="FQ22" s="84">
        <f>IF(OR(IPC!FQ22="",IPC!FE22=""),"",AVERAGE(IPC!FF22:FQ22)/AVERAGE(IPC!ET22:FE22)-1)</f>
        <v>3.9357114856918507E-2</v>
      </c>
      <c r="FR22" s="84">
        <f>IF(OR(IPC!FR22="",IPC!FF22=""),"",AVERAGE(IPC!FG22:FR22)/AVERAGE(IPC!EU22:FF22)-1)</f>
        <v>3.8209095171120477E-2</v>
      </c>
    </row>
    <row r="23" spans="1:174" s="74" customFormat="1" ht="10.199999999999999" x14ac:dyDescent="0.2"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7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75"/>
      <c r="EC23" s="75"/>
      <c r="ED23" s="75"/>
      <c r="EE23" s="75"/>
      <c r="EF23" s="75"/>
      <c r="EG23" s="75"/>
      <c r="EH23" s="75"/>
      <c r="EI23" s="75"/>
      <c r="EJ23" s="75"/>
      <c r="EK23" s="75"/>
      <c r="EL23" s="75"/>
      <c r="EM23" s="75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75"/>
      <c r="FF23" s="75"/>
      <c r="FG23" s="75"/>
      <c r="FH23" s="75"/>
      <c r="FI23" s="75"/>
      <c r="FJ23" s="75"/>
      <c r="FK23" s="75"/>
      <c r="FL23" s="75"/>
      <c r="FM23" s="75"/>
      <c r="FN23" s="75"/>
      <c r="FO23" s="75"/>
      <c r="FP23" s="75"/>
      <c r="FQ23" s="75"/>
      <c r="FR23" s="75"/>
    </row>
    <row r="24" spans="1:174" s="74" customFormat="1" ht="10.199999999999999" x14ac:dyDescent="0.2">
      <c r="B24" s="3" t="s">
        <v>104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>
        <f>IF(OR(IPC!AN24="",IPC!AB24=""),"",AVERAGE(IPC!AC24:AN24)/AVERAGE(IPC!Q24:AB24)-1)</f>
        <v>1.3549594967661838E-2</v>
      </c>
      <c r="AO24" s="75">
        <f>IF(OR(IPC!AO24="",IPC!AC24=""),"",AVERAGE(IPC!AD24:AO24)/AVERAGE(IPC!R24:AC24)-1)</f>
        <v>1.1100978264228623E-2</v>
      </c>
      <c r="AP24" s="75">
        <f>IF(OR(IPC!AP24="",IPC!AD24=""),"",AVERAGE(IPC!AE24:AP24)/AVERAGE(IPC!S24:AD24)-1)</f>
        <v>7.9356285770817436E-3</v>
      </c>
      <c r="AQ24" s="75">
        <f>IF(OR(IPC!AQ24="",IPC!AE24=""),"",AVERAGE(IPC!AF24:AQ24)/AVERAGE(IPC!T24:AE24)-1)</f>
        <v>4.3379774893352874E-3</v>
      </c>
      <c r="AR24" s="75">
        <f>IF(OR(IPC!AR24="",IPC!AF24=""),"",AVERAGE(IPC!AG24:AR24)/AVERAGE(IPC!U24:AF24)-1)</f>
        <v>9.3916883298472698E-4</v>
      </c>
      <c r="AS24" s="75">
        <f>IF(OR(IPC!AS24="",IPC!AG24=""),"",AVERAGE(IPC!AH24:AS24)/AVERAGE(IPC!V24:AG24)-1)</f>
        <v>-4.123194292303678E-4</v>
      </c>
      <c r="AT24" s="75">
        <f>IF(OR(IPC!AT24="",IPC!AH24=""),"",AVERAGE(IPC!AI24:AT24)/AVERAGE(IPC!W24:AH24)-1)</f>
        <v>3.0937682353666673E-3</v>
      </c>
      <c r="AU24" s="75">
        <f>IF(OR(IPC!AU24="",IPC!AI24=""),"",AVERAGE(IPC!AJ24:AU24)/AVERAGE(IPC!X24:AI24)-1)</f>
        <v>6.1785154277080867E-3</v>
      </c>
      <c r="AV24" s="75">
        <f>IF(OR(IPC!AV24="",IPC!AJ24=""),"",AVERAGE(IPC!AK24:AV24)/AVERAGE(IPC!Y24:AJ24)-1)</f>
        <v>8.9324045082588288E-3</v>
      </c>
      <c r="AW24" s="75">
        <f>IF(OR(IPC!AW24="",IPC!AK24=""),"",AVERAGE(IPC!AL24:AW24)/AVERAGE(IPC!Z24:AK24)-1)</f>
        <v>1.3815099675167142E-2</v>
      </c>
      <c r="AX24" s="75">
        <f>IF(OR(IPC!AX24="",IPC!AL24=""),"",AVERAGE(IPC!AM24:AX24)/AVERAGE(IPC!AA24:AL24)-1)</f>
        <v>1.8555756974396598E-2</v>
      </c>
      <c r="AY24" s="75">
        <f>IF(OR(IPC!AY24="",IPC!AM24=""),"",AVERAGE(IPC!AN24:AY24)/AVERAGE(IPC!AB24:AM24)-1)</f>
        <v>2.3406380642065683E-2</v>
      </c>
      <c r="AZ24" s="75">
        <f>IF(OR(IPC!AZ24="",IPC!AN24=""),"",AVERAGE(IPC!AO24:AZ24)/AVERAGE(IPC!AC24:AN24)-1)</f>
        <v>2.7824873898687041E-2</v>
      </c>
      <c r="BA24" s="75">
        <f>IF(OR(IPC!BA24="",IPC!AO24=""),"",AVERAGE(IPC!AP24:BA24)/AVERAGE(IPC!AD24:AO24)-1)</f>
        <v>3.228768291609474E-2</v>
      </c>
      <c r="BB24" s="75">
        <f>IF(OR(IPC!BB24="",IPC!AP24=""),"",AVERAGE(IPC!AQ24:BB24)/AVERAGE(IPC!AE24:AP24)-1)</f>
        <v>3.7054800016705247E-2</v>
      </c>
      <c r="BC24" s="75">
        <f>IF(OR(IPC!BC24="",IPC!AQ24=""),"",AVERAGE(IPC!AR24:BC24)/AVERAGE(IPC!AF24:AQ24)-1)</f>
        <v>4.2307352496861794E-2</v>
      </c>
      <c r="BD24" s="75">
        <f>IF(OR(IPC!BD24="",IPC!AR24=""),"",AVERAGE(IPC!AS24:BD24)/AVERAGE(IPC!AG24:AR24)-1)</f>
        <v>4.7179615908416128E-2</v>
      </c>
      <c r="BE24" s="75">
        <f>IF(OR(IPC!BE24="",IPC!AS24=""),"",AVERAGE(IPC!AT24:BE24)/AVERAGE(IPC!AH24:AS24)-1)</f>
        <v>5.2078365289758288E-2</v>
      </c>
      <c r="BF24" s="75">
        <f>IF(OR(IPC!BF24="",IPC!AT24=""),"",AVERAGE(IPC!AU24:BF24)/AVERAGE(IPC!AI24:AT24)-1)</f>
        <v>4.7564622708391013E-2</v>
      </c>
      <c r="BG24" s="75">
        <f>IF(OR(IPC!BG24="",IPC!AU24=""),"",AVERAGE(IPC!AV24:BG24)/AVERAGE(IPC!AJ24:AU24)-1)</f>
        <v>4.3386278951284662E-2</v>
      </c>
      <c r="BH24" s="75">
        <f>IF(OR(IPC!BH24="",IPC!AV24=""),"",AVERAGE(IPC!AW24:BH24)/AVERAGE(IPC!AK24:AV24)-1)</f>
        <v>3.9482374057723923E-2</v>
      </c>
      <c r="BI24" s="75">
        <f>IF(OR(IPC!BI24="",IPC!AW24=""),"",AVERAGE(IPC!AX24:BI24)/AVERAGE(IPC!AL24:AW24)-1)</f>
        <v>3.4985754748988018E-2</v>
      </c>
      <c r="BJ24" s="75">
        <f>IF(OR(IPC!BJ24="",IPC!AX24=""),"",AVERAGE(IPC!AY24:BJ24)/AVERAGE(IPC!AM24:AX24)-1)</f>
        <v>3.0492150238068172E-2</v>
      </c>
      <c r="BK24" s="75">
        <f>IF(OR(IPC!BK24="",IPC!AY24=""),"",AVERAGE(IPC!AZ24:BK24)/AVERAGE(IPC!AN24:AY24)-1)</f>
        <v>2.6140466111544525E-2</v>
      </c>
      <c r="BL24" s="75">
        <f>IF(OR(IPC!BL24="",IPC!AZ24=""),"",AVERAGE(IPC!BA24:BL24)/AVERAGE(IPC!AO24:AZ24)-1)</f>
        <v>2.1093903455653207E-2</v>
      </c>
      <c r="BM24" s="75">
        <f>IF(OR(IPC!BM24="",IPC!BA24=""),"",AVERAGE(IPC!BB24:BM24)/AVERAGE(IPC!AP24:BA24)-1)</f>
        <v>1.6102568065341494E-2</v>
      </c>
      <c r="BN24" s="75">
        <f>IF(OR(IPC!BN24="",IPC!BB24=""),"",AVERAGE(IPC!BC24:BN24)/AVERAGE(IPC!AQ24:BB24)-1)</f>
        <v>1.1020207687408412E-2</v>
      </c>
      <c r="BO24" s="75">
        <f>IF(OR(IPC!BO24="",IPC!BC24=""),"",AVERAGE(IPC!BD24:BO24)/AVERAGE(IPC!AR24:BC24)-1)</f>
        <v>5.7206184490585787E-3</v>
      </c>
      <c r="BP24" s="75">
        <f>IF(OR(IPC!BP24="",IPC!BD24=""),"",AVERAGE(IPC!BE24:BP24)/AVERAGE(IPC!AS24:BD24)-1)</f>
        <v>8.6446716145260893E-4</v>
      </c>
      <c r="BQ24" s="75">
        <f>IF(OR(IPC!BQ24="",IPC!BE24=""),"",AVERAGE(IPC!BF24:BQ24)/AVERAGE(IPC!AT24:BE24)-1)</f>
        <v>-4.1612126475497613E-3</v>
      </c>
      <c r="BR24" s="75">
        <f>IF(OR(IPC!BR24="",IPC!BF24=""),"",AVERAGE(IPC!BG24:BR24)/AVERAGE(IPC!AU24:BF24)-1)</f>
        <v>-4.749467234553606E-3</v>
      </c>
      <c r="BS24" s="75">
        <f>IF(OR(IPC!BS24="",IPC!BG24=""),"",AVERAGE(IPC!BH24:BS24)/AVERAGE(IPC!AV24:BG24)-1)</f>
        <v>-5.6649710862551883E-3</v>
      </c>
      <c r="BT24" s="75">
        <f>IF(OR(IPC!BT24="",IPC!BH24=""),"",AVERAGE(IPC!BI24:BT24)/AVERAGE(IPC!AW24:BH24)-1)</f>
        <v>-6.4079736288140676E-3</v>
      </c>
      <c r="BU24" s="75">
        <f>IF(OR(IPC!BU24="",IPC!BI24=""),"",AVERAGE(IPC!BJ24:BU24)/AVERAGE(IPC!AX24:BI24)-1)</f>
        <v>-7.2483373553678954E-3</v>
      </c>
      <c r="BV24" s="75">
        <f>IF(OR(IPC!BV24="",IPC!BJ24=""),"",AVERAGE(IPC!BK24:BV24)/AVERAGE(IPC!AY24:BJ24)-1)</f>
        <v>-8.3692669801881392E-3</v>
      </c>
      <c r="BW24" s="75">
        <f>IF(OR(IPC!BW24="",IPC!BK24=""),"",AVERAGE(IPC!BL24:BW24)/AVERAGE(IPC!AZ24:BK24)-1)</f>
        <v>-9.0725575409712489E-3</v>
      </c>
      <c r="BX24" s="75">
        <f>IF(OR(IPC!BX24="",IPC!BL24=""),"",AVERAGE(IPC!BM24:BX24)/AVERAGE(IPC!BA24:BL24)-1)</f>
        <v>-8.1834679289757295E-3</v>
      </c>
      <c r="BY24" s="75">
        <f>IF(OR(IPC!BY24="",IPC!BM24=""),"",AVERAGE(IPC!BN24:BY24)/AVERAGE(IPC!BB24:BM24)-1)</f>
        <v>-7.5373083936800533E-3</v>
      </c>
      <c r="BZ24" s="75">
        <f>IF(OR(IPC!BZ24="",IPC!BN24=""),"",AVERAGE(IPC!BO24:BZ24)/AVERAGE(IPC!BC24:BN24)-1)</f>
        <v>-6.7323436416097948E-3</v>
      </c>
      <c r="CA24" s="75">
        <f>IF(OR(IPC!CA24="",IPC!BO24=""),"",AVERAGE(IPC!BP24:CA24)/AVERAGE(IPC!BD24:BO24)-1)</f>
        <v>-5.8353503371297855E-3</v>
      </c>
      <c r="CB24" s="75">
        <f>IF(OR(IPC!CB24="",IPC!BP24=""),"",AVERAGE(IPC!BQ24:CB24)/AVERAGE(IPC!BE24:BP24)-1)</f>
        <v>-5.0508170849280498E-3</v>
      </c>
      <c r="CC24" s="75">
        <f>IF(OR(IPC!CC24="",IPC!BQ24=""),"",AVERAGE(IPC!BR24:CC24)/AVERAGE(IPC!BF24:BQ24)-1)</f>
        <v>-3.9547217890969488E-3</v>
      </c>
      <c r="CD24" s="75">
        <f>IF(OR(IPC!CD24="",IPC!BR24=""),"",AVERAGE(IPC!BS24:CD24)/AVERAGE(IPC!BG24:BR24)-1)</f>
        <v>-3.1118822627036469E-3</v>
      </c>
      <c r="CE24" s="75">
        <f>IF(OR(IPC!CE24="",IPC!BS24=""),"",AVERAGE(IPC!BT24:CE24)/AVERAGE(IPC!BH24:BS24)-1)</f>
        <v>-2.0256240115206214E-3</v>
      </c>
      <c r="CF24" s="75">
        <f>IF(OR(IPC!CF24="",IPC!BT24=""),"",AVERAGE(IPC!BU24:CF24)/AVERAGE(IPC!BI24:BT24)-1)</f>
        <v>-1.2118343631711825E-3</v>
      </c>
      <c r="CG24" s="75">
        <f>IF(OR(IPC!CG24="",IPC!BU24=""),"",AVERAGE(IPC!BV24:CG24)/AVERAGE(IPC!BJ24:BU24)-1)</f>
        <v>-3.2689157085541432E-4</v>
      </c>
      <c r="CH24" s="75">
        <f>IF(OR(IPC!CH24="",IPC!BV24=""),"",AVERAGE(IPC!BW24:CH24)/AVERAGE(IPC!BK24:BV24)-1)</f>
        <v>8.0264694412512938E-4</v>
      </c>
      <c r="CI24" s="75">
        <f>IF(OR(IPC!CI24="",IPC!BW24=""),"",AVERAGE(IPC!BX24:CI24)/AVERAGE(IPC!BL24:BW24)-1)</f>
        <v>1.3557741101961618E-3</v>
      </c>
      <c r="CJ24" s="75">
        <f>IF(OR(IPC!CJ24="",IPC!BX24=""),"",AVERAGE(IPC!BY24:CJ24)/AVERAGE(IPC!BM24:BX24)-1)</f>
        <v>1.1930370751966901E-3</v>
      </c>
      <c r="CK24" s="75">
        <f>IF(OR(IPC!CK24="",IPC!BY24=""),"",AVERAGE(IPC!BZ24:CK24)/AVERAGE(IPC!BN24:BY24)-1)</f>
        <v>1.1308444495183867E-3</v>
      </c>
      <c r="CL24" s="75">
        <f>IF(OR(IPC!CL24="",IPC!BZ24=""),"",AVERAGE(IPC!CA24:CL24)/AVERAGE(IPC!BO24:BZ24)-1)</f>
        <v>1.1676207387041337E-3</v>
      </c>
      <c r="CM24" s="75">
        <f>IF(OR(IPC!CM24="",IPC!CA24=""),"",AVERAGE(IPC!CB24:CM24)/AVERAGE(IPC!BP24:CA24)-1)</f>
        <v>1.303467666776692E-3</v>
      </c>
      <c r="CN24" s="75">
        <f>IF(OR(IPC!CN24="",IPC!CB24=""),"",AVERAGE(IPC!CC24:CN24)/AVERAGE(IPC!BQ24:CB24)-1)</f>
        <v>1.4914848389564472E-3</v>
      </c>
      <c r="CO24" s="75">
        <f>IF(OR(IPC!CO24="",IPC!CC24=""),"",AVERAGE(IPC!CD24:CO24)/AVERAGE(IPC!BR24:CC24)-1)</f>
        <v>1.4664626572760131E-3</v>
      </c>
      <c r="CP24" s="75">
        <f>IF(OR(IPC!CP24="",IPC!CD24=""),"",AVERAGE(IPC!CE24:CP24)/AVERAGE(IPC!BS24:CD24)-1)</f>
        <v>1.495967269211862E-3</v>
      </c>
      <c r="CQ24" s="75">
        <f>IF(OR(IPC!CQ24="",IPC!CE24=""),"",AVERAGE(IPC!CF24:CQ24)/AVERAGE(IPC!BT24:CE24)-1)</f>
        <v>1.4549512987525048E-3</v>
      </c>
      <c r="CR24" s="75">
        <f>IF(OR(IPC!CR24="",IPC!CF24=""),"",AVERAGE(IPC!CG24:CR24)/AVERAGE(IPC!BU24:CF24)-1)</f>
        <v>1.5407071916970771E-3</v>
      </c>
      <c r="CS24" s="75">
        <f>IF(OR(IPC!CS24="",IPC!CG24=""),"",AVERAGE(IPC!CH24:CS24)/AVERAGE(IPC!BV24:CG24)-1)</f>
        <v>1.7433756589406713E-3</v>
      </c>
      <c r="CT24" s="75">
        <f>IF(OR(IPC!CT24="",IPC!CH24=""),"",AVERAGE(IPC!CI24:CT24)/AVERAGE(IPC!BW24:CH24)-1)</f>
        <v>1.8884438151323124E-3</v>
      </c>
      <c r="CU24" s="75">
        <f>IF(OR(IPC!CU24="",IPC!CI24=""),"",AVERAGE(IPC!CJ24:CU24)/AVERAGE(IPC!BX24:CI24)-1)</f>
        <v>2.2284151101721328E-3</v>
      </c>
      <c r="CV24" s="75">
        <f>IF(OR(IPC!CV24="",IPC!CJ24=""),"",AVERAGE(IPC!CK24:CV24)/AVERAGE(IPC!BY24:CJ24)-1)</f>
        <v>2.5130592587268019E-3</v>
      </c>
      <c r="CW24" s="75">
        <f>IF(OR(IPC!CW24="",IPC!CK24=""),"",AVERAGE(IPC!CL24:CW24)/AVERAGE(IPC!BZ24:CK24)-1)</f>
        <v>1.4882270076279625E-3</v>
      </c>
      <c r="CX24" s="75">
        <f>IF(OR(IPC!CX24="",IPC!CL24=""),"",AVERAGE(IPC!CM24:CX24)/AVERAGE(IPC!CA24:CL24)-1)</f>
        <v>3.4030983784538726E-4</v>
      </c>
      <c r="CY24" s="75">
        <f>IF(OR(IPC!CY24="",IPC!CM24=""),"",AVERAGE(IPC!CN24:CY24)/AVERAGE(IPC!CB24:CM24)-1)</f>
        <v>-2.2723698478702703E-3</v>
      </c>
      <c r="CZ24" s="75">
        <f>IF(OR(IPC!CZ24="",IPC!CN24=""),"",AVERAGE(IPC!CO24:CZ24)/AVERAGE(IPC!CC24:CN24)-1)</f>
        <v>-5.0588879635622419E-3</v>
      </c>
      <c r="DA24" s="75">
        <f>IF(OR(IPC!DA24="",IPC!CO24=""),"",AVERAGE(IPC!CP24:DA24)/AVERAGE(IPC!CD24:CO24)-1)</f>
        <v>-7.756691981531505E-3</v>
      </c>
      <c r="DB24" s="75">
        <f>IF(OR(IPC!DB24="",IPC!CP24=""),"",AVERAGE(IPC!CQ24:DB24)/AVERAGE(IPC!CE24:CP24)-1)</f>
        <v>-1.0462500433957689E-2</v>
      </c>
      <c r="DC24" s="75">
        <f>IF(OR(IPC!DC24="",IPC!CQ24=""),"",AVERAGE(IPC!CR24:DC24)/AVERAGE(IPC!CF24:CQ24)-1)</f>
        <v>-1.3186416008772461E-2</v>
      </c>
      <c r="DD24" s="75">
        <f>IF(OR(IPC!DD24="",IPC!CR24=""),"",AVERAGE(IPC!CS24:DD24)/AVERAGE(IPC!CG24:CR24)-1)</f>
        <v>-1.5895025314638156E-2</v>
      </c>
      <c r="DE24" s="75">
        <f>IF(OR(IPC!DE24="",IPC!CS24=""),"",AVERAGE(IPC!CT24:DE24)/AVERAGE(IPC!CH24:CS24)-1)</f>
        <v>-1.8766346965008784E-2</v>
      </c>
      <c r="DF24" s="75">
        <f>IF(OR(IPC!DF24="",IPC!CT24=""),"",AVERAGE(IPC!CU24:DF24)/AVERAGE(IPC!CI24:CT24)-1)</f>
        <v>-2.1634027538016132E-2</v>
      </c>
      <c r="DG24" s="75">
        <f>IF(OR(IPC!DG24="",IPC!CU24=""),"",AVERAGE(IPC!CV24:DG24)/AVERAGE(IPC!CJ24:CU24)-1)</f>
        <v>-2.4467345658923279E-2</v>
      </c>
      <c r="DH24" s="75">
        <f>IF(OR(IPC!DH24="",IPC!CV24=""),"",AVERAGE(IPC!CW24:DH24)/AVERAGE(IPC!CK24:CV24)-1)</f>
        <v>-2.7313654906839013E-2</v>
      </c>
      <c r="DI24" s="75">
        <f>IF(OR(IPC!DI24="",IPC!CW24=""),"",AVERAGE(IPC!CX24:DI24)/AVERAGE(IPC!CL24:CW24)-1)</f>
        <v>-2.749099845530345E-2</v>
      </c>
      <c r="DJ24" s="75">
        <f>IF(OR(IPC!DJ24="",IPC!CX24=""),"",AVERAGE(IPC!CY24:DJ24)/AVERAGE(IPC!CM24:CX24)-1)</f>
        <v>-2.764586698058813E-2</v>
      </c>
      <c r="DK24" s="75">
        <f>IF(OR(IPC!DK24="",IPC!CY24=""),"",AVERAGE(IPC!CZ24:DK24)/AVERAGE(IPC!CN24:CY24)-1)</f>
        <v>-2.5111327705681141E-2</v>
      </c>
      <c r="DL24" s="75">
        <f>IF(OR(IPC!DL24="",IPC!CZ24=""),"",AVERAGE(IPC!DA24:DL24)/AVERAGE(IPC!CO24:CZ24)-1)</f>
        <v>-2.2243116714203759E-2</v>
      </c>
      <c r="DM24" s="75">
        <f>IF(OR(IPC!DM24="",IPC!DA24=""),"",AVERAGE(IPC!DB24:DM24)/AVERAGE(IPC!CP24:DA24)-1)</f>
        <v>-1.9303326632304385E-2</v>
      </c>
      <c r="DN24" s="75">
        <f>IF(OR(IPC!DN24="",IPC!DB24=""),"",AVERAGE(IPC!DC24:DN24)/AVERAGE(IPC!CQ24:DB24)-1)</f>
        <v>-1.6276364345463645E-2</v>
      </c>
      <c r="DO24" s="75">
        <f>IF(OR(IPC!DO24="",IPC!DC24=""),"",AVERAGE(IPC!DD24:DO24)/AVERAGE(IPC!CR24:DC24)-1)</f>
        <v>-1.3216556865691342E-2</v>
      </c>
      <c r="DP24" s="75">
        <f>IF(OR(IPC!DP24="",IPC!DD24=""),"",AVERAGE(IPC!DE24:DP24)/AVERAGE(IPC!CS24:DD24)-1)</f>
        <v>-1.0163993728090182E-2</v>
      </c>
      <c r="DQ24" s="75">
        <f>IF(OR(IPC!DQ24="",IPC!DE24=""),"",AVERAGE(IPC!DF24:DQ24)/AVERAGE(IPC!CT24:DE24)-1)</f>
        <v>-6.9850678723635262E-3</v>
      </c>
      <c r="DR24" s="75">
        <f>IF(OR(IPC!DR24="",IPC!DF24=""),"",AVERAGE(IPC!DG24:DR24)/AVERAGE(IPC!CU24:DF24)-1)</f>
        <v>-3.8050819590998985E-3</v>
      </c>
      <c r="DS24" s="75">
        <f>IF(OR(IPC!DS24="",IPC!DG24=""),"",AVERAGE(IPC!DH24:DS24)/AVERAGE(IPC!CV24:DG24)-1)</f>
        <v>-6.8342748765093386E-4</v>
      </c>
      <c r="DT24" s="75">
        <f>IF(OR(IPC!DT24="",IPC!DH24=""),"",AVERAGE(IPC!DI24:DT24)/AVERAGE(IPC!CW24:DH24)-1)</f>
        <v>2.4799452089701024E-3</v>
      </c>
      <c r="DU24" s="75">
        <f>IF(OR(IPC!DU24="",IPC!DI24=""),"",AVERAGE(IPC!DJ24:DU24)/AVERAGE(IPC!CX24:DI24)-1)</f>
        <v>4.196770933684979E-3</v>
      </c>
      <c r="DV24" s="75">
        <f>IF(OR(IPC!DV24="",IPC!DJ24=""),"",AVERAGE(IPC!DK24:DV24)/AVERAGE(IPC!CY24:DJ24)-1)</f>
        <v>5.9078020668126285E-3</v>
      </c>
      <c r="DW24" s="75">
        <f>IF(OR(IPC!DW24="",IPC!DK24=""),"",AVERAGE(IPC!DL24:DW24)/AVERAGE(IPC!CZ24:DK24)-1)</f>
        <v>6.0143586778622637E-3</v>
      </c>
      <c r="DX24" s="75">
        <f>IF(OR(IPC!DX24="",IPC!DL24=""),"",AVERAGE(IPC!DM24:DX24)/AVERAGE(IPC!DA24:DL24)-1)</f>
        <v>5.6779354080902511E-3</v>
      </c>
      <c r="DY24" s="75">
        <f>IF(OR(IPC!DY24="",IPC!DM24=""),"",AVERAGE(IPC!DN24:DY24)/AVERAGE(IPC!DB24:DM24)-1)</f>
        <v>5.2626548815755125E-3</v>
      </c>
      <c r="DZ24" s="75">
        <f>IF(OR(IPC!DZ24="",IPC!DN24=""),"",AVERAGE(IPC!DO24:DZ24)/AVERAGE(IPC!DC24:DN24)-1)</f>
        <v>4.7354737688471982E-3</v>
      </c>
      <c r="EA24" s="75">
        <f>IF(OR(IPC!EA24="",IPC!DO24=""),"",AVERAGE(IPC!DP24:EA24)/AVERAGE(IPC!DD24:DO24)-1)</f>
        <v>4.2039088150260806E-3</v>
      </c>
      <c r="EB24" s="75">
        <f>IF(OR(IPC!EB24="",IPC!DP24=""),"",AVERAGE(IPC!DQ24:EB24)/AVERAGE(IPC!DE24:DP24)-1)</f>
        <v>3.6857515146628828E-3</v>
      </c>
      <c r="EC24" s="75">
        <f>IF(OR(IPC!EC24="",IPC!DQ24=""),"",AVERAGE(IPC!DR24:EC24)/AVERAGE(IPC!DF24:DQ24)-1)</f>
        <v>3.0902614332060097E-3</v>
      </c>
      <c r="ED24" s="75">
        <f>IF(OR(IPC!ED24="",IPC!DR24=""),"",AVERAGE(IPC!DS24:ED24)/AVERAGE(IPC!DG24:DR24)-1)</f>
        <v>2.5711119002922445E-3</v>
      </c>
      <c r="EE24" s="75">
        <f>IF(OR(IPC!EE24="",IPC!DS24=""),"",AVERAGE(IPC!DT24:EE24)/AVERAGE(IPC!DH24:DS24)-1)</f>
        <v>2.1325615094103245E-3</v>
      </c>
      <c r="EF24" s="75">
        <f>IF(OR(IPC!EF24="",IPC!DT24=""),"",AVERAGE(IPC!DU24:EF24)/AVERAGE(IPC!DI24:DT24)-1)</f>
        <v>1.7375701977393465E-3</v>
      </c>
      <c r="EG24" s="75">
        <f>IF(OR(IPC!EG24="",IPC!DU24=""),"",AVERAGE(IPC!DV24:EG24)/AVERAGE(IPC!DJ24:DU24)-1)</f>
        <v>1.3703730959435667E-3</v>
      </c>
      <c r="EH24" s="75">
        <f>IF(OR(IPC!EH24="",IPC!DV24=""),"",AVERAGE(IPC!DW24:EH24)/AVERAGE(IPC!DK24:DV24)-1)</f>
        <v>1.0710963560316422E-3</v>
      </c>
      <c r="EI24" s="75">
        <f>IF(OR(IPC!EI24="",IPC!DW24=""),"",AVERAGE(IPC!DX24:EI24)/AVERAGE(IPC!DL24:DW24)-1)</f>
        <v>9.9117818786487177E-4</v>
      </c>
      <c r="EJ24" s="75">
        <f>IF(OR(IPC!EJ24="",IPC!DX24=""),"",AVERAGE(IPC!DY24:EJ24)/AVERAGE(IPC!DM24:DX24)-1)</f>
        <v>1.1837288596896478E-3</v>
      </c>
      <c r="EK24" s="75">
        <f>IF(OR(IPC!EK24="",IPC!DY24=""),"",AVERAGE(IPC!DZ24:EK24)/AVERAGE(IPC!DN24:DY24)-1)</f>
        <v>1.4261829347810284E-3</v>
      </c>
      <c r="EL24" s="75">
        <f>IF(OR(IPC!EL24="",IPC!DZ24=""),"",AVERAGE(IPC!EA24:EL24)/AVERAGE(IPC!DO24:DZ24)-1)</f>
        <v>1.6822650809109607E-3</v>
      </c>
      <c r="EM24" s="75">
        <f>IF(OR(IPC!EM24="",IPC!EA24=""),"",AVERAGE(IPC!EB24:EM24)/AVERAGE(IPC!DP24:EA24)-1)</f>
        <v>1.942808014859132E-3</v>
      </c>
      <c r="EN24" s="75">
        <f>IF(OR(IPC!EN24="",IPC!EB24=""),"",AVERAGE(IPC!EC24:EN24)/AVERAGE(IPC!DQ24:EB24)-1)</f>
        <v>2.2002624827730521E-3</v>
      </c>
      <c r="EO24" s="75">
        <f>IF(OR(IPC!EO24="",IPC!EC24=""),"",AVERAGE(IPC!ED24:EO24)/AVERAGE(IPC!DR24:EC24)-1)</f>
        <v>3.3925788431383719E-3</v>
      </c>
      <c r="EP24" s="75">
        <f>IF(OR(IPC!EP24="",IPC!ED24=""),"",AVERAGE(IPC!EE24:EP24)/AVERAGE(IPC!DS24:ED24)-1)</f>
        <v>4.5957373888638742E-3</v>
      </c>
      <c r="EQ24" s="75">
        <f>IF(OR(IPC!EQ24="",IPC!EE24=""),"",AVERAGE(IPC!EF24:EQ24)/AVERAGE(IPC!DT24:EE24)-1)</f>
        <v>5.7899399959426834E-3</v>
      </c>
      <c r="ER24" s="75">
        <f>IF(OR(IPC!ER24="",IPC!EF24=""),"",AVERAGE(IPC!EG24:ER24)/AVERAGE(IPC!DU24:EF24)-1)</f>
        <v>7.7161997490140521E-3</v>
      </c>
      <c r="ES24" s="75">
        <f>IF(OR(IPC!ES24="",IPC!EG24=""),"",AVERAGE(IPC!EH24:ES24)/AVERAGE(IPC!DV24:EG24)-1)</f>
        <v>1.366501861244962E-2</v>
      </c>
      <c r="ET24" s="75">
        <f>IF(OR(IPC!ET24="",IPC!EH24=""),"",AVERAGE(IPC!EI24:ET24)/AVERAGE(IPC!DW24:EH24)-1)</f>
        <v>1.9811015148936795E-2</v>
      </c>
      <c r="EU24" s="75">
        <f>IF(OR(IPC!EU24="",IPC!EI24=""),"",AVERAGE(IPC!EJ24:EU24)/AVERAGE(IPC!DX24:EI24)-1)</f>
        <v>2.6132335765059578E-2</v>
      </c>
      <c r="EV24" s="75">
        <f>IF(OR(IPC!EV24="",IPC!EJ24=""),"",AVERAGE(IPC!EK24:EV24)/AVERAGE(IPC!DY24:EJ24)-1)</f>
        <v>3.2663460453758564E-2</v>
      </c>
      <c r="EW24" s="75">
        <f>IF(OR(IPC!EW24="",IPC!EK24=""),"",AVERAGE(IPC!EL24:EW24)/AVERAGE(IPC!DZ24:EK24)-1)</f>
        <v>4.0578854434617284E-2</v>
      </c>
      <c r="EX24" s="75">
        <f>IF(OR(IPC!EX24="",IPC!EL24=""),"",AVERAGE(IPC!EM24:EX24)/AVERAGE(IPC!EA24:EL24)-1)</f>
        <v>4.9119510991417537E-2</v>
      </c>
      <c r="EY24" s="75">
        <f>IF(OR(IPC!EY24="",IPC!EM24=""),"",AVERAGE(IPC!EN24:EY24)/AVERAGE(IPC!EB24:EM24)-1)</f>
        <v>5.7118382728112982E-2</v>
      </c>
      <c r="EZ24" s="75">
        <f>IF(OR(IPC!EZ24="",IPC!EN24=""),"",AVERAGE(IPC!EO24:EZ24)/AVERAGE(IPC!EC24:EN24)-1)</f>
        <v>6.5034748093215411E-2</v>
      </c>
      <c r="FA24" s="75">
        <f>IF(OR(IPC!FA24="",IPC!EO24=""),"",AVERAGE(IPC!EP24:FA24)/AVERAGE(IPC!ED24:EO24)-1)</f>
        <v>7.1175122620483311E-2</v>
      </c>
      <c r="FB24" s="75">
        <f>IF(OR(IPC!FB24="",IPC!EP24=""),"",AVERAGE(IPC!EQ24:FB24)/AVERAGE(IPC!EE24:EP24)-1)</f>
        <v>7.7853163627745969E-2</v>
      </c>
      <c r="FC24" s="75">
        <f>IF(OR(IPC!FC24="",IPC!EQ24=""),"",AVERAGE(IPC!ER24:FC24)/AVERAGE(IPC!EF24:EQ24)-1)</f>
        <v>8.4249999999999714E-2</v>
      </c>
      <c r="FD24" s="75">
        <f>IF(OR(IPC!FD24="",IPC!ER24=""),"",AVERAGE(IPC!ES24:FD24)/AVERAGE(IPC!EG24:ER24)-1)</f>
        <v>8.8531669195956342E-2</v>
      </c>
      <c r="FE24" s="75">
        <f>IF(OR(IPC!FE24="",IPC!ES24=""),"",AVERAGE(IPC!ET24:FE24)/AVERAGE(IPC!EH24:ES24)-1)</f>
        <v>8.8625406720235889E-2</v>
      </c>
      <c r="FF24" s="75">
        <f>IF(OR(IPC!FF24="",IPC!ET24=""),"",AVERAGE(IPC!EU24:FF24)/AVERAGE(IPC!EI24:ET24)-1)</f>
        <v>8.8019867527153295E-2</v>
      </c>
      <c r="FG24" s="75">
        <f>IF(OR(IPC!FG24="",IPC!EU24=""),"",AVERAGE(IPC!EV24:FG24)/AVERAGE(IPC!EJ24:EU24)-1)</f>
        <v>8.801078353410241E-2</v>
      </c>
      <c r="FH24" s="75">
        <f>IF(OR(IPC!FH24="",IPC!EV24=""),"",AVERAGE(IPC!EW24:FH24)/AVERAGE(IPC!EK24:EV24)-1)</f>
        <v>8.8597770566161138E-2</v>
      </c>
      <c r="FI24" s="75">
        <f>IF(OR(IPC!FI24="",IPC!EW24=""),"",AVERAGE(IPC!EX24:FI24)/AVERAGE(IPC!EL24:EW24)-1)</f>
        <v>8.6499000459706821E-2</v>
      </c>
      <c r="FJ24" s="75">
        <f>IF(OR(IPC!FJ24="",IPC!EX24=""),"",AVERAGE(IPC!EY24:FJ24)/AVERAGE(IPC!EM24:EX24)-1)</f>
        <v>8.3180614778983752E-2</v>
      </c>
      <c r="FK24" s="75">
        <f>IF(OR(IPC!FK24="",IPC!EY24=""),"",AVERAGE(IPC!EZ24:FK24)/AVERAGE(IPC!EN24:EY24)-1)</f>
        <v>8.0534398008658803E-2</v>
      </c>
      <c r="FL24" s="75">
        <f>IF(OR(IPC!FL24="",IPC!EZ24=""),"",AVERAGE(IPC!FA24:FL24)/AVERAGE(IPC!EO24:EZ24)-1)</f>
        <v>7.8953649029918749E-2</v>
      </c>
      <c r="FM24" s="75">
        <f>IF(OR(IPC!FM24="",IPC!FA24=""),"",AVERAGE(IPC!FB24:FM24)/AVERAGE(IPC!EP24:FA24)-1)</f>
        <v>7.8682099947660289E-2</v>
      </c>
      <c r="FN24" s="75">
        <f>IF(OR(IPC!FN24="",IPC!FB24=""),"",AVERAGE(IPC!FC24:FN24)/AVERAGE(IPC!EQ24:FB24)-1)</f>
        <v>7.7415182451719078E-2</v>
      </c>
      <c r="FO24" s="75">
        <f>IF(OR(IPC!FO24="",IPC!FC24=""),"",AVERAGE(IPC!FD24:FO24)/AVERAGE(IPC!ER24:FC24)-1)</f>
        <v>7.7088617323803232E-2</v>
      </c>
      <c r="FP24" s="75">
        <f>IF(OR(IPC!FP24="",IPC!FD24=""),"",AVERAGE(IPC!FE24:FP24)/AVERAGE(IPC!ES24:FD24)-1)</f>
        <v>7.8310031324012597E-2</v>
      </c>
      <c r="FQ24" s="75">
        <f>IF(OR(IPC!FQ24="",IPC!FE24=""),"",AVERAGE(IPC!FF24:FQ24)/AVERAGE(IPC!ET24:FE24)-1)</f>
        <v>7.5404358721239184E-2</v>
      </c>
      <c r="FR24" s="75">
        <f>IF(OR(IPC!FR24="",IPC!FF24=""),"",AVERAGE(IPC!FG24:FR24)/AVERAGE(IPC!EU24:FF24)-1)</f>
        <v>7.3316218665055777E-2</v>
      </c>
    </row>
    <row r="25" spans="1:174" s="74" customFormat="1" ht="10.199999999999999" x14ac:dyDescent="0.2">
      <c r="B25" s="83" t="s">
        <v>105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>
        <f>IF(OR(IPC!AN25="",IPC!AB25=""),"",AVERAGE(IPC!AC25:AN25)/AVERAGE(IPC!Q25:AB25)-1)</f>
        <v>4.2709798376592278E-3</v>
      </c>
      <c r="AO25" s="75">
        <f>IF(OR(IPC!AO25="",IPC!AC25=""),"",AVERAGE(IPC!AD25:AO25)/AVERAGE(IPC!R25:AC25)-1)</f>
        <v>4.7722666492535648E-3</v>
      </c>
      <c r="AP25" s="75">
        <f>IF(OR(IPC!AP25="",IPC!AD25=""),"",AVERAGE(IPC!AE25:AP25)/AVERAGE(IPC!S25:AD25)-1)</f>
        <v>4.2265542813599843E-3</v>
      </c>
      <c r="AQ25" s="75">
        <f>IF(OR(IPC!AQ25="",IPC!AE25=""),"",AVERAGE(IPC!AF25:AQ25)/AVERAGE(IPC!T25:AE25)-1)</f>
        <v>3.2245354320021846E-3</v>
      </c>
      <c r="AR25" s="75">
        <f>IF(OR(IPC!AR25="",IPC!AF25=""),"",AVERAGE(IPC!AG25:AR25)/AVERAGE(IPC!U25:AF25)-1)</f>
        <v>2.501617580602522E-3</v>
      </c>
      <c r="AS25" s="75">
        <f>IF(OR(IPC!AS25="",IPC!AG25=""),"",AVERAGE(IPC!AH25:AS25)/AVERAGE(IPC!V25:AG25)-1)</f>
        <v>2.2012068588073141E-3</v>
      </c>
      <c r="AT25" s="75">
        <f>IF(OR(IPC!AT25="",IPC!AH25=""),"",AVERAGE(IPC!AI25:AT25)/AVERAGE(IPC!W25:AH25)-1)</f>
        <v>8.7150808803915236E-3</v>
      </c>
      <c r="AU25" s="75">
        <f>IF(OR(IPC!AU25="",IPC!AI25=""),"",AVERAGE(IPC!AJ25:AU25)/AVERAGE(IPC!X25:AI25)-1)</f>
        <v>1.5120611467339007E-2</v>
      </c>
      <c r="AV25" s="75">
        <f>IF(OR(IPC!AV25="",IPC!AJ25=""),"",AVERAGE(IPC!AK25:AV25)/AVERAGE(IPC!Y25:AJ25)-1)</f>
        <v>2.096961876857284E-2</v>
      </c>
      <c r="AW25" s="75">
        <f>IF(OR(IPC!AW25="",IPC!AK25=""),"",AVERAGE(IPC!AL25:AW25)/AVERAGE(IPC!Z25:AK25)-1)</f>
        <v>2.8091165319079847E-2</v>
      </c>
      <c r="AX25" s="75">
        <f>IF(OR(IPC!AX25="",IPC!AL25=""),"",AVERAGE(IPC!AM25:AX25)/AVERAGE(IPC!AA25:AL25)-1)</f>
        <v>3.4997667823877032E-2</v>
      </c>
      <c r="AY25" s="75">
        <f>IF(OR(IPC!AY25="",IPC!AM25=""),"",AVERAGE(IPC!AN25:AY25)/AVERAGE(IPC!AB25:AM25)-1)</f>
        <v>4.2101784093037997E-2</v>
      </c>
      <c r="AZ25" s="75">
        <f>IF(OR(IPC!AZ25="",IPC!AN25=""),"",AVERAGE(IPC!AO25:AZ25)/AVERAGE(IPC!AC25:AN25)-1)</f>
        <v>4.8702045078594436E-2</v>
      </c>
      <c r="BA25" s="75">
        <f>IF(OR(IPC!BA25="",IPC!AO25=""),"",AVERAGE(IPC!AP25:BA25)/AVERAGE(IPC!AD25:AO25)-1)</f>
        <v>5.5375921408364448E-2</v>
      </c>
      <c r="BB25" s="75">
        <f>IF(OR(IPC!BB25="",IPC!AP25=""),"",AVERAGE(IPC!AQ25:BB25)/AVERAGE(IPC!AE25:AP25)-1)</f>
        <v>6.2371036130618895E-2</v>
      </c>
      <c r="BC25" s="75">
        <f>IF(OR(IPC!BC25="",IPC!AQ25=""),"",AVERAGE(IPC!AR25:BC25)/AVERAGE(IPC!AF25:AQ25)-1)</f>
        <v>7.0129983005612351E-2</v>
      </c>
      <c r="BD25" s="75">
        <f>IF(OR(IPC!BD25="",IPC!AR25=""),"",AVERAGE(IPC!AS25:BD25)/AVERAGE(IPC!AG25:AR25)-1)</f>
        <v>7.7324160962903621E-2</v>
      </c>
      <c r="BE25" s="75">
        <f>IF(OR(IPC!BE25="",IPC!AS25=""),"",AVERAGE(IPC!AT25:BE25)/AVERAGE(IPC!AH25:AS25)-1)</f>
        <v>8.4113463491388485E-2</v>
      </c>
      <c r="BF25" s="75">
        <f>IF(OR(IPC!BF25="",IPC!AT25=""),"",AVERAGE(IPC!AU25:BF25)/AVERAGE(IPC!AI25:AT25)-1)</f>
        <v>7.6493968374765853E-2</v>
      </c>
      <c r="BG25" s="75">
        <f>IF(OR(IPC!BG25="",IPC!AU25=""),"",AVERAGE(IPC!AV25:BG25)/AVERAGE(IPC!AJ25:AU25)-1)</f>
        <v>6.9343850481789371E-2</v>
      </c>
      <c r="BH25" s="75">
        <f>IF(OR(IPC!BH25="",IPC!AV25=""),"",AVERAGE(IPC!AW25:BH25)/AVERAGE(IPC!AK25:AV25)-1)</f>
        <v>6.2663080439042895E-2</v>
      </c>
      <c r="BI25" s="75">
        <f>IF(OR(IPC!BI25="",IPC!AW25=""),"",AVERAGE(IPC!AX25:BI25)/AVERAGE(IPC!AL25:AW25)-1)</f>
        <v>5.5413687613572016E-2</v>
      </c>
      <c r="BJ25" s="75">
        <f>IF(OR(IPC!BJ25="",IPC!AX25=""),"",AVERAGE(IPC!AY25:BJ25)/AVERAGE(IPC!AM25:AX25)-1)</f>
        <v>4.8196047121325192E-2</v>
      </c>
      <c r="BK25" s="75">
        <f>IF(OR(IPC!BK25="",IPC!AY25=""),"",AVERAGE(IPC!AZ25:BK25)/AVERAGE(IPC!AN25:AY25)-1)</f>
        <v>4.1213569593172572E-2</v>
      </c>
      <c r="BL25" s="75">
        <f>IF(OR(IPC!BL25="",IPC!AZ25=""),"",AVERAGE(IPC!BA25:BL25)/AVERAGE(IPC!AO25:AZ25)-1)</f>
        <v>3.3184619312285557E-2</v>
      </c>
      <c r="BM25" s="75">
        <f>IF(OR(IPC!BM25="",IPC!BA25=""),"",AVERAGE(IPC!BB25:BM25)/AVERAGE(IPC!AP25:BA25)-1)</f>
        <v>2.5271921436413214E-2</v>
      </c>
      <c r="BN25" s="75">
        <f>IF(OR(IPC!BN25="",IPC!BB25=""),"",AVERAGE(IPC!BC25:BN25)/AVERAGE(IPC!AQ25:BB25)-1)</f>
        <v>1.7343526945005738E-2</v>
      </c>
      <c r="BO25" s="75">
        <f>IF(OR(IPC!BO25="",IPC!BC25=""),"",AVERAGE(IPC!BD25:BO25)/AVERAGE(IPC!AR25:BC25)-1)</f>
        <v>9.0146095812131399E-3</v>
      </c>
      <c r="BP25" s="75">
        <f>IF(OR(IPC!BP25="",IPC!BD25=""),"",AVERAGE(IPC!BE25:BP25)/AVERAGE(IPC!AS25:BD25)-1)</f>
        <v>1.3443758843543208E-3</v>
      </c>
      <c r="BQ25" s="75">
        <f>IF(OR(IPC!BQ25="",IPC!BE25=""),"",AVERAGE(IPC!BF25:BQ25)/AVERAGE(IPC!AT25:BE25)-1)</f>
        <v>-6.468643187818035E-3</v>
      </c>
      <c r="BR25" s="75">
        <f>IF(OR(IPC!BR25="",IPC!BF25=""),"",AVERAGE(IPC!BG25:BR25)/AVERAGE(IPC!AU25:BF25)-1)</f>
        <v>-7.6368369903890843E-3</v>
      </c>
      <c r="BS25" s="75">
        <f>IF(OR(IPC!BS25="",IPC!BG25=""),"",AVERAGE(IPC!BH25:BS25)/AVERAGE(IPC!AV25:BG25)-1)</f>
        <v>-9.1777135934963949E-3</v>
      </c>
      <c r="BT25" s="75">
        <f>IF(OR(IPC!BT25="",IPC!BH25=""),"",AVERAGE(IPC!BI25:BT25)/AVERAGE(IPC!AW25:BH25)-1)</f>
        <v>-1.0418662094813236E-2</v>
      </c>
      <c r="BU25" s="75">
        <f>IF(OR(IPC!BU25="",IPC!BI25=""),"",AVERAGE(IPC!BJ25:BU25)/AVERAGE(IPC!AX25:BI25)-1)</f>
        <v>-1.1747714578463131E-2</v>
      </c>
      <c r="BV25" s="75">
        <f>IF(OR(IPC!BV25="",IPC!BJ25=""),"",AVERAGE(IPC!BK25:BV25)/AVERAGE(IPC!AY25:BJ25)-1)</f>
        <v>-1.3504163997995478E-2</v>
      </c>
      <c r="BW25" s="75">
        <f>IF(OR(IPC!BW25="",IPC!BK25=""),"",AVERAGE(IPC!BL25:BW25)/AVERAGE(IPC!AZ25:BK25)-1)</f>
        <v>-1.4639103775309525E-2</v>
      </c>
      <c r="BX25" s="75">
        <f>IF(OR(IPC!BX25="",IPC!BL25=""),"",AVERAGE(IPC!BM25:BX25)/AVERAGE(IPC!BA25:BL25)-1)</f>
        <v>-1.3250225412302141E-2</v>
      </c>
      <c r="BY25" s="75">
        <f>IF(OR(IPC!BY25="",IPC!BM25=""),"",AVERAGE(IPC!BN25:BY25)/AVERAGE(IPC!BB25:BM25)-1)</f>
        <v>-1.2214712832244401E-2</v>
      </c>
      <c r="BZ25" s="75">
        <f>IF(OR(IPC!BZ25="",IPC!BN25=""),"",AVERAGE(IPC!BO25:BZ25)/AVERAGE(IPC!BC25:BN25)-1)</f>
        <v>-1.0941842007890945E-2</v>
      </c>
      <c r="CA25" s="75">
        <f>IF(OR(IPC!CA25="",IPC!BO25=""),"",AVERAGE(IPC!BP25:CA25)/AVERAGE(IPC!BD25:BO25)-1)</f>
        <v>-9.4832478837989509E-3</v>
      </c>
      <c r="CB25" s="75">
        <f>IF(OR(IPC!CB25="",IPC!BP25=""),"",AVERAGE(IPC!BQ25:CB25)/AVERAGE(IPC!BE25:BP25)-1)</f>
        <v>-8.1761353971406825E-3</v>
      </c>
      <c r="CC25" s="75">
        <f>IF(OR(IPC!CC25="",IPC!BQ25=""),"",AVERAGE(IPC!BR25:CC25)/AVERAGE(IPC!BF25:BQ25)-1)</f>
        <v>-6.4367720894955571E-3</v>
      </c>
      <c r="CD25" s="75">
        <f>IF(OR(IPC!CD25="",IPC!BR25=""),"",AVERAGE(IPC!BS25:CD25)/AVERAGE(IPC!BG25:BR25)-1)</f>
        <v>-5.0065786233444154E-3</v>
      </c>
      <c r="CE25" s="75">
        <f>IF(OR(IPC!CE25="",IPC!BS25=""),"",AVERAGE(IPC!BT25:CE25)/AVERAGE(IPC!BH25:BS25)-1)</f>
        <v>-3.2732827329031711E-3</v>
      </c>
      <c r="CF25" s="75">
        <f>IF(OR(IPC!CF25="",IPC!BT25=""),"",AVERAGE(IPC!BU25:CF25)/AVERAGE(IPC!BI25:BT25)-1)</f>
        <v>-1.9634635862929573E-3</v>
      </c>
      <c r="CG25" s="75">
        <f>IF(OR(IPC!CG25="",IPC!BU25=""),"",AVERAGE(IPC!BV25:CG25)/AVERAGE(IPC!BJ25:BU25)-1)</f>
        <v>-4.4294414882506405E-4</v>
      </c>
      <c r="CH25" s="75">
        <f>IF(OR(IPC!CH25="",IPC!BV25=""),"",AVERAGE(IPC!BW25:CH25)/AVERAGE(IPC!BK25:BV25)-1)</f>
        <v>1.4507108660122281E-3</v>
      </c>
      <c r="CI25" s="75">
        <f>IF(OR(IPC!CI25="",IPC!BW25=""),"",AVERAGE(IPC!BX25:CI25)/AVERAGE(IPC!BL25:BW25)-1)</f>
        <v>2.4896290944167454E-3</v>
      </c>
      <c r="CJ25" s="75">
        <f>IF(OR(IPC!CJ25="",IPC!BX25=""),"",AVERAGE(IPC!BY25:CJ25)/AVERAGE(IPC!BM25:BX25)-1)</f>
        <v>2.3725531042191328E-3</v>
      </c>
      <c r="CK25" s="75">
        <f>IF(OR(IPC!CK25="",IPC!BY25=""),"",AVERAGE(IPC!BZ25:CK25)/AVERAGE(IPC!BN25:BY25)-1)</f>
        <v>2.4006012357602469E-3</v>
      </c>
      <c r="CL25" s="75">
        <f>IF(OR(IPC!CL25="",IPC!BZ25=""),"",AVERAGE(IPC!CA25:CL25)/AVERAGE(IPC!BO25:BZ25)-1)</f>
        <v>2.5631297324626434E-3</v>
      </c>
      <c r="CM25" s="75">
        <f>IF(OR(IPC!CM25="",IPC!CA25=""),"",AVERAGE(IPC!CB25:CM25)/AVERAGE(IPC!BP25:CA25)-1)</f>
        <v>2.8361800491900624E-3</v>
      </c>
      <c r="CN25" s="75">
        <f>IF(OR(IPC!CN25="",IPC!CB25=""),"",AVERAGE(IPC!CC25:CN25)/AVERAGE(IPC!BQ25:CB25)-1)</f>
        <v>3.1953030017550788E-3</v>
      </c>
      <c r="CO25" s="75">
        <f>IF(OR(IPC!CO25="",IPC!CC25=""),"",AVERAGE(IPC!CD25:CO25)/AVERAGE(IPC!BR25:CC25)-1)</f>
        <v>3.2354795424069938E-3</v>
      </c>
      <c r="CP25" s="75">
        <f>IF(OR(IPC!CP25="",IPC!CD25=""),"",AVERAGE(IPC!CE25:CP25)/AVERAGE(IPC!BS25:CD25)-1)</f>
        <v>3.3582230068003316E-3</v>
      </c>
      <c r="CQ25" s="75">
        <f>IF(OR(IPC!CQ25="",IPC!CE25=""),"",AVERAGE(IPC!CF25:CQ25)/AVERAGE(IPC!BT25:CE25)-1)</f>
        <v>3.3713687712455531E-3</v>
      </c>
      <c r="CR25" s="75">
        <f>IF(OR(IPC!CR25="",IPC!CF25=""),"",AVERAGE(IPC!CG25:CR25)/AVERAGE(IPC!BU25:CF25)-1)</f>
        <v>3.57551742186768E-3</v>
      </c>
      <c r="CS25" s="75">
        <f>IF(OR(IPC!CS25="",IPC!CG25=""),"",AVERAGE(IPC!CH25:CS25)/AVERAGE(IPC!BV25:CG25)-1)</f>
        <v>3.7400985272115772E-3</v>
      </c>
      <c r="CT25" s="75">
        <f>IF(OR(IPC!CT25="",IPC!CH25=""),"",AVERAGE(IPC!CI25:CT25)/AVERAGE(IPC!BW25:CH25)-1)</f>
        <v>3.819865778181164E-3</v>
      </c>
      <c r="CU25" s="75">
        <f>IF(OR(IPC!CU25="",IPC!CI25=""),"",AVERAGE(IPC!CJ25:CU25)/AVERAGE(IPC!BX25:CI25)-1)</f>
        <v>4.1898352403144656E-3</v>
      </c>
      <c r="CV25" s="75">
        <f>IF(OR(IPC!CV25="",IPC!CJ25=""),"",AVERAGE(IPC!CK25:CV25)/AVERAGE(IPC!BY25:CJ25)-1)</f>
        <v>4.4298115519643133E-3</v>
      </c>
      <c r="CW25" s="75">
        <f>IF(OR(IPC!CW25="",IPC!CK25=""),"",AVERAGE(IPC!CL25:CW25)/AVERAGE(IPC!BZ25:CK25)-1)</f>
        <v>4.7537014113532283E-3</v>
      </c>
      <c r="CX25" s="75">
        <f>IF(OR(IPC!CX25="",IPC!CL25=""),"",AVERAGE(IPC!CM25:CX25)/AVERAGE(IPC!CA25:CL25)-1)</f>
        <v>4.9224251523174445E-3</v>
      </c>
      <c r="CY25" s="75">
        <f>IF(OR(IPC!CY25="",IPC!CM25=""),"",AVERAGE(IPC!CN25:CY25)/AVERAGE(IPC!CB25:CM25)-1)</f>
        <v>4.732960766634875E-3</v>
      </c>
      <c r="CZ25" s="75">
        <f>IF(OR(IPC!CZ25="",IPC!CN25=""),"",AVERAGE(IPC!CO25:CZ25)/AVERAGE(IPC!CC25:CN25)-1)</f>
        <v>4.3200662343048091E-3</v>
      </c>
      <c r="DA25" s="75">
        <f>IF(OR(IPC!DA25="",IPC!CO25=""),"",AVERAGE(IPC!CP25:DA25)/AVERAGE(IPC!CD25:CO25)-1)</f>
        <v>4.0426576253773661E-3</v>
      </c>
      <c r="DB25" s="75">
        <f>IF(OR(IPC!DB25="",IPC!CP25=""),"",AVERAGE(IPC!CQ25:DB25)/AVERAGE(IPC!CE25:CP25)-1)</f>
        <v>3.7546254520797184E-3</v>
      </c>
      <c r="DC25" s="75">
        <f>IF(OR(IPC!DC25="",IPC!CQ25=""),"",AVERAGE(IPC!CR25:DC25)/AVERAGE(IPC!CF25:CQ25)-1)</f>
        <v>3.4434261026696777E-3</v>
      </c>
      <c r="DD25" s="75">
        <f>IF(OR(IPC!DD25="",IPC!CR25=""),"",AVERAGE(IPC!CS25:DD25)/AVERAGE(IPC!CG25:CR25)-1)</f>
        <v>3.1534680026406026E-3</v>
      </c>
      <c r="DE25" s="75">
        <f>IF(OR(IPC!DE25="",IPC!CS25=""),"",AVERAGE(IPC!CT25:DE25)/AVERAGE(IPC!CH25:CS25)-1)</f>
        <v>2.7155675407424251E-3</v>
      </c>
      <c r="DF25" s="75">
        <f>IF(OR(IPC!DF25="",IPC!CT25=""),"",AVERAGE(IPC!CU25:DF25)/AVERAGE(IPC!CI25:CT25)-1)</f>
        <v>2.2815430368827716E-3</v>
      </c>
      <c r="DG25" s="75">
        <f>IF(OR(IPC!DG25="",IPC!CU25=""),"",AVERAGE(IPC!CV25:DG25)/AVERAGE(IPC!CJ25:CU25)-1)</f>
        <v>1.8893064018734584E-3</v>
      </c>
      <c r="DH25" s="75">
        <f>IF(OR(IPC!DH25="",IPC!CV25=""),"",AVERAGE(IPC!CW25:DH25)/AVERAGE(IPC!CK25:CV25)-1)</f>
        <v>1.5591675683135353E-3</v>
      </c>
      <c r="DI25" s="75">
        <f>IF(OR(IPC!DI25="",IPC!CW25=""),"",AVERAGE(IPC!CX25:DI25)/AVERAGE(IPC!CL25:CW25)-1)</f>
        <v>1.2054537602783633E-3</v>
      </c>
      <c r="DJ25" s="75">
        <f>IF(OR(IPC!DJ25="",IPC!CX25=""),"",AVERAGE(IPC!CY25:DJ25)/AVERAGE(IPC!CM25:CX25)-1)</f>
        <v>8.4632168844156475E-4</v>
      </c>
      <c r="DK25" s="75">
        <f>IF(OR(IPC!DK25="",IPC!CY25=""),"",AVERAGE(IPC!CZ25:DK25)/AVERAGE(IPC!CN25:CY25)-1)</f>
        <v>9.243555847111562E-4</v>
      </c>
      <c r="DL25" s="75">
        <f>IF(OR(IPC!DL25="",IPC!CZ25=""),"",AVERAGE(IPC!DA25:DL25)/AVERAGE(IPC!CO25:CZ25)-1)</f>
        <v>1.4339003617955814E-3</v>
      </c>
      <c r="DM25" s="75">
        <f>IF(OR(IPC!DM25="",IPC!DA25=""),"",AVERAGE(IPC!DB25:DM25)/AVERAGE(IPC!CP25:DA25)-1)</f>
        <v>2.0155431056561035E-3</v>
      </c>
      <c r="DN25" s="75">
        <f>IF(OR(IPC!DN25="",IPC!DB25=""),"",AVERAGE(IPC!DC25:DN25)/AVERAGE(IPC!CQ25:DB25)-1)</f>
        <v>2.6527193973566732E-3</v>
      </c>
      <c r="DO25" s="75">
        <f>IF(OR(IPC!DO25="",IPC!DC25=""),"",AVERAGE(IPC!DD25:DO25)/AVERAGE(IPC!CR25:DC25)-1)</f>
        <v>3.2988062946717189E-3</v>
      </c>
      <c r="DP25" s="75">
        <f>IF(OR(IPC!DP25="",IPC!DD25=""),"",AVERAGE(IPC!DE25:DP25)/AVERAGE(IPC!CS25:DD25)-1)</f>
        <v>3.9110585766068962E-3</v>
      </c>
      <c r="DQ25" s="75">
        <f>IF(OR(IPC!DQ25="",IPC!DE25=""),"",AVERAGE(IPC!DF25:DQ25)/AVERAGE(IPC!CT25:DE25)-1)</f>
        <v>4.6976222188179761E-3</v>
      </c>
      <c r="DR25" s="75">
        <f>IF(OR(IPC!DR25="",IPC!DF25=""),"",AVERAGE(IPC!DG25:DR25)/AVERAGE(IPC!CU25:DF25)-1)</f>
        <v>5.4633345705772385E-3</v>
      </c>
      <c r="DS25" s="75">
        <f>IF(OR(IPC!DS25="",IPC!DG25=""),"",AVERAGE(IPC!DH25:DS25)/AVERAGE(IPC!CV25:DG25)-1)</f>
        <v>6.1340468634738521E-3</v>
      </c>
      <c r="DT25" s="75">
        <f>IF(OR(IPC!DT25="",IPC!DH25=""),"",AVERAGE(IPC!DI25:DT25)/AVERAGE(IPC!CW25:DH25)-1)</f>
        <v>6.8056016390862784E-3</v>
      </c>
      <c r="DU25" s="75">
        <f>IF(OR(IPC!DU25="",IPC!DI25=""),"",AVERAGE(IPC!DJ25:DU25)/AVERAGE(IPC!CX25:DI25)-1)</f>
        <v>7.3964861482966882E-3</v>
      </c>
      <c r="DV25" s="75">
        <f>IF(OR(IPC!DV25="",IPC!DJ25=""),"",AVERAGE(IPC!DK25:DV25)/AVERAGE(IPC!CY25:DJ25)-1)</f>
        <v>7.9922660807090207E-3</v>
      </c>
      <c r="DW25" s="75">
        <f>IF(OR(IPC!DW25="",IPC!DK25=""),"",AVERAGE(IPC!DL25:DW25)/AVERAGE(IPC!CZ25:DK25)-1)</f>
        <v>8.1034983045309428E-3</v>
      </c>
      <c r="DX25" s="75">
        <f>IF(OR(IPC!DX25="",IPC!DL25=""),"",AVERAGE(IPC!DM25:DX25)/AVERAGE(IPC!DA25:DL25)-1)</f>
        <v>7.5455282614598218E-3</v>
      </c>
      <c r="DY25" s="75">
        <f>IF(OR(IPC!DY25="",IPC!DM25=""),"",AVERAGE(IPC!DN25:DY25)/AVERAGE(IPC!DB25:DM25)-1)</f>
        <v>6.8844213627665685E-3</v>
      </c>
      <c r="DZ25" s="75">
        <f>IF(OR(IPC!DZ25="",IPC!DN25=""),"",AVERAGE(IPC!DO25:DZ25)/AVERAGE(IPC!DC25:DN25)-1)</f>
        <v>6.160417967718157E-3</v>
      </c>
      <c r="EA25" s="75">
        <f>IF(OR(IPC!EA25="",IPC!DO25=""),"",AVERAGE(IPC!DP25:EA25)/AVERAGE(IPC!DD25:DO25)-1)</f>
        <v>5.464506352834686E-3</v>
      </c>
      <c r="EB25" s="75">
        <f>IF(OR(IPC!EB25="",IPC!DP25=""),"",AVERAGE(IPC!DQ25:EB25)/AVERAGE(IPC!DE25:DP25)-1)</f>
        <v>4.7877997373073633E-3</v>
      </c>
      <c r="EC25" s="75">
        <f>IF(OR(IPC!EC25="",IPC!DQ25=""),"",AVERAGE(IPC!DR25:EC25)/AVERAGE(IPC!DF25:DQ25)-1)</f>
        <v>3.9946301025086672E-3</v>
      </c>
      <c r="ED25" s="75">
        <f>IF(OR(IPC!ED25="",IPC!DR25=""),"",AVERAGE(IPC!DS25:ED25)/AVERAGE(IPC!DG25:DR25)-1)</f>
        <v>3.3100788715161311E-3</v>
      </c>
      <c r="EE25" s="75">
        <f>IF(OR(IPC!EE25="",IPC!DS25=""),"",AVERAGE(IPC!DT25:EE25)/AVERAGE(IPC!DH25:DS25)-1)</f>
        <v>2.735734247322652E-3</v>
      </c>
      <c r="EF25" s="75">
        <f>IF(OR(IPC!EF25="",IPC!DT25=""),"",AVERAGE(IPC!DU25:EF25)/AVERAGE(IPC!DI25:DT25)-1)</f>
        <v>2.2219481324063928E-3</v>
      </c>
      <c r="EG25" s="75">
        <f>IF(OR(IPC!EG25="",IPC!DU25=""),"",AVERAGE(IPC!DV25:EG25)/AVERAGE(IPC!DJ25:DU25)-1)</f>
        <v>1.7484594877961168E-3</v>
      </c>
      <c r="EH25" s="75">
        <f>IF(OR(IPC!EH25="",IPC!DV25=""),"",AVERAGE(IPC!DW25:EH25)/AVERAGE(IPC!DK25:DV25)-1)</f>
        <v>1.372830131442182E-3</v>
      </c>
      <c r="EI25" s="75">
        <f>IF(OR(IPC!EI25="",IPC!DW25=""),"",AVERAGE(IPC!DX25:EI25)/AVERAGE(IPC!DL25:DW25)-1)</f>
        <v>1.3000805584852948E-3</v>
      </c>
      <c r="EJ25" s="75">
        <f>IF(OR(IPC!EJ25="",IPC!DX25=""),"",AVERAGE(IPC!DY25:EJ25)/AVERAGE(IPC!DM25:DX25)-1)</f>
        <v>1.661088717641368E-3</v>
      </c>
      <c r="EK25" s="75">
        <f>IF(OR(IPC!EK25="",IPC!DY25=""),"",AVERAGE(IPC!DZ25:EK25)/AVERAGE(IPC!DN25:DY25)-1)</f>
        <v>2.0772908175312743E-3</v>
      </c>
      <c r="EL25" s="75">
        <f>IF(OR(IPC!EL25="",IPC!DZ25=""),"",AVERAGE(IPC!EA25:EL25)/AVERAGE(IPC!DO25:DZ25)-1)</f>
        <v>2.4731641552711014E-3</v>
      </c>
      <c r="EM25" s="75">
        <f>IF(OR(IPC!EM25="",IPC!EA25=""),"",AVERAGE(IPC!EB25:EM25)/AVERAGE(IPC!DP25:EA25)-1)</f>
        <v>2.842123880109737E-3</v>
      </c>
      <c r="EN25" s="75">
        <f>IF(OR(IPC!EN25="",IPC!EB25=""),"",AVERAGE(IPC!EC25:EN25)/AVERAGE(IPC!DQ25:EB25)-1)</f>
        <v>3.2121617585816331E-3</v>
      </c>
      <c r="EO25" s="75">
        <f>IF(OR(IPC!EO25="",IPC!EC25=""),"",AVERAGE(IPC!ED25:EO25)/AVERAGE(IPC!DR25:EC25)-1)</f>
        <v>4.8497738034452009E-3</v>
      </c>
      <c r="EP25" s="75">
        <f>IF(OR(IPC!EP25="",IPC!ED25=""),"",AVERAGE(IPC!EE25:EP25)/AVERAGE(IPC!DS25:ED25)-1)</f>
        <v>6.4276318522291653E-3</v>
      </c>
      <c r="EQ25" s="75">
        <f>IF(OR(IPC!EQ25="",IPC!EE25=""),"",AVERAGE(IPC!EF25:EQ25)/AVERAGE(IPC!DT25:EE25)-1)</f>
        <v>8.0041469591745074E-3</v>
      </c>
      <c r="ER25" s="75" t="str">
        <f>IF(OR(IPC!ER25="",IPC!EF25=""),"",AVERAGE(IPC!EG25:ER25)/AVERAGE(IPC!DU25:EF25)-1)</f>
        <v/>
      </c>
      <c r="ES25" s="75" t="str">
        <f>IF(OR(IPC!ES25="",IPC!EG25=""),"",AVERAGE(IPC!EH25:ES25)/AVERAGE(IPC!DV25:EG25)-1)</f>
        <v/>
      </c>
      <c r="ET25" s="75" t="str">
        <f>IF(OR(IPC!ET25="",IPC!EH25=""),"",AVERAGE(IPC!EI25:ET25)/AVERAGE(IPC!DW25:EH25)-1)</f>
        <v/>
      </c>
      <c r="EU25" s="75" t="str">
        <f>IF(OR(IPC!EU25="",IPC!EI25=""),"",AVERAGE(IPC!EJ25:EU25)/AVERAGE(IPC!DX25:EI25)-1)</f>
        <v/>
      </c>
      <c r="EV25" s="75" t="str">
        <f>IF(OR(IPC!EV25="",IPC!EJ25=""),"",AVERAGE(IPC!EK25:EV25)/AVERAGE(IPC!DY25:EJ25)-1)</f>
        <v/>
      </c>
      <c r="EW25" s="75" t="str">
        <f>IF(OR(IPC!EW25="",IPC!EK25=""),"",AVERAGE(IPC!EL25:EW25)/AVERAGE(IPC!DZ25:EK25)-1)</f>
        <v/>
      </c>
      <c r="EX25" s="75" t="str">
        <f>IF(OR(IPC!EX25="",IPC!EL25=""),"",AVERAGE(IPC!EM25:EX25)/AVERAGE(IPC!EA25:EL25)-1)</f>
        <v/>
      </c>
      <c r="EY25" s="75" t="str">
        <f>IF(OR(IPC!EY25="",IPC!EM25=""),"",AVERAGE(IPC!EN25:EY25)/AVERAGE(IPC!EB25:EM25)-1)</f>
        <v/>
      </c>
      <c r="EZ25" s="75" t="str">
        <f>IF(OR(IPC!EZ25="",IPC!EN25=""),"",AVERAGE(IPC!EO25:EZ25)/AVERAGE(IPC!EC25:EN25)-1)</f>
        <v/>
      </c>
      <c r="FA25" s="75" t="str">
        <f>IF(OR(IPC!FA25="",IPC!EO25=""),"",AVERAGE(IPC!EP25:FA25)/AVERAGE(IPC!ED25:EO25)-1)</f>
        <v/>
      </c>
      <c r="FB25" s="75" t="str">
        <f>IF(OR(IPC!FB25="",IPC!EP25=""),"",AVERAGE(IPC!EQ25:FB25)/AVERAGE(IPC!EE25:EP25)-1)</f>
        <v/>
      </c>
      <c r="FC25" s="75" t="str">
        <f>IF(OR(IPC!FC25="",IPC!EQ25=""),"",AVERAGE(IPC!ER25:FC25)/AVERAGE(IPC!EF25:EQ25)-1)</f>
        <v/>
      </c>
      <c r="FD25" s="75" t="str">
        <f>IF(OR(IPC!FD25="",IPC!ER25=""),"",AVERAGE(IPC!ES25:FD25)/AVERAGE(IPC!EG25:ER25)-1)</f>
        <v/>
      </c>
      <c r="FE25" s="75" t="str">
        <f>IF(OR(IPC!FE25="",IPC!ES25=""),"",AVERAGE(IPC!ET25:FE25)/AVERAGE(IPC!EH25:ES25)-1)</f>
        <v/>
      </c>
      <c r="FF25" s="75" t="str">
        <f>IF(OR(IPC!FF25="",IPC!ET25=""),"",AVERAGE(IPC!EU25:FF25)/AVERAGE(IPC!EI25:ET25)-1)</f>
        <v/>
      </c>
      <c r="FG25" s="75" t="str">
        <f>IF(OR(IPC!FG25="",IPC!EU25=""),"",AVERAGE(IPC!EV25:FG25)/AVERAGE(IPC!EJ25:EU25)-1)</f>
        <v/>
      </c>
      <c r="FH25" s="75" t="str">
        <f>IF(OR(IPC!FH25="",IPC!EV25=""),"",AVERAGE(IPC!EW25:FH25)/AVERAGE(IPC!EK25:EV25)-1)</f>
        <v/>
      </c>
      <c r="FI25" s="75" t="str">
        <f>IF(OR(IPC!FI25="",IPC!EW25=""),"",AVERAGE(IPC!EX25:FI25)/AVERAGE(IPC!EL25:EW25)-1)</f>
        <v/>
      </c>
      <c r="FJ25" s="75" t="str">
        <f>IF(OR(IPC!FJ25="",IPC!EX25=""),"",AVERAGE(IPC!EY25:FJ25)/AVERAGE(IPC!EM25:EX25)-1)</f>
        <v/>
      </c>
      <c r="FK25" s="75" t="str">
        <f>IF(OR(IPC!FK25="",IPC!EY25=""),"",AVERAGE(IPC!EZ25:FK25)/AVERAGE(IPC!EN25:EY25)-1)</f>
        <v/>
      </c>
      <c r="FL25" s="75" t="str">
        <f>IF(OR(IPC!FL25="",IPC!EZ25=""),"",AVERAGE(IPC!FA25:FL25)/AVERAGE(IPC!EO25:EZ25)-1)</f>
        <v/>
      </c>
      <c r="FM25" s="75" t="str">
        <f>IF(OR(IPC!FM25="",IPC!FA25=""),"",AVERAGE(IPC!FB25:FM25)/AVERAGE(IPC!EP25:FA25)-1)</f>
        <v/>
      </c>
      <c r="FN25" s="75" t="str">
        <f>IF(OR(IPC!FN25="",IPC!FB25=""),"",AVERAGE(IPC!FC25:FN25)/AVERAGE(IPC!EQ25:FB25)-1)</f>
        <v/>
      </c>
      <c r="FO25" s="75" t="str">
        <f>IF(OR(IPC!FO25="",IPC!FC25=""),"",AVERAGE(IPC!FD25:FO25)/AVERAGE(IPC!ER25:FC25)-1)</f>
        <v/>
      </c>
      <c r="FP25" s="75" t="str">
        <f>IF(OR(IPC!FP25="",IPC!FD25=""),"",AVERAGE(IPC!FE25:FP25)/AVERAGE(IPC!ES25:FD25)-1)</f>
        <v/>
      </c>
      <c r="FQ25" s="75" t="str">
        <f>IF(OR(IPC!FQ25="",IPC!FE25=""),"",AVERAGE(IPC!FF25:FQ25)/AVERAGE(IPC!ET25:FE25)-1)</f>
        <v/>
      </c>
      <c r="FR25" s="75" t="str">
        <f>IF(OR(IPC!FR25="",IPC!FF25=""),"",AVERAGE(IPC!FG25:FR25)/AVERAGE(IPC!EU25:FF25)-1)</f>
        <v/>
      </c>
    </row>
    <row r="26" spans="1:174" s="74" customFormat="1" ht="10.199999999999999" x14ac:dyDescent="0.2">
      <c r="B26" s="3" t="s">
        <v>106</v>
      </c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>
        <f>IF(OR(IPC!AN26="",IPC!AB26=""),"",AVERAGE(IPC!AC26:AN26)/AVERAGE(IPC!Q26:AB26)-1)</f>
        <v>3.9560640977630124E-2</v>
      </c>
      <c r="AO26" s="75">
        <f>IF(OR(IPC!AO26="",IPC!AC26=""),"",AVERAGE(IPC!AD26:AO26)/AVERAGE(IPC!R26:AC26)-1)</f>
        <v>3.8658886142442839E-2</v>
      </c>
      <c r="AP26" s="75">
        <f>IF(OR(IPC!AP26="",IPC!AD26=""),"",AVERAGE(IPC!AE26:AP26)/AVERAGE(IPC!S26:AD26)-1)</f>
        <v>3.71127051465443E-2</v>
      </c>
      <c r="AQ26" s="75">
        <f>IF(OR(IPC!AQ26="",IPC!AE26=""),"",AVERAGE(IPC!AF26:AQ26)/AVERAGE(IPC!T26:AE26)-1)</f>
        <v>3.6714919709727178E-2</v>
      </c>
      <c r="AR26" s="75">
        <f>IF(OR(IPC!AR26="",IPC!AF26=""),"",AVERAGE(IPC!AG26:AR26)/AVERAGE(IPC!U26:AF26)-1)</f>
        <v>3.7156473761077891E-2</v>
      </c>
      <c r="AS26" s="75">
        <f>IF(OR(IPC!AS26="",IPC!AG26=""),"",AVERAGE(IPC!AH26:AS26)/AVERAGE(IPC!V26:AG26)-1)</f>
        <v>3.5835122670745623E-2</v>
      </c>
      <c r="AT26" s="75">
        <f>IF(OR(IPC!AT26="",IPC!AH26=""),"",AVERAGE(IPC!AI26:AT26)/AVERAGE(IPC!W26:AH26)-1)</f>
        <v>3.602868975130713E-2</v>
      </c>
      <c r="AU26" s="75">
        <f>IF(OR(IPC!AU26="",IPC!AI26=""),"",AVERAGE(IPC!AJ26:AU26)/AVERAGE(IPC!X26:AI26)-1)</f>
        <v>3.4263760980226765E-2</v>
      </c>
      <c r="AV26" s="75">
        <f>IF(OR(IPC!AV26="",IPC!AJ26=""),"",AVERAGE(IPC!AK26:AV26)/AVERAGE(IPC!Y26:AJ26)-1)</f>
        <v>3.1625030569444101E-2</v>
      </c>
      <c r="AW26" s="75">
        <f>IF(OR(IPC!AW26="",IPC!AK26=""),"",AVERAGE(IPC!AL26:AW26)/AVERAGE(IPC!Z26:AK26)-1)</f>
        <v>2.71471038928639E-2</v>
      </c>
      <c r="AX26" s="75">
        <f>IF(OR(IPC!AX26="",IPC!AL26=""),"",AVERAGE(IPC!AM26:AX26)/AVERAGE(IPC!AA26:AL26)-1)</f>
        <v>2.3461021349913347E-2</v>
      </c>
      <c r="AY26" s="75">
        <f>IF(OR(IPC!AY26="",IPC!AM26=""),"",AVERAGE(IPC!AN26:AY26)/AVERAGE(IPC!AB26:AM26)-1)</f>
        <v>2.2124141710045064E-2</v>
      </c>
      <c r="AZ26" s="75">
        <f>IF(OR(IPC!AZ26="",IPC!AN26=""),"",AVERAGE(IPC!AO26:AZ26)/AVERAGE(IPC!AC26:AN26)-1)</f>
        <v>2.1661375953255346E-2</v>
      </c>
      <c r="BA26" s="75">
        <f>IF(OR(IPC!BA26="",IPC!AO26=""),"",AVERAGE(IPC!AP26:BA26)/AVERAGE(IPC!AD26:AO26)-1)</f>
        <v>2.0750060913307999E-2</v>
      </c>
      <c r="BB26" s="75">
        <f>IF(OR(IPC!BB26="",IPC!AP26=""),"",AVERAGE(IPC!AQ26:BB26)/AVERAGE(IPC!AE26:AP26)-1)</f>
        <v>2.0628906786459345E-2</v>
      </c>
      <c r="BC26" s="75">
        <f>IF(OR(IPC!BC26="",IPC!AQ26=""),"",AVERAGE(IPC!AR26:BC26)/AVERAGE(IPC!AF26:AQ26)-1)</f>
        <v>2.178665068412422E-2</v>
      </c>
      <c r="BD26" s="75">
        <f>IF(OR(IPC!BD26="",IPC!AR26=""),"",AVERAGE(IPC!AS26:BD26)/AVERAGE(IPC!AG26:AR26)-1)</f>
        <v>2.2075303958170922E-2</v>
      </c>
      <c r="BE26" s="75">
        <f>IF(OR(IPC!BE26="",IPC!AS26=""),"",AVERAGE(IPC!AT26:BE26)/AVERAGE(IPC!AH26:AS26)-1)</f>
        <v>2.4667845741536798E-2</v>
      </c>
      <c r="BF26" s="75">
        <f>IF(OR(IPC!BF26="",IPC!AT26=""),"",AVERAGE(IPC!AU26:BF26)/AVERAGE(IPC!AI26:AT26)-1)</f>
        <v>2.6459513897897358E-2</v>
      </c>
      <c r="BG26" s="75">
        <f>IF(OR(IPC!BG26="",IPC!AU26=""),"",AVERAGE(IPC!AV26:BG26)/AVERAGE(IPC!AJ26:AU26)-1)</f>
        <v>2.8307983814800153E-2</v>
      </c>
      <c r="BH26" s="75">
        <f>IF(OR(IPC!BH26="",IPC!AV26=""),"",AVERAGE(IPC!AW26:BH26)/AVERAGE(IPC!AK26:AV26)-1)</f>
        <v>3.1206949358386415E-2</v>
      </c>
      <c r="BI26" s="75">
        <f>IF(OR(IPC!BI26="",IPC!AW26=""),"",AVERAGE(IPC!AX26:BI26)/AVERAGE(IPC!AL26:AW26)-1)</f>
        <v>3.4595365329379568E-2</v>
      </c>
      <c r="BJ26" s="75">
        <f>IF(OR(IPC!BJ26="",IPC!AX26=""),"",AVERAGE(IPC!AY26:BJ26)/AVERAGE(IPC!AM26:AX26)-1)</f>
        <v>3.5003231070088514E-2</v>
      </c>
      <c r="BK26" s="75">
        <f>IF(OR(IPC!BK26="",IPC!AY26=""),"",AVERAGE(IPC!AZ26:BK26)/AVERAGE(IPC!AN26:AY26)-1)</f>
        <v>3.5188671364817292E-2</v>
      </c>
      <c r="BL26" s="75">
        <f>IF(OR(IPC!BL26="",IPC!AZ26=""),"",AVERAGE(IPC!BA26:BL26)/AVERAGE(IPC!AO26:AZ26)-1)</f>
        <v>3.6447465107269261E-2</v>
      </c>
      <c r="BM26" s="75">
        <f>IF(OR(IPC!BM26="",IPC!BA26=""),"",AVERAGE(IPC!BB26:BM26)/AVERAGE(IPC!AP26:BA26)-1)</f>
        <v>3.7905477319429837E-2</v>
      </c>
      <c r="BN26" s="75">
        <f>IF(OR(IPC!BN26="",IPC!BB26=""),"",AVERAGE(IPC!BC26:BN26)/AVERAGE(IPC!AQ26:BB26)-1)</f>
        <v>3.9732864200612061E-2</v>
      </c>
      <c r="BO26" s="75">
        <f>IF(OR(IPC!BO26="",IPC!BC26=""),"",AVERAGE(IPC!BD26:BO26)/AVERAGE(IPC!AR26:BC26)-1)</f>
        <v>3.9966308473079248E-2</v>
      </c>
      <c r="BP26" s="75">
        <f>IF(OR(IPC!BP26="",IPC!BD26=""),"",AVERAGE(IPC!BE26:BP26)/AVERAGE(IPC!AS26:BD26)-1)</f>
        <v>4.1499163196733857E-2</v>
      </c>
      <c r="BQ26" s="75">
        <f>IF(OR(IPC!BQ26="",IPC!BE26=""),"",AVERAGE(IPC!BF26:BQ26)/AVERAGE(IPC!AT26:BE26)-1)</f>
        <v>4.0556533792718064E-2</v>
      </c>
      <c r="BR26" s="75">
        <f>IF(OR(IPC!BR26="",IPC!BF26=""),"",AVERAGE(IPC!BG26:BR26)/AVERAGE(IPC!AU26:BF26)-1)</f>
        <v>3.7773698294284452E-2</v>
      </c>
      <c r="BS26" s="75">
        <f>IF(OR(IPC!BS26="",IPC!BG26=""),"",AVERAGE(IPC!BH26:BS26)/AVERAGE(IPC!AV26:BG26)-1)</f>
        <v>3.6686282734607945E-2</v>
      </c>
      <c r="BT26" s="75">
        <f>IF(OR(IPC!BT26="",IPC!BH26=""),"",AVERAGE(IPC!BI26:BT26)/AVERAGE(IPC!AW26:BH26)-1)</f>
        <v>3.3888410569659744E-2</v>
      </c>
      <c r="BU26" s="75">
        <f>IF(OR(IPC!BU26="",IPC!BI26=""),"",AVERAGE(IPC!BJ26:BU26)/AVERAGE(IPC!AX26:BI26)-1)</f>
        <v>2.9252165757772897E-2</v>
      </c>
      <c r="BV26" s="75">
        <f>IF(OR(IPC!BV26="",IPC!BJ26=""),"",AVERAGE(IPC!BK26:BV26)/AVERAGE(IPC!AY26:BJ26)-1)</f>
        <v>2.7100091027203899E-2</v>
      </c>
      <c r="BW26" s="75">
        <f>IF(OR(IPC!BW26="",IPC!BK26=""),"",AVERAGE(IPC!BL26:BW26)/AVERAGE(IPC!AZ26:BK26)-1)</f>
        <v>2.3781245211693891E-2</v>
      </c>
      <c r="BX26" s="75">
        <f>IF(OR(IPC!BX26="",IPC!BL26=""),"",AVERAGE(IPC!BM26:BX26)/AVERAGE(IPC!BA26:BL26)-1)</f>
        <v>1.9809336712925729E-2</v>
      </c>
      <c r="BY26" s="75">
        <f>IF(OR(IPC!BY26="",IPC!BM26=""),"",AVERAGE(IPC!BN26:BY26)/AVERAGE(IPC!BB26:BM26)-1)</f>
        <v>1.5512099324927586E-2</v>
      </c>
      <c r="BZ26" s="75">
        <f>IF(OR(IPC!BZ26="",IPC!BN26=""),"",AVERAGE(IPC!BO26:BZ26)/AVERAGE(IPC!BC26:BN26)-1)</f>
        <v>1.1074399455388573E-2</v>
      </c>
      <c r="CA26" s="75">
        <f>IF(OR(IPC!CA26="",IPC!BO26=""),"",AVERAGE(IPC!BP26:CA26)/AVERAGE(IPC!BD26:BO26)-1)</f>
        <v>8.2887146261250155E-3</v>
      </c>
      <c r="CB26" s="75">
        <f>IF(OR(IPC!CB26="",IPC!BP26=""),"",AVERAGE(IPC!BQ26:CB26)/AVERAGE(IPC!BE26:BP26)-1)</f>
        <v>2.6616706300497395E-3</v>
      </c>
      <c r="CC26" s="75">
        <f>IF(OR(IPC!CC26="",IPC!BQ26=""),"",AVERAGE(IPC!BR26:CC26)/AVERAGE(IPC!BF26:BQ26)-1)</f>
        <v>-1.1846164647891788E-3</v>
      </c>
      <c r="CD26" s="75">
        <f>IF(OR(IPC!CD26="",IPC!BR26=""),"",AVERAGE(IPC!BS26:CD26)/AVERAGE(IPC!BG26:BR26)-1)</f>
        <v>-3.2473389973516342E-3</v>
      </c>
      <c r="CE26" s="75">
        <f>IF(OR(IPC!CE26="",IPC!BS26=""),"",AVERAGE(IPC!BT26:CE26)/AVERAGE(IPC!BH26:BS26)-1)</f>
        <v>-5.1782633824887236E-3</v>
      </c>
      <c r="CF26" s="75">
        <f>IF(OR(IPC!CF26="",IPC!BT26=""),"",AVERAGE(IPC!BU26:CF26)/AVERAGE(IPC!BI26:BT26)-1)</f>
        <v>-5.2759794887983213E-3</v>
      </c>
      <c r="CG26" s="75">
        <f>IF(OR(IPC!CG26="",IPC!BU26=""),"",AVERAGE(IPC!BV26:CG26)/AVERAGE(IPC!BJ26:BU26)-1)</f>
        <v>-2.975350121397824E-3</v>
      </c>
      <c r="CH26" s="75">
        <f>IF(OR(IPC!CH26="",IPC!BV26=""),"",AVERAGE(IPC!BW26:CH26)/AVERAGE(IPC!BK26:BV26)-1)</f>
        <v>-1.5015809628069476E-3</v>
      </c>
      <c r="CI26" s="75">
        <f>IF(OR(IPC!CI26="",IPC!BW26=""),"",AVERAGE(IPC!BX26:CI26)/AVERAGE(IPC!BL26:BW26)-1)</f>
        <v>2.1383928648290862E-3</v>
      </c>
      <c r="CJ26" s="75">
        <f>IF(OR(IPC!CJ26="",IPC!BX26=""),"",AVERAGE(IPC!BY26:CJ26)/AVERAGE(IPC!BM26:BX26)-1)</f>
        <v>5.8286932684672443E-3</v>
      </c>
      <c r="CK26" s="75">
        <f>IF(OR(IPC!CK26="",IPC!BY26=""),"",AVERAGE(IPC!BZ26:CK26)/AVERAGE(IPC!BN26:BY26)-1)</f>
        <v>8.9361229588025282E-3</v>
      </c>
      <c r="CL26" s="75">
        <f>IF(OR(IPC!CL26="",IPC!BZ26=""),"",AVERAGE(IPC!CA26:CL26)/AVERAGE(IPC!BO26:BZ26)-1)</f>
        <v>1.1459298124317563E-2</v>
      </c>
      <c r="CM26" s="75">
        <f>IF(OR(IPC!CM26="",IPC!CA26=""),"",AVERAGE(IPC!CB26:CM26)/AVERAGE(IPC!BP26:CA26)-1)</f>
        <v>1.0892598003872545E-2</v>
      </c>
      <c r="CN26" s="75">
        <f>IF(OR(IPC!CN26="",IPC!CB26=""),"",AVERAGE(IPC!CC26:CN26)/AVERAGE(IPC!BQ26:CB26)-1)</f>
        <v>1.2968730432811659E-2</v>
      </c>
      <c r="CO26" s="75">
        <f>IF(OR(IPC!CO26="",IPC!CC26=""),"",AVERAGE(IPC!CD26:CO26)/AVERAGE(IPC!BR26:CC26)-1)</f>
        <v>1.4440038012339063E-2</v>
      </c>
      <c r="CP26" s="75">
        <f>IF(OR(IPC!CP26="",IPC!CD26=""),"",AVERAGE(IPC!CE26:CP26)/AVERAGE(IPC!BS26:CD26)-1)</f>
        <v>1.4697731165703498E-2</v>
      </c>
      <c r="CQ26" s="75">
        <f>IF(OR(IPC!CQ26="",IPC!CE26=""),"",AVERAGE(IPC!CF26:CQ26)/AVERAGE(IPC!BT26:CE26)-1)</f>
        <v>1.3646118054449596E-2</v>
      </c>
      <c r="CR26" s="75">
        <f>IF(OR(IPC!CR26="",IPC!CF26=""),"",AVERAGE(IPC!CG26:CR26)/AVERAGE(IPC!BU26:CF26)-1)</f>
        <v>1.2335522270953359E-2</v>
      </c>
      <c r="CS26" s="75">
        <f>IF(OR(IPC!CS26="",IPC!CG26=""),"",AVERAGE(IPC!CH26:CS26)/AVERAGE(IPC!BV26:CG26)-1)</f>
        <v>1.3138845210205918E-2</v>
      </c>
      <c r="CT26" s="75">
        <f>IF(OR(IPC!CT26="",IPC!CH26=""),"",AVERAGE(IPC!CI26:CT26)/AVERAGE(IPC!BW26:CH26)-1)</f>
        <v>1.4749754241380142E-2</v>
      </c>
      <c r="CU26" s="75">
        <f>IF(OR(IPC!CU26="",IPC!CI26=""),"",AVERAGE(IPC!CJ26:CU26)/AVERAGE(IPC!BX26:CI26)-1)</f>
        <v>1.552750129053182E-2</v>
      </c>
      <c r="CV26" s="75">
        <f>IF(OR(IPC!CV26="",IPC!CJ26=""),"",AVERAGE(IPC!CK26:CV26)/AVERAGE(IPC!BY26:CJ26)-1)</f>
        <v>1.5181367417430369E-2</v>
      </c>
      <c r="CW26" s="75">
        <f>IF(OR(IPC!CW26="",IPC!CK26=""),"",AVERAGE(IPC!CL26:CW26)/AVERAGE(IPC!BZ26:CK26)-1)</f>
        <v>1.6453576157353877E-2</v>
      </c>
      <c r="CX26" s="75">
        <f>IF(OR(IPC!CX26="",IPC!CL26=""),"",AVERAGE(IPC!CM26:CX26)/AVERAGE(IPC!CA26:CL26)-1)</f>
        <v>1.8616553590987017E-2</v>
      </c>
      <c r="CY26" s="75">
        <f>IF(OR(IPC!CY26="",IPC!CM26=""),"",AVERAGE(IPC!CN26:CY26)/AVERAGE(IPC!CB26:CM26)-1)</f>
        <v>2.2739587811631434E-2</v>
      </c>
      <c r="CZ26" s="75">
        <f>IF(OR(IPC!CZ26="",IPC!CN26=""),"",AVERAGE(IPC!CO26:CZ26)/AVERAGE(IPC!CC26:CN26)-1)</f>
        <v>2.5687289915245826E-2</v>
      </c>
      <c r="DA26" s="75">
        <f>IF(OR(IPC!DA26="",IPC!CO26=""),"",AVERAGE(IPC!CP26:DA26)/AVERAGE(IPC!CD26:CO26)-1)</f>
        <v>2.9968762040032626E-2</v>
      </c>
      <c r="DB26" s="75">
        <f>IF(OR(IPC!DB26="",IPC!CP26=""),"",AVERAGE(IPC!CQ26:DB26)/AVERAGE(IPC!CE26:CP26)-1)</f>
        <v>3.5789308889251803E-2</v>
      </c>
      <c r="DC26" s="75">
        <f>IF(OR(IPC!DC26="",IPC!CQ26=""),"",AVERAGE(IPC!CR26:DC26)/AVERAGE(IPC!CF26:CQ26)-1)</f>
        <v>4.1945988349281649E-2</v>
      </c>
      <c r="DD26" s="75">
        <f>IF(OR(IPC!DD26="",IPC!CR26=""),"",AVERAGE(IPC!CS26:DD26)/AVERAGE(IPC!CG26:CR26)-1)</f>
        <v>4.6918703975520559E-2</v>
      </c>
      <c r="DE26" s="75">
        <f>IF(OR(IPC!DE26="",IPC!CS26=""),"",AVERAGE(IPC!CT26:DE26)/AVERAGE(IPC!CH26:CS26)-1)</f>
        <v>4.7369222958841384E-2</v>
      </c>
      <c r="DF26" s="75">
        <f>IF(OR(IPC!DF26="",IPC!CT26=""),"",AVERAGE(IPC!CU26:DF26)/AVERAGE(IPC!CI26:CT26)-1)</f>
        <v>4.7051399517374692E-2</v>
      </c>
      <c r="DG26" s="75">
        <f>IF(OR(IPC!DG26="",IPC!CU26=""),"",AVERAGE(IPC!CV26:DG26)/AVERAGE(IPC!CJ26:CU26)-1)</f>
        <v>4.6291501828522374E-2</v>
      </c>
      <c r="DH26" s="75">
        <f>IF(OR(IPC!DH26="",IPC!CV26=""),"",AVERAGE(IPC!CW26:DH26)/AVERAGE(IPC!CK26:CV26)-1)</f>
        <v>4.8263828528622987E-2</v>
      </c>
      <c r="DI26" s="75">
        <f>IF(OR(IPC!DI26="",IPC!CW26=""),"",AVERAGE(IPC!CX26:DI26)/AVERAGE(IPC!CL26:CW26)-1)</f>
        <v>4.8290568272561618E-2</v>
      </c>
      <c r="DJ26" s="75">
        <f>IF(OR(IPC!DJ26="",IPC!CX26=""),"",AVERAGE(IPC!CY26:DJ26)/AVERAGE(IPC!CM26:CX26)-1)</f>
        <v>4.7729482957088232E-2</v>
      </c>
      <c r="DK26" s="75">
        <f>IF(OR(IPC!DK26="",IPC!CY26=""),"",AVERAGE(IPC!CZ26:DK26)/AVERAGE(IPC!CN26:CY26)-1)</f>
        <v>4.61203673857149E-2</v>
      </c>
      <c r="DL26" s="75">
        <f>IF(OR(IPC!DL26="",IPC!CZ26=""),"",AVERAGE(IPC!DA26:DL26)/AVERAGE(IPC!CO26:CZ26)-1)</f>
        <v>4.5664055571270401E-2</v>
      </c>
      <c r="DM26" s="75">
        <f>IF(OR(IPC!DM26="",IPC!DA26=""),"",AVERAGE(IPC!DB26:DM26)/AVERAGE(IPC!CP26:DA26)-1)</f>
        <v>4.4443361423531336E-2</v>
      </c>
      <c r="DN26" s="75">
        <f>IF(OR(IPC!DN26="",IPC!DB26=""),"",AVERAGE(IPC!DC26:DN26)/AVERAGE(IPC!CQ26:DB26)-1)</f>
        <v>4.4145579619901731E-2</v>
      </c>
      <c r="DO26" s="75">
        <f>IF(OR(IPC!DO26="",IPC!DC26=""),"",AVERAGE(IPC!DD26:DO26)/AVERAGE(IPC!CR26:DC26)-1)</f>
        <v>4.3923397821843624E-2</v>
      </c>
      <c r="DP26" s="75">
        <f>IF(OR(IPC!DP26="",IPC!DD26=""),"",AVERAGE(IPC!DE26:DP26)/AVERAGE(IPC!CS26:DD26)-1)</f>
        <v>4.3920176840187342E-2</v>
      </c>
      <c r="DQ26" s="75">
        <f>IF(OR(IPC!DQ26="",IPC!DE26=""),"",AVERAGE(IPC!DF26:DQ26)/AVERAGE(IPC!CT26:DE26)-1)</f>
        <v>4.654791611285769E-2</v>
      </c>
      <c r="DR26" s="75">
        <f>IF(OR(IPC!DR26="",IPC!DF26=""),"",AVERAGE(IPC!DG26:DR26)/AVERAGE(IPC!CU26:DF26)-1)</f>
        <v>4.8260109166046394E-2</v>
      </c>
      <c r="DS26" s="75">
        <f>IF(OR(IPC!DS26="",IPC!DG26=""),"",AVERAGE(IPC!DH26:DS26)/AVERAGE(IPC!CV26:DG26)-1)</f>
        <v>4.9911629737346752E-2</v>
      </c>
      <c r="DT26" s="75">
        <f>IF(OR(IPC!DT26="",IPC!DH26=""),"",AVERAGE(IPC!DI26:DT26)/AVERAGE(IPC!CW26:DH26)-1)</f>
        <v>4.811637603671981E-2</v>
      </c>
      <c r="DU26" s="75">
        <f>IF(OR(IPC!DU26="",IPC!DI26=""),"",AVERAGE(IPC!DJ26:DU26)/AVERAGE(IPC!CX26:DI26)-1)</f>
        <v>4.7562537355397616E-2</v>
      </c>
      <c r="DV26" s="75">
        <f>IF(OR(IPC!DV26="",IPC!DJ26=""),"",AVERAGE(IPC!DK26:DV26)/AVERAGE(IPC!CY26:DJ26)-1)</f>
        <v>4.7116200377838702E-2</v>
      </c>
      <c r="DW26" s="75">
        <f>IF(OR(IPC!DW26="",IPC!DK26=""),"",AVERAGE(IPC!DL26:DW26)/AVERAGE(IPC!CZ26:DK26)-1)</f>
        <v>4.8422386373266457E-2</v>
      </c>
      <c r="DX26" s="75">
        <f>IF(OR(IPC!DX26="",IPC!DL26=""),"",AVERAGE(IPC!DM26:DX26)/AVERAGE(IPC!DA26:DL26)-1)</f>
        <v>4.9692744386782506E-2</v>
      </c>
      <c r="DY26" s="75">
        <f>IF(OR(IPC!DY26="",IPC!DM26=""),"",AVERAGE(IPC!DN26:DY26)/AVERAGE(IPC!DB26:DM26)-1)</f>
        <v>5.0400618722260315E-2</v>
      </c>
      <c r="DZ26" s="75">
        <f>IF(OR(IPC!DZ26="",IPC!DN26=""),"",AVERAGE(IPC!DO26:DZ26)/AVERAGE(IPC!DC26:DN26)-1)</f>
        <v>4.94125713589042E-2</v>
      </c>
      <c r="EA26" s="75">
        <f>IF(OR(IPC!EA26="",IPC!DO26=""),"",AVERAGE(IPC!DP26:EA26)/AVERAGE(IPC!DD26:DO26)-1)</f>
        <v>4.8566142383172917E-2</v>
      </c>
      <c r="EB26" s="75">
        <f>IF(OR(IPC!EB26="",IPC!DP26=""),"",AVERAGE(IPC!DQ26:EB26)/AVERAGE(IPC!DE26:DP26)-1)</f>
        <v>4.8072220137368005E-2</v>
      </c>
      <c r="EC26" s="75">
        <f>IF(OR(IPC!EC26="",IPC!DQ26=""),"",AVERAGE(IPC!DR26:EC26)/AVERAGE(IPC!DF26:DQ26)-1)</f>
        <v>4.5549203562836871E-2</v>
      </c>
      <c r="ED26" s="75">
        <f>IF(OR(IPC!ED26="",IPC!DR26=""),"",AVERAGE(IPC!DS26:ED26)/AVERAGE(IPC!DG26:DR26)-1)</f>
        <v>4.4913385413429596E-2</v>
      </c>
      <c r="EE26" s="75">
        <f>IF(OR(IPC!EE26="",IPC!DS26=""),"",AVERAGE(IPC!DT26:EE26)/AVERAGE(IPC!DH26:DS26)-1)</f>
        <v>4.6986214094894452E-2</v>
      </c>
      <c r="EF26" s="75">
        <f>IF(OR(IPC!EF26="",IPC!DT26=""),"",AVERAGE(IPC!DU26:EF26)/AVERAGE(IPC!DI26:DT26)-1)</f>
        <v>5.2323516500905498E-2</v>
      </c>
      <c r="EG26" s="75">
        <f>IF(OR(IPC!EG26="",IPC!DU26=""),"",AVERAGE(IPC!DV26:EG26)/AVERAGE(IPC!DJ26:DU26)-1)</f>
        <v>5.8112669639379666E-2</v>
      </c>
      <c r="EH26" s="75">
        <f>IF(OR(IPC!EH26="",IPC!DV26=""),"",AVERAGE(IPC!DW26:EH26)/AVERAGE(IPC!DK26:DV26)-1)</f>
        <v>6.3125725272382027E-2</v>
      </c>
      <c r="EI26" s="75">
        <f>IF(OR(IPC!EI26="",IPC!DW26=""),"",AVERAGE(IPC!DX26:EI26)/AVERAGE(IPC!DL26:DW26)-1)</f>
        <v>6.7681128203739949E-2</v>
      </c>
      <c r="EJ26" s="75">
        <f>IF(OR(IPC!EJ26="",IPC!DX26=""),"",AVERAGE(IPC!DY26:EJ26)/AVERAGE(IPC!DM26:DX26)-1)</f>
        <v>7.0612878449111571E-2</v>
      </c>
      <c r="EK26" s="75">
        <f>IF(OR(IPC!EK26="",IPC!DY26=""),"",AVERAGE(IPC!DZ26:EK26)/AVERAGE(IPC!DN26:DY26)-1)</f>
        <v>7.3232700064467915E-2</v>
      </c>
      <c r="EL26" s="75">
        <f>IF(OR(IPC!EL26="",IPC!DZ26=""),"",AVERAGE(IPC!EA26:EL26)/AVERAGE(IPC!DO26:DZ26)-1)</f>
        <v>7.5101233740262563E-2</v>
      </c>
      <c r="EM26" s="75">
        <f>IF(OR(IPC!EM26="",IPC!EA26=""),"",AVERAGE(IPC!EB26:EM26)/AVERAGE(IPC!DP26:EA26)-1)</f>
        <v>7.9389810065605415E-2</v>
      </c>
      <c r="EN26" s="75">
        <f>IF(OR(IPC!EN26="",IPC!EB26=""),"",AVERAGE(IPC!EC26:EN26)/AVERAGE(IPC!DQ26:EB26)-1)</f>
        <v>8.4436379710194354E-2</v>
      </c>
      <c r="EO26" s="75">
        <f>IF(OR(IPC!EO26="",IPC!EC26=""),"",AVERAGE(IPC!ED26:EO26)/AVERAGE(IPC!DR26:EC26)-1)</f>
        <v>9.1267631817915973E-2</v>
      </c>
      <c r="EP26" s="75">
        <f>IF(OR(IPC!EP26="",IPC!ED26=""),"",AVERAGE(IPC!EE26:EP26)/AVERAGE(IPC!DS26:ED26)-1)</f>
        <v>9.8510908273264031E-2</v>
      </c>
      <c r="EQ26" s="75">
        <f>IF(OR(IPC!EQ26="",IPC!EE26=""),"",AVERAGE(IPC!EF26:EQ26)/AVERAGE(IPC!DT26:EE26)-1)</f>
        <v>0.10152478767347506</v>
      </c>
      <c r="ER26" s="75">
        <f>IF(OR(IPC!ER26="",IPC!EF26=""),"",AVERAGE(IPC!EG26:ER26)/AVERAGE(IPC!DU26:EF26)-1)</f>
        <v>0.10453774198214472</v>
      </c>
      <c r="ES26" s="75">
        <f>IF(OR(IPC!ES26="",IPC!EG26=""),"",AVERAGE(IPC!EH26:ES26)/AVERAGE(IPC!DV26:EG26)-1)</f>
        <v>0.1060145239925232</v>
      </c>
      <c r="ET26" s="75">
        <f>IF(OR(IPC!ET26="",IPC!EH26=""),"",AVERAGE(IPC!EI26:ET26)/AVERAGE(IPC!DW26:EH26)-1)</f>
        <v>0.10838787275401285</v>
      </c>
      <c r="EU26" s="75">
        <f>IF(OR(IPC!EU26="",IPC!EI26=""),"",AVERAGE(IPC!EJ26:EU26)/AVERAGE(IPC!DX26:EI26)-1)</f>
        <v>0.11108880046544534</v>
      </c>
      <c r="EV26" s="75">
        <f>IF(OR(IPC!EV26="",IPC!EJ26=""),"",AVERAGE(IPC!EK26:EV26)/AVERAGE(IPC!DY26:EJ26)-1)</f>
        <v>0.11721211330717085</v>
      </c>
      <c r="EW26" s="75">
        <f>IF(OR(IPC!EW26="",IPC!EK26=""),"",AVERAGE(IPC!EL26:EW26)/AVERAGE(IPC!DZ26:EK26)-1)</f>
        <v>0.12468644403568296</v>
      </c>
      <c r="EX26" s="75">
        <f>IF(OR(IPC!EX26="",IPC!EL26=""),"",AVERAGE(IPC!EM26:EX26)/AVERAGE(IPC!EA26:EL26)-1)</f>
        <v>0.13274667547617813</v>
      </c>
      <c r="EY26" s="75">
        <f>IF(OR(IPC!EY26="",IPC!EM26=""),"",AVERAGE(IPC!EN26:EY26)/AVERAGE(IPC!EB26:EM26)-1)</f>
        <v>0.13858601802335757</v>
      </c>
      <c r="EZ26" s="75">
        <f>IF(OR(IPC!EZ26="",IPC!EN26=""),"",AVERAGE(IPC!EO26:EZ26)/AVERAGE(IPC!EC26:EN26)-1)</f>
        <v>0.1425822643614556</v>
      </c>
      <c r="FA26" s="75">
        <f>IF(OR(IPC!FA26="",IPC!EO26=""),"",AVERAGE(IPC!EP26:FA26)/AVERAGE(IPC!ED26:EO26)-1)</f>
        <v>0.14732552443134783</v>
      </c>
      <c r="FB26" s="75">
        <f>IF(OR(IPC!FB26="",IPC!EP26=""),"",AVERAGE(IPC!EQ26:FB26)/AVERAGE(IPC!EE26:EP26)-1)</f>
        <v>0.1488671772129988</v>
      </c>
      <c r="FC26" s="75">
        <f>IF(OR(IPC!FC26="",IPC!EQ26=""),"",AVERAGE(IPC!ER26:FC26)/AVERAGE(IPC!EF26:EQ26)-1)</f>
        <v>0.1513333333333331</v>
      </c>
      <c r="FD26" s="75">
        <f>IF(OR(IPC!FD26="",IPC!ER26=""),"",AVERAGE(IPC!ES26:FD26)/AVERAGE(IPC!EG26:ER26)-1)</f>
        <v>0.14771441949184605</v>
      </c>
      <c r="FE26" s="75">
        <f>IF(OR(IPC!FE26="",IPC!ES26=""),"",AVERAGE(IPC!ET26:FE26)/AVERAGE(IPC!EH26:ES26)-1)</f>
        <v>0.14575046861051555</v>
      </c>
      <c r="FF26" s="75">
        <f>IF(OR(IPC!FF26="",IPC!ET26=""),"",AVERAGE(IPC!EU26:FF26)/AVERAGE(IPC!EI26:ET26)-1)</f>
        <v>0.14224133073848044</v>
      </c>
      <c r="FG26" s="75">
        <f>IF(OR(IPC!FG26="",IPC!EU26=""),"",AVERAGE(IPC!EV26:FG26)/AVERAGE(IPC!EJ26:EU26)-1)</f>
        <v>0.13785811776221246</v>
      </c>
      <c r="FH26" s="75">
        <f>IF(OR(IPC!FH26="",IPC!EV26=""),"",AVERAGE(IPC!EW26:FH26)/AVERAGE(IPC!EK26:EV26)-1)</f>
        <v>0.12974670307952008</v>
      </c>
      <c r="FI26" s="75">
        <f>IF(OR(IPC!FI26="",IPC!EW26=""),"",AVERAGE(IPC!EX26:FI26)/AVERAGE(IPC!EL26:EW26)-1)</f>
        <v>0.12111851354071068</v>
      </c>
      <c r="FJ26" s="75">
        <f>IF(OR(IPC!FJ26="",IPC!EX26=""),"",AVERAGE(IPC!EY26:FJ26)/AVERAGE(IPC!EM26:EX26)-1)</f>
        <v>0.11403747129020059</v>
      </c>
      <c r="FK26" s="75">
        <f>IF(OR(IPC!FK26="",IPC!EY26=""),"",AVERAGE(IPC!EZ26:FK26)/AVERAGE(IPC!EN26:EY26)-1)</f>
        <v>0.10648975403641736</v>
      </c>
      <c r="FL26" s="75">
        <f>IF(OR(IPC!FL26="",IPC!EZ26=""),"",AVERAGE(IPC!FA26:FL26)/AVERAGE(IPC!EO26:EZ26)-1)</f>
        <v>0.10314047610581656</v>
      </c>
      <c r="FM26" s="75">
        <f>IF(OR(IPC!FM26="",IPC!FA26=""),"",AVERAGE(IPC!FB26:FM26)/AVERAGE(IPC!EP26:FA26)-1)</f>
        <v>9.7818228791147099E-2</v>
      </c>
      <c r="FN26" s="75">
        <f>IF(OR(IPC!FN26="",IPC!FB26=""),"",AVERAGE(IPC!FC26:FN26)/AVERAGE(IPC!EQ26:FB26)-1)</f>
        <v>9.3854480226619685E-2</v>
      </c>
      <c r="FO26" s="75">
        <f>IF(OR(IPC!FO26="",IPC!FC26=""),"",AVERAGE(IPC!FD26:FO26)/AVERAGE(IPC!ER26:FC26)-1)</f>
        <v>9.221192819918933E-2</v>
      </c>
      <c r="FP26" s="75">
        <f>IF(OR(IPC!FP26="",IPC!FD26=""),"",AVERAGE(IPC!FE26:FP26)/AVERAGE(IPC!ES26:FD26)-1)</f>
        <v>9.5142282265018974E-2</v>
      </c>
      <c r="FQ26" s="75">
        <f>IF(OR(IPC!FQ26="",IPC!FE26=""),"",AVERAGE(IPC!FF26:FQ26)/AVERAGE(IPC!ET26:FE26)-1)</f>
        <v>9.6242960005703537E-2</v>
      </c>
      <c r="FR26" s="75">
        <f>IF(OR(IPC!FR26="",IPC!FF26=""),"",AVERAGE(IPC!FG26:FR26)/AVERAGE(IPC!EU26:FF26)-1)</f>
        <v>0.10026908369919263</v>
      </c>
    </row>
    <row r="27" spans="1:174" s="81" customFormat="1" ht="10.199999999999999" x14ac:dyDescent="0.2">
      <c r="B27" s="81" t="s">
        <v>107</v>
      </c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>
        <f>IF(OR(IPC!AN27="",IPC!AB27=""),"",AVERAGE(IPC!AC27:AN27)/AVERAGE(IPC!Q27:AB27)-1)</f>
        <v>1.5142877262860344E-2</v>
      </c>
      <c r="AO27" s="84">
        <f>IF(OR(IPC!AO27="",IPC!AC27=""),"",AVERAGE(IPC!AD27:AO27)/AVERAGE(IPC!R27:AC27)-1)</f>
        <v>1.4151692827967466E-2</v>
      </c>
      <c r="AP27" s="84">
        <f>IF(OR(IPC!AP27="",IPC!AD27=""),"",AVERAGE(IPC!AE27:AP27)/AVERAGE(IPC!S27:AD27)-1)</f>
        <v>1.3387472026323621E-2</v>
      </c>
      <c r="AQ27" s="84">
        <f>IF(OR(IPC!AQ27="",IPC!AE27=""),"",AVERAGE(IPC!AF27:AQ27)/AVERAGE(IPC!T27:AE27)-1)</f>
        <v>1.252537034446366E-2</v>
      </c>
      <c r="AR27" s="84">
        <f>IF(OR(IPC!AR27="",IPC!AF27=""),"",AVERAGE(IPC!AG27:AR27)/AVERAGE(IPC!U27:AF27)-1)</f>
        <v>1.208617474744389E-2</v>
      </c>
      <c r="AS27" s="84">
        <f>IF(OR(IPC!AS27="",IPC!AG27=""),"",AVERAGE(IPC!AH27:AS27)/AVERAGE(IPC!V27:AG27)-1)</f>
        <v>1.1225143998142562E-2</v>
      </c>
      <c r="AT27" s="84">
        <f>IF(OR(IPC!AT27="",IPC!AH27=""),"",AVERAGE(IPC!AI27:AT27)/AVERAGE(IPC!W27:AH27)-1)</f>
        <v>1.234920887408153E-2</v>
      </c>
      <c r="AU27" s="84">
        <f>IF(OR(IPC!AU27="",IPC!AI27=""),"",AVERAGE(IPC!AJ27:AU27)/AVERAGE(IPC!X27:AI27)-1)</f>
        <v>1.3648245866764608E-2</v>
      </c>
      <c r="AV27" s="84">
        <f>IF(OR(IPC!AV27="",IPC!AJ27=""),"",AVERAGE(IPC!AK27:AV27)/AVERAGE(IPC!Y27:AJ27)-1)</f>
        <v>1.4778867035403209E-2</v>
      </c>
      <c r="AW27" s="84">
        <f>IF(OR(IPC!AW27="",IPC!AK27=""),"",AVERAGE(IPC!AL27:AW27)/AVERAGE(IPC!Z27:AK27)-1)</f>
        <v>1.5481404442224012E-2</v>
      </c>
      <c r="AX27" s="84">
        <f>IF(OR(IPC!AX27="",IPC!AL27=""),"",AVERAGE(IPC!AM27:AX27)/AVERAGE(IPC!AA27:AL27)-1)</f>
        <v>1.6366816178233767E-2</v>
      </c>
      <c r="AY27" s="84">
        <f>IF(OR(IPC!AY27="",IPC!AM27=""),"",AVERAGE(IPC!AN27:AY27)/AVERAGE(IPC!AB27:AM27)-1)</f>
        <v>1.7408978807340603E-2</v>
      </c>
      <c r="AZ27" s="84">
        <f>IF(OR(IPC!AZ27="",IPC!AN27=""),"",AVERAGE(IPC!AO27:AZ27)/AVERAGE(IPC!AC27:AN27)-1)</f>
        <v>1.8564996575486603E-2</v>
      </c>
      <c r="BA27" s="84">
        <f>IF(OR(IPC!BA27="",IPC!AO27=""),"",AVERAGE(IPC!AP27:BA27)/AVERAGE(IPC!AD27:AO27)-1)</f>
        <v>2.0195360339956725E-2</v>
      </c>
      <c r="BB27" s="84">
        <f>IF(OR(IPC!BB27="",IPC!AP27=""),"",AVERAGE(IPC!AQ27:BB27)/AVERAGE(IPC!AE27:AP27)-1)</f>
        <v>2.2086755293208027E-2</v>
      </c>
      <c r="BC27" s="84">
        <f>IF(OR(IPC!BC27="",IPC!AQ27=""),"",AVERAGE(IPC!AR27:BC27)/AVERAGE(IPC!AF27:AQ27)-1)</f>
        <v>2.4629163191956849E-2</v>
      </c>
      <c r="BD27" s="84">
        <f>IF(OR(IPC!BD27="",IPC!AR27=""),"",AVERAGE(IPC!AS27:BD27)/AVERAGE(IPC!AG27:AR27)-1)</f>
        <v>2.6810572347386152E-2</v>
      </c>
      <c r="BE27" s="84">
        <f>IF(OR(IPC!BE27="",IPC!AS27=""),"",AVERAGE(IPC!AT27:BE27)/AVERAGE(IPC!AH27:AS27)-1)</f>
        <v>2.9640004095605077E-2</v>
      </c>
      <c r="BF27" s="84">
        <f>IF(OR(IPC!BF27="",IPC!AT27=""),"",AVERAGE(IPC!AU27:BF27)/AVERAGE(IPC!AI27:AT27)-1)</f>
        <v>2.8878366131807942E-2</v>
      </c>
      <c r="BG27" s="84">
        <f>IF(OR(IPC!BG27="",IPC!AU27=""),"",AVERAGE(IPC!AV27:BG27)/AVERAGE(IPC!AJ27:AU27)-1)</f>
        <v>2.8166514499995188E-2</v>
      </c>
      <c r="BH27" s="84">
        <f>IF(OR(IPC!BH27="",IPC!AV27=""),"",AVERAGE(IPC!AW27:BH27)/AVERAGE(IPC!AK27:AV27)-1)</f>
        <v>2.7255938995659701E-2</v>
      </c>
      <c r="BI27" s="84">
        <f>IF(OR(IPC!BI27="",IPC!AW27=""),"",AVERAGE(IPC!AX27:BI27)/AVERAGE(IPC!AL27:AW27)-1)</f>
        <v>2.7030216618185499E-2</v>
      </c>
      <c r="BJ27" s="84">
        <f>IF(OR(IPC!BJ27="",IPC!AX27=""),"",AVERAGE(IPC!AY27:BJ27)/AVERAGE(IPC!AM27:AX27)-1)</f>
        <v>2.6048040060657529E-2</v>
      </c>
      <c r="BK27" s="84">
        <f>IF(OR(IPC!BK27="",IPC!AY27=""),"",AVERAGE(IPC!AZ27:BK27)/AVERAGE(IPC!AN27:AY27)-1)</f>
        <v>2.5009185240539633E-2</v>
      </c>
      <c r="BL27" s="84">
        <f>IF(OR(IPC!BL27="",IPC!AZ27=""),"",AVERAGE(IPC!BA27:BL27)/AVERAGE(IPC!AO27:AZ27)-1)</f>
        <v>2.4113623990103417E-2</v>
      </c>
      <c r="BM27" s="84">
        <f>IF(OR(IPC!BM27="",IPC!BA27=""),"",AVERAGE(IPC!BB27:BM27)/AVERAGE(IPC!AP27:BA27)-1)</f>
        <v>2.2284572535010705E-2</v>
      </c>
      <c r="BN27" s="84">
        <f>IF(OR(IPC!BN27="",IPC!BB27=""),"",AVERAGE(IPC!BC27:BN27)/AVERAGE(IPC!AQ27:BB27)-1)</f>
        <v>2.0359216810832415E-2</v>
      </c>
      <c r="BO27" s="84">
        <f>IF(OR(IPC!BO27="",IPC!BC27=""),"",AVERAGE(IPC!BD27:BO27)/AVERAGE(IPC!AR27:BC27)-1)</f>
        <v>1.7702312186367752E-2</v>
      </c>
      <c r="BP27" s="84">
        <f>IF(OR(IPC!BP27="",IPC!BD27=""),"",AVERAGE(IPC!BE27:BP27)/AVERAGE(IPC!AS27:BD27)-1)</f>
        <v>1.5271931418556761E-2</v>
      </c>
      <c r="BQ27" s="84">
        <f>IF(OR(IPC!BQ27="",IPC!BE27=""),"",AVERAGE(IPC!BF27:BQ27)/AVERAGE(IPC!AT27:BE27)-1)</f>
        <v>1.1983632458529181E-2</v>
      </c>
      <c r="BR27" s="84">
        <f>IF(OR(IPC!BR27="",IPC!BF27=""),"",AVERAGE(IPC!BG27:BR27)/AVERAGE(IPC!AU27:BF27)-1)</f>
        <v>1.0586563886655354E-2</v>
      </c>
      <c r="BS27" s="84">
        <f>IF(OR(IPC!BS27="",IPC!BG27=""),"",AVERAGE(IPC!BH27:BS27)/AVERAGE(IPC!AV27:BG27)-1)</f>
        <v>9.5480016004059198E-3</v>
      </c>
      <c r="BT27" s="84">
        <f>IF(OR(IPC!BT27="",IPC!BH27=""),"",AVERAGE(IPC!BI27:BT27)/AVERAGE(IPC!AW27:BH27)-1)</f>
        <v>8.4950859900108089E-3</v>
      </c>
      <c r="BU27" s="84">
        <f>IF(OR(IPC!BU27="",IPC!BI27=""),"",AVERAGE(IPC!BJ27:BU27)/AVERAGE(IPC!AX27:BI27)-1)</f>
        <v>7.4840672135403352E-3</v>
      </c>
      <c r="BV27" s="84">
        <f>IF(OR(IPC!BV27="",IPC!BJ27=""),"",AVERAGE(IPC!BK27:BV27)/AVERAGE(IPC!AY27:BJ27)-1)</f>
        <v>6.9550389543087121E-3</v>
      </c>
      <c r="BW27" s="84">
        <f>IF(OR(IPC!BW27="",IPC!BK27=""),"",AVERAGE(IPC!BL27:BW27)/AVERAGE(IPC!AZ27:BK27)-1)</f>
        <v>6.5080575726916834E-3</v>
      </c>
      <c r="BX27" s="84">
        <f>IF(OR(IPC!BX27="",IPC!BL27=""),"",AVERAGE(IPC!BM27:BX27)/AVERAGE(IPC!BA27:BL27)-1)</f>
        <v>5.9779162922346529E-3</v>
      </c>
      <c r="BY27" s="84">
        <f>IF(OR(IPC!BY27="",IPC!BM27=""),"",AVERAGE(IPC!BN27:BY27)/AVERAGE(IPC!BB27:BM27)-1)</f>
        <v>6.0173045054048302E-3</v>
      </c>
      <c r="BZ27" s="84">
        <f>IF(OR(IPC!BZ27="",IPC!BN27=""),"",AVERAGE(IPC!BO27:BZ27)/AVERAGE(IPC!BC27:BN27)-1)</f>
        <v>5.9100460030505619E-3</v>
      </c>
      <c r="CA27" s="84">
        <f>IF(OR(IPC!CA27="",IPC!BO27=""),"",AVERAGE(IPC!BP27:CA27)/AVERAGE(IPC!BD27:BO27)-1)</f>
        <v>6.1476188206130988E-3</v>
      </c>
      <c r="CB27" s="84">
        <f>IF(OR(IPC!CB27="",IPC!BP27=""),"",AVERAGE(IPC!BQ27:CB27)/AVERAGE(IPC!BE27:BP27)-1)</f>
        <v>6.2954683940699141E-3</v>
      </c>
      <c r="CC27" s="84">
        <f>IF(OR(IPC!CC27="",IPC!BQ27=""),"",AVERAGE(IPC!BR27:CC27)/AVERAGE(IPC!BF27:BQ27)-1)</f>
        <v>7.0375268499265342E-3</v>
      </c>
      <c r="CD27" s="84">
        <f>IF(OR(IPC!CD27="",IPC!BR27=""),"",AVERAGE(IPC!BS27:CD27)/AVERAGE(IPC!BG27:BR27)-1)</f>
        <v>7.6298584268972292E-3</v>
      </c>
      <c r="CE27" s="84">
        <f>IF(OR(IPC!CE27="",IPC!BS27=""),"",AVERAGE(IPC!BT27:CE27)/AVERAGE(IPC!BH27:BS27)-1)</f>
        <v>7.7452631423695628E-3</v>
      </c>
      <c r="CF27" s="84">
        <f>IF(OR(IPC!CF27="",IPC!BT27=""),"",AVERAGE(IPC!BU27:CF27)/AVERAGE(IPC!BI27:BT27)-1)</f>
        <v>7.99489495022776E-3</v>
      </c>
      <c r="CG27" s="84">
        <f>IF(OR(IPC!CG27="",IPC!BU27=""),"",AVERAGE(IPC!BV27:CG27)/AVERAGE(IPC!BJ27:BU27)-1)</f>
        <v>8.0780855153637088E-3</v>
      </c>
      <c r="CH27" s="84">
        <f>IF(OR(IPC!CH27="",IPC!BV27=""),"",AVERAGE(IPC!BW27:CH27)/AVERAGE(IPC!BK27:BV27)-1)</f>
        <v>8.1390384375636948E-3</v>
      </c>
      <c r="CI27" s="84">
        <f>IF(OR(IPC!CI27="",IPC!BW27=""),"",AVERAGE(IPC!BX27:CI27)/AVERAGE(IPC!BL27:BW27)-1)</f>
        <v>7.7418075763722172E-3</v>
      </c>
      <c r="CJ27" s="84">
        <f>IF(OR(IPC!CJ27="",IPC!BX27=""),"",AVERAGE(IPC!BY27:CJ27)/AVERAGE(IPC!BM27:BX27)-1)</f>
        <v>7.3679336660623651E-3</v>
      </c>
      <c r="CK27" s="84">
        <f>IF(OR(IPC!CK27="",IPC!BY27=""),"",AVERAGE(IPC!BZ27:CK27)/AVERAGE(IPC!BN27:BY27)-1)</f>
        <v>7.0423674663455671E-3</v>
      </c>
      <c r="CL27" s="84">
        <f>IF(OR(IPC!CL27="",IPC!BZ27=""),"",AVERAGE(IPC!CA27:CL27)/AVERAGE(IPC!BO27:BZ27)-1)</f>
        <v>6.7969232534046409E-3</v>
      </c>
      <c r="CM27" s="84">
        <f>IF(OR(IPC!CM27="",IPC!CA27=""),"",AVERAGE(IPC!CB27:CM27)/AVERAGE(IPC!BP27:CA27)-1)</f>
        <v>6.8013371882218454E-3</v>
      </c>
      <c r="CN27" s="84">
        <f>IF(OR(IPC!CN27="",IPC!CB27=""),"",AVERAGE(IPC!CC27:CN27)/AVERAGE(IPC!BQ27:CB27)-1)</f>
        <v>6.8988015152842141E-3</v>
      </c>
      <c r="CO27" s="84">
        <f>IF(OR(IPC!CO27="",IPC!CC27=""),"",AVERAGE(IPC!CD27:CO27)/AVERAGE(IPC!BR27:CC27)-1)</f>
        <v>6.9003382435361971E-3</v>
      </c>
      <c r="CP27" s="84">
        <f>IF(OR(IPC!CP27="",IPC!CD27=""),"",AVERAGE(IPC!CE27:CP27)/AVERAGE(IPC!BS27:CD27)-1)</f>
        <v>7.2005961207199931E-3</v>
      </c>
      <c r="CQ27" s="84">
        <f>IF(OR(IPC!CQ27="",IPC!CE27=""),"",AVERAGE(IPC!CF27:CQ27)/AVERAGE(IPC!BT27:CE27)-1)</f>
        <v>7.5376218000318129E-3</v>
      </c>
      <c r="CR27" s="84">
        <f>IF(OR(IPC!CR27="",IPC!CF27=""),"",AVERAGE(IPC!CG27:CR27)/AVERAGE(IPC!BU27:CF27)-1)</f>
        <v>7.9862609852892064E-3</v>
      </c>
      <c r="CS27" s="84">
        <f>IF(OR(IPC!CS27="",IPC!CG27=""),"",AVERAGE(IPC!CH27:CS27)/AVERAGE(IPC!BV27:CG27)-1)</f>
        <v>8.4828600138084909E-3</v>
      </c>
      <c r="CT27" s="84">
        <f>IF(OR(IPC!CT27="",IPC!CH27=""),"",AVERAGE(IPC!CI27:CT27)/AVERAGE(IPC!BW27:CH27)-1)</f>
        <v>8.9987536804319035E-3</v>
      </c>
      <c r="CU27" s="84">
        <f>IF(OR(IPC!CU27="",IPC!CI27=""),"",AVERAGE(IPC!CJ27:CU27)/AVERAGE(IPC!BX27:CI27)-1)</f>
        <v>1.0107180610704702E-2</v>
      </c>
      <c r="CV27" s="84">
        <f>IF(OR(IPC!CV27="",IPC!CJ27=""),"",AVERAGE(IPC!CK27:CV27)/AVERAGE(IPC!BY27:CJ27)-1)</f>
        <v>1.1264401018421744E-2</v>
      </c>
      <c r="CW27" s="84">
        <f>IF(OR(IPC!CW27="",IPC!CK27=""),"",AVERAGE(IPC!CL27:CW27)/AVERAGE(IPC!BZ27:CK27)-1)</f>
        <v>1.2543679306287192E-2</v>
      </c>
      <c r="CX27" s="84">
        <f>IF(OR(IPC!CX27="",IPC!CL27=""),"",AVERAGE(IPC!CM27:CX27)/AVERAGE(IPC!CA27:CL27)-1)</f>
        <v>1.4131247179851369E-2</v>
      </c>
      <c r="CY27" s="84">
        <f>IF(OR(IPC!CY27="",IPC!CM27=""),"",AVERAGE(IPC!CN27:CY27)/AVERAGE(IPC!CB27:CM27)-1)</f>
        <v>1.5427269361445894E-2</v>
      </c>
      <c r="CZ27" s="84">
        <f>IF(OR(IPC!CZ27="",IPC!CN27=""),"",AVERAGE(IPC!CO27:CZ27)/AVERAGE(IPC!CC27:CN27)-1)</f>
        <v>1.6570749687930597E-2</v>
      </c>
      <c r="DA27" s="84">
        <f>IF(OR(IPC!DA27="",IPC!CO27=""),"",AVERAGE(IPC!CP27:DA27)/AVERAGE(IPC!CD27:CO27)-1)</f>
        <v>1.7543795864057854E-2</v>
      </c>
      <c r="DB27" s="84">
        <f>IF(OR(IPC!DB27="",IPC!CP27=""),"",AVERAGE(IPC!CQ27:DB27)/AVERAGE(IPC!CE27:CP27)-1)</f>
        <v>1.8273578323676487E-2</v>
      </c>
      <c r="DC27" s="84">
        <f>IF(OR(IPC!DC27="",IPC!CQ27=""),"",AVERAGE(IPC!CR27:DC27)/AVERAGE(IPC!CF27:CQ27)-1)</f>
        <v>1.9174389384026824E-2</v>
      </c>
      <c r="DD27" s="84">
        <f>IF(OR(IPC!DD27="",IPC!CR27=""),"",AVERAGE(IPC!CS27:DD27)/AVERAGE(IPC!CG27:CR27)-1)</f>
        <v>1.9825368890541872E-2</v>
      </c>
      <c r="DE27" s="84">
        <f>IF(OR(IPC!DE27="",IPC!CS27=""),"",AVERAGE(IPC!CT27:DE27)/AVERAGE(IPC!CH27:CS27)-1)</f>
        <v>2.0743659498121847E-2</v>
      </c>
      <c r="DF27" s="84">
        <f>IF(OR(IPC!DF27="",IPC!CT27=""),"",AVERAGE(IPC!CU27:DF27)/AVERAGE(IPC!CI27:CT27)-1)</f>
        <v>2.186334251896338E-2</v>
      </c>
      <c r="DG27" s="84">
        <f>IF(OR(IPC!DG27="",IPC!CU27=""),"",AVERAGE(IPC!CV27:DG27)/AVERAGE(IPC!CJ27:CU27)-1)</f>
        <v>2.2721343392696935E-2</v>
      </c>
      <c r="DH27" s="84">
        <f>IF(OR(IPC!DH27="",IPC!CV27=""),"",AVERAGE(IPC!CW27:DH27)/AVERAGE(IPC!CK27:CV27)-1)</f>
        <v>2.3385240253384731E-2</v>
      </c>
      <c r="DI27" s="84">
        <f>IF(OR(IPC!DI27="",IPC!CW27=""),"",AVERAGE(IPC!CX27:DI27)/AVERAGE(IPC!CL27:CW27)-1)</f>
        <v>2.3764285603780744E-2</v>
      </c>
      <c r="DJ27" s="84">
        <f>IF(OR(IPC!DJ27="",IPC!CX27=""),"",AVERAGE(IPC!CY27:DJ27)/AVERAGE(IPC!CM27:CX27)-1)</f>
        <v>2.3756654678477096E-2</v>
      </c>
      <c r="DK27" s="84">
        <f>IF(OR(IPC!DK27="",IPC!CY27=""),"",AVERAGE(IPC!CZ27:DK27)/AVERAGE(IPC!CN27:CY27)-1)</f>
        <v>2.4039825063613574E-2</v>
      </c>
      <c r="DL27" s="84">
        <f>IF(OR(IPC!DL27="",IPC!CZ27=""),"",AVERAGE(IPC!DA27:DL27)/AVERAGE(IPC!CO27:CZ27)-1)</f>
        <v>2.3891171535510125E-2</v>
      </c>
      <c r="DM27" s="84">
        <f>IF(OR(IPC!DM27="",IPC!DA27=""),"",AVERAGE(IPC!DB27:DM27)/AVERAGE(IPC!CP27:DA27)-1)</f>
        <v>2.3735386995010987E-2</v>
      </c>
      <c r="DN27" s="84">
        <f>IF(OR(IPC!DN27="",IPC!DB27=""),"",AVERAGE(IPC!DC27:DN27)/AVERAGE(IPC!CQ27:DB27)-1)</f>
        <v>2.342371157433476E-2</v>
      </c>
      <c r="DO27" s="84">
        <f>IF(OR(IPC!DO27="",IPC!DC27=""),"",AVERAGE(IPC!DD27:DO27)/AVERAGE(IPC!CR27:DC27)-1)</f>
        <v>2.3094908201726216E-2</v>
      </c>
      <c r="DP27" s="84">
        <f>IF(OR(IPC!DP27="",IPC!DD27=""),"",AVERAGE(IPC!DE27:DP27)/AVERAGE(IPC!CS27:DD27)-1)</f>
        <v>2.2794879793423206E-2</v>
      </c>
      <c r="DQ27" s="84">
        <f>IF(OR(IPC!DQ27="",IPC!DE27=""),"",AVERAGE(IPC!DF27:DQ27)/AVERAGE(IPC!CT27:DE27)-1)</f>
        <v>2.2063604175364349E-2</v>
      </c>
      <c r="DR27" s="84">
        <f>IF(OR(IPC!DR27="",IPC!DF27=""),"",AVERAGE(IPC!DG27:DR27)/AVERAGE(IPC!CU27:DF27)-1)</f>
        <v>2.0983446065497624E-2</v>
      </c>
      <c r="DS27" s="84">
        <f>IF(OR(IPC!DS27="",IPC!DG27=""),"",AVERAGE(IPC!DH27:DS27)/AVERAGE(IPC!CV27:DG27)-1)</f>
        <v>2.0033200918268657E-2</v>
      </c>
      <c r="DT27" s="84">
        <f>IF(OR(IPC!DT27="",IPC!DH27=""),"",AVERAGE(IPC!DI27:DT27)/AVERAGE(IPC!CW27:DH27)-1)</f>
        <v>1.9304086531616749E-2</v>
      </c>
      <c r="DU27" s="84">
        <f>IF(OR(IPC!DU27="",IPC!DI27=""),"",AVERAGE(IPC!DJ27:DU27)/AVERAGE(IPC!CX27:DI27)-1)</f>
        <v>1.8536775231971614E-2</v>
      </c>
      <c r="DV27" s="84">
        <f>IF(OR(IPC!DV27="",IPC!DJ27=""),"",AVERAGE(IPC!DK27:DV27)/AVERAGE(IPC!CY27:DJ27)-1)</f>
        <v>1.784639629919238E-2</v>
      </c>
      <c r="DW27" s="84">
        <f>IF(OR(IPC!DW27="",IPC!DK27=""),"",AVERAGE(IPC!DL27:DW27)/AVERAGE(IPC!CZ27:DK27)-1)</f>
        <v>1.6428802674386178E-2</v>
      </c>
      <c r="DX27" s="84">
        <f>IF(OR(IPC!DX27="",IPC!DL27=""),"",AVERAGE(IPC!DM27:DX27)/AVERAGE(IPC!DA27:DL27)-1)</f>
        <v>1.5992045773388419E-2</v>
      </c>
      <c r="DY27" s="84">
        <f>IF(OR(IPC!DY27="",IPC!DM27=""),"",AVERAGE(IPC!DN27:DY27)/AVERAGE(IPC!DB27:DM27)-1)</f>
        <v>1.5873644905320949E-2</v>
      </c>
      <c r="DZ27" s="84">
        <f>IF(OR(IPC!DZ27="",IPC!DN27=""),"",AVERAGE(IPC!DO27:DZ27)/AVERAGE(IPC!DC27:DN27)-1)</f>
        <v>1.6079973298054329E-2</v>
      </c>
      <c r="EA27" s="84">
        <f>IF(OR(IPC!EA27="",IPC!DO27=""),"",AVERAGE(IPC!DP27:EA27)/AVERAGE(IPC!DD27:DO27)-1)</f>
        <v>1.6005852178477831E-2</v>
      </c>
      <c r="EB27" s="84">
        <f>IF(OR(IPC!EB27="",IPC!DP27=""),"",AVERAGE(IPC!DQ27:EB27)/AVERAGE(IPC!DE27:DP27)-1)</f>
        <v>1.617337629079163E-2</v>
      </c>
      <c r="EC27" s="84">
        <f>IF(OR(IPC!EC27="",IPC!DQ27=""),"",AVERAGE(IPC!DR27:EC27)/AVERAGE(IPC!DF27:DQ27)-1)</f>
        <v>1.6491335646332983E-2</v>
      </c>
      <c r="ED27" s="84">
        <f>IF(OR(IPC!ED27="",IPC!DR27=""),"",AVERAGE(IPC!DS27:ED27)/AVERAGE(IPC!DG27:DR27)-1)</f>
        <v>1.6931014741353057E-2</v>
      </c>
      <c r="EE27" s="84">
        <f>IF(OR(IPC!EE27="",IPC!DS27=""),"",AVERAGE(IPC!DT27:EE27)/AVERAGE(IPC!DH27:DS27)-1)</f>
        <v>1.7898052782306051E-2</v>
      </c>
      <c r="EF27" s="84">
        <f>IF(OR(IPC!EF27="",IPC!DT27=""),"",AVERAGE(IPC!DU27:EF27)/AVERAGE(IPC!DI27:DT27)-1)</f>
        <v>1.8993933351385328E-2</v>
      </c>
      <c r="EG27" s="84">
        <f>IF(OR(IPC!EG27="",IPC!DU27=""),"",AVERAGE(IPC!DV27:EG27)/AVERAGE(IPC!DJ27:DU27)-1)</f>
        <v>2.0374983446276529E-2</v>
      </c>
      <c r="EH27" s="84">
        <f>IF(OR(IPC!EH27="",IPC!DV27=""),"",AVERAGE(IPC!DW27:EH27)/AVERAGE(IPC!DK27:DV27)-1)</f>
        <v>2.2192377374172123E-2</v>
      </c>
      <c r="EI27" s="84">
        <f>IF(OR(IPC!EI27="",IPC!DW27=""),"",AVERAGE(IPC!DX27:EI27)/AVERAGE(IPC!DL27:DW27)-1)</f>
        <v>2.531018185243572E-2</v>
      </c>
      <c r="EJ27" s="84">
        <f>IF(OR(IPC!EJ27="",IPC!DX27=""),"",AVERAGE(IPC!DY27:EJ27)/AVERAGE(IPC!DM27:DX27)-1)</f>
        <v>2.8622957214962108E-2</v>
      </c>
      <c r="EK27" s="84">
        <f>IF(OR(IPC!EK27="",IPC!DY27=""),"",AVERAGE(IPC!DZ27:EK27)/AVERAGE(IPC!DN27:DY27)-1)</f>
        <v>3.1930002637392096E-2</v>
      </c>
      <c r="EL27" s="84">
        <f>IF(OR(IPC!EL27="",IPC!DZ27=""),"",AVERAGE(IPC!EA27:EL27)/AVERAGE(IPC!DO27:DZ27)-1)</f>
        <v>3.5443186772250002E-2</v>
      </c>
      <c r="EM27" s="84">
        <f>IF(OR(IPC!EM27="",IPC!EA27=""),"",AVERAGE(IPC!EB27:EM27)/AVERAGE(IPC!DP27:EA27)-1)</f>
        <v>3.960681649280029E-2</v>
      </c>
      <c r="EN27" s="84">
        <f>IF(OR(IPC!EN27="",IPC!EB27=""),"",AVERAGE(IPC!EC27:EN27)/AVERAGE(IPC!DQ27:EB27)-1)</f>
        <v>4.4065506649555886E-2</v>
      </c>
      <c r="EO27" s="84">
        <f>IF(OR(IPC!EO27="",IPC!EC27=""),"",AVERAGE(IPC!ED27:EO27)/AVERAGE(IPC!DR27:EC27)-1)</f>
        <v>4.8399404809618796E-2</v>
      </c>
      <c r="EP27" s="84">
        <f>IF(OR(IPC!EP27="",IPC!ED27=""),"",AVERAGE(IPC!EE27:EP27)/AVERAGE(IPC!DS27:ED27)-1)</f>
        <v>5.2868872884330065E-2</v>
      </c>
      <c r="EQ27" s="84">
        <f>IF(OR(IPC!EQ27="",IPC!EE27=""),"",AVERAGE(IPC!EF27:EQ27)/AVERAGE(IPC!DT27:EE27)-1)</f>
        <v>5.6218719385269678E-2</v>
      </c>
      <c r="ER27" s="84">
        <f>IF(OR(IPC!ER27="",IPC!EF27=""),"",AVERAGE(IPC!EG27:ER27)/AVERAGE(IPC!DU27:EF27)-1)</f>
        <v>5.915134481327855E-2</v>
      </c>
      <c r="ES27" s="84">
        <f>IF(OR(IPC!ES27="",IPC!EG27=""),"",AVERAGE(IPC!EH27:ES27)/AVERAGE(IPC!DV27:EG27)-1)</f>
        <v>6.2774345301012779E-2</v>
      </c>
      <c r="ET27" s="84">
        <f>IF(OR(IPC!ET27="",IPC!EH27=""),"",AVERAGE(IPC!EI27:ET27)/AVERAGE(IPC!DW27:EH27)-1)</f>
        <v>6.6203529752495882E-2</v>
      </c>
      <c r="EU27" s="84">
        <f>IF(OR(IPC!EU27="",IPC!EI27=""),"",AVERAGE(IPC!EJ27:EU27)/AVERAGE(IPC!DX27:EI27)-1)</f>
        <v>6.8217734552845188E-2</v>
      </c>
      <c r="EV27" s="84">
        <f>IF(OR(IPC!EV27="",IPC!EJ27=""),"",AVERAGE(IPC!EK27:EV27)/AVERAGE(IPC!DY27:EJ27)-1)</f>
        <v>6.878535521916862E-2</v>
      </c>
      <c r="EW27" s="84">
        <f>IF(OR(IPC!EW27="",IPC!EK27=""),"",AVERAGE(IPC!EL27:EW27)/AVERAGE(IPC!DZ27:EK27)-1)</f>
        <v>6.92745508758148E-2</v>
      </c>
      <c r="EX27" s="84">
        <f>IF(OR(IPC!EX27="",IPC!EL27=""),"",AVERAGE(IPC!EM27:EX27)/AVERAGE(IPC!EA27:EL27)-1)</f>
        <v>6.8877113173557936E-2</v>
      </c>
      <c r="EY27" s="84">
        <f>IF(OR(IPC!EY27="",IPC!EM27=""),"",AVERAGE(IPC!EN27:EY27)/AVERAGE(IPC!EB27:EM27)-1)</f>
        <v>6.7877163656935524E-2</v>
      </c>
      <c r="EZ27" s="84">
        <f>IF(OR(IPC!EZ27="",IPC!EN27=""),"",AVERAGE(IPC!EO27:EZ27)/AVERAGE(IPC!EC27:EN27)-1)</f>
        <v>6.6141193506336071E-2</v>
      </c>
      <c r="FA27" s="84">
        <f>IF(OR(IPC!FA27="",IPC!EO27=""),"",AVERAGE(IPC!EP27:FA27)/AVERAGE(IPC!ED27:EO27)-1)</f>
        <v>6.4132286004399575E-2</v>
      </c>
      <c r="FB27" s="84">
        <f>IF(OR(IPC!FB27="",IPC!EP27=""),"",AVERAGE(IPC!EQ27:FB27)/AVERAGE(IPC!EE27:EP27)-1)</f>
        <v>6.178758755455882E-2</v>
      </c>
      <c r="FC27" s="84">
        <f>IF(OR(IPC!FC27="",IPC!EQ27=""),"",AVERAGE(IPC!ER27:FC27)/AVERAGE(IPC!EF27:EQ27)-1)</f>
        <v>5.9749999999999748E-2</v>
      </c>
      <c r="FD27" s="84">
        <f>IF(OR(IPC!FD27="",IPC!ER27=""),"",AVERAGE(IPC!ES27:FD27)/AVERAGE(IPC!EG27:ER27)-1)</f>
        <v>5.7616708775205083E-2</v>
      </c>
      <c r="FE27" s="84">
        <f>IF(OR(IPC!FE27="",IPC!ES27=""),"",AVERAGE(IPC!ET27:FE27)/AVERAGE(IPC!EH27:ES27)-1)</f>
        <v>5.4437253199681512E-2</v>
      </c>
      <c r="FF27" s="84">
        <f>IF(OR(IPC!FF27="",IPC!ET27=""),"",AVERAGE(IPC!EU27:FF27)/AVERAGE(IPC!EI27:ET27)-1)</f>
        <v>5.0621587653939537E-2</v>
      </c>
      <c r="FG27" s="84">
        <f>IF(OR(IPC!FG27="",IPC!EU27=""),"",AVERAGE(IPC!EV27:FG27)/AVERAGE(IPC!EJ27:EU27)-1)</f>
        <v>4.7090431899659224E-2</v>
      </c>
      <c r="FH27" s="84">
        <f>IF(OR(IPC!FH27="",IPC!EV27=""),"",AVERAGE(IPC!EW27:FH27)/AVERAGE(IPC!EK27:EV27)-1)</f>
        <v>4.4471857504642331E-2</v>
      </c>
      <c r="FI27" s="84">
        <f>IF(OR(IPC!FI27="",IPC!EW27=""),"",AVERAGE(IPC!EX27:FI27)/AVERAGE(IPC!EL27:EW27)-1)</f>
        <v>4.1422037146494395E-2</v>
      </c>
      <c r="FJ27" s="84">
        <f>IF(OR(IPC!FJ27="",IPC!EX27=""),"",AVERAGE(IPC!EY27:FJ27)/AVERAGE(IPC!EM27:EX27)-1)</f>
        <v>3.8872523942289794E-2</v>
      </c>
      <c r="FK27" s="84">
        <f>IF(OR(IPC!FK27="",IPC!EY27=""),"",AVERAGE(IPC!EZ27:FK27)/AVERAGE(IPC!EN27:EY27)-1)</f>
        <v>3.6433401135767651E-2</v>
      </c>
      <c r="FL27" s="84">
        <f>IF(OR(IPC!FL27="",IPC!EZ27=""),"",AVERAGE(IPC!FA27:FL27)/AVERAGE(IPC!EO27:EZ27)-1)</f>
        <v>3.4366378652091578E-2</v>
      </c>
      <c r="FM27" s="84">
        <f>IF(OR(IPC!FM27="",IPC!FA27=""),"",AVERAGE(IPC!FB27:FM27)/AVERAGE(IPC!EP27:FA27)-1)</f>
        <v>3.2809451137791878E-2</v>
      </c>
      <c r="FN27" s="84">
        <f>IF(OR(IPC!FN27="",IPC!FB27=""),"",AVERAGE(IPC!FC27:FN27)/AVERAGE(IPC!EQ27:FB27)-1)</f>
        <v>3.163160491406658E-2</v>
      </c>
      <c r="FO27" s="84">
        <f>IF(OR(IPC!FO27="",IPC!FC27=""),"",AVERAGE(IPC!FD27:FO27)/AVERAGE(IPC!ER27:FC27)-1)</f>
        <v>3.0903514979948365E-2</v>
      </c>
      <c r="FP27" s="84">
        <f>IF(OR(IPC!FP27="",IPC!FD27=""),"",AVERAGE(IPC!FE27:FP27)/AVERAGE(IPC!ES27:FD27)-1)</f>
        <v>3.0490672519203788E-2</v>
      </c>
      <c r="FQ27" s="84">
        <f>IF(OR(IPC!FQ27="",IPC!FE27=""),"",AVERAGE(IPC!FF27:FQ27)/AVERAGE(IPC!ET27:FE27)-1)</f>
        <v>2.9460029694459822E-2</v>
      </c>
      <c r="FR27" s="84">
        <f>IF(OR(IPC!FR27="",IPC!FF27=""),"",AVERAGE(IPC!FG27:FR27)/AVERAGE(IPC!EU27:FF27)-1)</f>
        <v>2.852466682253918E-2</v>
      </c>
    </row>
    <row r="28" spans="1:174" s="74" customFormat="1" ht="10.199999999999999" x14ac:dyDescent="0.2"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75"/>
      <c r="DE28" s="75"/>
      <c r="DF28" s="75"/>
      <c r="DG28" s="75"/>
      <c r="DH28" s="75"/>
      <c r="DI28" s="75"/>
      <c r="DJ28" s="75"/>
      <c r="DK28" s="75"/>
      <c r="DL28" s="75"/>
      <c r="DM28" s="7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75"/>
      <c r="EC28" s="75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75"/>
      <c r="FF28" s="75"/>
      <c r="FG28" s="75"/>
      <c r="FH28" s="75"/>
      <c r="FI28" s="75"/>
    </row>
    <row r="29" spans="1:174" s="74" customFormat="1" ht="10.199999999999999" x14ac:dyDescent="0.2">
      <c r="B29" s="3" t="s">
        <v>108</v>
      </c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>
        <f>IF(OR(IPC!AN29="",IPC!AB29=""),"",AVERAGE(IPC!AC29:AN29)/AVERAGE(IPC!Q29:AB29)-1)</f>
        <v>3.0371709647055933E-2</v>
      </c>
      <c r="AO29" s="75">
        <f>IF(OR(IPC!AO29="",IPC!AC29=""),"",AVERAGE(IPC!AD29:AO29)/AVERAGE(IPC!R29:AC29)-1)</f>
        <v>2.8964725643753297E-2</v>
      </c>
      <c r="AP29" s="75">
        <f>IF(OR(IPC!AP29="",IPC!AD29=""),"",AVERAGE(IPC!AE29:AP29)/AVERAGE(IPC!S29:AD29)-1)</f>
        <v>2.7061210496121202E-2</v>
      </c>
      <c r="AQ29" s="75">
        <f>IF(OR(IPC!AQ29="",IPC!AE29=""),"",AVERAGE(IPC!AF29:AQ29)/AVERAGE(IPC!T29:AE29)-1)</f>
        <v>2.6901383902453224E-2</v>
      </c>
      <c r="AR29" s="75">
        <f>IF(OR(IPC!AR29="",IPC!AF29=""),"",AVERAGE(IPC!AG29:AR29)/AVERAGE(IPC!U29:AF29)-1)</f>
        <v>2.7008969720025089E-2</v>
      </c>
      <c r="AS29" s="75">
        <f>IF(OR(IPC!AS29="",IPC!AG29=""),"",AVERAGE(IPC!AH29:AS29)/AVERAGE(IPC!V29:AG29)-1)</f>
        <v>2.5212882765808242E-2</v>
      </c>
      <c r="AT29" s="75">
        <f>IF(OR(IPC!AT29="",IPC!AH29=""),"",AVERAGE(IPC!AI29:AT29)/AVERAGE(IPC!W29:AH29)-1)</f>
        <v>2.4784673439729676E-2</v>
      </c>
      <c r="AU29" s="75">
        <f>IF(OR(IPC!AU29="",IPC!AI29=""),"",AVERAGE(IPC!AJ29:AU29)/AVERAGE(IPC!X29:AI29)-1)</f>
        <v>2.4125148914804884E-2</v>
      </c>
      <c r="AV29" s="75">
        <f>IF(OR(IPC!AV29="",IPC!AJ29=""),"",AVERAGE(IPC!AK29:AV29)/AVERAGE(IPC!Y29:AJ29)-1)</f>
        <v>2.2343278781410625E-2</v>
      </c>
      <c r="AW29" s="75">
        <f>IF(OR(IPC!AW29="",IPC!AK29=""),"",AVERAGE(IPC!AL29:AW29)/AVERAGE(IPC!Z29:AK29)-1)</f>
        <v>1.8912248569524559E-2</v>
      </c>
      <c r="AX29" s="75">
        <f>IF(OR(IPC!AX29="",IPC!AL29=""),"",AVERAGE(IPC!AM29:AX29)/AVERAGE(IPC!AA29:AL29)-1)</f>
        <v>1.6452084108930842E-2</v>
      </c>
      <c r="AY29" s="75">
        <f>IF(OR(IPC!AY29="",IPC!AM29=""),"",AVERAGE(IPC!AN29:AY29)/AVERAGE(IPC!AB29:AM29)-1)</f>
        <v>1.6430564403958403E-2</v>
      </c>
      <c r="AZ29" s="75">
        <f>IF(OR(IPC!AZ29="",IPC!AN29=""),"",AVERAGE(IPC!AO29:AZ29)/AVERAGE(IPC!AC29:AN29)-1)</f>
        <v>1.6370794293699031E-2</v>
      </c>
      <c r="BA29" s="75">
        <f>IF(OR(IPC!BA29="",IPC!AO29=""),"",AVERAGE(IPC!AP29:BA29)/AVERAGE(IPC!AD29:AO29)-1)</f>
        <v>1.603914234480186E-2</v>
      </c>
      <c r="BB29" s="75">
        <f>IF(OR(IPC!BB29="",IPC!AP29=""),"",AVERAGE(IPC!AQ29:BB29)/AVERAGE(IPC!AE29:AP29)-1)</f>
        <v>1.6106183427668119E-2</v>
      </c>
      <c r="BC29" s="75">
        <f>IF(OR(IPC!BC29="",IPC!AQ29=""),"",AVERAGE(IPC!AR29:BC29)/AVERAGE(IPC!AF29:AQ29)-1)</f>
        <v>1.7784099011206145E-2</v>
      </c>
      <c r="BD29" s="75">
        <f>IF(OR(IPC!BD29="",IPC!AR29=""),"",AVERAGE(IPC!AS29:BD29)/AVERAGE(IPC!AG29:AR29)-1)</f>
        <v>1.9013641463166975E-2</v>
      </c>
      <c r="BE29" s="75">
        <f>IF(OR(IPC!BE29="",IPC!AS29=""),"",AVERAGE(IPC!AT29:BE29)/AVERAGE(IPC!AH29:AS29)-1)</f>
        <v>2.2942710819067402E-2</v>
      </c>
      <c r="BF29" s="75">
        <f>IF(OR(IPC!BF29="",IPC!AT29=""),"",AVERAGE(IPC!AU29:BF29)/AVERAGE(IPC!AI29:AT29)-1)</f>
        <v>2.5065849799934092E-2</v>
      </c>
      <c r="BG29" s="75">
        <f>IF(OR(IPC!BG29="",IPC!AU29=""),"",AVERAGE(IPC!AV29:BG29)/AVERAGE(IPC!AJ29:AU29)-1)</f>
        <v>2.698048862665714E-2</v>
      </c>
      <c r="BH29" s="75">
        <f>IF(OR(IPC!BH29="",IPC!AV29=""),"",AVERAGE(IPC!AW29:BH29)/AVERAGE(IPC!AK29:AV29)-1)</f>
        <v>2.923616638001314E-2</v>
      </c>
      <c r="BI29" s="75">
        <f>IF(OR(IPC!BI29="",IPC!AW29=""),"",AVERAGE(IPC!AX29:BI29)/AVERAGE(IPC!AL29:AW29)-1)</f>
        <v>3.2896038451154741E-2</v>
      </c>
      <c r="BJ29" s="75">
        <f>IF(OR(IPC!BJ29="",IPC!AX29=""),"",AVERAGE(IPC!AY29:BJ29)/AVERAGE(IPC!AM29:AX29)-1)</f>
        <v>3.3120749196629218E-2</v>
      </c>
      <c r="BK29" s="75">
        <f>IF(OR(IPC!BK29="",IPC!AY29=""),"",AVERAGE(IPC!AZ29:BK29)/AVERAGE(IPC!AN29:AY29)-1)</f>
        <v>3.295430554024259E-2</v>
      </c>
      <c r="BL29" s="75">
        <f>IF(OR(IPC!BL29="",IPC!AZ29=""),"",AVERAGE(IPC!BA29:BL29)/AVERAGE(IPC!AO29:AZ29)-1)</f>
        <v>3.3694426423170443E-2</v>
      </c>
      <c r="BM29" s="75">
        <f>IF(OR(IPC!BM29="",IPC!BA29=""),"",AVERAGE(IPC!BB29:BM29)/AVERAGE(IPC!AP29:BA29)-1)</f>
        <v>3.3385347901429219E-2</v>
      </c>
      <c r="BN29" s="75">
        <f>IF(OR(IPC!BN29="",IPC!BB29=""),"",AVERAGE(IPC!BC29:BN29)/AVERAGE(IPC!AQ29:BB29)-1)</f>
        <v>3.4428661436004759E-2</v>
      </c>
      <c r="BO29" s="75">
        <f>IF(OR(IPC!BO29="",IPC!BC29=""),"",AVERAGE(IPC!BD29:BO29)/AVERAGE(IPC!AR29:BC29)-1)</f>
        <v>3.2796461163135504E-2</v>
      </c>
      <c r="BP29" s="75">
        <f>IF(OR(IPC!BP29="",IPC!BD29=""),"",AVERAGE(IPC!BE29:BP29)/AVERAGE(IPC!AS29:BD29)-1)</f>
        <v>3.2650644750601199E-2</v>
      </c>
      <c r="BQ29" s="75">
        <f>IF(OR(IPC!BQ29="",IPC!BE29=""),"",AVERAGE(IPC!BF29:BQ29)/AVERAGE(IPC!AT29:BE29)-1)</f>
        <v>2.9497596699517237E-2</v>
      </c>
      <c r="BR29" s="75">
        <f>IF(OR(IPC!BR29="",IPC!BF29=""),"",AVERAGE(IPC!BG29:BR29)/AVERAGE(IPC!AU29:BF29)-1)</f>
        <v>2.6314701653171513E-2</v>
      </c>
      <c r="BS29" s="75">
        <f>IF(OR(IPC!BS29="",IPC!BG29=""),"",AVERAGE(IPC!BH29:BS29)/AVERAGE(IPC!AV29:BG29)-1)</f>
        <v>2.5089372318191971E-2</v>
      </c>
      <c r="BT29" s="75">
        <f>IF(OR(IPC!BT29="",IPC!BH29=""),"",AVERAGE(IPC!BI29:BT29)/AVERAGE(IPC!AW29:BH29)-1)</f>
        <v>2.2932947921203484E-2</v>
      </c>
      <c r="BU29" s="75">
        <f>IF(OR(IPC!BU29="",IPC!BI29=""),"",AVERAGE(IPC!BJ29:BU29)/AVERAGE(IPC!AX29:BI29)-1)</f>
        <v>1.9528000140532908E-2</v>
      </c>
      <c r="BV29" s="75">
        <f>IF(OR(IPC!BV29="",IPC!BJ29=""),"",AVERAGE(IPC!BK29:BV29)/AVERAGE(IPC!AY29:BJ29)-1)</f>
        <v>1.8586261399461623E-2</v>
      </c>
      <c r="BW29" s="75">
        <f>IF(OR(IPC!BW29="",IPC!BK29=""),"",AVERAGE(IPC!BL29:BW29)/AVERAGE(IPC!AZ29:BK29)-1)</f>
        <v>1.6335209902750059E-2</v>
      </c>
      <c r="BX29" s="75">
        <f>IF(OR(IPC!BX29="",IPC!BL29=""),"",AVERAGE(IPC!BM29:BX29)/AVERAGE(IPC!BA29:BL29)-1)</f>
        <v>1.3810136258858297E-2</v>
      </c>
      <c r="BY29" s="75">
        <f>IF(OR(IPC!BY29="",IPC!BM29=""),"",AVERAGE(IPC!BN29:BY29)/AVERAGE(IPC!BB29:BM29)-1)</f>
        <v>1.2009565603473771E-2</v>
      </c>
      <c r="BZ29" s="75">
        <f>IF(OR(IPC!BZ29="",IPC!BN29=""),"",AVERAGE(IPC!BO29:BZ29)/AVERAGE(IPC!BC29:BN29)-1)</f>
        <v>9.1508389002308288E-3</v>
      </c>
      <c r="CA29" s="75">
        <f>IF(OR(IPC!CA29="",IPC!BO29=""),"",AVERAGE(IPC!BP29:CA29)/AVERAGE(IPC!BD29:BO29)-1)</f>
        <v>8.0212632735736644E-3</v>
      </c>
      <c r="CB29" s="75">
        <f>IF(OR(IPC!CB29="",IPC!BP29=""),"",AVERAGE(IPC!BQ29:CB29)/AVERAGE(IPC!BE29:BP29)-1)</f>
        <v>4.433397012133522E-3</v>
      </c>
      <c r="CC29" s="75">
        <f>IF(OR(IPC!CC29="",IPC!BQ29=""),"",AVERAGE(IPC!BR29:CC29)/AVERAGE(IPC!BF29:BQ29)-1)</f>
        <v>3.1467352062353182E-3</v>
      </c>
      <c r="CD29" s="75">
        <f>IF(OR(IPC!CD29="",IPC!BR29=""),"",AVERAGE(IPC!BS29:CD29)/AVERAGE(IPC!BG29:BR29)-1)</f>
        <v>2.4522107466655729E-3</v>
      </c>
      <c r="CE29" s="75">
        <f>IF(OR(IPC!CE29="",IPC!BS29=""),"",AVERAGE(IPC!BT29:CE29)/AVERAGE(IPC!BH29:BS29)-1)</f>
        <v>8.3562290965333297E-4</v>
      </c>
      <c r="CF29" s="75">
        <f>IF(OR(IPC!CF29="",IPC!BT29=""),"",AVERAGE(IPC!BU29:CF29)/AVERAGE(IPC!BI29:BT29)-1)</f>
        <v>8.0797055021752939E-4</v>
      </c>
      <c r="CG29" s="75">
        <f>IF(OR(IPC!CG29="",IPC!BU29=""),"",AVERAGE(IPC!BV29:CG29)/AVERAGE(IPC!BJ29:BU29)-1)</f>
        <v>2.1478037879170131E-3</v>
      </c>
      <c r="CH29" s="75">
        <f>IF(OR(IPC!CH29="",IPC!BV29=""),"",AVERAGE(IPC!BW29:CH29)/AVERAGE(IPC!BK29:BV29)-1)</f>
        <v>2.8087994498622315E-3</v>
      </c>
      <c r="CI29" s="75">
        <f>IF(OR(IPC!CI29="",IPC!BW29=""),"",AVERAGE(IPC!BX29:CI29)/AVERAGE(IPC!BL29:BW29)-1)</f>
        <v>4.5484924661542969E-3</v>
      </c>
      <c r="CJ29" s="75">
        <f>IF(OR(IPC!CJ29="",IPC!BX29=""),"",AVERAGE(IPC!BY29:CJ29)/AVERAGE(IPC!BM29:BX29)-1)</f>
        <v>6.8181800207647303E-3</v>
      </c>
      <c r="CK29" s="75">
        <f>IF(OR(IPC!CK29="",IPC!BY29=""),"",AVERAGE(IPC!BZ29:CK29)/AVERAGE(IPC!BN29:BY29)-1)</f>
        <v>8.2188356467334245E-3</v>
      </c>
      <c r="CL29" s="75">
        <f>IF(OR(IPC!CL29="",IPC!BZ29=""),"",AVERAGE(IPC!CA29:CL29)/AVERAGE(IPC!BO29:BZ29)-1)</f>
        <v>9.4586261707019226E-3</v>
      </c>
      <c r="CM29" s="75">
        <f>IF(OR(IPC!CM29="",IPC!CA29=""),"",AVERAGE(IPC!CB29:CM29)/AVERAGE(IPC!BP29:CA29)-1)</f>
        <v>8.7752990057050617E-3</v>
      </c>
      <c r="CN29" s="75">
        <f>IF(OR(IPC!CN29="",IPC!CB29=""),"",AVERAGE(IPC!CC29:CN29)/AVERAGE(IPC!BQ29:CB29)-1)</f>
        <v>9.5449510622063194E-3</v>
      </c>
      <c r="CO29" s="75">
        <f>IF(OR(IPC!CO29="",IPC!CC29=""),"",AVERAGE(IPC!CD29:CO29)/AVERAGE(IPC!BR29:CC29)-1)</f>
        <v>9.4356526843757393E-3</v>
      </c>
      <c r="CP29" s="75">
        <f>IF(OR(IPC!CP29="",IPC!CD29=""),"",AVERAGE(IPC!CE29:CP29)/AVERAGE(IPC!BS29:CD29)-1)</f>
        <v>8.7585365007762928E-3</v>
      </c>
      <c r="CQ29" s="75">
        <f>IF(OR(IPC!CQ29="",IPC!CE29=""),"",AVERAGE(IPC!CF29:CQ29)/AVERAGE(IPC!BT29:CE29)-1)</f>
        <v>7.1828754148310914E-3</v>
      </c>
      <c r="CR29" s="75">
        <f>IF(OR(IPC!CR29="",IPC!CF29=""),"",AVERAGE(IPC!CG29:CR29)/AVERAGE(IPC!BU29:CF29)-1)</f>
        <v>5.4517712823614062E-3</v>
      </c>
      <c r="CS29" s="75">
        <f>IF(OR(IPC!CS29="",IPC!CG29=""),"",AVERAGE(IPC!CH29:CS29)/AVERAGE(IPC!BV29:CG29)-1)</f>
        <v>4.5877936248879259E-3</v>
      </c>
      <c r="CT29" s="75">
        <f>IF(OR(IPC!CT29="",IPC!CH29=""),"",AVERAGE(IPC!CI29:CT29)/AVERAGE(IPC!BW29:CH29)-1)</f>
        <v>4.1930652153931991E-3</v>
      </c>
      <c r="CU29" s="75">
        <f>IF(OR(IPC!CU29="",IPC!CI29=""),"",AVERAGE(IPC!CJ29:CU29)/AVERAGE(IPC!BX29:CI29)-1)</f>
        <v>4.0921164752227845E-3</v>
      </c>
      <c r="CV29" s="75">
        <f>IF(OR(IPC!CV29="",IPC!CJ29=""),"",AVERAGE(IPC!CK29:CV29)/AVERAGE(IPC!BY29:CJ29)-1)</f>
        <v>2.9550468198198399E-3</v>
      </c>
      <c r="CW29" s="75">
        <f>IF(OR(IPC!CW29="",IPC!CK29=""),"",AVERAGE(IPC!CL29:CW29)/AVERAGE(IPC!BZ29:CK29)-1)</f>
        <v>3.7493795975036548E-3</v>
      </c>
      <c r="CX29" s="75">
        <f>IF(OR(IPC!CX29="",IPC!CL29=""),"",AVERAGE(IPC!CM29:CX29)/AVERAGE(IPC!CA29:CL29)-1)</f>
        <v>5.4967542133683711E-3</v>
      </c>
      <c r="CY29" s="75">
        <f>IF(OR(IPC!CY29="",IPC!CM29=""),"",AVERAGE(IPC!CN29:CY29)/AVERAGE(IPC!CB29:CM29)-1)</f>
        <v>8.580107396328529E-3</v>
      </c>
      <c r="CZ29" s="75">
        <f>IF(OR(IPC!CZ29="",IPC!CN29=""),"",AVERAGE(IPC!CO29:CZ29)/AVERAGE(IPC!CC29:CN29)-1)</f>
        <v>1.1089777109161369E-2</v>
      </c>
      <c r="DA29" s="75">
        <f>IF(OR(IPC!DA29="",IPC!CO29=""),"",AVERAGE(IPC!CP29:DA29)/AVERAGE(IPC!CD29:CO29)-1)</f>
        <v>1.4437003534993664E-2</v>
      </c>
      <c r="DB29" s="75">
        <f>IF(OR(IPC!DB29="",IPC!CP29=""),"",AVERAGE(IPC!CQ29:DB29)/AVERAGE(IPC!CE29:CP29)-1)</f>
        <v>1.9405870475290188E-2</v>
      </c>
      <c r="DC29" s="75">
        <f>IF(OR(IPC!DC29="",IPC!CQ29=""),"",AVERAGE(IPC!CR29:DC29)/AVERAGE(IPC!CF29:CQ29)-1)</f>
        <v>2.5121705611516498E-2</v>
      </c>
      <c r="DD29" s="75">
        <f>IF(OR(IPC!DD29="",IPC!CR29=""),"",AVERAGE(IPC!CS29:DD29)/AVERAGE(IPC!CG29:CR29)-1)</f>
        <v>2.9472897107029716E-2</v>
      </c>
      <c r="DE29" s="75">
        <f>IF(OR(IPC!DE29="",IPC!CS29=""),"",AVERAGE(IPC!CT29:DE29)/AVERAGE(IPC!CH29:CS29)-1)</f>
        <v>3.2299971431610563E-2</v>
      </c>
      <c r="DF29" s="75">
        <f>IF(OR(IPC!DF29="",IPC!CT29=""),"",AVERAGE(IPC!CU29:DF29)/AVERAGE(IPC!CI29:CT29)-1)</f>
        <v>3.5483169513889079E-2</v>
      </c>
      <c r="DG29" s="75">
        <f>IF(OR(IPC!DG29="",IPC!CU29=""),"",AVERAGE(IPC!CV29:DG29)/AVERAGE(IPC!CJ29:CU29)-1)</f>
        <v>3.8179123044782326E-2</v>
      </c>
      <c r="DH29" s="75">
        <f>IF(OR(IPC!DH29="",IPC!CV29=""),"",AVERAGE(IPC!CW29:DH29)/AVERAGE(IPC!CK29:CV29)-1)</f>
        <v>4.2415480043666021E-2</v>
      </c>
      <c r="DI29" s="75">
        <f>IF(OR(IPC!DI29="",IPC!CW29=""),"",AVERAGE(IPC!CX29:DI29)/AVERAGE(IPC!CL29:CW29)-1)</f>
        <v>4.4697675491894184E-2</v>
      </c>
      <c r="DJ29" s="75">
        <f>IF(OR(IPC!DJ29="",IPC!CX29=""),"",AVERAGE(IPC!CY29:DJ29)/AVERAGE(IPC!CM29:CX29)-1)</f>
        <v>4.6501572861401996E-2</v>
      </c>
      <c r="DK29" s="75">
        <f>IF(OR(IPC!DK29="",IPC!CY29=""),"",AVERAGE(IPC!CZ29:DK29)/AVERAGE(IPC!CN29:CY29)-1)</f>
        <v>4.6908163650025703E-2</v>
      </c>
      <c r="DL29" s="75">
        <f>IF(OR(IPC!DL29="",IPC!CZ29=""),"",AVERAGE(IPC!DA29:DL29)/AVERAGE(IPC!CO29:CZ29)-1)</f>
        <v>4.8263194228230999E-2</v>
      </c>
      <c r="DM29" s="75">
        <f>IF(OR(IPC!DM29="",IPC!DA29=""),"",AVERAGE(IPC!DB29:DM29)/AVERAGE(IPC!CP29:DA29)-1)</f>
        <v>4.8862871456722301E-2</v>
      </c>
      <c r="DN29" s="75">
        <f>IF(OR(IPC!DN29="",IPC!DB29=""),"",AVERAGE(IPC!DC29:DN29)/AVERAGE(IPC!CQ29:DB29)-1)</f>
        <v>4.8993272473867089E-2</v>
      </c>
      <c r="DO29" s="75">
        <f>IF(OR(IPC!DO29="",IPC!DC29=""),"",AVERAGE(IPC!DD29:DO29)/AVERAGE(IPC!CR29:DC29)-1)</f>
        <v>4.9154514653459547E-2</v>
      </c>
      <c r="DP29" s="75">
        <f>IF(OR(IPC!DP29="",IPC!DD29=""),"",AVERAGE(IPC!DE29:DP29)/AVERAGE(IPC!CS29:DD29)-1)</f>
        <v>4.9386660105399161E-2</v>
      </c>
      <c r="DQ29" s="75">
        <f>IF(OR(IPC!DQ29="",IPC!DE29=""),"",AVERAGE(IPC!DF29:DQ29)/AVERAGE(IPC!CT29:DE29)-1)</f>
        <v>5.0282222964985301E-2</v>
      </c>
      <c r="DR29" s="75">
        <f>IF(OR(IPC!DR29="",IPC!DF29=""),"",AVERAGE(IPC!DG29:DR29)/AVERAGE(IPC!CU29:DF29)-1)</f>
        <v>4.9368713710125522E-2</v>
      </c>
      <c r="DS29" s="75">
        <f>IF(OR(IPC!DS29="",IPC!DG29=""),"",AVERAGE(IPC!DH29:DS29)/AVERAGE(IPC!CV29:DG29)-1)</f>
        <v>4.8956958397903039E-2</v>
      </c>
      <c r="DT29" s="75">
        <f>IF(OR(IPC!DT29="",IPC!DH29=""),"",AVERAGE(IPC!DI29:DT29)/AVERAGE(IPC!CW29:DH29)-1)</f>
        <v>4.6535519487302279E-2</v>
      </c>
      <c r="DU29" s="75">
        <f>IF(OR(IPC!DU29="",IPC!DI29=""),"",AVERAGE(IPC!DJ29:DU29)/AVERAGE(IPC!CX29:DI29)-1)</f>
        <v>4.476522433648511E-2</v>
      </c>
      <c r="DV29" s="75">
        <f>IF(OR(IPC!DV29="",IPC!DJ29=""),"",AVERAGE(IPC!DK29:DV29)/AVERAGE(IPC!CY29:DJ29)-1)</f>
        <v>4.2712213349941797E-2</v>
      </c>
      <c r="DW29" s="75">
        <f>IF(OR(IPC!DW29="",IPC!DK29=""),"",AVERAGE(IPC!DL29:DW29)/AVERAGE(IPC!CZ29:DK29)-1)</f>
        <v>4.3010208032109087E-2</v>
      </c>
      <c r="DX29" s="75">
        <f>IF(OR(IPC!DX29="",IPC!DL29=""),"",AVERAGE(IPC!DM29:DX29)/AVERAGE(IPC!DA29:DL29)-1)</f>
        <v>4.3143534176868448E-2</v>
      </c>
      <c r="DY29" s="75">
        <f>IF(OR(IPC!DY29="",IPC!DM29=""),"",AVERAGE(IPC!DN29:DY29)/AVERAGE(IPC!DB29:DM29)-1)</f>
        <v>4.384839005211516E-2</v>
      </c>
      <c r="DZ29" s="75">
        <f>IF(OR(IPC!DZ29="",IPC!DN29=""),"",AVERAGE(IPC!DO29:DZ29)/AVERAGE(IPC!DC29:DN29)-1)</f>
        <v>4.4057812958129716E-2</v>
      </c>
      <c r="EA29" s="75">
        <f>IF(OR(IPC!EA29="",IPC!DO29=""),"",AVERAGE(IPC!DP29:EA29)/AVERAGE(IPC!DD29:DO29)-1)</f>
        <v>4.3384319098087598E-2</v>
      </c>
      <c r="EB29" s="75">
        <f>IF(OR(IPC!EB29="",IPC!DP29=""),"",AVERAGE(IPC!DQ29:EB29)/AVERAGE(IPC!DE29:DP29)-1)</f>
        <v>4.4050127518966864E-2</v>
      </c>
      <c r="EC29" s="75">
        <f>IF(OR(IPC!EC29="",IPC!DQ29=""),"",AVERAGE(IPC!DR29:EC29)/AVERAGE(IPC!DF29:DQ29)-1)</f>
        <v>4.3416256127627229E-2</v>
      </c>
      <c r="ED29" s="75">
        <f>IF(OR(IPC!ED29="",IPC!DR29=""),"",AVERAGE(IPC!DS29:ED29)/AVERAGE(IPC!DG29:DR29)-1)</f>
        <v>4.4453396643666432E-2</v>
      </c>
      <c r="EE29" s="75">
        <f>IF(OR(IPC!EE29="",IPC!DS29=""),"",AVERAGE(IPC!DT29:EE29)/AVERAGE(IPC!DH29:DS29)-1)</f>
        <v>4.7372592188030138E-2</v>
      </c>
      <c r="EF29" s="75">
        <f>IF(OR(IPC!EF29="",IPC!DT29=""),"",AVERAGE(IPC!DU29:EF29)/AVERAGE(IPC!DI29:DT29)-1)</f>
        <v>5.2360347208645575E-2</v>
      </c>
      <c r="EG29" s="75">
        <f>IF(OR(IPC!EG29="",IPC!DU29=""),"",AVERAGE(IPC!DV29:EG29)/AVERAGE(IPC!DJ29:DU29)-1)</f>
        <v>5.785438198767312E-2</v>
      </c>
      <c r="EH29" s="75">
        <f>IF(OR(IPC!EH29="",IPC!DV29=""),"",AVERAGE(IPC!DW29:EH29)/AVERAGE(IPC!DK29:DV29)-1)</f>
        <v>6.3196462014254884E-2</v>
      </c>
      <c r="EI29" s="75">
        <f>IF(OR(IPC!EI29="",IPC!DW29=""),"",AVERAGE(IPC!DX29:EI29)/AVERAGE(IPC!DL29:DW29)-1)</f>
        <v>6.8235497072339779E-2</v>
      </c>
      <c r="EJ29" s="75">
        <f>IF(OR(IPC!EJ29="",IPC!DX29=""),"",AVERAGE(IPC!DY29:EJ29)/AVERAGE(IPC!DM29:DX29)-1)</f>
        <v>7.2848878950803941E-2</v>
      </c>
      <c r="EK29" s="75">
        <f>IF(OR(IPC!EK29="",IPC!DY29=""),"",AVERAGE(IPC!DZ29:EK29)/AVERAGE(IPC!DN29:DY29)-1)</f>
        <v>7.62699228147663E-2</v>
      </c>
      <c r="EL29" s="75">
        <f>IF(OR(IPC!EL29="",IPC!DZ29=""),"",AVERAGE(IPC!EA29:EL29)/AVERAGE(IPC!DO29:DZ29)-1)</f>
        <v>7.9715309123032041E-2</v>
      </c>
      <c r="EM29" s="75">
        <f>IF(OR(IPC!EM29="",IPC!EA29=""),"",AVERAGE(IPC!EB29:EM29)/AVERAGE(IPC!DP29:EA29)-1)</f>
        <v>8.5783726127932391E-2</v>
      </c>
      <c r="EN29" s="75">
        <f>IF(OR(IPC!EN29="",IPC!EB29=""),"",AVERAGE(IPC!EC29:EN29)/AVERAGE(IPC!DQ29:EB29)-1)</f>
        <v>9.1891824522878363E-2</v>
      </c>
      <c r="EO29" s="75">
        <f>IF(OR(IPC!EO29="",IPC!EC29=""),"",AVERAGE(IPC!ED29:EO29)/AVERAGE(IPC!DR29:EC29)-1)</f>
        <v>9.9036483722509283E-2</v>
      </c>
      <c r="EP29" s="75">
        <f>IF(OR(IPC!EP29="",IPC!ED29=""),"",AVERAGE(IPC!EE29:EP29)/AVERAGE(IPC!DS29:ED29)-1)</f>
        <v>0.10667043931855447</v>
      </c>
      <c r="EQ29" s="75">
        <f>IF(OR(IPC!EQ29="",IPC!EE29=""),"",AVERAGE(IPC!EF29:EQ29)/AVERAGE(IPC!DT29:EE29)-1)</f>
        <v>0.11006714945263063</v>
      </c>
      <c r="ER29" s="75" t="str">
        <f>IF(OR(IPC!ER29="",IPC!EF29=""),"",AVERAGE(IPC!EG29:ER29)/AVERAGE(IPC!DU29:EF29)-1)</f>
        <v/>
      </c>
      <c r="ES29" s="75" t="str">
        <f>IF(OR(IPC!ES29="",IPC!EG29=""),"",AVERAGE(IPC!EH29:ES29)/AVERAGE(IPC!DV29:EG29)-1)</f>
        <v/>
      </c>
      <c r="ET29" s="75" t="str">
        <f>IF(OR(IPC!ET29="",IPC!EH29=""),"",AVERAGE(IPC!EI29:ET29)/AVERAGE(IPC!DW29:EH29)-1)</f>
        <v/>
      </c>
      <c r="EU29" s="75" t="str">
        <f>IF(OR(IPC!EU29="",IPC!EI29=""),"",AVERAGE(IPC!EJ29:EU29)/AVERAGE(IPC!DX29:EI29)-1)</f>
        <v/>
      </c>
      <c r="EV29" s="75" t="str">
        <f>IF(OR(IPC!EV29="",IPC!EJ29=""),"",AVERAGE(IPC!EK29:EV29)/AVERAGE(IPC!DY29:EJ29)-1)</f>
        <v/>
      </c>
      <c r="EW29" s="75" t="str">
        <f>IF(OR(IPC!EW29="",IPC!EK29=""),"",AVERAGE(IPC!EL29:EW29)/AVERAGE(IPC!DZ29:EK29)-1)</f>
        <v/>
      </c>
      <c r="EX29" s="75" t="str">
        <f>IF(OR(IPC!EX29="",IPC!EL29=""),"",AVERAGE(IPC!EM29:EX29)/AVERAGE(IPC!EA29:EL29)-1)</f>
        <v/>
      </c>
      <c r="EY29" s="75" t="str">
        <f>IF(OR(IPC!EY29="",IPC!EM29=""),"",AVERAGE(IPC!EN29:EY29)/AVERAGE(IPC!EB29:EM29)-1)</f>
        <v/>
      </c>
      <c r="EZ29" s="75" t="str">
        <f>IF(OR(IPC!EZ29="",IPC!EN29=""),"",AVERAGE(IPC!EO29:EZ29)/AVERAGE(IPC!EC29:EN29)-1)</f>
        <v/>
      </c>
      <c r="FA29" s="75" t="str">
        <f>IF(OR(IPC!FA29="",IPC!EO29=""),"",AVERAGE(IPC!EP29:FA29)/AVERAGE(IPC!ED29:EO29)-1)</f>
        <v/>
      </c>
      <c r="FB29" s="75" t="str">
        <f>IF(OR(IPC!FB29="",IPC!EP29=""),"",AVERAGE(IPC!EQ29:FB29)/AVERAGE(IPC!EE29:EP29)-1)</f>
        <v/>
      </c>
      <c r="FC29" s="75" t="str">
        <f>IF(OR(IPC!FC29="",IPC!EQ29=""),"",AVERAGE(IPC!ER29:FC29)/AVERAGE(IPC!EF29:EQ29)-1)</f>
        <v/>
      </c>
      <c r="FD29" s="75" t="str">
        <f>IF(OR(IPC!FD29="",IPC!ER29=""),"",AVERAGE(IPC!ES29:FD29)/AVERAGE(IPC!EG29:ER29)-1)</f>
        <v/>
      </c>
      <c r="FE29" s="75" t="str">
        <f>IF(OR(IPC!FE29="",IPC!ES29=""),"",AVERAGE(IPC!ET29:FE29)/AVERAGE(IPC!EH29:ES29)-1)</f>
        <v/>
      </c>
      <c r="FF29" s="75" t="str">
        <f>IF(OR(IPC!FF29="",IPC!ET29=""),"",AVERAGE(IPC!EU29:FF29)/AVERAGE(IPC!EI29:ET29)-1)</f>
        <v/>
      </c>
      <c r="FG29" s="75" t="str">
        <f>IF(OR(IPC!FG29="",IPC!EU29=""),"",AVERAGE(IPC!EV29:FG29)/AVERAGE(IPC!EJ29:EU29)-1)</f>
        <v/>
      </c>
      <c r="FH29" s="75" t="str">
        <f>IF(OR(IPC!FH29="",IPC!EV29=""),"",AVERAGE(IPC!EW29:FH29)/AVERAGE(IPC!EK29:EV29)-1)</f>
        <v/>
      </c>
      <c r="FI29" s="75" t="str">
        <f>IF(OR(IPC!FI29="",IPC!EW29=""),"",AVERAGE(IPC!EX29:FI29)/AVERAGE(IPC!EL29:EW29)-1)</f>
        <v/>
      </c>
    </row>
    <row r="30" spans="1:174" s="74" customFormat="1" ht="10.199999999999999" x14ac:dyDescent="0.2">
      <c r="B30" s="3" t="s">
        <v>109</v>
      </c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>
        <f>IF(OR(IPC!AN30="",IPC!AB30=""),"",AVERAGE(IPC!AC30:AN30)/AVERAGE(IPC!Q30:AB30)-1)</f>
        <v>1.2168692719765284E-2</v>
      </c>
      <c r="AO30" s="75">
        <f>IF(OR(IPC!AO30="",IPC!AC30=""),"",AVERAGE(IPC!AD30:AO30)/AVERAGE(IPC!R30:AC30)-1)</f>
        <v>1.1578513649806554E-2</v>
      </c>
      <c r="AP30" s="75">
        <f>IF(OR(IPC!AP30="",IPC!AD30=""),"",AVERAGE(IPC!AE30:AP30)/AVERAGE(IPC!S30:AD30)-1)</f>
        <v>1.1458340318310833E-2</v>
      </c>
      <c r="AQ30" s="75">
        <f>IF(OR(IPC!AQ30="",IPC!AE30=""),"",AVERAGE(IPC!AF30:AQ30)/AVERAGE(IPC!T30:AE30)-1)</f>
        <v>1.041327988924623E-2</v>
      </c>
      <c r="AR30" s="75">
        <f>IF(OR(IPC!AR30="",IPC!AF30=""),"",AVERAGE(IPC!AG30:AR30)/AVERAGE(IPC!U30:AF30)-1)</f>
        <v>9.9273038796214852E-3</v>
      </c>
      <c r="AS30" s="75">
        <f>IF(OR(IPC!AS30="",IPC!AG30=""),"",AVERAGE(IPC!AH30:AS30)/AVERAGE(IPC!V30:AG30)-1)</f>
        <v>9.2975728802786595E-3</v>
      </c>
      <c r="AT30" s="75">
        <f>IF(OR(IPC!AT30="",IPC!AH30=""),"",AVERAGE(IPC!AI30:AT30)/AVERAGE(IPC!W30:AH30)-1)</f>
        <v>9.4982934708560673E-3</v>
      </c>
      <c r="AU30" s="75">
        <f>IF(OR(IPC!AU30="",IPC!AI30=""),"",AVERAGE(IPC!AJ30:AU30)/AVERAGE(IPC!X30:AI30)-1)</f>
        <v>9.4566107523279541E-3</v>
      </c>
      <c r="AV30" s="75">
        <f>IF(OR(IPC!AV30="",IPC!AJ30=""),"",AVERAGE(IPC!AK30:AV30)/AVERAGE(IPC!Y30:AJ30)-1)</f>
        <v>9.4979325389572544E-3</v>
      </c>
      <c r="AW30" s="75">
        <f>IF(OR(IPC!AW30="",IPC!AK30=""),"",AVERAGE(IPC!AL30:AW30)/AVERAGE(IPC!Z30:AK30)-1)</f>
        <v>9.594492571166402E-3</v>
      </c>
      <c r="AX30" s="75">
        <f>IF(OR(IPC!AX30="",IPC!AL30=""),"",AVERAGE(IPC!AM30:AX30)/AVERAGE(IPC!AA30:AL30)-1)</f>
        <v>9.084907783161178E-3</v>
      </c>
      <c r="AY30" s="75">
        <f>IF(OR(IPC!AY30="",IPC!AM30=""),"",AVERAGE(IPC!AN30:AY30)/AVERAGE(IPC!AB30:AM30)-1)</f>
        <v>8.4760929492737613E-3</v>
      </c>
      <c r="AZ30" s="75">
        <f>IF(OR(IPC!AZ30="",IPC!AN30=""),"",AVERAGE(IPC!AO30:AZ30)/AVERAGE(IPC!AC30:AN30)-1)</f>
        <v>8.7966027773052069E-3</v>
      </c>
      <c r="BA30" s="75">
        <f>IF(OR(IPC!BA30="",IPC!AO30=""),"",AVERAGE(IPC!AP30:BA30)/AVERAGE(IPC!AD30:AO30)-1)</f>
        <v>9.4550875656103095E-3</v>
      </c>
      <c r="BB30" s="75">
        <f>IF(OR(IPC!BB30="",IPC!AP30=""),"",AVERAGE(IPC!AQ30:BB30)/AVERAGE(IPC!AE30:AP30)-1)</f>
        <v>1.013307668665675E-2</v>
      </c>
      <c r="BC30" s="75">
        <f>IF(OR(IPC!BC30="",IPC!AQ30=""),"",AVERAGE(IPC!AR30:BC30)/AVERAGE(IPC!AF30:AQ30)-1)</f>
        <v>1.1377264003200827E-2</v>
      </c>
      <c r="BD30" s="75">
        <f>IF(OR(IPC!BD30="",IPC!AR30=""),"",AVERAGE(IPC!AS30:BD30)/AVERAGE(IPC!AG30:AR30)-1)</f>
        <v>1.2189195757470017E-2</v>
      </c>
      <c r="BE30" s="75">
        <f>IF(OR(IPC!BE30="",IPC!AS30=""),"",AVERAGE(IPC!AT30:BE30)/AVERAGE(IPC!AH30:AS30)-1)</f>
        <v>1.3233159527336724E-2</v>
      </c>
      <c r="BF30" s="75">
        <f>IF(OR(IPC!BF30="",IPC!AT30=""),"",AVERAGE(IPC!AU30:BF30)/AVERAGE(IPC!AI30:AT30)-1)</f>
        <v>1.2698636717980438E-2</v>
      </c>
      <c r="BG30" s="75">
        <f>IF(OR(IPC!BG30="",IPC!AU30=""),"",AVERAGE(IPC!AV30:BG30)/AVERAGE(IPC!AJ30:AU30)-1)</f>
        <v>1.2251536693011822E-2</v>
      </c>
      <c r="BH30" s="75">
        <f>IF(OR(IPC!BH30="",IPC!AV30=""),"",AVERAGE(IPC!AW30:BH30)/AVERAGE(IPC!AK30:AV30)-1)</f>
        <v>1.1818698615662981E-2</v>
      </c>
      <c r="BI30" s="75">
        <f>IF(OR(IPC!BI30="",IPC!AW30=""),"",AVERAGE(IPC!AX30:BI30)/AVERAGE(IPC!AL30:AW30)-1)</f>
        <v>1.1566895797964438E-2</v>
      </c>
      <c r="BJ30" s="75">
        <f>IF(OR(IPC!BJ30="",IPC!AX30=""),"",AVERAGE(IPC!AY30:BJ30)/AVERAGE(IPC!AM30:AX30)-1)</f>
        <v>1.1436607537540056E-2</v>
      </c>
      <c r="BK30" s="75">
        <f>IF(OR(IPC!BK30="",IPC!AY30=""),"",AVERAGE(IPC!AZ30:BK30)/AVERAGE(IPC!AN30:AY30)-1)</f>
        <v>1.1305111992437222E-2</v>
      </c>
      <c r="BL30" s="75">
        <f>IF(OR(IPC!BL30="",IPC!AZ30=""),"",AVERAGE(IPC!BA30:BL30)/AVERAGE(IPC!AO30:AZ30)-1)</f>
        <v>1.0850675473049076E-2</v>
      </c>
      <c r="BM30" s="75">
        <f>IF(OR(IPC!BM30="",IPC!BA30=""),"",AVERAGE(IPC!BB30:BM30)/AVERAGE(IPC!AP30:BA30)-1)</f>
        <v>1.0003412608939666E-2</v>
      </c>
      <c r="BN30" s="75">
        <f>IF(OR(IPC!BN30="",IPC!BB30=""),"",AVERAGE(IPC!BC30:BN30)/AVERAGE(IPC!AQ30:BB30)-1)</f>
        <v>8.962903939911504E-3</v>
      </c>
      <c r="BO30" s="75">
        <f>IF(OR(IPC!BO30="",IPC!BC30=""),"",AVERAGE(IPC!BD30:BO30)/AVERAGE(IPC!AR30:BC30)-1)</f>
        <v>7.7819232540463634E-3</v>
      </c>
      <c r="BP30" s="75">
        <f>IF(OR(IPC!BP30="",IPC!BD30=""),"",AVERAGE(IPC!BE30:BP30)/AVERAGE(IPC!AS30:BD30)-1)</f>
        <v>6.4778362673816314E-3</v>
      </c>
      <c r="BQ30" s="75">
        <f>IF(OR(IPC!BQ30="",IPC!BE30=""),"",AVERAGE(IPC!BF30:BQ30)/AVERAGE(IPC!AT30:BE30)-1)</f>
        <v>4.7607145290704533E-3</v>
      </c>
      <c r="BR30" s="75">
        <f>IF(OR(IPC!BR30="",IPC!BF30=""),"",AVERAGE(IPC!BG30:BR30)/AVERAGE(IPC!AU30:BF30)-1)</f>
        <v>3.9058011478398935E-3</v>
      </c>
      <c r="BS30" s="75">
        <f>IF(OR(IPC!BS30="",IPC!BG30=""),"",AVERAGE(IPC!BH30:BS30)/AVERAGE(IPC!AV30:BG30)-1)</f>
        <v>3.0530713368048801E-3</v>
      </c>
      <c r="BT30" s="75">
        <f>IF(OR(IPC!BT30="",IPC!BH30=""),"",AVERAGE(IPC!BI30:BT30)/AVERAGE(IPC!AW30:BH30)-1)</f>
        <v>2.3796468725991726E-3</v>
      </c>
      <c r="BU30" s="75">
        <f>IF(OR(IPC!BU30="",IPC!BI30=""),"",AVERAGE(IPC!BJ30:BU30)/AVERAGE(IPC!AX30:BI30)-1)</f>
        <v>1.6860923671027095E-3</v>
      </c>
      <c r="BV30" s="75">
        <f>IF(OR(IPC!BV30="",IPC!BJ30=""),"",AVERAGE(IPC!BK30:BV30)/AVERAGE(IPC!AY30:BJ30)-1)</f>
        <v>9.866075590569956E-4</v>
      </c>
      <c r="BW30" s="75">
        <f>IF(OR(IPC!BW30="",IPC!BK30=""),"",AVERAGE(IPC!BL30:BW30)/AVERAGE(IPC!AZ30:BK30)-1)</f>
        <v>7.9133014753063335E-4</v>
      </c>
      <c r="BX30" s="75">
        <f>IF(OR(IPC!BX30="",IPC!BL30=""),"",AVERAGE(IPC!BM30:BX30)/AVERAGE(IPC!BA30:BL30)-1)</f>
        <v>7.0638793410382483E-4</v>
      </c>
      <c r="BY30" s="75">
        <f>IF(OR(IPC!BY30="",IPC!BM30=""),"",AVERAGE(IPC!BN30:BY30)/AVERAGE(IPC!BB30:BM30)-1)</f>
        <v>7.9182810070932419E-4</v>
      </c>
      <c r="BZ30" s="75">
        <f>IF(OR(IPC!BZ30="",IPC!BN30=""),"",AVERAGE(IPC!BO30:BZ30)/AVERAGE(IPC!BC30:BN30)-1)</f>
        <v>8.9015119992885694E-4</v>
      </c>
      <c r="CA30" s="75">
        <f>IF(OR(IPC!CA30="",IPC!BO30=""),"",AVERAGE(IPC!BP30:CA30)/AVERAGE(IPC!BD30:BO30)-1)</f>
        <v>9.2774986295540707E-4</v>
      </c>
      <c r="CB30" s="75">
        <f>IF(OR(IPC!CB30="",IPC!BP30=""),"",AVERAGE(IPC!BQ30:CB30)/AVERAGE(IPC!BE30:BP30)-1)</f>
        <v>1.333378183653755E-3</v>
      </c>
      <c r="CC30" s="75">
        <f>IF(OR(IPC!CC30="",IPC!BQ30=""),"",AVERAGE(IPC!BR30:CC30)/AVERAGE(IPC!BF30:BQ30)-1)</f>
        <v>2.055397952688498E-3</v>
      </c>
      <c r="CD30" s="75">
        <f>IF(OR(IPC!CD30="",IPC!BR30=""),"",AVERAGE(IPC!BS30:CD30)/AVERAGE(IPC!BG30:BR30)-1)</f>
        <v>2.6297490271696145E-3</v>
      </c>
      <c r="CE30" s="75">
        <f>IF(OR(IPC!CE30="",IPC!BS30=""),"",AVERAGE(IPC!BT30:CE30)/AVERAGE(IPC!BH30:BS30)-1)</f>
        <v>3.244176372600549E-3</v>
      </c>
      <c r="CF30" s="75">
        <f>IF(OR(IPC!CF30="",IPC!BT30=""),"",AVERAGE(IPC!BU30:CF30)/AVERAGE(IPC!BI30:BT30)-1)</f>
        <v>3.5147347226949233E-3</v>
      </c>
      <c r="CG30" s="75">
        <f>IF(OR(IPC!CG30="",IPC!BU30=""),"",AVERAGE(IPC!BV30:CG30)/AVERAGE(IPC!BJ30:BU30)-1)</f>
        <v>3.8088220937060324E-3</v>
      </c>
      <c r="CH30" s="75">
        <f>IF(OR(IPC!CH30="",IPC!BV30=""),"",AVERAGE(IPC!BW30:CH30)/AVERAGE(IPC!BK30:BV30)-1)</f>
        <v>4.3608960963057442E-3</v>
      </c>
      <c r="CI30" s="75">
        <f>IF(OR(IPC!CI30="",IPC!BW30=""),"",AVERAGE(IPC!BX30:CI30)/AVERAGE(IPC!BL30:BW30)-1)</f>
        <v>4.2257890846564283E-3</v>
      </c>
      <c r="CJ30" s="75">
        <f>IF(OR(IPC!CJ30="",IPC!BX30=""),"",AVERAGE(IPC!BY30:CJ30)/AVERAGE(IPC!BM30:BX30)-1)</f>
        <v>4.0438754286253875E-3</v>
      </c>
      <c r="CK30" s="75">
        <f>IF(OR(IPC!CK30="",IPC!BY30=""),"",AVERAGE(IPC!BZ30:CK30)/AVERAGE(IPC!BN30:BY30)-1)</f>
        <v>4.2673690727195179E-3</v>
      </c>
      <c r="CL30" s="75">
        <f>IF(OR(IPC!CL30="",IPC!BZ30=""),"",AVERAGE(IPC!CA30:CL30)/AVERAGE(IPC!BO30:BZ30)-1)</f>
        <v>4.688433313835505E-3</v>
      </c>
      <c r="CM30" s="75">
        <f>IF(OR(IPC!CM30="",IPC!CA30=""),"",AVERAGE(IPC!CB30:CM30)/AVERAGE(IPC!BP30:CA30)-1)</f>
        <v>5.8271032096646191E-3</v>
      </c>
      <c r="CN30" s="75">
        <f>IF(OR(IPC!CN30="",IPC!CB30=""),"",AVERAGE(IPC!CC30:CN30)/AVERAGE(IPC!BQ30:CB30)-1)</f>
        <v>6.9835941725371331E-3</v>
      </c>
      <c r="CO30" s="75">
        <f>IF(OR(IPC!CO30="",IPC!CC30=""),"",AVERAGE(IPC!CD30:CO30)/AVERAGE(IPC!BR30:CC30)-1)</f>
        <v>7.9288657177531974E-3</v>
      </c>
      <c r="CP30" s="75">
        <f>IF(OR(IPC!CP30="",IPC!CD30=""),"",AVERAGE(IPC!CE30:CP30)/AVERAGE(IPC!BS30:CD30)-1)</f>
        <v>9.0979214818682763E-3</v>
      </c>
      <c r="CQ30" s="75">
        <f>IF(OR(IPC!CQ30="",IPC!CE30=""),"",AVERAGE(IPC!CF30:CQ30)/AVERAGE(IPC!BT30:CE30)-1)</f>
        <v>1.0175279522682379E-2</v>
      </c>
      <c r="CR30" s="75">
        <f>IF(OR(IPC!CR30="",IPC!CF30=""),"",AVERAGE(IPC!CG30:CR30)/AVERAGE(IPC!BU30:CF30)-1)</f>
        <v>1.1347013937543116E-2</v>
      </c>
      <c r="CS30" s="75">
        <f>IF(OR(IPC!CS30="",IPC!CG30=""),"",AVERAGE(IPC!CH30:CS30)/AVERAGE(IPC!BV30:CG30)-1)</f>
        <v>1.2652459345043221E-2</v>
      </c>
      <c r="CT30" s="75">
        <f>IF(OR(IPC!CT30="",IPC!CH30=""),"",AVERAGE(IPC!CI30:CT30)/AVERAGE(IPC!BW30:CH30)-1)</f>
        <v>1.3769230251164055E-2</v>
      </c>
      <c r="CU30" s="75">
        <f>IF(OR(IPC!CU30="",IPC!CI30=""),"",AVERAGE(IPC!CJ30:CU30)/AVERAGE(IPC!BX30:CI30)-1)</f>
        <v>1.5218200607448384E-2</v>
      </c>
      <c r="CV30" s="75">
        <f>IF(OR(IPC!CV30="",IPC!CJ30=""),"",AVERAGE(IPC!CK30:CV30)/AVERAGE(IPC!BY30:CJ30)-1)</f>
        <v>1.6585372856401825E-2</v>
      </c>
      <c r="CW30" s="75">
        <f>IF(OR(IPC!CW30="",IPC!CK30=""),"",AVERAGE(IPC!CL30:CW30)/AVERAGE(IPC!BZ30:CK30)-1)</f>
        <v>1.7626806851902321E-2</v>
      </c>
      <c r="CX30" s="75">
        <f>IF(OR(IPC!CX30="",IPC!CL30=""),"",AVERAGE(IPC!CM30:CX30)/AVERAGE(IPC!CA30:CL30)-1)</f>
        <v>1.840492142568495E-2</v>
      </c>
      <c r="CY30" s="75">
        <f>IF(OR(IPC!CY30="",IPC!CM30=""),"",AVERAGE(IPC!CN30:CY30)/AVERAGE(IPC!CB30:CM30)-1)</f>
        <v>1.8323603671463795E-2</v>
      </c>
      <c r="CZ30" s="75">
        <f>IF(OR(IPC!CZ30="",IPC!CN30=""),"",AVERAGE(IPC!CO30:CZ30)/AVERAGE(IPC!CC30:CN30)-1)</f>
        <v>1.8007371501589375E-2</v>
      </c>
      <c r="DA30" s="75">
        <f>IF(OR(IPC!DA30="",IPC!CO30=""),"",AVERAGE(IPC!CP30:DA30)/AVERAGE(IPC!CD30:CO30)-1)</f>
        <v>1.781241190964522E-2</v>
      </c>
      <c r="DB30" s="75">
        <f>IF(OR(IPC!DB30="",IPC!CP30=""),"",AVERAGE(IPC!CQ30:DB30)/AVERAGE(IPC!CE30:CP30)-1)</f>
        <v>1.7356270240691973E-2</v>
      </c>
      <c r="DC30" s="75">
        <f>IF(OR(IPC!DC30="",IPC!CQ30=""),"",AVERAGE(IPC!CR30:DC30)/AVERAGE(IPC!CF30:CQ30)-1)</f>
        <v>1.696880920303423E-2</v>
      </c>
      <c r="DD30" s="75">
        <f>IF(OR(IPC!DD30="",IPC!CR30=""),"",AVERAGE(IPC!CS30:DD30)/AVERAGE(IPC!CG30:CR30)-1)</f>
        <v>1.6638869537377587E-2</v>
      </c>
      <c r="DE30" s="75">
        <f>IF(OR(IPC!DE30="",IPC!CS30=""),"",AVERAGE(IPC!CT30:DE30)/AVERAGE(IPC!CH30:CS30)-1)</f>
        <v>1.6197619043148981E-2</v>
      </c>
      <c r="DF30" s="75">
        <f>IF(OR(IPC!DF30="",IPC!CT30=""),"",AVERAGE(IPC!CU30:DF30)/AVERAGE(IPC!CI30:CT30)-1)</f>
        <v>1.589394001317368E-2</v>
      </c>
      <c r="DG30" s="75">
        <f>IF(OR(IPC!DG30="",IPC!CU30=""),"",AVERAGE(IPC!CV30:DG30)/AVERAGE(IPC!CJ30:CU30)-1)</f>
        <v>1.5652725317326643E-2</v>
      </c>
      <c r="DH30" s="75">
        <f>IF(OR(IPC!DH30="",IPC!CV30=""),"",AVERAGE(IPC!CW30:DH30)/AVERAGE(IPC!CK30:CV30)-1)</f>
        <v>1.5459074403721962E-2</v>
      </c>
      <c r="DI30" s="75">
        <f>IF(OR(IPC!DI30="",IPC!CW30=""),"",AVERAGE(IPC!CX30:DI30)/AVERAGE(IPC!CL30:CW30)-1)</f>
        <v>1.5128577716519542E-2</v>
      </c>
      <c r="DJ30" s="75">
        <f>IF(OR(IPC!DJ30="",IPC!CX30=""),"",AVERAGE(IPC!CY30:DJ30)/AVERAGE(IPC!CM30:CX30)-1)</f>
        <v>1.4767517838127242E-2</v>
      </c>
      <c r="DK30" s="75">
        <f>IF(OR(IPC!DK30="",IPC!CY30=""),"",AVERAGE(IPC!CZ30:DK30)/AVERAGE(IPC!CN30:CY30)-1)</f>
        <v>1.466792741270706E-2</v>
      </c>
      <c r="DL30" s="75">
        <f>IF(OR(IPC!DL30="",IPC!CZ30=""),"",AVERAGE(IPC!DA30:DL30)/AVERAGE(IPC!CO30:CZ30)-1)</f>
        <v>1.4760206896907935E-2</v>
      </c>
      <c r="DM30" s="75">
        <f>IF(OR(IPC!DM30="",IPC!DA30=""),"",AVERAGE(IPC!DB30:DM30)/AVERAGE(IPC!CP30:DA30)-1)</f>
        <v>1.4956418801258087E-2</v>
      </c>
      <c r="DN30" s="75">
        <f>IF(OR(IPC!DN30="",IPC!DB30=""),"",AVERAGE(IPC!DC30:DN30)/AVERAGE(IPC!CQ30:DB30)-1)</f>
        <v>1.5215033035060221E-2</v>
      </c>
      <c r="DO30" s="75">
        <f>IF(OR(IPC!DO30="",IPC!DC30=""),"",AVERAGE(IPC!DD30:DO30)/AVERAGE(IPC!CR30:DC30)-1)</f>
        <v>1.5439837678926427E-2</v>
      </c>
      <c r="DP30" s="75">
        <f>IF(OR(IPC!DP30="",IPC!DD30=""),"",AVERAGE(IPC!DE30:DP30)/AVERAGE(IPC!CS30:DD30)-1)</f>
        <v>1.5732214749886397E-2</v>
      </c>
      <c r="DQ30" s="75">
        <f>IF(OR(IPC!DQ30="",IPC!DE30=""),"",AVERAGE(IPC!DF30:DQ30)/AVERAGE(IPC!CT30:DE30)-1)</f>
        <v>1.5785995759098226E-2</v>
      </c>
      <c r="DR30" s="75">
        <f>IF(OR(IPC!DR30="",IPC!DF30=""),"",AVERAGE(IPC!DG30:DR30)/AVERAGE(IPC!CU30:DF30)-1)</f>
        <v>1.5710020864299512E-2</v>
      </c>
      <c r="DS30" s="75">
        <f>IF(OR(IPC!DS30="",IPC!DG30=""),"",AVERAGE(IPC!DH30:DS30)/AVERAGE(IPC!CV30:DG30)-1)</f>
        <v>1.5512801861864878E-2</v>
      </c>
      <c r="DT30" s="75">
        <f>IF(OR(IPC!DT30="",IPC!DH30=""),"",AVERAGE(IPC!DI30:DT30)/AVERAGE(IPC!CW30:DH30)-1)</f>
        <v>1.5425774999288766E-2</v>
      </c>
      <c r="DU30" s="75">
        <f>IF(OR(IPC!DU30="",IPC!DI30=""),"",AVERAGE(IPC!DJ30:DU30)/AVERAGE(IPC!CX30:DI30)-1)</f>
        <v>1.5474796117883827E-2</v>
      </c>
      <c r="DV30" s="75">
        <f>IF(OR(IPC!DV30="",IPC!DJ30=""),"",AVERAGE(IPC!DK30:DV30)/AVERAGE(IPC!CY30:DJ30)-1)</f>
        <v>1.5856186688365304E-2</v>
      </c>
      <c r="DW30" s="75">
        <f>IF(OR(IPC!DW30="",IPC!DK30=""),"",AVERAGE(IPC!DL30:DW30)/AVERAGE(IPC!CZ30:DK30)-1)</f>
        <v>1.5973849476238478E-2</v>
      </c>
      <c r="DX30" s="75">
        <f>IF(OR(IPC!DX30="",IPC!DL30=""),"",AVERAGE(IPC!DM30:DX30)/AVERAGE(IPC!DA30:DL30)-1)</f>
        <v>1.5856433476669096E-2</v>
      </c>
      <c r="DY30" s="75">
        <f>IF(OR(IPC!DY30="",IPC!DM30=""),"",AVERAGE(IPC!DN30:DY30)/AVERAGE(IPC!DB30:DM30)-1)</f>
        <v>1.5494808314730601E-2</v>
      </c>
      <c r="DZ30" s="75">
        <f>IF(OR(IPC!DZ30="",IPC!DN30=""),"",AVERAGE(IPC!DO30:DZ30)/AVERAGE(IPC!DC30:DN30)-1)</f>
        <v>1.5411304016983207E-2</v>
      </c>
      <c r="EA30" s="75">
        <f>IF(OR(IPC!EA30="",IPC!DO30=""),"",AVERAGE(IPC!DP30:EA30)/AVERAGE(IPC!DD30:DO30)-1)</f>
        <v>1.5349900358214708E-2</v>
      </c>
      <c r="EB30" s="75">
        <f>IF(OR(IPC!EB30="",IPC!DP30=""),"",AVERAGE(IPC!DQ30:EB30)/AVERAGE(IPC!DE30:DP30)-1)</f>
        <v>1.5071560531649153E-2</v>
      </c>
      <c r="EC30" s="75">
        <f>IF(OR(IPC!EC30="",IPC!DQ30=""),"",AVERAGE(IPC!DR30:EC30)/AVERAGE(IPC!DF30:DQ30)-1)</f>
        <v>1.5167567872706123E-2</v>
      </c>
      <c r="ED30" s="75">
        <f>IF(OR(IPC!ED30="",IPC!DR30=""),"",AVERAGE(IPC!DS30:ED30)/AVERAGE(IPC!DG30:DR30)-1)</f>
        <v>1.5288873908102074E-2</v>
      </c>
      <c r="EE30" s="75">
        <f>IF(OR(IPC!EE30="",IPC!DS30=""),"",AVERAGE(IPC!DT30:EE30)/AVERAGE(IPC!DH30:DS30)-1)</f>
        <v>1.5843735016972005E-2</v>
      </c>
      <c r="EF30" s="75">
        <f>IF(OR(IPC!EF30="",IPC!DT30=""),"",AVERAGE(IPC!DU30:EF30)/AVERAGE(IPC!DI30:DT30)-1)</f>
        <v>1.6538509453690509E-2</v>
      </c>
      <c r="EG30" s="75">
        <f>IF(OR(IPC!EG30="",IPC!DU30=""),"",AVERAGE(IPC!DV30:EG30)/AVERAGE(IPC!DJ30:DU30)-1)</f>
        <v>1.7676042296184136E-2</v>
      </c>
      <c r="EH30" s="75">
        <f>IF(OR(IPC!EH30="",IPC!DV30=""),"",AVERAGE(IPC!DW30:EH30)/AVERAGE(IPC!DK30:DV30)-1)</f>
        <v>1.9040394304335573E-2</v>
      </c>
      <c r="EI30" s="75">
        <f>IF(OR(IPC!EI30="",IPC!DW30=""),"",AVERAGE(IPC!DX30:EI30)/AVERAGE(IPC!DL30:DW30)-1)</f>
        <v>2.1740148492908951E-2</v>
      </c>
      <c r="EJ30" s="75">
        <f>IF(OR(IPC!EJ30="",IPC!DX30=""),"",AVERAGE(IPC!DY30:EJ30)/AVERAGE(IPC!DM30:DX30)-1)</f>
        <v>2.5156164560615979E-2</v>
      </c>
      <c r="EK30" s="75">
        <f>IF(OR(IPC!EK30="",IPC!DY30=""),"",AVERAGE(IPC!DZ30:EK30)/AVERAGE(IPC!DN30:DY30)-1)</f>
        <v>2.9141493535239649E-2</v>
      </c>
      <c r="EL30" s="75">
        <f>IF(OR(IPC!EL30="",IPC!DZ30=""),"",AVERAGE(IPC!EA30:EL30)/AVERAGE(IPC!DO30:DZ30)-1)</f>
        <v>3.3011177081143428E-2</v>
      </c>
      <c r="EM30" s="75">
        <f>IF(OR(IPC!EM30="",IPC!EA30=""),"",AVERAGE(IPC!EB30:EM30)/AVERAGE(IPC!DP30:EA30)-1)</f>
        <v>3.7359502306685721E-2</v>
      </c>
      <c r="EN30" s="75">
        <f>IF(OR(IPC!EN30="",IPC!EB30=""),"",AVERAGE(IPC!EC30:EN30)/AVERAGE(IPC!DQ30:EB30)-1)</f>
        <v>4.2180030985684569E-2</v>
      </c>
      <c r="EO30" s="75">
        <f>IF(OR(IPC!EO30="",IPC!EC30=""),"",AVERAGE(IPC!ED30:EO30)/AVERAGE(IPC!DR30:EC30)-1)</f>
        <v>4.6913825568267509E-2</v>
      </c>
      <c r="EP30" s="75">
        <f>IF(OR(IPC!EP30="",IPC!ED30=""),"",AVERAGE(IPC!EE30:EP30)/AVERAGE(IPC!DS30:ED30)-1)</f>
        <v>5.1857956682830331E-2</v>
      </c>
      <c r="EQ30" s="75">
        <f>IF(OR(IPC!EQ30="",IPC!EE30=""),"",AVERAGE(IPC!EF30:EQ30)/AVERAGE(IPC!DT30:EE30)-1)</f>
        <v>5.6294408814869135E-2</v>
      </c>
      <c r="ER30" s="75" t="str">
        <f>IF(OR(IPC!ER30="",IPC!EF30=""),"",AVERAGE(IPC!EG30:ER30)/AVERAGE(IPC!DU30:EF30)-1)</f>
        <v/>
      </c>
      <c r="ES30" s="75" t="str">
        <f>IF(OR(IPC!ES30="",IPC!EG30=""),"",AVERAGE(IPC!EH30:ES30)/AVERAGE(IPC!DV30:EG30)-1)</f>
        <v/>
      </c>
      <c r="ET30" s="75" t="str">
        <f>IF(OR(IPC!ET30="",IPC!EH30=""),"",AVERAGE(IPC!EI30:ET30)/AVERAGE(IPC!DW30:EH30)-1)</f>
        <v/>
      </c>
      <c r="EU30" s="75" t="str">
        <f>IF(OR(IPC!EU30="",IPC!EI30=""),"",AVERAGE(IPC!EJ30:EU30)/AVERAGE(IPC!DX30:EI30)-1)</f>
        <v/>
      </c>
      <c r="EV30" s="75" t="str">
        <f>IF(OR(IPC!EV30="",IPC!EJ30=""),"",AVERAGE(IPC!EK30:EV30)/AVERAGE(IPC!DY30:EJ30)-1)</f>
        <v/>
      </c>
      <c r="EW30" s="75" t="str">
        <f>IF(OR(IPC!EW30="",IPC!EK30=""),"",AVERAGE(IPC!EL30:EW30)/AVERAGE(IPC!DZ30:EK30)-1)</f>
        <v/>
      </c>
      <c r="EX30" s="75" t="str">
        <f>IF(OR(IPC!EX30="",IPC!EL30=""),"",AVERAGE(IPC!EM30:EX30)/AVERAGE(IPC!EA30:EL30)-1)</f>
        <v/>
      </c>
      <c r="EY30" s="75" t="str">
        <f>IF(OR(IPC!EY30="",IPC!EM30=""),"",AVERAGE(IPC!EN30:EY30)/AVERAGE(IPC!EB30:EM30)-1)</f>
        <v/>
      </c>
      <c r="EZ30" s="75" t="str">
        <f>IF(OR(IPC!EZ30="",IPC!EN30=""),"",AVERAGE(IPC!EO30:EZ30)/AVERAGE(IPC!EC30:EN30)-1)</f>
        <v/>
      </c>
      <c r="FA30" s="75" t="str">
        <f>IF(OR(IPC!FA30="",IPC!EO30=""),"",AVERAGE(IPC!EP30:FA30)/AVERAGE(IPC!ED30:EO30)-1)</f>
        <v/>
      </c>
      <c r="FB30" s="75" t="str">
        <f>IF(OR(IPC!FB30="",IPC!EP30=""),"",AVERAGE(IPC!EQ30:FB30)/AVERAGE(IPC!EE30:EP30)-1)</f>
        <v/>
      </c>
      <c r="FC30" s="75" t="str">
        <f>IF(OR(IPC!FC30="",IPC!EQ30=""),"",AVERAGE(IPC!ER30:FC30)/AVERAGE(IPC!EF30:EQ30)-1)</f>
        <v/>
      </c>
      <c r="FD30" s="75" t="str">
        <f>IF(OR(IPC!FD30="",IPC!ER30=""),"",AVERAGE(IPC!ES30:FD30)/AVERAGE(IPC!EG30:ER30)-1)</f>
        <v/>
      </c>
      <c r="FE30" s="75" t="str">
        <f>IF(OR(IPC!FE30="",IPC!ES30=""),"",AVERAGE(IPC!ET30:FE30)/AVERAGE(IPC!EH30:ES30)-1)</f>
        <v/>
      </c>
      <c r="FF30" s="75" t="str">
        <f>IF(OR(IPC!FF30="",IPC!ET30=""),"",AVERAGE(IPC!EU30:FF30)/AVERAGE(IPC!EI30:ET30)-1)</f>
        <v/>
      </c>
      <c r="FG30" s="75" t="str">
        <f>IF(OR(IPC!FG30="",IPC!EU30=""),"",AVERAGE(IPC!EV30:FG30)/AVERAGE(IPC!EJ30:EU30)-1)</f>
        <v/>
      </c>
      <c r="FH30" s="75" t="str">
        <f>IF(OR(IPC!FH30="",IPC!EV30=""),"",AVERAGE(IPC!EW30:FH30)/AVERAGE(IPC!EK30:EV30)-1)</f>
        <v/>
      </c>
      <c r="FI30" s="75" t="str">
        <f>IF(OR(IPC!FI30="",IPC!EW30=""),"",AVERAGE(IPC!EX30:FI30)/AVERAGE(IPC!EL30:EW30)-1)</f>
        <v/>
      </c>
    </row>
    <row r="31" spans="1:174" s="81" customFormat="1" ht="10.199999999999999" x14ac:dyDescent="0.2">
      <c r="B31" s="81" t="s">
        <v>110</v>
      </c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>
        <f>IF(OR(IPC!AN31="",IPC!AB31=""),"",AVERAGE(IPC!AC31:AN31)/AVERAGE(IPC!Q31:AB31)-1)</f>
        <v>1.6415123785002317E-2</v>
      </c>
      <c r="AO31" s="84">
        <f>IF(OR(IPC!AO31="",IPC!AC31=""),"",AVERAGE(IPC!AD31:AO31)/AVERAGE(IPC!R31:AC31)-1)</f>
        <v>1.5428747704427259E-2</v>
      </c>
      <c r="AP31" s="84">
        <f>IF(OR(IPC!AP31="",IPC!AD31=""),"",AVERAGE(IPC!AE31:AP31)/AVERAGE(IPC!S31:AD31)-1)</f>
        <v>1.441699536981611E-2</v>
      </c>
      <c r="AQ31" s="84">
        <f>IF(OR(IPC!AQ31="",IPC!AE31=""),"",AVERAGE(IPC!AF31:AQ31)/AVERAGE(IPC!T31:AE31)-1)</f>
        <v>1.3234834207899393E-2</v>
      </c>
      <c r="AR31" s="84">
        <f>IF(OR(IPC!AR31="",IPC!AF31=""),"",AVERAGE(IPC!AG31:AR31)/AVERAGE(IPC!U31:AF31)-1)</f>
        <v>1.2587482774086611E-2</v>
      </c>
      <c r="AS31" s="84">
        <f>IF(OR(IPC!AS31="",IPC!AG31=""),"",AVERAGE(IPC!AH31:AS31)/AVERAGE(IPC!V31:AG31)-1)</f>
        <v>1.2144004287587107E-2</v>
      </c>
      <c r="AT31" s="84">
        <f>IF(OR(IPC!AT31="",IPC!AH31=""),"",AVERAGE(IPC!AI31:AT31)/AVERAGE(IPC!W31:AH31)-1)</f>
        <v>1.5468716529183579E-2</v>
      </c>
      <c r="AU31" s="84">
        <f>IF(OR(IPC!AU31="",IPC!AI31=""),"",AVERAGE(IPC!AJ31:AU31)/AVERAGE(IPC!X31:AI31)-1)</f>
        <v>1.8558463773075795E-2</v>
      </c>
      <c r="AV31" s="84">
        <f>IF(OR(IPC!AV31="",IPC!AJ31=""),"",AVERAGE(IPC!AK31:AV31)/AVERAGE(IPC!Y31:AJ31)-1)</f>
        <v>2.1639627890081004E-2</v>
      </c>
      <c r="AW31" s="84">
        <f>IF(OR(IPC!AW31="",IPC!AK31=""),"",AVERAGE(IPC!AL31:AW31)/AVERAGE(IPC!Z31:AK31)-1)</f>
        <v>2.4587053441970541E-2</v>
      </c>
      <c r="AX31" s="84">
        <f>IF(OR(IPC!AX31="",IPC!AL31=""),"",AVERAGE(IPC!AM31:AX31)/AVERAGE(IPC!AA31:AL31)-1)</f>
        <v>2.8133347813408482E-2</v>
      </c>
      <c r="AY31" s="84">
        <f>IF(OR(IPC!AY31="",IPC!AM31=""),"",AVERAGE(IPC!AN31:AY31)/AVERAGE(IPC!AB31:AM31)-1)</f>
        <v>3.1348816725769613E-2</v>
      </c>
      <c r="AZ31" s="84">
        <f>IF(OR(IPC!AZ31="",IPC!AN31=""),"",AVERAGE(IPC!AO31:AZ31)/AVERAGE(IPC!AC31:AN31)-1)</f>
        <v>3.4085607858622025E-2</v>
      </c>
      <c r="BA31" s="84">
        <f>IF(OR(IPC!BA31="",IPC!AO31=""),"",AVERAGE(IPC!AP31:BA31)/AVERAGE(IPC!AD31:AO31)-1)</f>
        <v>3.7600996580918089E-2</v>
      </c>
      <c r="BB31" s="84">
        <f>IF(OR(IPC!BB31="",IPC!AP31=""),"",AVERAGE(IPC!AQ31:BB31)/AVERAGE(IPC!AE31:AP31)-1)</f>
        <v>4.1652753791794561E-2</v>
      </c>
      <c r="BC31" s="84">
        <f>IF(OR(IPC!BC31="",IPC!AQ31=""),"",AVERAGE(IPC!AR31:BC31)/AVERAGE(IPC!AF31:AQ31)-1)</f>
        <v>4.6056225165792997E-2</v>
      </c>
      <c r="BD31" s="84">
        <f>IF(OR(IPC!BD31="",IPC!AR31=""),"",AVERAGE(IPC!AS31:BD31)/AVERAGE(IPC!AG31:AR31)-1)</f>
        <v>5.002272467046831E-2</v>
      </c>
      <c r="BE31" s="84">
        <f>IF(OR(IPC!BE31="",IPC!AS31=""),"",AVERAGE(IPC!AT31:BE31)/AVERAGE(IPC!AH31:AS31)-1)</f>
        <v>5.4148185330569865E-2</v>
      </c>
      <c r="BF31" s="84">
        <f>IF(OR(IPC!BF31="",IPC!AT31=""),"",AVERAGE(IPC!AU31:BF31)/AVERAGE(IPC!AI31:AT31)-1)</f>
        <v>5.1554010052227595E-2</v>
      </c>
      <c r="BG31" s="84">
        <f>IF(OR(IPC!BG31="",IPC!AU31=""),"",AVERAGE(IPC!AV31:BG31)/AVERAGE(IPC!AJ31:AU31)-1)</f>
        <v>4.9233737338793881E-2</v>
      </c>
      <c r="BH31" s="84">
        <f>IF(OR(IPC!BH31="",IPC!AV31=""),"",AVERAGE(IPC!AW31:BH31)/AVERAGE(IPC!AK31:AV31)-1)</f>
        <v>4.6645946515612824E-2</v>
      </c>
      <c r="BI31" s="84">
        <f>IF(OR(IPC!BI31="",IPC!AW31=""),"",AVERAGE(IPC!AX31:BI31)/AVERAGE(IPC!AL31:AW31)-1)</f>
        <v>4.4245951248734983E-2</v>
      </c>
      <c r="BJ31" s="84">
        <f>IF(OR(IPC!BJ31="",IPC!AX31=""),"",AVERAGE(IPC!AY31:BJ31)/AVERAGE(IPC!AM31:AX31)-1)</f>
        <v>4.1362709331861813E-2</v>
      </c>
      <c r="BK31" s="84">
        <f>IF(OR(IPC!BK31="",IPC!AY31=""),"",AVERAGE(IPC!AZ31:BK31)/AVERAGE(IPC!AN31:AY31)-1)</f>
        <v>3.8528401133764545E-2</v>
      </c>
      <c r="BL31" s="84">
        <f>IF(OR(IPC!BL31="",IPC!AZ31=""),"",AVERAGE(IPC!BA31:BL31)/AVERAGE(IPC!AO31:AZ31)-1)</f>
        <v>3.6181761842732474E-2</v>
      </c>
      <c r="BM31" s="84">
        <f>IF(OR(IPC!BM31="",IPC!BA31=""),"",AVERAGE(IPC!BB31:BM31)/AVERAGE(IPC!AP31:BA31)-1)</f>
        <v>3.3013840154609397E-2</v>
      </c>
      <c r="BN31" s="84">
        <f>IF(OR(IPC!BN31="",IPC!BB31=""),"",AVERAGE(IPC!BC31:BN31)/AVERAGE(IPC!AQ31:BB31)-1)</f>
        <v>2.9104750864176632E-2</v>
      </c>
      <c r="BO31" s="84">
        <f>IF(OR(IPC!BO31="",IPC!BC31=""),"",AVERAGE(IPC!BD31:BO31)/AVERAGE(IPC!AR31:BC31)-1)</f>
        <v>2.4987307259337177E-2</v>
      </c>
      <c r="BP31" s="84">
        <f>IF(OR(IPC!BP31="",IPC!BD31=""),"",AVERAGE(IPC!BE31:BP31)/AVERAGE(IPC!AS31:BD31)-1)</f>
        <v>2.0946794873904828E-2</v>
      </c>
      <c r="BQ31" s="84">
        <f>IF(OR(IPC!BQ31="",IPC!BE31=""),"",AVERAGE(IPC!BF31:BQ31)/AVERAGE(IPC!AT31:BE31)-1)</f>
        <v>1.6536648284334099E-2</v>
      </c>
      <c r="BR31" s="84">
        <f>IF(OR(IPC!BR31="",IPC!BF31=""),"",AVERAGE(IPC!BG31:BR31)/AVERAGE(IPC!AU31:BF31)-1)</f>
        <v>1.5311277565587034E-2</v>
      </c>
      <c r="BS31" s="84">
        <f>IF(OR(IPC!BS31="",IPC!BG31=""),"",AVERAGE(IPC!BH31:BS31)/AVERAGE(IPC!AV31:BG31)-1)</f>
        <v>1.4009629751809971E-2</v>
      </c>
      <c r="BT31" s="84">
        <f>IF(OR(IPC!BT31="",IPC!BH31=""),"",AVERAGE(IPC!BI31:BT31)/AVERAGE(IPC!AW31:BH31)-1)</f>
        <v>1.2506701387632102E-2</v>
      </c>
      <c r="BU31" s="84">
        <f>IF(OR(IPC!BU31="",IPC!BI31=""),"",AVERAGE(IPC!BJ31:BU31)/AVERAGE(IPC!AX31:BI31)-1)</f>
        <v>1.1276277678872404E-2</v>
      </c>
      <c r="BV31" s="84">
        <f>IF(OR(IPC!BV31="",IPC!BJ31=""),"",AVERAGE(IPC!BK31:BV31)/AVERAGE(IPC!AY31:BJ31)-1)</f>
        <v>1.0288247471624157E-2</v>
      </c>
      <c r="BW31" s="84">
        <f>IF(OR(IPC!BW31="",IPC!BK31=""),"",AVERAGE(IPC!BL31:BW31)/AVERAGE(IPC!AZ31:BK31)-1)</f>
        <v>9.4890730886041386E-3</v>
      </c>
      <c r="BX31" s="84">
        <f>IF(OR(IPC!BX31="",IPC!BL31=""),"",AVERAGE(IPC!BM31:BX31)/AVERAGE(IPC!BA31:BL31)-1)</f>
        <v>8.4859811520452411E-3</v>
      </c>
      <c r="BY31" s="84">
        <f>IF(OR(IPC!BY31="",IPC!BM31=""),"",AVERAGE(IPC!BN31:BY31)/AVERAGE(IPC!BB31:BM31)-1)</f>
        <v>7.8241076074594407E-3</v>
      </c>
      <c r="BZ31" s="84">
        <f>IF(OR(IPC!BZ31="",IPC!BN31=""),"",AVERAGE(IPC!BO31:BZ31)/AVERAGE(IPC!BC31:BN31)-1)</f>
        <v>7.6920695967013231E-3</v>
      </c>
      <c r="CA31" s="84">
        <f>IF(OR(IPC!CA31="",IPC!BO31=""),"",AVERAGE(IPC!BP31:CA31)/AVERAGE(IPC!BD31:BO31)-1)</f>
        <v>7.7330537882909223E-3</v>
      </c>
      <c r="CB31" s="84">
        <f>IF(OR(IPC!CB31="",IPC!BP31=""),"",AVERAGE(IPC!BQ31:CB31)/AVERAGE(IPC!BE31:BP31)-1)</f>
        <v>7.7268511068648849E-3</v>
      </c>
      <c r="CC31" s="84">
        <f>IF(OR(IPC!CC31="",IPC!BQ31=""),"",AVERAGE(IPC!BR31:CC31)/AVERAGE(IPC!BF31:BQ31)-1)</f>
        <v>7.8182824327290845E-3</v>
      </c>
      <c r="CD31" s="84">
        <f>IF(OR(IPC!CD31="",IPC!BR31=""),"",AVERAGE(IPC!BS31:CD31)/AVERAGE(IPC!BG31:BR31)-1)</f>
        <v>8.0332451242002278E-3</v>
      </c>
      <c r="CE31" s="84">
        <f>IF(OR(IPC!CE31="",IPC!BS31=""),"",AVERAGE(IPC!BT31:CE31)/AVERAGE(IPC!BH31:BS31)-1)</f>
        <v>8.1005057195355779E-3</v>
      </c>
      <c r="CF31" s="84">
        <f>IF(OR(IPC!CF31="",IPC!BT31=""),"",AVERAGE(IPC!BU31:CF31)/AVERAGE(IPC!BI31:BT31)-1)</f>
        <v>8.4913850011472114E-3</v>
      </c>
      <c r="CG31" s="84">
        <f>IF(OR(IPC!CG31="",IPC!BU31=""),"",AVERAGE(IPC!BV31:CG31)/AVERAGE(IPC!BJ31:BU31)-1)</f>
        <v>8.6047410829406257E-3</v>
      </c>
      <c r="CH31" s="84">
        <f>IF(OR(IPC!CH31="",IPC!BV31=""),"",AVERAGE(IPC!BW31:CH31)/AVERAGE(IPC!BK31:BV31)-1)</f>
        <v>8.5343468139351675E-3</v>
      </c>
      <c r="CI31" s="84">
        <f>IF(OR(IPC!CI31="",IPC!BW31=""),"",AVERAGE(IPC!BX31:CI31)/AVERAGE(IPC!BL31:BW31)-1)</f>
        <v>8.4131533597939789E-3</v>
      </c>
      <c r="CJ31" s="84">
        <f>IF(OR(IPC!CJ31="",IPC!BX31=""),"",AVERAGE(IPC!BY31:CJ31)/AVERAGE(IPC!BM31:BX31)-1)</f>
        <v>8.089641015034621E-3</v>
      </c>
      <c r="CK31" s="84">
        <f>IF(OR(IPC!CK31="",IPC!BY31=""),"",AVERAGE(IPC!BZ31:CK31)/AVERAGE(IPC!BN31:BY31)-1)</f>
        <v>7.8232782822740266E-3</v>
      </c>
      <c r="CL31" s="84">
        <f>IF(OR(IPC!CL31="",IPC!BZ31=""),"",AVERAGE(IPC!CA31:CL31)/AVERAGE(IPC!BO31:BZ31)-1)</f>
        <v>7.2714865649496918E-3</v>
      </c>
      <c r="CM31" s="84">
        <f>IF(OR(IPC!CM31="",IPC!CA31=""),"",AVERAGE(IPC!CB31:CM31)/AVERAGE(IPC!BP31:CA31)-1)</f>
        <v>6.7081747673269909E-3</v>
      </c>
      <c r="CN31" s="84">
        <f>IF(OR(IPC!CN31="",IPC!CB31=""),"",AVERAGE(IPC!CC31:CN31)/AVERAGE(IPC!BQ31:CB31)-1)</f>
        <v>6.5134053030886374E-3</v>
      </c>
      <c r="CO31" s="84">
        <f>IF(OR(IPC!CO31="",IPC!CC31=""),"",AVERAGE(IPC!CD31:CO31)/AVERAGE(IPC!BR31:CC31)-1)</f>
        <v>6.6816430710243679E-3</v>
      </c>
      <c r="CP31" s="84">
        <f>IF(OR(IPC!CP31="",IPC!CD31=""),"",AVERAGE(IPC!CE31:CP31)/AVERAGE(IPC!BS31:CD31)-1)</f>
        <v>7.0517930191269507E-3</v>
      </c>
      <c r="CQ31" s="84">
        <f>IF(OR(IPC!CQ31="",IPC!CE31=""),"",AVERAGE(IPC!CF31:CQ31)/AVERAGE(IPC!BT31:CE31)-1)</f>
        <v>7.627049387684437E-3</v>
      </c>
      <c r="CR31" s="84">
        <f>IF(OR(IPC!CR31="",IPC!CF31=""),"",AVERAGE(IPC!CG31:CR31)/AVERAGE(IPC!BU31:CF31)-1)</f>
        <v>8.3190460022195545E-3</v>
      </c>
      <c r="CS31" s="84">
        <f>IF(OR(IPC!CS31="",IPC!CG31=""),"",AVERAGE(IPC!CH31:CS31)/AVERAGE(IPC!BV31:CG31)-1)</f>
        <v>9.2783147671673394E-3</v>
      </c>
      <c r="CT31" s="84">
        <f>IF(OR(IPC!CT31="",IPC!CH31=""),"",AVERAGE(IPC!CI31:CT31)/AVERAGE(IPC!BW31:CH31)-1)</f>
        <v>1.0495100628803433E-2</v>
      </c>
      <c r="CU31" s="84">
        <f>IF(OR(IPC!CU31="",IPC!CI31=""),"",AVERAGE(IPC!CJ31:CU31)/AVERAGE(IPC!BX31:CI31)-1)</f>
        <v>1.1914716481206789E-2</v>
      </c>
      <c r="CV31" s="84">
        <f>IF(OR(IPC!CV31="",IPC!CJ31=""),"",AVERAGE(IPC!CK31:CV31)/AVERAGE(IPC!BY31:CJ31)-1)</f>
        <v>1.3588056319160158E-2</v>
      </c>
      <c r="CW31" s="84">
        <f>IF(OR(IPC!CW31="",IPC!CK31=""),"",AVERAGE(IPC!CL31:CW31)/AVERAGE(IPC!BZ31:CK31)-1)</f>
        <v>1.4997627665367164E-2</v>
      </c>
      <c r="CX31" s="84">
        <f>IF(OR(IPC!CX31="",IPC!CL31=""),"",AVERAGE(IPC!CM31:CX31)/AVERAGE(IPC!CA31:CL31)-1)</f>
        <v>1.6945897013474598E-2</v>
      </c>
      <c r="CY31" s="84">
        <f>IF(OR(IPC!CY31="",IPC!CM31=""),"",AVERAGE(IPC!CN31:CY31)/AVERAGE(IPC!CB31:CM31)-1)</f>
        <v>1.8713858453665244E-2</v>
      </c>
      <c r="CZ31" s="84">
        <f>IF(OR(IPC!CZ31="",IPC!CN31=""),"",AVERAGE(IPC!CO31:CZ31)/AVERAGE(IPC!CC31:CN31)-1)</f>
        <v>2.0231205397623908E-2</v>
      </c>
      <c r="DA31" s="84">
        <f>IF(OR(IPC!DA31="",IPC!CO31=""),"",AVERAGE(IPC!CP31:DA31)/AVERAGE(IPC!CD31:CO31)-1)</f>
        <v>2.1230332519639905E-2</v>
      </c>
      <c r="DB31" s="84">
        <f>IF(OR(IPC!DB31="",IPC!CP31=""),"",AVERAGE(IPC!CQ31:DB31)/AVERAGE(IPC!CE31:CP31)-1)</f>
        <v>2.160773581420572E-2</v>
      </c>
      <c r="DC31" s="84">
        <f>IF(OR(IPC!DC31="",IPC!CQ31=""),"",AVERAGE(IPC!CR31:DC31)/AVERAGE(IPC!CF31:CQ31)-1)</f>
        <v>2.1856903851515064E-2</v>
      </c>
      <c r="DD31" s="84">
        <f>IF(OR(IPC!DD31="",IPC!CR31=""),"",AVERAGE(IPC!CS31:DD31)/AVERAGE(IPC!CG31:CR31)-1)</f>
        <v>2.1883030349983956E-2</v>
      </c>
      <c r="DE31" s="84">
        <f>IF(OR(IPC!DE31="",IPC!CS31=""),"",AVERAGE(IPC!CT31:DE31)/AVERAGE(IPC!CH31:CS31)-1)</f>
        <v>2.1690777219004032E-2</v>
      </c>
      <c r="DF31" s="84">
        <f>IF(OR(IPC!DF31="",IPC!CT31=""),"",AVERAGE(IPC!CU31:DF31)/AVERAGE(IPC!CI31:CT31)-1)</f>
        <v>2.1280539700952561E-2</v>
      </c>
      <c r="DG31" s="84">
        <f>IF(OR(IPC!DG31="",IPC!CU31=""),"",AVERAGE(IPC!CV31:DG31)/AVERAGE(IPC!CJ31:CU31)-1)</f>
        <v>2.0546064845947898E-2</v>
      </c>
      <c r="DH31" s="84">
        <f>IF(OR(IPC!DH31="",IPC!CV31=""),"",AVERAGE(IPC!CW31:DH31)/AVERAGE(IPC!CK31:CV31)-1)</f>
        <v>1.9555979544670032E-2</v>
      </c>
      <c r="DI31" s="84">
        <f>IF(OR(IPC!DI31="",IPC!CW31=""),"",AVERAGE(IPC!CX31:DI31)/AVERAGE(IPC!CL31:CW31)-1)</f>
        <v>1.9031031026097711E-2</v>
      </c>
      <c r="DJ31" s="84">
        <f>IF(OR(IPC!DJ31="",IPC!CX31=""),"",AVERAGE(IPC!CY31:DJ31)/AVERAGE(IPC!CM31:CX31)-1)</f>
        <v>1.7913855462073913E-2</v>
      </c>
      <c r="DK31" s="84">
        <f>IF(OR(IPC!DK31="",IPC!CY31=""),"",AVERAGE(IPC!CZ31:DK31)/AVERAGE(IPC!CN31:CY31)-1)</f>
        <v>1.7984319687500472E-2</v>
      </c>
      <c r="DL31" s="84">
        <f>IF(OR(IPC!DL31="",IPC!CZ31=""),"",AVERAGE(IPC!DA31:DL31)/AVERAGE(IPC!CO31:CZ31)-1)</f>
        <v>1.695589552361465E-2</v>
      </c>
      <c r="DM31" s="84">
        <f>IF(OR(IPC!DM31="",IPC!DA31=""),"",AVERAGE(IPC!DB31:DM31)/AVERAGE(IPC!CP31:DA31)-1)</f>
        <v>1.6140636904871331E-2</v>
      </c>
      <c r="DN31" s="84">
        <f>IF(OR(IPC!DN31="",IPC!DB31=""),"",AVERAGE(IPC!DC31:DN31)/AVERAGE(IPC!CQ31:DB31)-1)</f>
        <v>1.5634388688116951E-2</v>
      </c>
      <c r="DO31" s="84">
        <f>IF(OR(IPC!DO31="",IPC!DC31=""),"",AVERAGE(IPC!DD31:DO31)/AVERAGE(IPC!CR31:DC31)-1)</f>
        <v>1.5142407440693839E-2</v>
      </c>
      <c r="DP31" s="84">
        <f>IF(OR(IPC!DP31="",IPC!DD31=""),"",AVERAGE(IPC!DE31:DP31)/AVERAGE(IPC!CS31:DD31)-1)</f>
        <v>1.4816515601225433E-2</v>
      </c>
      <c r="DQ31" s="84">
        <f>IF(OR(IPC!DQ31="",IPC!DE31=""),"",AVERAGE(IPC!DF31:DQ31)/AVERAGE(IPC!CT31:DE31)-1)</f>
        <v>1.4583806009556666E-2</v>
      </c>
      <c r="DR31" s="84">
        <f>IF(OR(IPC!DR31="",IPC!DF31=""),"",AVERAGE(IPC!DG31:DR31)/AVERAGE(IPC!CU31:DF31)-1)</f>
        <v>1.4461967148619026E-2</v>
      </c>
      <c r="DS31" s="84">
        <f>IF(OR(IPC!DS31="",IPC!DG31=""),"",AVERAGE(IPC!DH31:DS31)/AVERAGE(IPC!CV31:DG31)-1)</f>
        <v>1.424616853190952E-2</v>
      </c>
      <c r="DT31" s="84">
        <f>IF(OR(IPC!DT31="",IPC!DH31=""),"",AVERAGE(IPC!DI31:DT31)/AVERAGE(IPC!CW31:DH31)-1)</f>
        <v>1.4213750672650294E-2</v>
      </c>
      <c r="DU31" s="84">
        <f>IF(OR(IPC!DU31="",IPC!DI31=""),"",AVERAGE(IPC!DJ31:DU31)/AVERAGE(IPC!CX31:DI31)-1)</f>
        <v>1.3850598337202591E-2</v>
      </c>
      <c r="DV31" s="84">
        <f>IF(OR(IPC!DV31="",IPC!DJ31=""),"",AVERAGE(IPC!DK31:DV31)/AVERAGE(IPC!CY31:DJ31)-1)</f>
        <v>1.3488984106253765E-2</v>
      </c>
      <c r="DW31" s="84">
        <f>IF(OR(IPC!DW31="",IPC!DK31=""),"",AVERAGE(IPC!DL31:DW31)/AVERAGE(IPC!CZ31:DK31)-1)</f>
        <v>1.0942659002133759E-2</v>
      </c>
      <c r="DX31" s="84">
        <f>IF(OR(IPC!DX31="",IPC!DL31=""),"",AVERAGE(IPC!DM31:DX31)/AVERAGE(IPC!DA31:DL31)-1)</f>
        <v>1.0574748373875176E-2</v>
      </c>
      <c r="DY31" s="84">
        <f>IF(OR(IPC!DY31="",IPC!DM31=""),"",AVERAGE(IPC!DN31:DY31)/AVERAGE(IPC!DB31:DM31)-1)</f>
        <v>1.0269842358947123E-2</v>
      </c>
      <c r="DZ31" s="84">
        <f>IF(OR(IPC!DZ31="",IPC!DN31=""),"",AVERAGE(IPC!DO31:DZ31)/AVERAGE(IPC!DC31:DN31)-1)</f>
        <v>1.0012818639204335E-2</v>
      </c>
      <c r="EA31" s="84">
        <f>IF(OR(IPC!EA31="",IPC!DO31=""),"",AVERAGE(IPC!DP31:EA31)/AVERAGE(IPC!DD31:DO31)-1)</f>
        <v>9.8777996395815748E-3</v>
      </c>
      <c r="EB31" s="84">
        <f>IF(OR(IPC!EB31="",IPC!DP31=""),"",AVERAGE(IPC!DQ31:EB31)/AVERAGE(IPC!DE31:DP31)-1)</f>
        <v>9.5830896320137082E-3</v>
      </c>
      <c r="EC31" s="84">
        <f>IF(OR(IPC!EC31="",IPC!DQ31=""),"",AVERAGE(IPC!DR31:EC31)/AVERAGE(IPC!DF31:DQ31)-1)</f>
        <v>9.2339560730949621E-3</v>
      </c>
      <c r="ED31" s="84">
        <f>IF(OR(IPC!ED31="",IPC!DR31=""),"",AVERAGE(IPC!DS31:ED31)/AVERAGE(IPC!DG31:DR31)-1)</f>
        <v>8.9014019944537726E-3</v>
      </c>
      <c r="EE31" s="84">
        <f>IF(OR(IPC!EE31="",IPC!DS31=""),"",AVERAGE(IPC!DT31:EE31)/AVERAGE(IPC!DH31:DS31)-1)</f>
        <v>9.1134982480070015E-3</v>
      </c>
      <c r="EF31" s="84">
        <f>IF(OR(IPC!EF31="",IPC!DT31=""),"",AVERAGE(IPC!DU31:EF31)/AVERAGE(IPC!DI31:DT31)-1)</f>
        <v>9.4995075411472563E-3</v>
      </c>
      <c r="EG31" s="84">
        <f>IF(OR(IPC!EG31="",IPC!DU31=""),"",AVERAGE(IPC!DV31:EG31)/AVERAGE(IPC!DJ31:DU31)-1)</f>
        <v>9.9824314079770549E-3</v>
      </c>
      <c r="EH31" s="84">
        <f>IF(OR(IPC!EH31="",IPC!DV31=""),"",AVERAGE(IPC!DW31:EH31)/AVERAGE(IPC!DK31:DV31)-1)</f>
        <v>1.0871243418644871E-2</v>
      </c>
      <c r="EI31" s="84">
        <f>IF(OR(IPC!EI31="",IPC!DW31=""),"",AVERAGE(IPC!DX31:EI31)/AVERAGE(IPC!DL31:DW31)-1)</f>
        <v>1.3104970894256995E-2</v>
      </c>
      <c r="EJ31" s="84">
        <f>IF(OR(IPC!EJ31="",IPC!DX31=""),"",AVERAGE(IPC!DY31:EJ31)/AVERAGE(IPC!DM31:DX31)-1)</f>
        <v>1.4664758240911624E-2</v>
      </c>
      <c r="EK31" s="84">
        <f>IF(OR(IPC!EK31="",IPC!DY31=""),"",AVERAGE(IPC!DZ31:EK31)/AVERAGE(IPC!DN31:DY31)-1)</f>
        <v>1.6510998849273983E-2</v>
      </c>
      <c r="EL31" s="84">
        <f>IF(OR(IPC!EL31="",IPC!DZ31=""),"",AVERAGE(IPC!EA31:EL31)/AVERAGE(IPC!DO31:DZ31)-1)</f>
        <v>1.8374616890489248E-2</v>
      </c>
      <c r="EM31" s="84">
        <f>IF(OR(IPC!EM31="",IPC!EA31=""),"",AVERAGE(IPC!EB31:EM31)/AVERAGE(IPC!DP31:EA31)-1)</f>
        <v>2.046880831568032E-2</v>
      </c>
      <c r="EN31" s="84">
        <f>IF(OR(IPC!EN31="",IPC!EB31=""),"",AVERAGE(IPC!EC31:EN31)/AVERAGE(IPC!DQ31:EB31)-1)</f>
        <v>2.2947947781680522E-2</v>
      </c>
      <c r="EO31" s="84">
        <f>IF(OR(IPC!EO31="",IPC!EC31=""),"",AVERAGE(IPC!ED31:EO31)/AVERAGE(IPC!DR31:EC31)-1)</f>
        <v>2.5355095200424227E-2</v>
      </c>
      <c r="EP31" s="84">
        <f>IF(OR(IPC!EP31="",IPC!ED31=""),"",AVERAGE(IPC!EE31:EP31)/AVERAGE(IPC!DS31:ED31)-1)</f>
        <v>2.7678884382499325E-2</v>
      </c>
      <c r="EQ31" s="84">
        <f>IF(OR(IPC!EQ31="",IPC!EE31=""),"",AVERAGE(IPC!EF31:EQ31)/AVERAGE(IPC!DT31:EE31)-1)</f>
        <v>2.9400101092299735E-2</v>
      </c>
      <c r="ER31" s="84" t="str">
        <f>IF(OR(IPC!ER31="",IPC!EF31=""),"",AVERAGE(IPC!EG31:ER31)/AVERAGE(IPC!DU31:EF31)-1)</f>
        <v/>
      </c>
      <c r="ES31" s="84" t="str">
        <f>IF(OR(IPC!ES31="",IPC!EG31=""),"",AVERAGE(IPC!EH31:ES31)/AVERAGE(IPC!DV31:EG31)-1)</f>
        <v/>
      </c>
      <c r="ET31" s="84" t="str">
        <f>IF(OR(IPC!ET31="",IPC!EH31=""),"",AVERAGE(IPC!EI31:ET31)/AVERAGE(IPC!DW31:EH31)-1)</f>
        <v/>
      </c>
      <c r="EU31" s="84" t="str">
        <f>IF(OR(IPC!EU31="",IPC!EI31=""),"",AVERAGE(IPC!EJ31:EU31)/AVERAGE(IPC!DX31:EI31)-1)</f>
        <v/>
      </c>
      <c r="EV31" s="84" t="str">
        <f>IF(OR(IPC!EV31="",IPC!EJ31=""),"",AVERAGE(IPC!EK31:EV31)/AVERAGE(IPC!DY31:EJ31)-1)</f>
        <v/>
      </c>
      <c r="EW31" s="84" t="str">
        <f>IF(OR(IPC!EW31="",IPC!EK31=""),"",AVERAGE(IPC!EL31:EW31)/AVERAGE(IPC!DZ31:EK31)-1)</f>
        <v/>
      </c>
      <c r="EX31" s="84" t="str">
        <f>IF(OR(IPC!EX31="",IPC!EL31=""),"",AVERAGE(IPC!EM31:EX31)/AVERAGE(IPC!EA31:EL31)-1)</f>
        <v/>
      </c>
      <c r="EY31" s="84" t="str">
        <f>IF(OR(IPC!EY31="",IPC!EM31=""),"",AVERAGE(IPC!EN31:EY31)/AVERAGE(IPC!EB31:EM31)-1)</f>
        <v/>
      </c>
      <c r="EZ31" s="84" t="str">
        <f>IF(OR(IPC!EZ31="",IPC!EN31=""),"",AVERAGE(IPC!EO31:EZ31)/AVERAGE(IPC!EC31:EN31)-1)</f>
        <v/>
      </c>
      <c r="FA31" s="84" t="str">
        <f>IF(OR(IPC!FA31="",IPC!EO31=""),"",AVERAGE(IPC!EP31:FA31)/AVERAGE(IPC!ED31:EO31)-1)</f>
        <v/>
      </c>
      <c r="FB31" s="84" t="str">
        <f>IF(OR(IPC!FB31="",IPC!EP31=""),"",AVERAGE(IPC!EQ31:FB31)/AVERAGE(IPC!EE31:EP31)-1)</f>
        <v/>
      </c>
      <c r="FC31" s="84" t="str">
        <f>IF(OR(IPC!FC31="",IPC!EQ31=""),"",AVERAGE(IPC!ER31:FC31)/AVERAGE(IPC!EF31:EQ31)-1)</f>
        <v/>
      </c>
      <c r="FD31" s="84" t="str">
        <f>IF(OR(IPC!FD31="",IPC!ER31=""),"",AVERAGE(IPC!ES31:FD31)/AVERAGE(IPC!EG31:ER31)-1)</f>
        <v/>
      </c>
      <c r="FE31" s="84" t="str">
        <f>IF(OR(IPC!FE31="",IPC!ES31=""),"",AVERAGE(IPC!ET31:FE31)/AVERAGE(IPC!EH31:ES31)-1)</f>
        <v/>
      </c>
      <c r="FF31" s="84" t="str">
        <f>IF(OR(IPC!FF31="",IPC!ET31=""),"",AVERAGE(IPC!EU31:FF31)/AVERAGE(IPC!EI31:ET31)-1)</f>
        <v/>
      </c>
      <c r="FG31" s="84" t="str">
        <f>IF(OR(IPC!FG31="",IPC!EU31=""),"",AVERAGE(IPC!EV31:FG31)/AVERAGE(IPC!EJ31:EU31)-1)</f>
        <v/>
      </c>
      <c r="FH31" s="84" t="str">
        <f>IF(OR(IPC!FH31="",IPC!EV31=""),"",AVERAGE(IPC!EW31:FH31)/AVERAGE(IPC!EK31:EV31)-1)</f>
        <v/>
      </c>
      <c r="FI31" s="84" t="str">
        <f>IF(OR(IPC!FI31="",IPC!EW31=""),"",AVERAGE(IPC!EX31:FI31)/AVERAGE(IPC!EL31:EW31)-1)</f>
        <v/>
      </c>
    </row>
    <row r="32" spans="1:174" s="74" customFormat="1" ht="10.199999999999999" x14ac:dyDescent="0.2"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5"/>
      <c r="DA32" s="75"/>
      <c r="DB32" s="75"/>
      <c r="DC32" s="75"/>
      <c r="DD32" s="75"/>
      <c r="DE32" s="75"/>
      <c r="DF32" s="75"/>
      <c r="DG32" s="75"/>
      <c r="DH32" s="75"/>
      <c r="DI32" s="75"/>
      <c r="DJ32" s="75"/>
      <c r="DK32" s="75"/>
      <c r="DL32" s="75"/>
      <c r="DM32" s="75"/>
      <c r="DN32" s="75"/>
      <c r="DO32" s="75"/>
      <c r="DP32" s="75"/>
      <c r="DQ32" s="75"/>
      <c r="DR32" s="75"/>
      <c r="DS32" s="75"/>
      <c r="DT32" s="75"/>
      <c r="DU32" s="75"/>
      <c r="DV32" s="75"/>
      <c r="DW32" s="75"/>
      <c r="DX32" s="75"/>
      <c r="DY32" s="75"/>
      <c r="DZ32" s="75"/>
      <c r="EA32" s="75"/>
      <c r="EB32" s="75"/>
      <c r="EC32" s="75"/>
      <c r="ED32" s="75"/>
      <c r="EE32" s="75"/>
      <c r="EF32" s="75"/>
      <c r="EG32" s="75"/>
      <c r="EH32" s="75"/>
      <c r="EI32" s="75"/>
      <c r="EJ32" s="75"/>
      <c r="EK32" s="75"/>
      <c r="EL32" s="75"/>
      <c r="EM32" s="75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75"/>
      <c r="FF32" s="75"/>
      <c r="FG32" s="75"/>
      <c r="FH32" s="75"/>
      <c r="FI32" s="75"/>
    </row>
    <row r="33" spans="1:174" s="74" customFormat="1" ht="10.199999999999999" x14ac:dyDescent="0.2">
      <c r="B33" s="3" t="s">
        <v>111</v>
      </c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>
        <f>IF(OR(IPC!AN33="",IPC!AB33=""),"",AVERAGE(IPC!AC33:AN33)/AVERAGE(IPC!Q33:AB33)-1)</f>
        <v>1.2376707801716957E-2</v>
      </c>
      <c r="AO33" s="75">
        <f>IF(OR(IPC!AO33="",IPC!AC33=""),"",AVERAGE(IPC!AD33:AO33)/AVERAGE(IPC!R33:AC33)-1)</f>
        <v>1.2603214747386904E-2</v>
      </c>
      <c r="AP33" s="75">
        <f>IF(OR(IPC!AP33="",IPC!AD33=""),"",AVERAGE(IPC!AE33:AP33)/AVERAGE(IPC!S33:AD33)-1)</f>
        <v>1.2492351586089523E-2</v>
      </c>
      <c r="AQ33" s="75">
        <f>IF(OR(IPC!AQ33="",IPC!AE33=""),"",AVERAGE(IPC!AF33:AQ33)/AVERAGE(IPC!T33:AE33)-1)</f>
        <v>1.1970068267046718E-2</v>
      </c>
      <c r="AR33" s="75">
        <f>IF(OR(IPC!AR33="",IPC!AF33=""),"",AVERAGE(IPC!AG33:AR33)/AVERAGE(IPC!U33:AF33)-1)</f>
        <v>1.2196929892015707E-2</v>
      </c>
      <c r="AS33" s="75">
        <f>IF(OR(IPC!AS33="",IPC!AG33=""),"",AVERAGE(IPC!AH33:AS33)/AVERAGE(IPC!V33:AG33)-1)</f>
        <v>1.1186424999087841E-2</v>
      </c>
      <c r="AT33" s="75">
        <f>IF(OR(IPC!AT33="",IPC!AH33=""),"",AVERAGE(IPC!AI33:AT33)/AVERAGE(IPC!W33:AH33)-1)</f>
        <v>1.1707909672205696E-2</v>
      </c>
      <c r="AU33" s="75">
        <f>IF(OR(IPC!AU33="",IPC!AI33=""),"",AVERAGE(IPC!AJ33:AU33)/AVERAGE(IPC!X33:AI33)-1)</f>
        <v>1.1599584868489998E-2</v>
      </c>
      <c r="AV33" s="75">
        <f>IF(OR(IPC!AV33="",IPC!AJ33=""),"",AVERAGE(IPC!AK33:AV33)/AVERAGE(IPC!Y33:AJ33)-1)</f>
        <v>1.2669475754817583E-2</v>
      </c>
      <c r="AW33" s="75">
        <f>IF(OR(IPC!AW33="",IPC!AK33=""),"",AVERAGE(IPC!AL33:AW33)/AVERAGE(IPC!Z33:AK33)-1)</f>
        <v>1.1979190812320573E-2</v>
      </c>
      <c r="AX33" s="75">
        <f>IF(OR(IPC!AX33="",IPC!AL33=""),"",AVERAGE(IPC!AM33:AX33)/AVERAGE(IPC!AA33:AL33)-1)</f>
        <v>1.1480519078292506E-2</v>
      </c>
      <c r="AY33" s="75">
        <f>IF(OR(IPC!AY33="",IPC!AM33=""),"",AVERAGE(IPC!AN33:AY33)/AVERAGE(IPC!AB33:AM33)-1)</f>
        <v>1.095459132562282E-2</v>
      </c>
      <c r="AZ33" s="75">
        <f>IF(OR(IPC!AZ33="",IPC!AN33=""),"",AVERAGE(IPC!AO33:AZ33)/AVERAGE(IPC!AC33:AN33)-1)</f>
        <v>1.0513265553975026E-2</v>
      </c>
      <c r="BA33" s="75">
        <f>IF(OR(IPC!BA33="",IPC!AO33=""),"",AVERAGE(IPC!AP33:BA33)/AVERAGE(IPC!AD33:AO33)-1)</f>
        <v>1.0448197393788661E-2</v>
      </c>
      <c r="BB33" s="75">
        <f>IF(OR(IPC!BB33="",IPC!AP33=""),"",AVERAGE(IPC!AQ33:BB33)/AVERAGE(IPC!AE33:AP33)-1)</f>
        <v>1.0498044777587756E-2</v>
      </c>
      <c r="BC33" s="75">
        <f>IF(OR(IPC!BC33="",IPC!AQ33=""),"",AVERAGE(IPC!AR33:BC33)/AVERAGE(IPC!AF33:AQ33)-1)</f>
        <v>1.047021041365559E-2</v>
      </c>
      <c r="BD33" s="75">
        <f>IF(OR(IPC!BD33="",IPC!AR33=""),"",AVERAGE(IPC!AS33:BD33)/AVERAGE(IPC!AG33:AR33)-1)</f>
        <v>1.0680252372878396E-2</v>
      </c>
      <c r="BE33" s="75">
        <f>IF(OR(IPC!BE33="",IPC!AS33=""),"",AVERAGE(IPC!AT33:BE33)/AVERAGE(IPC!AH33:AS33)-1)</f>
        <v>1.1668934875413983E-2</v>
      </c>
      <c r="BF33" s="75">
        <f>IF(OR(IPC!BF33="",IPC!AT33=""),"",AVERAGE(IPC!AU33:BF33)/AVERAGE(IPC!AI33:AT33)-1)</f>
        <v>1.1960194761755361E-2</v>
      </c>
      <c r="BG33" s="75">
        <f>IF(OR(IPC!BG33="",IPC!AU33=""),"",AVERAGE(IPC!AV33:BG33)/AVERAGE(IPC!AJ33:AU33)-1)</f>
        <v>1.2832734155953984E-2</v>
      </c>
      <c r="BH33" s="75">
        <f>IF(OR(IPC!BH33="",IPC!AV33=""),"",AVERAGE(IPC!AW33:BH33)/AVERAGE(IPC!AK33:AV33)-1)</f>
        <v>1.2414508275455649E-2</v>
      </c>
      <c r="BI33" s="75">
        <f>IF(OR(IPC!BI33="",IPC!AW33=""),"",AVERAGE(IPC!AX33:BI33)/AVERAGE(IPC!AL33:AW33)-1)</f>
        <v>1.3189899097265867E-2</v>
      </c>
      <c r="BJ33" s="75">
        <f>IF(OR(IPC!BJ33="",IPC!AX33=""),"",AVERAGE(IPC!AY33:BJ33)/AVERAGE(IPC!AM33:AX33)-1)</f>
        <v>1.3888664234882553E-2</v>
      </c>
      <c r="BK33" s="75">
        <f>IF(OR(IPC!BK33="",IPC!AY33=""),"",AVERAGE(IPC!AZ33:BK33)/AVERAGE(IPC!AN33:AY33)-1)</f>
        <v>1.5473143376018905E-2</v>
      </c>
      <c r="BL33" s="75">
        <f>IF(OR(IPC!BL33="",IPC!AZ33=""),"",AVERAGE(IPC!BA33:BL33)/AVERAGE(IPC!AO33:AZ33)-1)</f>
        <v>1.6713336716149163E-2</v>
      </c>
      <c r="BM33" s="75">
        <f>IF(OR(IPC!BM33="",IPC!BA33=""),"",AVERAGE(IPC!BB33:BM33)/AVERAGE(IPC!AP33:BA33)-1)</f>
        <v>1.7050543853788902E-2</v>
      </c>
      <c r="BN33" s="75">
        <f>IF(OR(IPC!BN33="",IPC!BB33=""),"",AVERAGE(IPC!BC33:BN33)/AVERAGE(IPC!AQ33:BB33)-1)</f>
        <v>1.7751503097028998E-2</v>
      </c>
      <c r="BO33" s="75">
        <f>IF(OR(IPC!BO33="",IPC!BC33=""),"",AVERAGE(IPC!BD33:BO33)/AVERAGE(IPC!AR33:BC33)-1)</f>
        <v>1.8730419161166578E-2</v>
      </c>
      <c r="BP33" s="75">
        <f>IF(OR(IPC!BP33="",IPC!BD33=""),"",AVERAGE(IPC!BE33:BP33)/AVERAGE(IPC!AS33:BD33)-1)</f>
        <v>1.8571526750976064E-2</v>
      </c>
      <c r="BQ33" s="75">
        <f>IF(OR(IPC!BQ33="",IPC!BE33=""),"",AVERAGE(IPC!BF33:BQ33)/AVERAGE(IPC!AT33:BE33)-1)</f>
        <v>1.7579511637762613E-2</v>
      </c>
      <c r="BR33" s="75">
        <f>IF(OR(IPC!BR33="",IPC!BF33=""),"",AVERAGE(IPC!BG33:BR33)/AVERAGE(IPC!AU33:BF33)-1)</f>
        <v>1.6863225040810725E-2</v>
      </c>
      <c r="BS33" s="75">
        <f>IF(OR(IPC!BS33="",IPC!BG33=""),"",AVERAGE(IPC!BH33:BS33)/AVERAGE(IPC!AV33:BG33)-1)</f>
        <v>1.5504809326801761E-2</v>
      </c>
      <c r="BT33" s="75">
        <f>IF(OR(IPC!BT33="",IPC!BH33=""),"",AVERAGE(IPC!BI33:BT33)/AVERAGE(IPC!AW33:BH33)-1)</f>
        <v>1.5017164645882319E-2</v>
      </c>
      <c r="BU33" s="75">
        <f>IF(OR(IPC!BU33="",IPC!BI33=""),"",AVERAGE(IPC!BJ33:BU33)/AVERAGE(IPC!AX33:BI33)-1)</f>
        <v>1.4417542791688609E-2</v>
      </c>
      <c r="BV33" s="75">
        <f>IF(OR(IPC!BV33="",IPC!BJ33=""),"",AVERAGE(IPC!BK33:BV33)/AVERAGE(IPC!AY33:BJ33)-1)</f>
        <v>1.3646325975812834E-2</v>
      </c>
      <c r="BW33" s="75">
        <f>IF(OR(IPC!BW33="",IPC!BK33=""),"",AVERAGE(IPC!BL33:BW33)/AVERAGE(IPC!AZ33:BK33)-1)</f>
        <v>1.232180418542872E-2</v>
      </c>
      <c r="BX33" s="75">
        <f>IF(OR(IPC!BX33="",IPC!BL33=""),"",AVERAGE(IPC!BM33:BX33)/AVERAGE(IPC!BA33:BL33)-1)</f>
        <v>1.1026554060696858E-2</v>
      </c>
      <c r="BY33" s="75">
        <f>IF(OR(IPC!BY33="",IPC!BM33=""),"",AVERAGE(IPC!BN33:BY33)/AVERAGE(IPC!BB33:BM33)-1)</f>
        <v>1.0894916292545354E-2</v>
      </c>
      <c r="BZ33" s="75">
        <f>IF(OR(IPC!BZ33="",IPC!BN33=""),"",AVERAGE(IPC!BO33:BZ33)/AVERAGE(IPC!BC33:BN33)-1)</f>
        <v>9.5302623996966762E-3</v>
      </c>
      <c r="CA33" s="75">
        <f>IF(OR(IPC!CA33="",IPC!BO33=""),"",AVERAGE(IPC!BP33:CA33)/AVERAGE(IPC!BD33:BO33)-1)</f>
        <v>8.3600479840120201E-3</v>
      </c>
      <c r="CB33" s="75">
        <f>IF(OR(IPC!CB33="",IPC!BP33=""),"",AVERAGE(IPC!BQ33:CB33)/AVERAGE(IPC!BE33:BP33)-1)</f>
        <v>7.8440177696752489E-3</v>
      </c>
      <c r="CC33" s="75">
        <f>IF(OR(IPC!CC33="",IPC!BQ33=""),"",AVERAGE(IPC!BR33:CC33)/AVERAGE(IPC!BF33:BQ33)-1)</f>
        <v>6.4996162507484634E-3</v>
      </c>
      <c r="CD33" s="75">
        <f>IF(OR(IPC!CD33="",IPC!BR33=""),"",AVERAGE(IPC!BS33:CD33)/AVERAGE(IPC!BG33:BR33)-1)</f>
        <v>6.1588517246775609E-3</v>
      </c>
      <c r="CE33" s="75">
        <f>IF(OR(IPC!CE33="",IPC!BS33=""),"",AVERAGE(IPC!BT33:CE33)/AVERAGE(IPC!BH33:BS33)-1)</f>
        <v>6.3307514888497618E-3</v>
      </c>
      <c r="CF33" s="75">
        <f>IF(OR(IPC!CF33="",IPC!BT33=""),"",AVERAGE(IPC!BU33:CF33)/AVERAGE(IPC!BI33:BT33)-1)</f>
        <v>5.6750967557863685E-3</v>
      </c>
      <c r="CG33" s="75">
        <f>IF(OR(IPC!CG33="",IPC!BU33=""),"",AVERAGE(IPC!BV33:CG33)/AVERAGE(IPC!BJ33:BU33)-1)</f>
        <v>4.8912753040331047E-3</v>
      </c>
      <c r="CH33" s="75">
        <f>IF(OR(IPC!CH33="",IPC!BV33=""),"",AVERAGE(IPC!BW33:CH33)/AVERAGE(IPC!BK33:BV33)-1)</f>
        <v>4.0419039083579023E-3</v>
      </c>
      <c r="CI33" s="75">
        <f>IF(OR(IPC!CI33="",IPC!BW33=""),"",AVERAGE(IPC!BX33:CI33)/AVERAGE(IPC!BL33:BW33)-1)</f>
        <v>3.3007485700187189E-3</v>
      </c>
      <c r="CJ33" s="75">
        <f>IF(OR(IPC!CJ33="",IPC!BX33=""),"",AVERAGE(IPC!BY33:CJ33)/AVERAGE(IPC!BM33:BX33)-1)</f>
        <v>3.2984401073947733E-3</v>
      </c>
      <c r="CK33" s="75">
        <f>IF(OR(IPC!CK33="",IPC!BY33=""),"",AVERAGE(IPC!BZ33:CK33)/AVERAGE(IPC!BN33:BY33)-1)</f>
        <v>3.0760309592401391E-3</v>
      </c>
      <c r="CL33" s="75">
        <f>IF(OR(IPC!CL33="",IPC!BZ33=""),"",AVERAGE(IPC!CA33:CL33)/AVERAGE(IPC!BO33:BZ33)-1)</f>
        <v>3.8341119011973124E-3</v>
      </c>
      <c r="CM33" s="75">
        <f>IF(OR(IPC!CM33="",IPC!CA33=""),"",AVERAGE(IPC!CB33:CM33)/AVERAGE(IPC!BP33:CA33)-1)</f>
        <v>3.9978472321779979E-3</v>
      </c>
      <c r="CN33" s="75">
        <f>IF(OR(IPC!CN33="",IPC!CB33=""),"",AVERAGE(IPC!CC33:CN33)/AVERAGE(IPC!BQ33:CB33)-1)</f>
        <v>4.1954640937711396E-3</v>
      </c>
      <c r="CO33" s="75">
        <f>IF(OR(IPC!CO33="",IPC!CC33=""),"",AVERAGE(IPC!CD33:CO33)/AVERAGE(IPC!BR33:CC33)-1)</f>
        <v>5.7018220735427505E-3</v>
      </c>
      <c r="CP33" s="75">
        <f>IF(OR(IPC!CP33="",IPC!CD33=""),"",AVERAGE(IPC!CE33:CP33)/AVERAGE(IPC!BS33:CD33)-1)</f>
        <v>6.6164861635107375E-3</v>
      </c>
      <c r="CQ33" s="75">
        <f>IF(OR(IPC!CQ33="",IPC!CE33=""),"",AVERAGE(IPC!CF33:CQ33)/AVERAGE(IPC!BT33:CE33)-1)</f>
        <v>7.3613261261553653E-3</v>
      </c>
      <c r="CR33" s="75">
        <f>IF(OR(IPC!CR33="",IPC!CF33=""),"",AVERAGE(IPC!CG33:CR33)/AVERAGE(IPC!BU33:CF33)-1)</f>
        <v>8.5743275996730262E-3</v>
      </c>
      <c r="CS33" s="75">
        <f>IF(OR(IPC!CS33="",IPC!CG33=""),"",AVERAGE(IPC!CH33:CS33)/AVERAGE(IPC!BV33:CG33)-1)</f>
        <v>9.9162384220461419E-3</v>
      </c>
      <c r="CT33" s="75">
        <f>IF(OR(IPC!CT33="",IPC!CH33=""),"",AVERAGE(IPC!CI33:CT33)/AVERAGE(IPC!BW33:CH33)-1)</f>
        <v>1.1515677405268709E-2</v>
      </c>
      <c r="CU33" s="75">
        <f>IF(OR(IPC!CU33="",IPC!CI33=""),"",AVERAGE(IPC!CJ33:CU33)/AVERAGE(IPC!BX33:CI33)-1)</f>
        <v>1.2847992614639869E-2</v>
      </c>
      <c r="CV33" s="75">
        <f>IF(OR(IPC!CV33="",IPC!CJ33=""),"",AVERAGE(IPC!CK33:CV33)/AVERAGE(IPC!BY33:CJ33)-1)</f>
        <v>1.3678510765516849E-2</v>
      </c>
      <c r="CW33" s="75">
        <f>IF(OR(IPC!CW33="",IPC!CK33=""),"",AVERAGE(IPC!CL33:CW33)/AVERAGE(IPC!BZ33:CK33)-1)</f>
        <v>1.4336331930275836E-2</v>
      </c>
      <c r="CX33" s="75">
        <f>IF(OR(IPC!CX33="",IPC!CL33=""),"",AVERAGE(IPC!CM33:CX33)/AVERAGE(IPC!CA33:CL33)-1)</f>
        <v>1.5323575016680469E-2</v>
      </c>
      <c r="CY33" s="75">
        <f>IF(OR(IPC!CY33="",IPC!CM33=""),"",AVERAGE(IPC!CN33:CY33)/AVERAGE(IPC!CB33:CM33)-1)</f>
        <v>1.7012033119216508E-2</v>
      </c>
      <c r="CZ33" s="75">
        <f>IF(OR(IPC!CZ33="",IPC!CN33=""),"",AVERAGE(IPC!CO33:CZ33)/AVERAGE(IPC!CC33:CN33)-1)</f>
        <v>1.8500945275195857E-2</v>
      </c>
      <c r="DA33" s="75">
        <f>IF(OR(IPC!DA33="",IPC!CO33=""),"",AVERAGE(IPC!CP33:DA33)/AVERAGE(IPC!CD33:CO33)-1)</f>
        <v>1.9117639270922027E-2</v>
      </c>
      <c r="DB33" s="75">
        <f>IF(OR(IPC!DB33="",IPC!CP33=""),"",AVERAGE(IPC!CQ33:DB33)/AVERAGE(IPC!CE33:CP33)-1)</f>
        <v>1.9500129796470755E-2</v>
      </c>
      <c r="DC33" s="75">
        <f>IF(OR(IPC!DC33="",IPC!CQ33=""),"",AVERAGE(IPC!CR33:DC33)/AVERAGE(IPC!CF33:CQ33)-1)</f>
        <v>2.0018911478180579E-2</v>
      </c>
      <c r="DD33" s="75">
        <f>IF(OR(IPC!DD33="",IPC!CR33=""),"",AVERAGE(IPC!CS33:DD33)/AVERAGE(IPC!CG33:CR33)-1)</f>
        <v>2.0401329645233224E-2</v>
      </c>
      <c r="DE33" s="75">
        <f>IF(OR(IPC!DE33="",IPC!CS33=""),"",AVERAGE(IPC!CT33:DE33)/AVERAGE(IPC!CH33:CS33)-1)</f>
        <v>2.0776313473225505E-2</v>
      </c>
      <c r="DF33" s="75">
        <f>IF(OR(IPC!DF33="",IPC!CT33=""),"",AVERAGE(IPC!CU33:DF33)/AVERAGE(IPC!CI33:CT33)-1)</f>
        <v>2.1073873837365475E-2</v>
      </c>
      <c r="DG33" s="75">
        <f>IF(OR(IPC!DG33="",IPC!CU33=""),"",AVERAGE(IPC!CV33:DG33)/AVERAGE(IPC!CJ33:CU33)-1)</f>
        <v>2.1333386567493617E-2</v>
      </c>
      <c r="DH33" s="75">
        <f>IF(OR(IPC!DH33="",IPC!CV33=""),"",AVERAGE(IPC!CW33:DH33)/AVERAGE(IPC!CK33:CV33)-1)</f>
        <v>2.1687215535184157E-2</v>
      </c>
      <c r="DI33" s="75">
        <f>IF(OR(IPC!DI33="",IPC!CW33=""),"",AVERAGE(IPC!CX33:DI33)/AVERAGE(IPC!CL33:CW33)-1)</f>
        <v>2.212812915615503E-2</v>
      </c>
      <c r="DJ33" s="75">
        <f>IF(OR(IPC!DJ33="",IPC!CX33=""),"",AVERAGE(IPC!CY33:DJ33)/AVERAGE(IPC!CM33:CX33)-1)</f>
        <v>2.1668515372214703E-2</v>
      </c>
      <c r="DK33" s="75">
        <f>IF(OR(IPC!DK33="",IPC!CY33=""),"",AVERAGE(IPC!CZ33:DK33)/AVERAGE(IPC!CN33:CY33)-1)</f>
        <v>2.0593118838477364E-2</v>
      </c>
      <c r="DL33" s="75">
        <f>IF(OR(IPC!DL33="",IPC!CZ33=""),"",AVERAGE(IPC!DA33:DL33)/AVERAGE(IPC!CO33:CZ33)-1)</f>
        <v>1.9901968625131383E-2</v>
      </c>
      <c r="DM33" s="75">
        <f>IF(OR(IPC!DM33="",IPC!DA33=""),"",AVERAGE(IPC!DB33:DM33)/AVERAGE(IPC!CP33:DA33)-1)</f>
        <v>1.9924196078722645E-2</v>
      </c>
      <c r="DN33" s="75">
        <f>IF(OR(IPC!DN33="",IPC!DB33=""),"",AVERAGE(IPC!DC33:DN33)/AVERAGE(IPC!CQ33:DB33)-1)</f>
        <v>1.9906402560728509E-2</v>
      </c>
      <c r="DO33" s="75">
        <f>IF(OR(IPC!DO33="",IPC!DC33=""),"",AVERAGE(IPC!DD33:DO33)/AVERAGE(IPC!CR33:DC33)-1)</f>
        <v>1.9487754522333756E-2</v>
      </c>
      <c r="DP33" s="75">
        <f>IF(OR(IPC!DP33="",IPC!DD33=""),"",AVERAGE(IPC!DE33:DP33)/AVERAGE(IPC!CS33:DD33)-1)</f>
        <v>1.9364410412925137E-2</v>
      </c>
      <c r="DQ33" s="75">
        <f>IF(OR(IPC!DQ33="",IPC!DE33=""),"",AVERAGE(IPC!DF33:DQ33)/AVERAGE(IPC!CT33:DE33)-1)</f>
        <v>1.9240086680325286E-2</v>
      </c>
      <c r="DR33" s="75">
        <f>IF(OR(IPC!DR33="",IPC!DF33=""),"",AVERAGE(IPC!DG33:DR33)/AVERAGE(IPC!CU33:DF33)-1)</f>
        <v>1.919734252898686E-2</v>
      </c>
      <c r="DS33" s="75">
        <f>IF(OR(IPC!DS33="",IPC!DG33=""),"",AVERAGE(IPC!DH33:DS33)/AVERAGE(IPC!CV33:DG33)-1)</f>
        <v>1.93249228238348E-2</v>
      </c>
      <c r="DT33" s="75">
        <f>IF(OR(IPC!DT33="",IPC!DH33=""),"",AVERAGE(IPC!DI33:DT33)/AVERAGE(IPC!CW33:DH33)-1)</f>
        <v>1.9364732042181032E-2</v>
      </c>
      <c r="DU33" s="75">
        <f>IF(OR(IPC!DU33="",IPC!DI33=""),"",AVERAGE(IPC!DJ33:DU33)/AVERAGE(IPC!CX33:DI33)-1)</f>
        <v>1.9140177556264515E-2</v>
      </c>
      <c r="DV33" s="75">
        <f>IF(OR(IPC!DV33="",IPC!DJ33=""),"",AVERAGE(IPC!DK33:DV33)/AVERAGE(IPC!CY33:DJ33)-1)</f>
        <v>1.9332539003294347E-2</v>
      </c>
      <c r="DW33" s="75">
        <f>IF(OR(IPC!DW33="",IPC!DK33=""),"",AVERAGE(IPC!DL33:DW33)/AVERAGE(IPC!CZ33:DK33)-1)</f>
        <v>1.9757604495288295E-2</v>
      </c>
      <c r="DX33" s="75">
        <f>IF(OR(IPC!DX33="",IPC!DL33=""),"",AVERAGE(IPC!DM33:DX33)/AVERAGE(IPC!DA33:DL33)-1)</f>
        <v>1.9446930200182289E-2</v>
      </c>
      <c r="DY33" s="75">
        <f>IF(OR(IPC!DY33="",IPC!DM33=""),"",AVERAGE(IPC!DN33:DY33)/AVERAGE(IPC!DB33:DM33)-1)</f>
        <v>1.85693837141645E-2</v>
      </c>
      <c r="DZ33" s="75">
        <f>IF(OR(IPC!DZ33="",IPC!DN33=""),"",AVERAGE(IPC!DO33:DZ33)/AVERAGE(IPC!DC33:DN33)-1)</f>
        <v>1.8465299662088652E-2</v>
      </c>
      <c r="EA33" s="75">
        <f>IF(OR(IPC!EA33="",IPC!DO33=""),"",AVERAGE(IPC!DP33:EA33)/AVERAGE(IPC!DD33:DO33)-1)</f>
        <v>1.8477798468881312E-2</v>
      </c>
      <c r="EB33" s="75">
        <f>IF(OR(IPC!EB33="",IPC!DP33=""),"",AVERAGE(IPC!DQ33:EB33)/AVERAGE(IPC!DE33:DP33)-1)</f>
        <v>1.7866401571247748E-2</v>
      </c>
      <c r="EC33" s="75">
        <f>IF(OR(IPC!EC33="",IPC!DQ33=""),"",AVERAGE(IPC!DR33:EC33)/AVERAGE(IPC!DF33:DQ33)-1)</f>
        <v>1.7235766572601285E-2</v>
      </c>
      <c r="ED33" s="75">
        <f>IF(OR(IPC!ED33="",IPC!DR33=""),"",AVERAGE(IPC!DS33:ED33)/AVERAGE(IPC!DG33:DR33)-1)</f>
        <v>1.6514759154696579E-2</v>
      </c>
      <c r="EE33" s="75">
        <f>IF(OR(IPC!EE33="",IPC!DS33=""),"",AVERAGE(IPC!DT33:EE33)/AVERAGE(IPC!DH33:DS33)-1)</f>
        <v>1.6179012322964814E-2</v>
      </c>
      <c r="EF33" s="75">
        <f>IF(OR(IPC!EF33="",IPC!DT33=""),"",AVERAGE(IPC!DU33:EF33)/AVERAGE(IPC!DI33:DT33)-1)</f>
        <v>1.6102854044398596E-2</v>
      </c>
      <c r="EG33" s="75">
        <f>IF(OR(IPC!EG33="",IPC!DU33=""),"",AVERAGE(IPC!DV33:EG33)/AVERAGE(IPC!DJ33:DU33)-1)</f>
        <v>1.6614347022847031E-2</v>
      </c>
      <c r="EH33" s="75">
        <f>IF(OR(IPC!EH33="",IPC!DV33=""),"",AVERAGE(IPC!DW33:EH33)/AVERAGE(IPC!DK33:DV33)-1)</f>
        <v>1.7272039823938767E-2</v>
      </c>
      <c r="EI33" s="75">
        <f>IF(OR(IPC!EI33="",IPC!DW33=""),"",AVERAGE(IPC!DX33:EI33)/AVERAGE(IPC!DL33:DW33)-1)</f>
        <v>1.8924938488094289E-2</v>
      </c>
      <c r="EJ33" s="75">
        <f>IF(OR(IPC!EJ33="",IPC!DX33=""),"",AVERAGE(IPC!DY33:EJ33)/AVERAGE(IPC!DM33:DX33)-1)</f>
        <v>2.1262417929850619E-2</v>
      </c>
      <c r="EK33" s="75">
        <f>IF(OR(IPC!EK33="",IPC!DY33=""),"",AVERAGE(IPC!DZ33:EK33)/AVERAGE(IPC!DN33:DY33)-1)</f>
        <v>2.4826721451411737E-2</v>
      </c>
      <c r="EL33" s="75">
        <f>IF(OR(IPC!EL33="",IPC!DZ33=""),"",AVERAGE(IPC!EA33:EL33)/AVERAGE(IPC!DO33:DZ33)-1)</f>
        <v>2.7560126761561277E-2</v>
      </c>
      <c r="EM33" s="75">
        <f>IF(OR(IPC!EM33="",IPC!EA33=""),"",AVERAGE(IPC!EB33:EM33)/AVERAGE(IPC!DP33:EA33)-1)</f>
        <v>3.0822927370245834E-2</v>
      </c>
      <c r="EN33" s="75">
        <f>IF(OR(IPC!EN33="",IPC!EB33=""),"",AVERAGE(IPC!EC33:EN33)/AVERAGE(IPC!DQ33:EB33)-1)</f>
        <v>3.4551803422463001E-2</v>
      </c>
      <c r="EO33" s="75">
        <f>IF(OR(IPC!EO33="",IPC!EC33=""),"",AVERAGE(IPC!ED33:EO33)/AVERAGE(IPC!DR33:EC33)-1)</f>
        <v>3.8425852081086287E-2</v>
      </c>
      <c r="EP33" s="75">
        <f>IF(OR(IPC!EP33="",IPC!ED33=""),"",AVERAGE(IPC!EE33:EP33)/AVERAGE(IPC!DS33:ED33)-1)</f>
        <v>4.2630682852800916E-2</v>
      </c>
      <c r="EQ33" s="75">
        <f>IF(OR(IPC!EQ33="",IPC!EE33=""),"",AVERAGE(IPC!EF33:EQ33)/AVERAGE(IPC!DT33:EE33)-1)</f>
        <v>4.6363189858007692E-2</v>
      </c>
      <c r="ER33" s="75" t="str">
        <f>IF(OR(IPC!ER33="",IPC!EF33=""),"",AVERAGE(IPC!EG33:ER33)/AVERAGE(IPC!DU33:EF33)-1)</f>
        <v/>
      </c>
      <c r="ES33" s="75" t="str">
        <f>IF(OR(IPC!ES33="",IPC!EG33=""),"",AVERAGE(IPC!EH33:ES33)/AVERAGE(IPC!DV33:EG33)-1)</f>
        <v/>
      </c>
      <c r="ET33" s="75" t="str">
        <f>IF(OR(IPC!ET33="",IPC!EH33=""),"",AVERAGE(IPC!EI33:ET33)/AVERAGE(IPC!DW33:EH33)-1)</f>
        <v/>
      </c>
      <c r="EU33" s="75" t="str">
        <f>IF(OR(IPC!EU33="",IPC!EI33=""),"",AVERAGE(IPC!EJ33:EU33)/AVERAGE(IPC!DX33:EI33)-1)</f>
        <v/>
      </c>
      <c r="EV33" s="75" t="str">
        <f>IF(OR(IPC!EV33="",IPC!EJ33=""),"",AVERAGE(IPC!EK33:EV33)/AVERAGE(IPC!DY33:EJ33)-1)</f>
        <v/>
      </c>
      <c r="EW33" s="75" t="str">
        <f>IF(OR(IPC!EW33="",IPC!EK33=""),"",AVERAGE(IPC!EL33:EW33)/AVERAGE(IPC!DZ33:EK33)-1)</f>
        <v/>
      </c>
      <c r="EX33" s="75" t="str">
        <f>IF(OR(IPC!EX33="",IPC!EL33=""),"",AVERAGE(IPC!EM33:EX33)/AVERAGE(IPC!EA33:EL33)-1)</f>
        <v/>
      </c>
      <c r="EY33" s="75" t="str">
        <f>IF(OR(IPC!EY33="",IPC!EM33=""),"",AVERAGE(IPC!EN33:EY33)/AVERAGE(IPC!EB33:EM33)-1)</f>
        <v/>
      </c>
      <c r="EZ33" s="75" t="str">
        <f>IF(OR(IPC!EZ33="",IPC!EN33=""),"",AVERAGE(IPC!EO33:EZ33)/AVERAGE(IPC!EC33:EN33)-1)</f>
        <v/>
      </c>
      <c r="FA33" s="75" t="str">
        <f>IF(OR(IPC!FA33="",IPC!EO33=""),"",AVERAGE(IPC!EP33:FA33)/AVERAGE(IPC!ED33:EO33)-1)</f>
        <v/>
      </c>
      <c r="FB33" s="75" t="str">
        <f>IF(OR(IPC!FB33="",IPC!EP33=""),"",AVERAGE(IPC!EQ33:FB33)/AVERAGE(IPC!EE33:EP33)-1)</f>
        <v/>
      </c>
      <c r="FC33" s="75" t="str">
        <f>IF(OR(IPC!FC33="",IPC!EQ33=""),"",AVERAGE(IPC!ER33:FC33)/AVERAGE(IPC!EF33:EQ33)-1)</f>
        <v/>
      </c>
      <c r="FD33" s="75" t="str">
        <f>IF(OR(IPC!FD33="",IPC!ER33=""),"",AVERAGE(IPC!ES33:FD33)/AVERAGE(IPC!EG33:ER33)-1)</f>
        <v/>
      </c>
      <c r="FE33" s="75" t="str">
        <f>IF(OR(IPC!FE33="",IPC!ES33=""),"",AVERAGE(IPC!ET33:FE33)/AVERAGE(IPC!EH33:ES33)-1)</f>
        <v/>
      </c>
      <c r="FF33" s="75" t="str">
        <f>IF(OR(IPC!FF33="",IPC!ET33=""),"",AVERAGE(IPC!EU33:FF33)/AVERAGE(IPC!EI33:ET33)-1)</f>
        <v/>
      </c>
      <c r="FG33" s="75" t="str">
        <f>IF(OR(IPC!FG33="",IPC!EU33=""),"",AVERAGE(IPC!EV33:FG33)/AVERAGE(IPC!EJ33:EU33)-1)</f>
        <v/>
      </c>
      <c r="FH33" s="75" t="str">
        <f>IF(OR(IPC!FH33="",IPC!EV33=""),"",AVERAGE(IPC!EW33:FH33)/AVERAGE(IPC!EK33:EV33)-1)</f>
        <v/>
      </c>
      <c r="FI33" s="75" t="str">
        <f>IF(OR(IPC!FI33="",IPC!EW33=""),"",AVERAGE(IPC!EX33:FI33)/AVERAGE(IPC!EL33:EW33)-1)</f>
        <v/>
      </c>
    </row>
    <row r="34" spans="1:174" s="74" customFormat="1" ht="10.199999999999999" x14ac:dyDescent="0.2">
      <c r="B34" s="3" t="s">
        <v>112</v>
      </c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>
        <f>IF(OR(IPC!AN34="",IPC!AB34=""),"",AVERAGE(IPC!AC34:AN34)/AVERAGE(IPC!Q34:AB34)-1)</f>
        <v>2.3027590864424852E-2</v>
      </c>
      <c r="AO34" s="75">
        <f>IF(OR(IPC!AO34="",IPC!AC34=""),"",AVERAGE(IPC!AD34:AO34)/AVERAGE(IPC!R34:AC34)-1)</f>
        <v>2.1956968801738919E-2</v>
      </c>
      <c r="AP34" s="75">
        <f>IF(OR(IPC!AP34="",IPC!AD34=""),"",AVERAGE(IPC!AE34:AP34)/AVERAGE(IPC!S34:AD34)-1)</f>
        <v>2.0807499577130573E-2</v>
      </c>
      <c r="AQ34" s="75">
        <f>IF(OR(IPC!AQ34="",IPC!AE34=""),"",AVERAGE(IPC!AF34:AQ34)/AVERAGE(IPC!T34:AE34)-1)</f>
        <v>2.0219683169621527E-2</v>
      </c>
      <c r="AR34" s="75">
        <f>IF(OR(IPC!AR34="",IPC!AF34=""),"",AVERAGE(IPC!AG34:AR34)/AVERAGE(IPC!U34:AF34)-1)</f>
        <v>1.9862005564376783E-2</v>
      </c>
      <c r="AS34" s="75">
        <f>IF(OR(IPC!AS34="",IPC!AG34=""),"",AVERAGE(IPC!AH34:AS34)/AVERAGE(IPC!V34:AG34)-1)</f>
        <v>1.8336234515562211E-2</v>
      </c>
      <c r="AT34" s="75">
        <f>IF(OR(IPC!AT34="",IPC!AH34=""),"",AVERAGE(IPC!AI34:AT34)/AVERAGE(IPC!W34:AH34)-1)</f>
        <v>1.805400945250546E-2</v>
      </c>
      <c r="AU34" s="75">
        <f>IF(OR(IPC!AU34="",IPC!AI34=""),"",AVERAGE(IPC!AJ34:AU34)/AVERAGE(IPC!X34:AI34)-1)</f>
        <v>1.7721999050104298E-2</v>
      </c>
      <c r="AV34" s="75">
        <f>IF(OR(IPC!AV34="",IPC!AJ34=""),"",AVERAGE(IPC!AK34:AV34)/AVERAGE(IPC!Y34:AJ34)-1)</f>
        <v>1.6761513936273786E-2</v>
      </c>
      <c r="AW34" s="75">
        <f>IF(OR(IPC!AW34="",IPC!AK34=""),"",AVERAGE(IPC!AL34:AW34)/AVERAGE(IPC!Z34:AK34)-1)</f>
        <v>1.4850908359862913E-2</v>
      </c>
      <c r="AX34" s="75">
        <f>IF(OR(IPC!AX34="",IPC!AL34=""),"",AVERAGE(IPC!AM34:AX34)/AVERAGE(IPC!AA34:AL34)-1)</f>
        <v>1.2971844270088129E-2</v>
      </c>
      <c r="AY34" s="75">
        <f>IF(OR(IPC!AY34="",IPC!AM34=""),"",AVERAGE(IPC!AN34:AY34)/AVERAGE(IPC!AB34:AM34)-1)</f>
        <v>1.2665595940539953E-2</v>
      </c>
      <c r="AZ34" s="75">
        <f>IF(OR(IPC!AZ34="",IPC!AN34=""),"",AVERAGE(IPC!AO34:AZ34)/AVERAGE(IPC!AC34:AN34)-1)</f>
        <v>1.2840348101044619E-2</v>
      </c>
      <c r="BA34" s="75">
        <f>IF(OR(IPC!BA34="",IPC!AO34=""),"",AVERAGE(IPC!AP34:BA34)/AVERAGE(IPC!AD34:AO34)-1)</f>
        <v>1.3080912022503277E-2</v>
      </c>
      <c r="BB34" s="75">
        <f>IF(OR(IPC!BB34="",IPC!AP34=""),"",AVERAGE(IPC!AQ34:BB34)/AVERAGE(IPC!AE34:AP34)-1)</f>
        <v>1.3543776302602506E-2</v>
      </c>
      <c r="BC34" s="75">
        <f>IF(OR(IPC!BC34="",IPC!AQ34=""),"",AVERAGE(IPC!AR34:BC34)/AVERAGE(IPC!AF34:AQ34)-1)</f>
        <v>1.5529397388413857E-2</v>
      </c>
      <c r="BD34" s="75">
        <f>IF(OR(IPC!BD34="",IPC!AR34=""),"",AVERAGE(IPC!AS34:BD34)/AVERAGE(IPC!AG34:AR34)-1)</f>
        <v>1.7050587895776737E-2</v>
      </c>
      <c r="BE34" s="75">
        <f>IF(OR(IPC!BE34="",IPC!AS34=""),"",AVERAGE(IPC!AT34:BE34)/AVERAGE(IPC!AH34:AS34)-1)</f>
        <v>2.023176286802375E-2</v>
      </c>
      <c r="BF34" s="75">
        <f>IF(OR(IPC!BF34="",IPC!AT34=""),"",AVERAGE(IPC!AU34:BF34)/AVERAGE(IPC!AI34:AT34)-1)</f>
        <v>2.1324167725028875E-2</v>
      </c>
      <c r="BG34" s="75">
        <f>IF(OR(IPC!BG34="",IPC!AU34=""),"",AVERAGE(IPC!AV34:BG34)/AVERAGE(IPC!AJ34:AU34)-1)</f>
        <v>2.2200792889545795E-2</v>
      </c>
      <c r="BH34" s="75">
        <f>IF(OR(IPC!BH34="",IPC!AV34=""),"",AVERAGE(IPC!AW34:BH34)/AVERAGE(IPC!AK34:AV34)-1)</f>
        <v>2.339882803943949E-2</v>
      </c>
      <c r="BI34" s="75">
        <f>IF(OR(IPC!BI34="",IPC!AW34=""),"",AVERAGE(IPC!AX34:BI34)/AVERAGE(IPC!AL34:AW34)-1)</f>
        <v>2.5594405858003322E-2</v>
      </c>
      <c r="BJ34" s="75">
        <f>IF(OR(IPC!BJ34="",IPC!AX34=""),"",AVERAGE(IPC!AY34:BJ34)/AVERAGE(IPC!AM34:AX34)-1)</f>
        <v>2.5936504713805375E-2</v>
      </c>
      <c r="BK34" s="75">
        <f>IF(OR(IPC!BK34="",IPC!AY34=""),"",AVERAGE(IPC!AZ34:BK34)/AVERAGE(IPC!AN34:AY34)-1)</f>
        <v>2.5855748306455206E-2</v>
      </c>
      <c r="BL34" s="75">
        <f>IF(OR(IPC!BL34="",IPC!AZ34=""),"",AVERAGE(IPC!BA34:BL34)/AVERAGE(IPC!AO34:AZ34)-1)</f>
        <v>2.6129545643665208E-2</v>
      </c>
      <c r="BM34" s="75">
        <f>IF(OR(IPC!BM34="",IPC!BA34=""),"",AVERAGE(IPC!BB34:BM34)/AVERAGE(IPC!AP34:BA34)-1)</f>
        <v>2.5492193109369454E-2</v>
      </c>
      <c r="BN34" s="75">
        <f>IF(OR(IPC!BN34="",IPC!BB34=""),"",AVERAGE(IPC!BC34:BN34)/AVERAGE(IPC!AQ34:BB34)-1)</f>
        <v>2.5521196162080262E-2</v>
      </c>
      <c r="BO34" s="75">
        <f>IF(OR(IPC!BO34="",IPC!BC34=""),"",AVERAGE(IPC!BD34:BO34)/AVERAGE(IPC!AR34:BC34)-1)</f>
        <v>2.3566371438395572E-2</v>
      </c>
      <c r="BP34" s="75">
        <f>IF(OR(IPC!BP34="",IPC!BD34=""),"",AVERAGE(IPC!BE34:BP34)/AVERAGE(IPC!AS34:BD34)-1)</f>
        <v>2.2610711946166484E-2</v>
      </c>
      <c r="BQ34" s="75">
        <f>IF(OR(IPC!BQ34="",IPC!BE34=""),"",AVERAGE(IPC!BF34:BQ34)/AVERAGE(IPC!AT34:BE34)-1)</f>
        <v>1.9744046502352841E-2</v>
      </c>
      <c r="BR34" s="75">
        <f>IF(OR(IPC!BR34="",IPC!BF34=""),"",AVERAGE(IPC!BG34:BR34)/AVERAGE(IPC!AU34:BF34)-1)</f>
        <v>1.7290172927685754E-2</v>
      </c>
      <c r="BS34" s="75">
        <f>IF(OR(IPC!BS34="",IPC!BG34=""),"",AVERAGE(IPC!BH34:BS34)/AVERAGE(IPC!AV34:BG34)-1)</f>
        <v>1.6057055096994288E-2</v>
      </c>
      <c r="BT34" s="75">
        <f>IF(OR(IPC!BT34="",IPC!BH34=""),"",AVERAGE(IPC!BI34:BT34)/AVERAGE(IPC!AW34:BH34)-1)</f>
        <v>1.426724879432717E-2</v>
      </c>
      <c r="BU34" s="75">
        <f>IF(OR(IPC!BU34="",IPC!BI34=""),"",AVERAGE(IPC!BJ34:BU34)/AVERAGE(IPC!AX34:BI34)-1)</f>
        <v>1.1555730099363615E-2</v>
      </c>
      <c r="BV34" s="75">
        <f>IF(OR(IPC!BV34="",IPC!BJ34=""),"",AVERAGE(IPC!BK34:BV34)/AVERAGE(IPC!AY34:BJ34)-1)</f>
        <v>1.0408751990071741E-2</v>
      </c>
      <c r="BW34" s="75">
        <f>IF(OR(IPC!BW34="",IPC!BK34=""),"",AVERAGE(IPC!BL34:BW34)/AVERAGE(IPC!AZ34:BK34)-1)</f>
        <v>8.8222133913775647E-3</v>
      </c>
      <c r="BX34" s="75">
        <f>IF(OR(IPC!BX34="",IPC!BL34=""),"",AVERAGE(IPC!BM34:BX34)/AVERAGE(IPC!BA34:BL34)-1)</f>
        <v>7.0919744111519467E-3</v>
      </c>
      <c r="BY34" s="75">
        <f>IF(OR(IPC!BY34="",IPC!BM34=""),"",AVERAGE(IPC!BN34:BY34)/AVERAGE(IPC!BB34:BM34)-1)</f>
        <v>5.8898837637224588E-3</v>
      </c>
      <c r="BZ34" s="75">
        <f>IF(OR(IPC!BZ34="",IPC!BN34=""),"",AVERAGE(IPC!BO34:BZ34)/AVERAGE(IPC!BC34:BN34)-1)</f>
        <v>4.1401277627450828E-3</v>
      </c>
      <c r="CA34" s="75">
        <f>IF(OR(IPC!CA34="",IPC!BO34=""),"",AVERAGE(IPC!BP34:CA34)/AVERAGE(IPC!BD34:BO34)-1)</f>
        <v>3.3909787016677129E-3</v>
      </c>
      <c r="CB34" s="75">
        <f>IF(OR(IPC!CB34="",IPC!BP34=""),"",AVERAGE(IPC!BQ34:CB34)/AVERAGE(IPC!BE34:BP34)-1)</f>
        <v>1.2873661362970967E-3</v>
      </c>
      <c r="CC34" s="75">
        <f>IF(OR(IPC!CC34="",IPC!BQ34=""),"",AVERAGE(IPC!BR34:CC34)/AVERAGE(IPC!BF34:BQ34)-1)</f>
        <v>7.7050345441964652E-4</v>
      </c>
      <c r="CD34" s="75">
        <f>IF(OR(IPC!CD34="",IPC!BR34=""),"",AVERAGE(IPC!BS34:CD34)/AVERAGE(IPC!BG34:BR34)-1)</f>
        <v>6.494482747712027E-4</v>
      </c>
      <c r="CE34" s="75">
        <f>IF(OR(IPC!CE34="",IPC!BS34=""),"",AVERAGE(IPC!BT34:CE34)/AVERAGE(IPC!BH34:BS34)-1)</f>
        <v>3.5884948377251646E-6</v>
      </c>
      <c r="CF34" s="75">
        <f>IF(OR(IPC!CF34="",IPC!BT34=""),"",AVERAGE(IPC!BU34:CF34)/AVERAGE(IPC!BI34:BT34)-1)</f>
        <v>1.5674997541381686E-4</v>
      </c>
      <c r="CG34" s="75">
        <f>IF(OR(IPC!CG34="",IPC!BU34=""),"",AVERAGE(IPC!BV34:CG34)/AVERAGE(IPC!BJ34:BU34)-1)</f>
        <v>1.2606889605095706E-3</v>
      </c>
      <c r="CH34" s="75">
        <f>IF(OR(IPC!CH34="",IPC!BV34=""),"",AVERAGE(IPC!BW34:CH34)/AVERAGE(IPC!BK34:BV34)-1)</f>
        <v>1.9264994836285521E-3</v>
      </c>
      <c r="CI34" s="75">
        <f>IF(OR(IPC!CI34="",IPC!BW34=""),"",AVERAGE(IPC!BX34:CI34)/AVERAGE(IPC!BL34:BW34)-1)</f>
        <v>2.9757021305205633E-3</v>
      </c>
      <c r="CJ34" s="75">
        <f>IF(OR(IPC!CJ34="",IPC!BX34=""),"",AVERAGE(IPC!BY34:CJ34)/AVERAGE(IPC!BM34:BX34)-1)</f>
        <v>4.3326555382510179E-3</v>
      </c>
      <c r="CK34" s="75">
        <f>IF(OR(IPC!CK34="",IPC!BY34=""),"",AVERAGE(IPC!BZ34:CK34)/AVERAGE(IPC!BN34:BY34)-1)</f>
        <v>5.3284041669854343E-3</v>
      </c>
      <c r="CL34" s="75">
        <f>IF(OR(IPC!CL34="",IPC!BZ34=""),"",AVERAGE(IPC!CA34:CL34)/AVERAGE(IPC!BO34:BZ34)-1)</f>
        <v>6.3412733922108E-3</v>
      </c>
      <c r="CM34" s="75">
        <f>IF(OR(IPC!CM34="",IPC!CA34=""),"",AVERAGE(IPC!CB34:CM34)/AVERAGE(IPC!BP34:CA34)-1)</f>
        <v>6.7266048938010581E-3</v>
      </c>
      <c r="CN34" s="75">
        <f>IF(OR(IPC!CN34="",IPC!CB34=""),"",AVERAGE(IPC!CC34:CN34)/AVERAGE(IPC!BQ34:CB34)-1)</f>
        <v>7.8956369854230601E-3</v>
      </c>
      <c r="CO34" s="75">
        <f>IF(OR(IPC!CO34="",IPC!CC34=""),"",AVERAGE(IPC!CD34:CO34)/AVERAGE(IPC!BR34:CC34)-1)</f>
        <v>8.33486908053227E-3</v>
      </c>
      <c r="CP34" s="75">
        <f>IF(OR(IPC!CP34="",IPC!CD34=""),"",AVERAGE(IPC!CE34:CP34)/AVERAGE(IPC!BS34:CD34)-1)</f>
        <v>8.5092803390602878E-3</v>
      </c>
      <c r="CQ34" s="75">
        <f>IF(OR(IPC!CQ34="",IPC!CE34=""),"",AVERAGE(IPC!CF34:CQ34)/AVERAGE(IPC!BT34:CE34)-1)</f>
        <v>8.0604697447037577E-3</v>
      </c>
      <c r="CR34" s="75">
        <f>IF(OR(IPC!CR34="",IPC!CF34=""),"",AVERAGE(IPC!CG34:CR34)/AVERAGE(IPC!BU34:CF34)-1)</f>
        <v>7.566522735740655E-3</v>
      </c>
      <c r="CS34" s="75">
        <f>IF(OR(IPC!CS34="",IPC!CG34=""),"",AVERAGE(IPC!CH34:CS34)/AVERAGE(IPC!BV34:CG34)-1)</f>
        <v>7.5468322880498651E-3</v>
      </c>
      <c r="CT34" s="75">
        <f>IF(OR(IPC!CT34="",IPC!CH34=""),"",AVERAGE(IPC!CI34:CT34)/AVERAGE(IPC!BW34:CH34)-1)</f>
        <v>7.7710803748660684E-3</v>
      </c>
      <c r="CU34" s="75">
        <f>IF(OR(IPC!CU34="",IPC!CI34=""),"",AVERAGE(IPC!CJ34:CU34)/AVERAGE(IPC!BX34:CI34)-1)</f>
        <v>8.2448742863099334E-3</v>
      </c>
      <c r="CV34" s="75">
        <f>IF(OR(IPC!CV34="",IPC!CJ34=""),"",AVERAGE(IPC!CK34:CV34)/AVERAGE(IPC!BY34:CJ34)-1)</f>
        <v>8.0937819278685819E-3</v>
      </c>
      <c r="CW34" s="75">
        <f>IF(OR(IPC!CW34="",IPC!CK34=""),"",AVERAGE(IPC!CL34:CW34)/AVERAGE(IPC!BZ34:CK34)-1)</f>
        <v>9.0427241677666359E-3</v>
      </c>
      <c r="CX34" s="75">
        <f>IF(OR(IPC!CX34="",IPC!CL34=""),"",AVERAGE(IPC!CM34:CX34)/AVERAGE(IPC!CA34:CL34)-1)</f>
        <v>1.0313156184383665E-2</v>
      </c>
      <c r="CY34" s="75">
        <f>IF(OR(IPC!CY34="",IPC!CM34=""),"",AVERAGE(IPC!CN34:CY34)/AVERAGE(IPC!CB34:CM34)-1)</f>
        <v>1.1835833748072178E-2</v>
      </c>
      <c r="CZ34" s="75">
        <f>IF(OR(IPC!CZ34="",IPC!CN34=""),"",AVERAGE(IPC!CO34:CZ34)/AVERAGE(IPC!CC34:CN34)-1)</f>
        <v>1.2938329590205466E-2</v>
      </c>
      <c r="DA34" s="75">
        <f>IF(OR(IPC!DA34="",IPC!CO34=""),"",AVERAGE(IPC!CP34:DA34)/AVERAGE(IPC!CD34:CO34)-1)</f>
        <v>1.4615666970518193E-2</v>
      </c>
      <c r="DB34" s="75">
        <f>IF(OR(IPC!DB34="",IPC!CP34=""),"",AVERAGE(IPC!CQ34:DB34)/AVERAGE(IPC!CE34:CP34)-1)</f>
        <v>1.7167291897868253E-2</v>
      </c>
      <c r="DC34" s="75">
        <f>IF(OR(IPC!DC34="",IPC!CQ34=""),"",AVERAGE(IPC!CR34:DC34)/AVERAGE(IPC!CF34:CQ34)-1)</f>
        <v>2.0206349153136793E-2</v>
      </c>
      <c r="DD34" s="75">
        <f>IF(OR(IPC!DD34="",IPC!CR34=""),"",AVERAGE(IPC!CS34:DD34)/AVERAGE(IPC!CG34:CR34)-1)</f>
        <v>2.2493496105410404E-2</v>
      </c>
      <c r="DE34" s="75">
        <f>IF(OR(IPC!DE34="",IPC!CS34=""),"",AVERAGE(IPC!CT34:DE34)/AVERAGE(IPC!CH34:CS34)-1)</f>
        <v>2.3846358025614967E-2</v>
      </c>
      <c r="DF34" s="75">
        <f>IF(OR(IPC!DF34="",IPC!CT34=""),"",AVERAGE(IPC!CU34:DF34)/AVERAGE(IPC!CI34:CT34)-1)</f>
        <v>2.5475192067048846E-2</v>
      </c>
      <c r="DG34" s="75">
        <f>IF(OR(IPC!DG34="",IPC!CU34=""),"",AVERAGE(IPC!CV34:DG34)/AVERAGE(IPC!CJ34:CU34)-1)</f>
        <v>2.684879915631444E-2</v>
      </c>
      <c r="DH34" s="75">
        <f>IF(OR(IPC!DH34="",IPC!CV34=""),"",AVERAGE(IPC!CW34:DH34)/AVERAGE(IPC!CK34:CV34)-1)</f>
        <v>2.9214833977869725E-2</v>
      </c>
      <c r="DI34" s="75">
        <f>IF(OR(IPC!DI34="",IPC!CW34=""),"",AVERAGE(IPC!CX34:DI34)/AVERAGE(IPC!CL34:CW34)-1)</f>
        <v>3.0266615962774246E-2</v>
      </c>
      <c r="DJ34" s="75">
        <f>IF(OR(IPC!DJ34="",IPC!CX34=""),"",AVERAGE(IPC!CY34:DJ34)/AVERAGE(IPC!CM34:CX34)-1)</f>
        <v>3.1152567357571659E-2</v>
      </c>
      <c r="DK34" s="75">
        <f>IF(OR(IPC!DK34="",IPC!CY34=""),"",AVERAGE(IPC!CZ34:DK34)/AVERAGE(IPC!CN34:CY34)-1)</f>
        <v>3.13621971723681E-2</v>
      </c>
      <c r="DL34" s="75">
        <f>IF(OR(IPC!DL34="",IPC!CZ34=""),"",AVERAGE(IPC!DA34:DL34)/AVERAGE(IPC!CO34:CZ34)-1)</f>
        <v>3.2258485661133429E-2</v>
      </c>
      <c r="DM34" s="75">
        <f>IF(OR(IPC!DM34="",IPC!DA34=""),"",AVERAGE(IPC!DB34:DM34)/AVERAGE(IPC!CP34:DA34)-1)</f>
        <v>3.277759190281726E-2</v>
      </c>
      <c r="DN34" s="75">
        <f>IF(OR(IPC!DN34="",IPC!DB34=""),"",AVERAGE(IPC!DC34:DN34)/AVERAGE(IPC!CQ34:DB34)-1)</f>
        <v>3.3081825013992594E-2</v>
      </c>
      <c r="DO34" s="75">
        <f>IF(OR(IPC!DO34="",IPC!DC34=""),"",AVERAGE(IPC!DD34:DO34)/AVERAGE(IPC!CR34:DC34)-1)</f>
        <v>3.3444446020481244E-2</v>
      </c>
      <c r="DP34" s="75">
        <f>IF(OR(IPC!DP34="",IPC!DD34=""),"",AVERAGE(IPC!DE34:DP34)/AVERAGE(IPC!CS34:DD34)-1)</f>
        <v>3.3773454871725006E-2</v>
      </c>
      <c r="DQ34" s="75">
        <f>IF(OR(IPC!DQ34="",IPC!DE34=""),"",AVERAGE(IPC!DF34:DQ34)/AVERAGE(IPC!CT34:DE34)-1)</f>
        <v>3.4457111573243937E-2</v>
      </c>
      <c r="DR34" s="75">
        <f>IF(OR(IPC!DR34="",IPC!DF34=""),"",AVERAGE(IPC!DG34:DR34)/AVERAGE(IPC!CU34:DF34)-1)</f>
        <v>3.4020022802928596E-2</v>
      </c>
      <c r="DS34" s="75">
        <f>IF(OR(IPC!DS34="",IPC!DG34=""),"",AVERAGE(IPC!DH34:DS34)/AVERAGE(IPC!CV34:DG34)-1)</f>
        <v>3.3838495640836852E-2</v>
      </c>
      <c r="DT34" s="75">
        <f>IF(OR(IPC!DT34="",IPC!DH34=""),"",AVERAGE(IPC!DI34:DT34)/AVERAGE(IPC!CW34:DH34)-1)</f>
        <v>3.24367580600744E-2</v>
      </c>
      <c r="DU34" s="75">
        <f>IF(OR(IPC!DU34="",IPC!DI34=""),"",AVERAGE(IPC!DJ34:DU34)/AVERAGE(IPC!CX34:DI34)-1)</f>
        <v>3.1524303014469401E-2</v>
      </c>
      <c r="DV34" s="75">
        <f>IF(OR(IPC!DV34="",IPC!DJ34=""),"",AVERAGE(IPC!DK34:DV34)/AVERAGE(IPC!CY34:DJ34)-1)</f>
        <v>3.0503338220388532E-2</v>
      </c>
      <c r="DW34" s="75">
        <f>IF(OR(IPC!DW34="",IPC!DK34=""),"",AVERAGE(IPC!DL34:DW34)/AVERAGE(IPC!CZ34:DK34)-1)</f>
        <v>3.0876255533690333E-2</v>
      </c>
      <c r="DX34" s="75">
        <f>IF(OR(IPC!DX34="",IPC!DL34=""),"",AVERAGE(IPC!DM34:DX34)/AVERAGE(IPC!DA34:DL34)-1)</f>
        <v>3.1020663285843186E-2</v>
      </c>
      <c r="DY34" s="75">
        <f>IF(OR(IPC!DY34="",IPC!DM34=""),"",AVERAGE(IPC!DN34:DY34)/AVERAGE(IPC!DB34:DM34)-1)</f>
        <v>3.1403681698264796E-2</v>
      </c>
      <c r="DZ34" s="75">
        <f>IF(OR(IPC!DZ34="",IPC!DN34=""),"",AVERAGE(IPC!DO34:DZ34)/AVERAGE(IPC!DC34:DN34)-1)</f>
        <v>3.1497009330685222E-2</v>
      </c>
      <c r="EA34" s="75">
        <f>IF(OR(IPC!EA34="",IPC!DO34=""),"",AVERAGE(IPC!DP34:EA34)/AVERAGE(IPC!DD34:DO34)-1)</f>
        <v>3.0995458889940597E-2</v>
      </c>
      <c r="EB34" s="75">
        <f>IF(OR(IPC!EB34="",IPC!DP34=""),"",AVERAGE(IPC!DQ34:EB34)/AVERAGE(IPC!DE34:DP34)-1)</f>
        <v>3.1385467595804517E-2</v>
      </c>
      <c r="EC34" s="75">
        <f>IF(OR(IPC!EC34="",IPC!DQ34=""),"",AVERAGE(IPC!DR34:EC34)/AVERAGE(IPC!DF34:DQ34)-1)</f>
        <v>3.1100883810764701E-2</v>
      </c>
      <c r="ED34" s="75">
        <f>IF(OR(IPC!ED34="",IPC!DR34=""),"",AVERAGE(IPC!DS34:ED34)/AVERAGE(IPC!DG34:DR34)-1)</f>
        <v>3.183304692319977E-2</v>
      </c>
      <c r="EE34" s="75">
        <f>IF(OR(IPC!EE34="",IPC!DS34=""),"",AVERAGE(IPC!DT34:EE34)/AVERAGE(IPC!DH34:DS34)-1)</f>
        <v>3.4005529004887958E-2</v>
      </c>
      <c r="EF34" s="75">
        <f>IF(OR(IPC!EF34="",IPC!DT34=""),"",AVERAGE(IPC!DU34:EF34)/AVERAGE(IPC!DI34:DT34)-1)</f>
        <v>3.7508956866704857E-2</v>
      </c>
      <c r="EG34" s="75">
        <f>IF(OR(IPC!EG34="",IPC!DU34=""),"",AVERAGE(IPC!DV34:EG34)/AVERAGE(IPC!DJ34:DU34)-1)</f>
        <v>4.1547671041071155E-2</v>
      </c>
      <c r="EH34" s="75">
        <f>IF(OR(IPC!EH34="",IPC!DV34=""),"",AVERAGE(IPC!DW34:EH34)/AVERAGE(IPC!DK34:DV34)-1)</f>
        <v>4.5761183796533267E-2</v>
      </c>
      <c r="EI34" s="75">
        <f>IF(OR(IPC!EI34="",IPC!DW34=""),"",AVERAGE(IPC!DX34:EI34)/AVERAGE(IPC!DL34:DW34)-1)</f>
        <v>5.0375508859583418E-2</v>
      </c>
      <c r="EJ34" s="75">
        <f>IF(OR(IPC!EJ34="",IPC!DX34=""),"",AVERAGE(IPC!DY34:EJ34)/AVERAGE(IPC!DM34:DX34)-1)</f>
        <v>5.5097511088098683E-2</v>
      </c>
      <c r="EK34" s="75">
        <f>IF(OR(IPC!EK34="",IPC!DY34=""),"",AVERAGE(IPC!DZ34:EK34)/AVERAGE(IPC!DN34:DY34)-1)</f>
        <v>5.9316783157067565E-2</v>
      </c>
      <c r="EL34" s="75">
        <f>IF(OR(IPC!EL34="",IPC!DZ34=""),"",AVERAGE(IPC!EA34:EL34)/AVERAGE(IPC!DO34:DZ34)-1)</f>
        <v>6.3704222736670646E-2</v>
      </c>
      <c r="EM34" s="75">
        <f>IF(OR(IPC!EM34="",IPC!EA34=""),"",AVERAGE(IPC!EB34:EM34)/AVERAGE(IPC!DP34:EA34)-1)</f>
        <v>7.0008185900043207E-2</v>
      </c>
      <c r="EN34" s="75">
        <f>IF(OR(IPC!EN34="",IPC!EB34=""),"",AVERAGE(IPC!EC34:EN34)/AVERAGE(IPC!DQ34:EB34)-1)</f>
        <v>7.6428438806711574E-2</v>
      </c>
      <c r="EO34" s="75">
        <f>IF(OR(IPC!EO34="",IPC!EC34=""),"",AVERAGE(IPC!ED34:EO34)/AVERAGE(IPC!DR34:EC34)-1)</f>
        <v>8.3565119388510301E-2</v>
      </c>
      <c r="EP34" s="75">
        <f>IF(OR(IPC!EP34="",IPC!ED34=""),"",AVERAGE(IPC!EE34:EP34)/AVERAGE(IPC!DS34:ED34)-1)</f>
        <v>9.1169630703798132E-2</v>
      </c>
      <c r="EQ34" s="75">
        <f>IF(OR(IPC!EQ34="",IPC!EE34=""),"",AVERAGE(IPC!EF34:EQ34)/AVERAGE(IPC!DT34:EE34)-1)</f>
        <v>9.572185382811238E-2</v>
      </c>
      <c r="ER34" s="75" t="str">
        <f>IF(OR(IPC!ER34="",IPC!EF34=""),"",AVERAGE(IPC!EG34:ER34)/AVERAGE(IPC!DU34:EF34)-1)</f>
        <v/>
      </c>
      <c r="ES34" s="75" t="str">
        <f>IF(OR(IPC!ES34="",IPC!EG34=""),"",AVERAGE(IPC!EH34:ES34)/AVERAGE(IPC!DV34:EG34)-1)</f>
        <v/>
      </c>
      <c r="ET34" s="75" t="str">
        <f>IF(OR(IPC!ET34="",IPC!EH34=""),"",AVERAGE(IPC!EI34:ET34)/AVERAGE(IPC!DW34:EH34)-1)</f>
        <v/>
      </c>
      <c r="EU34" s="75" t="str">
        <f>IF(OR(IPC!EU34="",IPC!EI34=""),"",AVERAGE(IPC!EJ34:EU34)/AVERAGE(IPC!DX34:EI34)-1)</f>
        <v/>
      </c>
      <c r="EV34" s="75" t="str">
        <f>IF(OR(IPC!EV34="",IPC!EJ34=""),"",AVERAGE(IPC!EK34:EV34)/AVERAGE(IPC!DY34:EJ34)-1)</f>
        <v/>
      </c>
      <c r="EW34" s="75" t="str">
        <f>IF(OR(IPC!EW34="",IPC!EK34=""),"",AVERAGE(IPC!EL34:EW34)/AVERAGE(IPC!DZ34:EK34)-1)</f>
        <v/>
      </c>
      <c r="EX34" s="75" t="str">
        <f>IF(OR(IPC!EX34="",IPC!EL34=""),"",AVERAGE(IPC!EM34:EX34)/AVERAGE(IPC!EA34:EL34)-1)</f>
        <v/>
      </c>
      <c r="EY34" s="75" t="str">
        <f>IF(OR(IPC!EY34="",IPC!EM34=""),"",AVERAGE(IPC!EN34:EY34)/AVERAGE(IPC!EB34:EM34)-1)</f>
        <v/>
      </c>
      <c r="EZ34" s="75" t="str">
        <f>IF(OR(IPC!EZ34="",IPC!EN34=""),"",AVERAGE(IPC!EO34:EZ34)/AVERAGE(IPC!EC34:EN34)-1)</f>
        <v/>
      </c>
      <c r="FA34" s="75" t="str">
        <f>IF(OR(IPC!FA34="",IPC!EO34=""),"",AVERAGE(IPC!EP34:FA34)/AVERAGE(IPC!ED34:EO34)-1)</f>
        <v/>
      </c>
      <c r="FB34" s="75" t="str">
        <f>IF(OR(IPC!FB34="",IPC!EP34=""),"",AVERAGE(IPC!EQ34:FB34)/AVERAGE(IPC!EE34:EP34)-1)</f>
        <v/>
      </c>
      <c r="FC34" s="75" t="str">
        <f>IF(OR(IPC!FC34="",IPC!EQ34=""),"",AVERAGE(IPC!ER34:FC34)/AVERAGE(IPC!EF34:EQ34)-1)</f>
        <v/>
      </c>
      <c r="FD34" s="75" t="str">
        <f>IF(OR(IPC!FD34="",IPC!ER34=""),"",AVERAGE(IPC!ES34:FD34)/AVERAGE(IPC!EG34:ER34)-1)</f>
        <v/>
      </c>
      <c r="FE34" s="75" t="str">
        <f>IF(OR(IPC!FE34="",IPC!ES34=""),"",AVERAGE(IPC!ET34:FE34)/AVERAGE(IPC!EH34:ES34)-1)</f>
        <v/>
      </c>
      <c r="FF34" s="75" t="str">
        <f>IF(OR(IPC!FF34="",IPC!ET34=""),"",AVERAGE(IPC!EU34:FF34)/AVERAGE(IPC!EI34:ET34)-1)</f>
        <v/>
      </c>
      <c r="FG34" s="75" t="str">
        <f>IF(OR(IPC!FG34="",IPC!EU34=""),"",AVERAGE(IPC!EV34:FG34)/AVERAGE(IPC!EJ34:EU34)-1)</f>
        <v/>
      </c>
      <c r="FH34" s="75" t="str">
        <f>IF(OR(IPC!FH34="",IPC!EV34=""),"",AVERAGE(IPC!EW34:FH34)/AVERAGE(IPC!EK34:EV34)-1)</f>
        <v/>
      </c>
      <c r="FI34" s="75" t="str">
        <f>IF(OR(IPC!FI34="",IPC!EW34=""),"",AVERAGE(IPC!EX34:FI34)/AVERAGE(IPC!EL34:EW34)-1)</f>
        <v/>
      </c>
    </row>
    <row r="35" spans="1:174" s="74" customFormat="1" ht="10.199999999999999" x14ac:dyDescent="0.2">
      <c r="B35" s="3" t="s">
        <v>113</v>
      </c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>
        <f>IF(OR(IPC!AN35="",IPC!AB35=""),"",AVERAGE(IPC!AC35:AN35)/AVERAGE(IPC!Q35:AB35)-1)</f>
        <v>1.2942666524051738E-2</v>
      </c>
      <c r="AO35" s="75">
        <f>IF(OR(IPC!AO35="",IPC!AC35=""),"",AVERAGE(IPC!AD35:AO35)/AVERAGE(IPC!R35:AC35)-1)</f>
        <v>1.2296857604412237E-2</v>
      </c>
      <c r="AP35" s="75">
        <f>IF(OR(IPC!AP35="",IPC!AD35=""),"",AVERAGE(IPC!AE35:AP35)/AVERAGE(IPC!S35:AD35)-1)</f>
        <v>1.2165343731648903E-2</v>
      </c>
      <c r="AQ35" s="75">
        <f>IF(OR(IPC!AQ35="",IPC!AE35=""),"",AVERAGE(IPC!AF35:AQ35)/AVERAGE(IPC!T35:AE35)-1)</f>
        <v>1.139037326261283E-2</v>
      </c>
      <c r="AR35" s="75">
        <f>IF(OR(IPC!AR35="",IPC!AF35=""),"",AVERAGE(IPC!AG35:AR35)/AVERAGE(IPC!U35:AF35)-1)</f>
        <v>1.1604524561121377E-2</v>
      </c>
      <c r="AS35" s="75">
        <f>IF(OR(IPC!AS35="",IPC!AG35=""),"",AVERAGE(IPC!AH35:AS35)/AVERAGE(IPC!V35:AG35)-1)</f>
        <v>1.1488832129163518E-2</v>
      </c>
      <c r="AT35" s="75">
        <f>IF(OR(IPC!AT35="",IPC!AH35=""),"",AVERAGE(IPC!AI35:AT35)/AVERAGE(IPC!W35:AH35)-1)</f>
        <v>1.1877519489334354E-2</v>
      </c>
      <c r="AU35" s="75">
        <f>IF(OR(IPC!AU35="",IPC!AI35=""),"",AVERAGE(IPC!AJ35:AU35)/AVERAGE(IPC!X35:AI35)-1)</f>
        <v>1.1508958587162166E-2</v>
      </c>
      <c r="AV35" s="75">
        <f>IF(OR(IPC!AV35="",IPC!AJ35=""),"",AVERAGE(IPC!AK35:AV35)/AVERAGE(IPC!Y35:AJ35)-1)</f>
        <v>1.0949072684548256E-2</v>
      </c>
      <c r="AW35" s="75">
        <f>IF(OR(IPC!AW35="",IPC!AK35=""),"",AVERAGE(IPC!AL35:AW35)/AVERAGE(IPC!Z35:AK35)-1)</f>
        <v>1.062361999071415E-2</v>
      </c>
      <c r="AX35" s="75">
        <f>IF(OR(IPC!AX35="",IPC!AL35=""),"",AVERAGE(IPC!AM35:AX35)/AVERAGE(IPC!AA35:AL35)-1)</f>
        <v>1.0670374741285071E-2</v>
      </c>
      <c r="AY35" s="75">
        <f>IF(OR(IPC!AY35="",IPC!AM35=""),"",AVERAGE(IPC!AN35:AY35)/AVERAGE(IPC!AB35:AM35)-1)</f>
        <v>1.0105958958509298E-2</v>
      </c>
      <c r="AZ35" s="75">
        <f>IF(OR(IPC!AZ35="",IPC!AN35=""),"",AVERAGE(IPC!AO35:AZ35)/AVERAGE(IPC!AC35:AN35)-1)</f>
        <v>9.9994621102055259E-3</v>
      </c>
      <c r="BA35" s="75">
        <f>IF(OR(IPC!BA35="",IPC!AO35=""),"",AVERAGE(IPC!AP35:BA35)/AVERAGE(IPC!AD35:AO35)-1)</f>
        <v>9.9389655232653418E-3</v>
      </c>
      <c r="BB35" s="75">
        <f>IF(OR(IPC!BB35="",IPC!AP35=""),"",AVERAGE(IPC!AQ35:BB35)/AVERAGE(IPC!AE35:AP35)-1)</f>
        <v>1.0005359036506123E-2</v>
      </c>
      <c r="BC35" s="75">
        <f>IF(OR(IPC!BC35="",IPC!AQ35=""),"",AVERAGE(IPC!AR35:BC35)/AVERAGE(IPC!AF35:AQ35)-1)</f>
        <v>9.5661856198252515E-3</v>
      </c>
      <c r="BD35" s="75">
        <f>IF(OR(IPC!BD35="",IPC!AR35=""),"",AVERAGE(IPC!AS35:BD35)/AVERAGE(IPC!AG35:AR35)-1)</f>
        <v>8.6179455353330159E-3</v>
      </c>
      <c r="BE35" s="75">
        <f>IF(OR(IPC!BE35="",IPC!AS35=""),"",AVERAGE(IPC!AT35:BE35)/AVERAGE(IPC!AH35:AS35)-1)</f>
        <v>8.1570277528395518E-3</v>
      </c>
      <c r="BF35" s="75">
        <f>IF(OR(IPC!BF35="",IPC!AT35=""),"",AVERAGE(IPC!AU35:BF35)/AVERAGE(IPC!AI35:AT35)-1)</f>
        <v>7.2624285075688633E-3</v>
      </c>
      <c r="BG35" s="75">
        <f>IF(OR(IPC!BG35="",IPC!AU35=""),"",AVERAGE(IPC!AV35:BG35)/AVERAGE(IPC!AJ35:AU35)-1)</f>
        <v>6.7738161535648711E-3</v>
      </c>
      <c r="BH35" s="75">
        <f>IF(OR(IPC!BH35="",IPC!AV35=""),"",AVERAGE(IPC!AW35:BH35)/AVERAGE(IPC!AK35:AV35)-1)</f>
        <v>6.2717109341412502E-3</v>
      </c>
      <c r="BI35" s="75">
        <f>IF(OR(IPC!BI35="",IPC!AW35=""),"",AVERAGE(IPC!AX35:BI35)/AVERAGE(IPC!AL35:AW35)-1)</f>
        <v>5.5845894905588445E-3</v>
      </c>
      <c r="BJ35" s="75">
        <f>IF(OR(IPC!BJ35="",IPC!AX35=""),"",AVERAGE(IPC!AY35:BJ35)/AVERAGE(IPC!AM35:AX35)-1)</f>
        <v>4.4705741099042573E-3</v>
      </c>
      <c r="BK35" s="75">
        <f>IF(OR(IPC!BK35="",IPC!AY35=""),"",AVERAGE(IPC!AZ35:BK35)/AVERAGE(IPC!AN35:AY35)-1)</f>
        <v>3.8497166393864912E-3</v>
      </c>
      <c r="BL35" s="75">
        <f>IF(OR(IPC!BL35="",IPC!AZ35=""),"",AVERAGE(IPC!BA35:BL35)/AVERAGE(IPC!AO35:AZ35)-1)</f>
        <v>3.1294182182666219E-3</v>
      </c>
      <c r="BM35" s="75">
        <f>IF(OR(IPC!BM35="",IPC!BA35=""),"",AVERAGE(IPC!BB35:BM35)/AVERAGE(IPC!AP35:BA35)-1)</f>
        <v>2.6054590965023383E-3</v>
      </c>
      <c r="BN35" s="75">
        <f>IF(OR(IPC!BN35="",IPC!BB35=""),"",AVERAGE(IPC!BC35:BN35)/AVERAGE(IPC!AQ35:BB35)-1)</f>
        <v>1.9885881777654824E-3</v>
      </c>
      <c r="BO35" s="75">
        <f>IF(OR(IPC!BO35="",IPC!BC35=""),"",AVERAGE(IPC!BD35:BO35)/AVERAGE(IPC!AR35:BC35)-1)</f>
        <v>2.3158359746602297E-3</v>
      </c>
      <c r="BP35" s="75">
        <f>IF(OR(IPC!BP35="",IPC!BD35=""),"",AVERAGE(IPC!BE35:BP35)/AVERAGE(IPC!AS35:BD35)-1)</f>
        <v>2.2794416154663377E-3</v>
      </c>
      <c r="BQ35" s="75">
        <f>IF(OR(IPC!BQ35="",IPC!BE35=""),"",AVERAGE(IPC!BF35:BQ35)/AVERAGE(IPC!AT35:BE35)-1)</f>
        <v>1.6193978505161244E-3</v>
      </c>
      <c r="BR35" s="75">
        <f>IF(OR(IPC!BR35="",IPC!BF35=""),"",AVERAGE(IPC!BG35:BR35)/AVERAGE(IPC!AU35:BF35)-1)</f>
        <v>1.5597235844457824E-3</v>
      </c>
      <c r="BS35" s="75">
        <f>IF(OR(IPC!BS35="",IPC!BG35=""),"",AVERAGE(IPC!BH35:BS35)/AVERAGE(IPC!AV35:BG35)-1)</f>
        <v>1.5336083689527769E-3</v>
      </c>
      <c r="BT35" s="75">
        <f>IF(OR(IPC!BT35="",IPC!BH35=""),"",AVERAGE(IPC!BI35:BT35)/AVERAGE(IPC!AW35:BH35)-1)</f>
        <v>1.7026417129708538E-3</v>
      </c>
      <c r="BU35" s="75">
        <f>IF(OR(IPC!BU35="",IPC!BI35=""),"",AVERAGE(IPC!BJ35:BU35)/AVERAGE(IPC!AX35:BI35)-1)</f>
        <v>2.2871088353635383E-3</v>
      </c>
      <c r="BV35" s="75">
        <f>IF(OR(IPC!BV35="",IPC!BJ35=""),"",AVERAGE(IPC!BK35:BV35)/AVERAGE(IPC!AY35:BJ35)-1)</f>
        <v>2.6396103358632406E-3</v>
      </c>
      <c r="BW35" s="75">
        <f>IF(OR(IPC!BW35="",IPC!BK35=""),"",AVERAGE(IPC!BL35:BW35)/AVERAGE(IPC!AZ35:BK35)-1)</f>
        <v>3.1930050760597961E-3</v>
      </c>
      <c r="BX35" s="75">
        <f>IF(OR(IPC!BX35="",IPC!BL35=""),"",AVERAGE(IPC!BM35:BX35)/AVERAGE(IPC!BA35:BL35)-1)</f>
        <v>3.9741065827312294E-3</v>
      </c>
      <c r="BY35" s="75">
        <f>IF(OR(IPC!BY35="",IPC!BM35=""),"",AVERAGE(IPC!BN35:BY35)/AVERAGE(IPC!BB35:BM35)-1)</f>
        <v>4.6314808112719597E-3</v>
      </c>
      <c r="BZ35" s="75">
        <f>IF(OR(IPC!BZ35="",IPC!BN35=""),"",AVERAGE(IPC!BO35:BZ35)/AVERAGE(IPC!BC35:BN35)-1)</f>
        <v>5.1980471312946808E-3</v>
      </c>
      <c r="CA35" s="75">
        <f>IF(OR(IPC!CA35="",IPC!BO35=""),"",AVERAGE(IPC!BP35:CA35)/AVERAGE(IPC!BD35:BO35)-1)</f>
        <v>5.7642055316167173E-3</v>
      </c>
      <c r="CB35" s="75">
        <f>IF(OR(IPC!CB35="",IPC!BP35=""),"",AVERAGE(IPC!BQ35:CB35)/AVERAGE(IPC!BE35:BP35)-1)</f>
        <v>6.6357101815408548E-3</v>
      </c>
      <c r="CC35" s="75">
        <f>IF(OR(IPC!CC35="",IPC!BQ35=""),"",AVERAGE(IPC!BR35:CC35)/AVERAGE(IPC!BF35:BQ35)-1)</f>
        <v>7.8433262164101514E-3</v>
      </c>
      <c r="CD35" s="75">
        <f>IF(OR(IPC!CD35="",IPC!BR35=""),"",AVERAGE(IPC!BS35:CD35)/AVERAGE(IPC!BG35:BR35)-1)</f>
        <v>8.3696064392571046E-3</v>
      </c>
      <c r="CE35" s="75">
        <f>IF(OR(IPC!CE35="",IPC!BS35=""),"",AVERAGE(IPC!BT35:CE35)/AVERAGE(IPC!BH35:BS35)-1)</f>
        <v>8.7276715732480525E-3</v>
      </c>
      <c r="CF35" s="75">
        <f>IF(OR(IPC!CF35="",IPC!BT35=""),"",AVERAGE(IPC!BU35:CF35)/AVERAGE(IPC!BI35:BT35)-1)</f>
        <v>8.9349182968945229E-3</v>
      </c>
      <c r="CG35" s="75">
        <f>IF(OR(IPC!CG35="",IPC!BU35=""),"",AVERAGE(IPC!BV35:CG35)/AVERAGE(IPC!BJ35:BU35)-1)</f>
        <v>8.9400584825574114E-3</v>
      </c>
      <c r="CH35" s="75">
        <f>IF(OR(IPC!CH35="",IPC!BV35=""),"",AVERAGE(IPC!BW35:CH35)/AVERAGE(IPC!BK35:BV35)-1)</f>
        <v>9.6943938431253152E-3</v>
      </c>
      <c r="CI35" s="75">
        <f>IF(OR(IPC!CI35="",IPC!BW35=""),"",AVERAGE(IPC!BX35:CI35)/AVERAGE(IPC!BL35:BW35)-1)</f>
        <v>9.5977540307659037E-3</v>
      </c>
      <c r="CJ35" s="75">
        <f>IF(OR(IPC!CJ35="",IPC!BX35=""),"",AVERAGE(IPC!BY35:CJ35)/AVERAGE(IPC!BM35:BX35)-1)</f>
        <v>9.2168450466403318E-3</v>
      </c>
      <c r="CK35" s="75">
        <f>IF(OR(IPC!CK35="",IPC!BY35=""),"",AVERAGE(IPC!BZ35:CK35)/AVERAGE(IPC!BN35:BY35)-1)</f>
        <v>9.3375536218669453E-3</v>
      </c>
      <c r="CL35" s="75">
        <f>IF(OR(IPC!CL35="",IPC!BZ35=""),"",AVERAGE(IPC!CA35:CL35)/AVERAGE(IPC!BO35:BZ35)-1)</f>
        <v>9.3296991446172317E-3</v>
      </c>
      <c r="CM35" s="75">
        <f>IF(OR(IPC!CM35="",IPC!CA35=""),"",AVERAGE(IPC!CB35:CM35)/AVERAGE(IPC!BP35:CA35)-1)</f>
        <v>9.3088927594631166E-3</v>
      </c>
      <c r="CN35" s="75">
        <f>IF(OR(IPC!CN35="",IPC!CB35=""),"",AVERAGE(IPC!CC35:CN35)/AVERAGE(IPC!BQ35:CB35)-1)</f>
        <v>9.6721650354165689E-3</v>
      </c>
      <c r="CO35" s="75">
        <f>IF(OR(IPC!CO35="",IPC!CC35=""),"",AVERAGE(IPC!CD35:CO35)/AVERAGE(IPC!BR35:CC35)-1)</f>
        <v>9.9187188460043707E-3</v>
      </c>
      <c r="CP35" s="75">
        <f>IF(OR(IPC!CP35="",IPC!CD35=""),"",AVERAGE(IPC!CE35:CP35)/AVERAGE(IPC!BS35:CD35)-1)</f>
        <v>1.0548740823071334E-2</v>
      </c>
      <c r="CQ35" s="75">
        <f>IF(OR(IPC!CQ35="",IPC!CE35=""),"",AVERAGE(IPC!CF35:CQ35)/AVERAGE(IPC!BT35:CE35)-1)</f>
        <v>1.1272874655986254E-2</v>
      </c>
      <c r="CR35" s="75">
        <f>IF(OR(IPC!CR35="",IPC!CF35=""),"",AVERAGE(IPC!CG35:CR35)/AVERAGE(IPC!BU35:CF35)-1)</f>
        <v>1.1982644235477791E-2</v>
      </c>
      <c r="CS35" s="75">
        <f>IF(OR(IPC!CS35="",IPC!CG35=""),"",AVERAGE(IPC!CH35:CS35)/AVERAGE(IPC!BV35:CG35)-1)</f>
        <v>1.3179586934819243E-2</v>
      </c>
      <c r="CT35" s="75">
        <f>IF(OR(IPC!CT35="",IPC!CH35=""),"",AVERAGE(IPC!CI35:CT35)/AVERAGE(IPC!BW35:CH35)-1)</f>
        <v>1.4009247585514473E-2</v>
      </c>
      <c r="CU35" s="75">
        <f>IF(OR(IPC!CU35="",IPC!CI35=""),"",AVERAGE(IPC!CJ35:CU35)/AVERAGE(IPC!BX35:CI35)-1)</f>
        <v>1.5509575560466171E-2</v>
      </c>
      <c r="CV35" s="75">
        <f>IF(OR(IPC!CV35="",IPC!CJ35=""),"",AVERAGE(IPC!CK35:CV35)/AVERAGE(IPC!BY35:CJ35)-1)</f>
        <v>1.695725630335132E-2</v>
      </c>
      <c r="CW35" s="75">
        <f>IF(OR(IPC!CW35="",IPC!CK35=""),"",AVERAGE(IPC!CL35:CW35)/AVERAGE(IPC!BZ35:CK35)-1)</f>
        <v>1.7860259677751067E-2</v>
      </c>
      <c r="CX35" s="75">
        <f>IF(OR(IPC!CX35="",IPC!CL35=""),"",AVERAGE(IPC!CM35:CX35)/AVERAGE(IPC!CA35:CL35)-1)</f>
        <v>1.9003287744120856E-2</v>
      </c>
      <c r="CY35" s="75">
        <f>IF(OR(IPC!CY35="",IPC!CM35=""),"",AVERAGE(IPC!CN35:CY35)/AVERAGE(IPC!CB35:CM35)-1)</f>
        <v>1.9802839037776021E-2</v>
      </c>
      <c r="CZ35" s="75">
        <f>IF(OR(IPC!CZ35="",IPC!CN35=""),"",AVERAGE(IPC!CO35:CZ35)/AVERAGE(IPC!CC35:CN35)-1)</f>
        <v>2.0309722340972058E-2</v>
      </c>
      <c r="DA35" s="75">
        <f>IF(OR(IPC!DA35="",IPC!CO35=""),"",AVERAGE(IPC!CP35:DA35)/AVERAGE(IPC!CD35:CO35)-1)</f>
        <v>2.1071249254228874E-2</v>
      </c>
      <c r="DB35" s="75">
        <f>IF(OR(IPC!DB35="",IPC!CP35=""),"",AVERAGE(IPC!CQ35:DB35)/AVERAGE(IPC!CE35:CP35)-1)</f>
        <v>2.1651408345259027E-2</v>
      </c>
      <c r="DC35" s="75">
        <f>IF(OR(IPC!DC35="",IPC!CQ35=""),"",AVERAGE(IPC!CR35:DC35)/AVERAGE(IPC!CF35:CQ35)-1)</f>
        <v>2.22099274118992E-2</v>
      </c>
      <c r="DD35" s="75">
        <f>IF(OR(IPC!DD35="",IPC!CR35=""),"",AVERAGE(IPC!CS35:DD35)/AVERAGE(IPC!CG35:CR35)-1)</f>
        <v>2.2731604812704864E-2</v>
      </c>
      <c r="DE35" s="75">
        <f>IF(OR(IPC!DE35="",IPC!CS35=""),"",AVERAGE(IPC!CT35:DE35)/AVERAGE(IPC!CH35:CS35)-1)</f>
        <v>2.2911212549428628E-2</v>
      </c>
      <c r="DF35" s="75">
        <f>IF(OR(IPC!DF35="",IPC!CT35=""),"",AVERAGE(IPC!CU35:DF35)/AVERAGE(IPC!CI35:CT35)-1)</f>
        <v>2.3159582562815029E-2</v>
      </c>
      <c r="DG35" s="75">
        <f>IF(OR(IPC!DG35="",IPC!CU35=""),"",AVERAGE(IPC!CV35:DG35)/AVERAGE(IPC!CJ35:CU35)-1)</f>
        <v>2.3408318196893596E-2</v>
      </c>
      <c r="DH35" s="75">
        <f>IF(OR(IPC!DH35="",IPC!CV35=""),"",AVERAGE(IPC!CW35:DH35)/AVERAGE(IPC!CK35:CV35)-1)</f>
        <v>2.3548502753627742E-2</v>
      </c>
      <c r="DI35" s="75">
        <f>IF(OR(IPC!DI35="",IPC!CW35=""),"",AVERAGE(IPC!CX35:DI35)/AVERAGE(IPC!CL35:CW35)-1)</f>
        <v>2.3793283742779225E-2</v>
      </c>
      <c r="DJ35" s="75">
        <f>IF(OR(IPC!DJ35="",IPC!CX35=""),"",AVERAGE(IPC!CY35:DJ35)/AVERAGE(IPC!CM35:CX35)-1)</f>
        <v>2.373303140608618E-2</v>
      </c>
      <c r="DK35" s="75">
        <f>IF(OR(IPC!DK35="",IPC!CY35=""),"",AVERAGE(IPC!CZ35:DK35)/AVERAGE(IPC!CN35:CY35)-1)</f>
        <v>2.3919581889596087E-2</v>
      </c>
      <c r="DL35" s="75">
        <f>IF(OR(IPC!DL35="",IPC!CZ35=""),"",AVERAGE(IPC!DA35:DL35)/AVERAGE(IPC!CO35:CZ35)-1)</f>
        <v>2.4077469957761055E-2</v>
      </c>
      <c r="DM35" s="75">
        <f>IF(OR(IPC!DM35="",IPC!DA35=""),"",AVERAGE(IPC!DB35:DM35)/AVERAGE(IPC!CP35:DA35)-1)</f>
        <v>2.4031127329273705E-2</v>
      </c>
      <c r="DN35" s="75">
        <f>IF(OR(IPC!DN35="",IPC!DB35=""),"",AVERAGE(IPC!DC35:DN35)/AVERAGE(IPC!CQ35:DB35)-1)</f>
        <v>2.397024914634871E-2</v>
      </c>
      <c r="DO35" s="75">
        <f>IF(OR(IPC!DO35="",IPC!DC35=""),"",AVERAGE(IPC!DD35:DO35)/AVERAGE(IPC!CR35:DC35)-1)</f>
        <v>2.376060793912127E-2</v>
      </c>
      <c r="DP35" s="75">
        <f>IF(OR(IPC!DP35="",IPC!DD35=""),"",AVERAGE(IPC!DE35:DP35)/AVERAGE(IPC!CS35:DD35)-1)</f>
        <v>2.3822615750318521E-2</v>
      </c>
      <c r="DQ35" s="75">
        <f>IF(OR(IPC!DQ35="",IPC!DE35=""),"",AVERAGE(IPC!DF35:DQ35)/AVERAGE(IPC!CT35:DE35)-1)</f>
        <v>2.3514292492637701E-2</v>
      </c>
      <c r="DR35" s="75">
        <f>IF(OR(IPC!DR35="",IPC!DF35=""),"",AVERAGE(IPC!DG35:DR35)/AVERAGE(IPC!CU35:DF35)-1)</f>
        <v>2.3037472139030291E-2</v>
      </c>
      <c r="DS35" s="75">
        <f>IF(OR(IPC!DS35="",IPC!DG35=""),"",AVERAGE(IPC!DH35:DS35)/AVERAGE(IPC!CV35:DG35)-1)</f>
        <v>2.2388487654259936E-2</v>
      </c>
      <c r="DT35" s="75">
        <f>IF(OR(IPC!DT35="",IPC!DH35=""),"",AVERAGE(IPC!DI35:DT35)/AVERAGE(IPC!CW35:DH35)-1)</f>
        <v>2.1967772324619439E-2</v>
      </c>
      <c r="DU35" s="75">
        <f>IF(OR(IPC!DU35="",IPC!DI35=""),"",AVERAGE(IPC!DJ35:DU35)/AVERAGE(IPC!CX35:DI35)-1)</f>
        <v>2.1634776209429774E-2</v>
      </c>
      <c r="DV35" s="75">
        <f>IF(OR(IPC!DV35="",IPC!DJ35=""),"",AVERAGE(IPC!DK35:DV35)/AVERAGE(IPC!CY35:DJ35)-1)</f>
        <v>2.1843243561701309E-2</v>
      </c>
      <c r="DW35" s="75">
        <f>IF(OR(IPC!DW35="",IPC!DK35=""),"",AVERAGE(IPC!DL35:DW35)/AVERAGE(IPC!CZ35:DK35)-1)</f>
        <v>2.1466564798795718E-2</v>
      </c>
      <c r="DX35" s="75">
        <f>IF(OR(IPC!DX35="",IPC!DL35=""),"",AVERAGE(IPC!DM35:DX35)/AVERAGE(IPC!DA35:DL35)-1)</f>
        <v>2.1114065559293849E-2</v>
      </c>
      <c r="DY35" s="75">
        <f>IF(OR(IPC!DY35="",IPC!DM35=""),"",AVERAGE(IPC!DN35:DY35)/AVERAGE(IPC!DB35:DM35)-1)</f>
        <v>2.0724682892497848E-2</v>
      </c>
      <c r="DZ35" s="75">
        <f>IF(OR(IPC!DZ35="",IPC!DN35=""),"",AVERAGE(IPC!DO35:DZ35)/AVERAGE(IPC!DC35:DN35)-1)</f>
        <v>2.0729924295092239E-2</v>
      </c>
      <c r="EA35" s="75">
        <f>IF(OR(IPC!EA35="",IPC!DO35=""),"",AVERAGE(IPC!DP35:EA35)/AVERAGE(IPC!DD35:DO35)-1)</f>
        <v>2.0972960069793212E-2</v>
      </c>
      <c r="EB35" s="75">
        <f>IF(OR(IPC!EB35="",IPC!DP35=""),"",AVERAGE(IPC!DQ35:EB35)/AVERAGE(IPC!DE35:DP35)-1)</f>
        <v>2.0573134087864098E-2</v>
      </c>
      <c r="EC35" s="75">
        <f>IF(OR(IPC!EC35="",IPC!DQ35=""),"",AVERAGE(IPC!DR35:EC35)/AVERAGE(IPC!DF35:DQ35)-1)</f>
        <v>2.0622139416715202E-2</v>
      </c>
      <c r="ED35" s="75">
        <f>IF(OR(IPC!ED35="",IPC!DR35=""),"",AVERAGE(IPC!DS35:ED35)/AVERAGE(IPC!DG35:DR35)-1)</f>
        <v>2.0754949582391102E-2</v>
      </c>
      <c r="EE35" s="75">
        <f>IF(OR(IPC!EE35="",IPC!DS35=""),"",AVERAGE(IPC!DT35:EE35)/AVERAGE(IPC!DH35:DS35)-1)</f>
        <v>2.1021255367080993E-2</v>
      </c>
      <c r="EF35" s="75">
        <f>IF(OR(IPC!EF35="",IPC!DT35=""),"",AVERAGE(IPC!DU35:EF35)/AVERAGE(IPC!DI35:DT35)-1)</f>
        <v>2.1431380430427582E-2</v>
      </c>
      <c r="EG35" s="75">
        <f>IF(OR(IPC!EG35="",IPC!DU35=""),"",AVERAGE(IPC!DV35:EG35)/AVERAGE(IPC!DJ35:DU35)-1)</f>
        <v>2.2017042261961883E-2</v>
      </c>
      <c r="EH35" s="75">
        <f>IF(OR(IPC!EH35="",IPC!DV35=""),"",AVERAGE(IPC!DW35:EH35)/AVERAGE(IPC!DK35:DV35)-1)</f>
        <v>2.2242447166274992E-2</v>
      </c>
      <c r="EI35" s="75">
        <f>IF(OR(IPC!EI35="",IPC!DW35=""),"",AVERAGE(IPC!DX35:EI35)/AVERAGE(IPC!DL35:DW35)-1)</f>
        <v>2.3639029525266197E-2</v>
      </c>
      <c r="EJ35" s="75">
        <f>IF(OR(IPC!EJ35="",IPC!DX35=""),"",AVERAGE(IPC!DY35:EJ35)/AVERAGE(IPC!DM35:DX35)-1)</f>
        <v>2.5404484123136228E-2</v>
      </c>
      <c r="EK35" s="75">
        <f>IF(OR(IPC!EK35="",IPC!DY35=""),"",AVERAGE(IPC!DZ35:EK35)/AVERAGE(IPC!DN35:DY35)-1)</f>
        <v>2.7474845977770057E-2</v>
      </c>
      <c r="EL35" s="75">
        <f>IF(OR(IPC!EL35="",IPC!DZ35=""),"",AVERAGE(IPC!EA35:EL35)/AVERAGE(IPC!DO35:DZ35)-1)</f>
        <v>2.8994317526967572E-2</v>
      </c>
      <c r="EM35" s="75">
        <f>IF(OR(IPC!EM35="",IPC!EA35=""),"",AVERAGE(IPC!EB35:EM35)/AVERAGE(IPC!DP35:EA35)-1)</f>
        <v>3.0550666303115648E-2</v>
      </c>
      <c r="EN35" s="75">
        <f>IF(OR(IPC!EN35="",IPC!EB35=""),"",AVERAGE(IPC!EC35:EN35)/AVERAGE(IPC!DQ35:EB35)-1)</f>
        <v>3.2956785689119972E-2</v>
      </c>
      <c r="EO35" s="75">
        <f>IF(OR(IPC!EO35="",IPC!EC35=""),"",AVERAGE(IPC!ED35:EO35)/AVERAGE(IPC!DR35:EC35)-1)</f>
        <v>3.4962995047257195E-2</v>
      </c>
      <c r="EP35" s="75">
        <f>IF(OR(IPC!EP35="",IPC!ED35=""),"",AVERAGE(IPC!EE35:EP35)/AVERAGE(IPC!DS35:ED35)-1)</f>
        <v>3.6850506440707864E-2</v>
      </c>
      <c r="EQ35" s="75">
        <f>IF(OR(IPC!EQ35="",IPC!EE35=""),"",AVERAGE(IPC!EF35:EQ35)/AVERAGE(IPC!DT35:EE35)-1)</f>
        <v>3.8878081549296173E-2</v>
      </c>
      <c r="ER35" s="75" t="str">
        <f>IF(OR(IPC!ER35="",IPC!EF35=""),"",AVERAGE(IPC!EG35:ER35)/AVERAGE(IPC!DU35:EF35)-1)</f>
        <v/>
      </c>
      <c r="ES35" s="75" t="str">
        <f>IF(OR(IPC!ES35="",IPC!EG35=""),"",AVERAGE(IPC!EH35:ES35)/AVERAGE(IPC!DV35:EG35)-1)</f>
        <v/>
      </c>
      <c r="ET35" s="75" t="str">
        <f>IF(OR(IPC!ET35="",IPC!EH35=""),"",AVERAGE(IPC!EI35:ET35)/AVERAGE(IPC!DW35:EH35)-1)</f>
        <v/>
      </c>
      <c r="EU35" s="75" t="str">
        <f>IF(OR(IPC!EU35="",IPC!EI35=""),"",AVERAGE(IPC!EJ35:EU35)/AVERAGE(IPC!DX35:EI35)-1)</f>
        <v/>
      </c>
      <c r="EV35" s="75" t="str">
        <f>IF(OR(IPC!EV35="",IPC!EJ35=""),"",AVERAGE(IPC!EK35:EV35)/AVERAGE(IPC!DY35:EJ35)-1)</f>
        <v/>
      </c>
      <c r="EW35" s="75" t="str">
        <f>IF(OR(IPC!EW35="",IPC!EK35=""),"",AVERAGE(IPC!EL35:EW35)/AVERAGE(IPC!DZ35:EK35)-1)</f>
        <v/>
      </c>
      <c r="EX35" s="75" t="str">
        <f>IF(OR(IPC!EX35="",IPC!EL35=""),"",AVERAGE(IPC!EM35:EX35)/AVERAGE(IPC!EA35:EL35)-1)</f>
        <v/>
      </c>
      <c r="EY35" s="75" t="str">
        <f>IF(OR(IPC!EY35="",IPC!EM35=""),"",AVERAGE(IPC!EN35:EY35)/AVERAGE(IPC!EB35:EM35)-1)</f>
        <v/>
      </c>
      <c r="EZ35" s="75" t="str">
        <f>IF(OR(IPC!EZ35="",IPC!EN35=""),"",AVERAGE(IPC!EO35:EZ35)/AVERAGE(IPC!EC35:EN35)-1)</f>
        <v/>
      </c>
      <c r="FA35" s="75" t="str">
        <f>IF(OR(IPC!FA35="",IPC!EO35=""),"",AVERAGE(IPC!EP35:FA35)/AVERAGE(IPC!ED35:EO35)-1)</f>
        <v/>
      </c>
      <c r="FB35" s="75" t="str">
        <f>IF(OR(IPC!FB35="",IPC!EP35=""),"",AVERAGE(IPC!EQ35:FB35)/AVERAGE(IPC!EE35:EP35)-1)</f>
        <v/>
      </c>
      <c r="FC35" s="75" t="str">
        <f>IF(OR(IPC!FC35="",IPC!EQ35=""),"",AVERAGE(IPC!ER35:FC35)/AVERAGE(IPC!EF35:EQ35)-1)</f>
        <v/>
      </c>
      <c r="FD35" s="75" t="str">
        <f>IF(OR(IPC!FD35="",IPC!ER35=""),"",AVERAGE(IPC!ES35:FD35)/AVERAGE(IPC!EG35:ER35)-1)</f>
        <v/>
      </c>
      <c r="FE35" s="75" t="str">
        <f>IF(OR(IPC!FE35="",IPC!ES35=""),"",AVERAGE(IPC!ET35:FE35)/AVERAGE(IPC!EH35:ES35)-1)</f>
        <v/>
      </c>
      <c r="FF35" s="75" t="str">
        <f>IF(OR(IPC!FF35="",IPC!ET35=""),"",AVERAGE(IPC!EU35:FF35)/AVERAGE(IPC!EI35:ET35)-1)</f>
        <v/>
      </c>
      <c r="FG35" s="75" t="str">
        <f>IF(OR(IPC!FG35="",IPC!EU35=""),"",AVERAGE(IPC!EV35:FG35)/AVERAGE(IPC!EJ35:EU35)-1)</f>
        <v/>
      </c>
      <c r="FH35" s="75" t="str">
        <f>IF(OR(IPC!FH35="",IPC!EV35=""),"",AVERAGE(IPC!EW35:FH35)/AVERAGE(IPC!EK35:EV35)-1)</f>
        <v/>
      </c>
      <c r="FI35" s="75" t="str">
        <f>IF(OR(IPC!FI35="",IPC!EW35=""),"",AVERAGE(IPC!EX35:FI35)/AVERAGE(IPC!EL35:EW35)-1)</f>
        <v/>
      </c>
    </row>
    <row r="36" spans="1:174" s="81" customFormat="1" ht="10.199999999999999" x14ac:dyDescent="0.2">
      <c r="B36" s="81" t="s">
        <v>114</v>
      </c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>
        <f>IF(OR(IPC!AN36="",IPC!AB36=""),"",AVERAGE(IPC!AC36:AN36)/AVERAGE(IPC!Q36:AB36)-1)</f>
        <v>1.6354702525573472E-2</v>
      </c>
      <c r="AO36" s="84">
        <f>IF(OR(IPC!AO36="",IPC!AC36=""),"",AVERAGE(IPC!AD36:AO36)/AVERAGE(IPC!R36:AC36)-1)</f>
        <v>1.5321370889677555E-2</v>
      </c>
      <c r="AP36" s="84">
        <f>IF(OR(IPC!AP36="",IPC!AD36=""),"",AVERAGE(IPC!AE36:AP36)/AVERAGE(IPC!S36:AD36)-1)</f>
        <v>1.4256811798382563E-2</v>
      </c>
      <c r="AQ36" s="84">
        <f>IF(OR(IPC!AQ36="",IPC!AE36=""),"",AVERAGE(IPC!AF36:AQ36)/AVERAGE(IPC!T36:AE36)-1)</f>
        <v>1.3023291300950701E-2</v>
      </c>
      <c r="AR36" s="84">
        <f>IF(OR(IPC!AR36="",IPC!AF36=""),"",AVERAGE(IPC!AG36:AR36)/AVERAGE(IPC!U36:AF36)-1)</f>
        <v>1.2325985527354533E-2</v>
      </c>
      <c r="AS36" s="84">
        <f>IF(OR(IPC!AS36="",IPC!AG36=""),"",AVERAGE(IPC!AH36:AS36)/AVERAGE(IPC!V36:AG36)-1)</f>
        <v>1.1952460889199656E-2</v>
      </c>
      <c r="AT36" s="84">
        <f>IF(OR(IPC!AT36="",IPC!AH36=""),"",AVERAGE(IPC!AI36:AT36)/AVERAGE(IPC!W36:AH36)-1)</f>
        <v>1.530389914584207E-2</v>
      </c>
      <c r="AU36" s="84">
        <f>IF(OR(IPC!AU36="",IPC!AI36=""),"",AVERAGE(IPC!AJ36:AU36)/AVERAGE(IPC!X36:AI36)-1)</f>
        <v>1.8421303696441127E-2</v>
      </c>
      <c r="AV36" s="84">
        <f>IF(OR(IPC!AV36="",IPC!AJ36=""),"",AVERAGE(IPC!AK36:AV36)/AVERAGE(IPC!Y36:AJ36)-1)</f>
        <v>2.1519505860774224E-2</v>
      </c>
      <c r="AW36" s="84">
        <f>IF(OR(IPC!AW36="",IPC!AK36=""),"",AVERAGE(IPC!AL36:AW36)/AVERAGE(IPC!Z36:AK36)-1)</f>
        <v>2.4490426067546478E-2</v>
      </c>
      <c r="AX36" s="84">
        <f>IF(OR(IPC!AX36="",IPC!AL36=""),"",AVERAGE(IPC!AM36:AX36)/AVERAGE(IPC!AA36:AL36)-1)</f>
        <v>2.8045034526671397E-2</v>
      </c>
      <c r="AY36" s="84">
        <f>IF(OR(IPC!AY36="",IPC!AM36=""),"",AVERAGE(IPC!AN36:AY36)/AVERAGE(IPC!AB36:AM36)-1)</f>
        <v>3.1259743650548399E-2</v>
      </c>
      <c r="AZ36" s="84">
        <f>IF(OR(IPC!AZ36="",IPC!AN36=""),"",AVERAGE(IPC!AO36:AZ36)/AVERAGE(IPC!AC36:AN36)-1)</f>
        <v>3.4114617023835114E-2</v>
      </c>
      <c r="BA36" s="84">
        <f>IF(OR(IPC!BA36="",IPC!AO36=""),"",AVERAGE(IPC!AP36:BA36)/AVERAGE(IPC!AD36:AO36)-1)</f>
        <v>3.7718423713951177E-2</v>
      </c>
      <c r="BB36" s="84">
        <f>IF(OR(IPC!BB36="",IPC!AP36=""),"",AVERAGE(IPC!AQ36:BB36)/AVERAGE(IPC!AE36:AP36)-1)</f>
        <v>4.1866409353323641E-2</v>
      </c>
      <c r="BC36" s="84">
        <f>IF(OR(IPC!BC36="",IPC!AQ36=""),"",AVERAGE(IPC!AR36:BC36)/AVERAGE(IPC!AF36:AQ36)-1)</f>
        <v>4.6391469394628349E-2</v>
      </c>
      <c r="BD36" s="84">
        <f>IF(OR(IPC!BD36="",IPC!AR36=""),"",AVERAGE(IPC!AS36:BD36)/AVERAGE(IPC!AG36:AR36)-1)</f>
        <v>5.0478084828245118E-2</v>
      </c>
      <c r="BE36" s="84">
        <f>IF(OR(IPC!BE36="",IPC!AS36=""),"",AVERAGE(IPC!AT36:BE36)/AVERAGE(IPC!AH36:AS36)-1)</f>
        <v>5.4670741932294709E-2</v>
      </c>
      <c r="BF36" s="84">
        <f>IF(OR(IPC!BF36="",IPC!AT36=""),"",AVERAGE(IPC!AU36:BF36)/AVERAGE(IPC!AI36:AT36)-1)</f>
        <v>5.207069584901558E-2</v>
      </c>
      <c r="BG36" s="84">
        <f>IF(OR(IPC!BG36="",IPC!AU36=""),"",AVERAGE(IPC!AV36:BG36)/AVERAGE(IPC!AJ36:AU36)-1)</f>
        <v>4.9745931692373624E-2</v>
      </c>
      <c r="BH36" s="84">
        <f>IF(OR(IPC!BH36="",IPC!AV36=""),"",AVERAGE(IPC!AW36:BH36)/AVERAGE(IPC!AK36:AV36)-1)</f>
        <v>4.7160369688997283E-2</v>
      </c>
      <c r="BI36" s="84">
        <f>IF(OR(IPC!BI36="",IPC!AW36=""),"",AVERAGE(IPC!AX36:BI36)/AVERAGE(IPC!AL36:AW36)-1)</f>
        <v>4.4763750908345168E-2</v>
      </c>
      <c r="BJ36" s="84">
        <f>IF(OR(IPC!BJ36="",IPC!AX36=""),"",AVERAGE(IPC!AY36:BJ36)/AVERAGE(IPC!AM36:AX36)-1)</f>
        <v>4.1882716679770837E-2</v>
      </c>
      <c r="BK36" s="84">
        <f>IF(OR(IPC!BK36="",IPC!AY36=""),"",AVERAGE(IPC!AZ36:BK36)/AVERAGE(IPC!AN36:AY36)-1)</f>
        <v>3.904097742918089E-2</v>
      </c>
      <c r="BL36" s="84">
        <f>IF(OR(IPC!BL36="",IPC!AZ36=""),"",AVERAGE(IPC!BA36:BL36)/AVERAGE(IPC!AO36:AZ36)-1)</f>
        <v>3.6637864731793979E-2</v>
      </c>
      <c r="BM36" s="84">
        <f>IF(OR(IPC!BM36="",IPC!BA36=""),"",AVERAGE(IPC!BB36:BM36)/AVERAGE(IPC!AP36:BA36)-1)</f>
        <v>3.3409783472643007E-2</v>
      </c>
      <c r="BN36" s="84">
        <f>IF(OR(IPC!BN36="",IPC!BB36=""),"",AVERAGE(IPC!BC36:BN36)/AVERAGE(IPC!AQ36:BB36)-1)</f>
        <v>2.9429494348580665E-2</v>
      </c>
      <c r="BO36" s="84">
        <f>IF(OR(IPC!BO36="",IPC!BC36=""),"",AVERAGE(IPC!BD36:BO36)/AVERAGE(IPC!AR36:BC36)-1)</f>
        <v>2.5219549181246581E-2</v>
      </c>
      <c r="BP36" s="84">
        <f>IF(OR(IPC!BP36="",IPC!BD36=""),"",AVERAGE(IPC!BE36:BP36)/AVERAGE(IPC!AS36:BD36)-1)</f>
        <v>2.1093752950007483E-2</v>
      </c>
      <c r="BQ36" s="84">
        <f>IF(OR(IPC!BQ36="",IPC!BE36=""),"",AVERAGE(IPC!BF36:BQ36)/AVERAGE(IPC!AT36:BE36)-1)</f>
        <v>1.6640744173912703E-2</v>
      </c>
      <c r="BR36" s="84">
        <f>IF(OR(IPC!BR36="",IPC!BF36=""),"",AVERAGE(IPC!BG36:BR36)/AVERAGE(IPC!AU36:BF36)-1)</f>
        <v>1.5404788365748212E-2</v>
      </c>
      <c r="BS36" s="84">
        <f>IF(OR(IPC!BS36="",IPC!BG36=""),"",AVERAGE(IPC!BH36:BS36)/AVERAGE(IPC!AV36:BG36)-1)</f>
        <v>1.4091746688938089E-2</v>
      </c>
      <c r="BT36" s="84">
        <f>IF(OR(IPC!BT36="",IPC!BH36=""),"",AVERAGE(IPC!BI36:BT36)/AVERAGE(IPC!AW36:BH36)-1)</f>
        <v>1.2566874529379213E-2</v>
      </c>
      <c r="BU36" s="84">
        <f>IF(OR(IPC!BU36="",IPC!BI36=""),"",AVERAGE(IPC!BJ36:BU36)/AVERAGE(IPC!AX36:BI36)-1)</f>
        <v>1.1335000188076538E-2</v>
      </c>
      <c r="BV36" s="84">
        <f>IF(OR(IPC!BV36="",IPC!BJ36=""),"",AVERAGE(IPC!BK36:BV36)/AVERAGE(IPC!AY36:BJ36)-1)</f>
        <v>1.0352341307666046E-2</v>
      </c>
      <c r="BW36" s="84">
        <f>IF(OR(IPC!BW36="",IPC!BK36=""),"",AVERAGE(IPC!BL36:BW36)/AVERAGE(IPC!AZ36:BK36)-1)</f>
        <v>9.5649789672394014E-3</v>
      </c>
      <c r="BX36" s="84">
        <f>IF(OR(IPC!BX36="",IPC!BL36=""),"",AVERAGE(IPC!BM36:BX36)/AVERAGE(IPC!BA36:BL36)-1)</f>
        <v>8.5772299184092571E-3</v>
      </c>
      <c r="BY36" s="84">
        <f>IF(OR(IPC!BY36="",IPC!BM36=""),"",AVERAGE(IPC!BN36:BY36)/AVERAGE(IPC!BB36:BM36)-1)</f>
        <v>7.9250600033364815E-3</v>
      </c>
      <c r="BZ36" s="84">
        <f>IF(OR(IPC!BZ36="",IPC!BN36=""),"",AVERAGE(IPC!BO36:BZ36)/AVERAGE(IPC!BC36:BN36)-1)</f>
        <v>7.8033276799809315E-3</v>
      </c>
      <c r="CA36" s="84">
        <f>IF(OR(IPC!CA36="",IPC!BO36=""),"",AVERAGE(IPC!BP36:CA36)/AVERAGE(IPC!BD36:BO36)-1)</f>
        <v>7.8537927215793779E-3</v>
      </c>
      <c r="CB36" s="84">
        <f>IF(OR(IPC!CB36="",IPC!BP36=""),"",AVERAGE(IPC!BQ36:CB36)/AVERAGE(IPC!BE36:BP36)-1)</f>
        <v>7.8584935729040239E-3</v>
      </c>
      <c r="CC36" s="84">
        <f>IF(OR(IPC!CC36="",IPC!BQ36=""),"",AVERAGE(IPC!BR36:CC36)/AVERAGE(IPC!BF36:BQ36)-1)</f>
        <v>7.9488780873113729E-3</v>
      </c>
      <c r="CD36" s="84">
        <f>IF(OR(IPC!CD36="",IPC!BR36=""),"",AVERAGE(IPC!BS36:CD36)/AVERAGE(IPC!BG36:BR36)-1)</f>
        <v>8.1649130356489241E-3</v>
      </c>
      <c r="CE36" s="84">
        <f>IF(OR(IPC!CE36="",IPC!BS36=""),"",AVERAGE(IPC!BT36:CE36)/AVERAGE(IPC!BH36:BS36)-1)</f>
        <v>8.2324559605304604E-3</v>
      </c>
      <c r="CF36" s="84">
        <f>IF(OR(IPC!CF36="",IPC!BT36=""),"",AVERAGE(IPC!BU36:CF36)/AVERAGE(IPC!BI36:BT36)-1)</f>
        <v>8.6311745174707521E-3</v>
      </c>
      <c r="CG36" s="84">
        <f>IF(OR(IPC!CG36="",IPC!BU36=""),"",AVERAGE(IPC!BV36:CG36)/AVERAGE(IPC!BJ36:BU36)-1)</f>
        <v>8.7186432089392252E-3</v>
      </c>
      <c r="CH36" s="84">
        <f>IF(OR(IPC!CH36="",IPC!BV36=""),"",AVERAGE(IPC!BW36:CH36)/AVERAGE(IPC!BK36:BV36)-1)</f>
        <v>8.6204899091852916E-3</v>
      </c>
      <c r="CI36" s="84">
        <f>IF(OR(IPC!CI36="",IPC!BW36=""),"",AVERAGE(IPC!BX36:CI36)/AVERAGE(IPC!BL36:BW36)-1)</f>
        <v>8.4713690905777739E-3</v>
      </c>
      <c r="CJ36" s="84">
        <f>IF(OR(IPC!CJ36="",IPC!BX36=""),"",AVERAGE(IPC!BY36:CJ36)/AVERAGE(IPC!BM36:BX36)-1)</f>
        <v>8.1216227211016179E-3</v>
      </c>
      <c r="CK36" s="84">
        <f>IF(OR(IPC!CK36="",IPC!BY36=""),"",AVERAGE(IPC!BZ36:CK36)/AVERAGE(IPC!BN36:BY36)-1)</f>
        <v>7.8302423472889071E-3</v>
      </c>
      <c r="CL36" s="84">
        <f>IF(OR(IPC!CL36="",IPC!BZ36=""),"",AVERAGE(IPC!CA36:CL36)/AVERAGE(IPC!BO36:BZ36)-1)</f>
        <v>7.2729615631932365E-3</v>
      </c>
      <c r="CM36" s="84">
        <f>IF(OR(IPC!CM36="",IPC!CA36=""),"",AVERAGE(IPC!CB36:CM36)/AVERAGE(IPC!BP36:CA36)-1)</f>
        <v>6.7089956952675056E-3</v>
      </c>
      <c r="CN36" s="84">
        <f>IF(OR(IPC!CN36="",IPC!CB36=""),"",AVERAGE(IPC!CC36:CN36)/AVERAGE(IPC!BQ36:CB36)-1)</f>
        <v>6.5124711658983703E-3</v>
      </c>
      <c r="CO36" s="84">
        <f>IF(OR(IPC!CO36="",IPC!CC36=""),"",AVERAGE(IPC!CD36:CO36)/AVERAGE(IPC!BR36:CC36)-1)</f>
        <v>6.6785388124643852E-3</v>
      </c>
      <c r="CP36" s="84">
        <f>IF(OR(IPC!CP36="",IPC!CD36=""),"",AVERAGE(IPC!CE36:CP36)/AVERAGE(IPC!BS36:CD36)-1)</f>
        <v>7.0478430990048579E-3</v>
      </c>
      <c r="CQ36" s="84">
        <f>IF(OR(IPC!CQ36="",IPC!CE36=""),"",AVERAGE(IPC!CF36:CQ36)/AVERAGE(IPC!BT36:CE36)-1)</f>
        <v>7.6236592809872938E-3</v>
      </c>
      <c r="CR36" s="84">
        <f>IF(OR(IPC!CR36="",IPC!CF36=""),"",AVERAGE(IPC!CG36:CR36)/AVERAGE(IPC!BU36:CF36)-1)</f>
        <v>8.3168661437595937E-3</v>
      </c>
      <c r="CS36" s="84">
        <f>IF(OR(IPC!CS36="",IPC!CG36=""),"",AVERAGE(IPC!CH36:CS36)/AVERAGE(IPC!BV36:CG36)-1)</f>
        <v>9.2938376990709948E-3</v>
      </c>
      <c r="CT36" s="84">
        <f>IF(OR(IPC!CT36="",IPC!CH36=""),"",AVERAGE(IPC!CI36:CT36)/AVERAGE(IPC!BW36:CH36)-1)</f>
        <v>1.0529414552476579E-2</v>
      </c>
      <c r="CU36" s="84">
        <f>IF(OR(IPC!CU36="",IPC!CI36=""),"",AVERAGE(IPC!CJ36:CU36)/AVERAGE(IPC!BX36:CI36)-1)</f>
        <v>1.1968648243827484E-2</v>
      </c>
      <c r="CV36" s="84">
        <f>IF(OR(IPC!CV36="",IPC!CJ36=""),"",AVERAGE(IPC!CK36:CV36)/AVERAGE(IPC!BY36:CJ36)-1)</f>
        <v>1.3655725808153107E-2</v>
      </c>
      <c r="CW36" s="84">
        <f>IF(OR(IPC!CW36="",IPC!CK36=""),"",AVERAGE(IPC!CL36:CW36)/AVERAGE(IPC!BZ36:CK36)-1)</f>
        <v>1.5082274781352822E-2</v>
      </c>
      <c r="CX36" s="84">
        <f>IF(OR(IPC!CX36="",IPC!CL36=""),"",AVERAGE(IPC!CM36:CX36)/AVERAGE(IPC!CA36:CL36)-1)</f>
        <v>1.7036288039786518E-2</v>
      </c>
      <c r="CY36" s="84">
        <f>IF(OR(IPC!CY36="",IPC!CM36=""),"",AVERAGE(IPC!CN36:CY36)/AVERAGE(IPC!CB36:CM36)-1)</f>
        <v>1.8806792757937396E-2</v>
      </c>
      <c r="CZ36" s="84">
        <f>IF(OR(IPC!CZ36="",IPC!CN36=""),"",AVERAGE(IPC!CO36:CZ36)/AVERAGE(IPC!CC36:CN36)-1)</f>
        <v>2.0320061172908632E-2</v>
      </c>
      <c r="DA36" s="84">
        <f>IF(OR(IPC!DA36="",IPC!CO36=""),"",AVERAGE(IPC!CP36:DA36)/AVERAGE(IPC!CD36:CO36)-1)</f>
        <v>2.1317848432592879E-2</v>
      </c>
      <c r="DB36" s="84">
        <f>IF(OR(IPC!DB36="",IPC!CP36=""),"",AVERAGE(IPC!CQ36:DB36)/AVERAGE(IPC!CE36:CP36)-1)</f>
        <v>2.1691417666330315E-2</v>
      </c>
      <c r="DC36" s="84">
        <f>IF(OR(IPC!DC36="",IPC!CQ36=""),"",AVERAGE(IPC!CR36:DC36)/AVERAGE(IPC!CF36:CQ36)-1)</f>
        <v>2.1934023267155212E-2</v>
      </c>
      <c r="DD36" s="84">
        <f>IF(OR(IPC!DD36="",IPC!CR36=""),"",AVERAGE(IPC!CS36:DD36)/AVERAGE(IPC!CG36:CR36)-1)</f>
        <v>2.1951411262068898E-2</v>
      </c>
      <c r="DE36" s="84">
        <f>IF(OR(IPC!DE36="",IPC!CS36=""),"",AVERAGE(IPC!CT36:DE36)/AVERAGE(IPC!CH36:CS36)-1)</f>
        <v>2.1745896316563762E-2</v>
      </c>
      <c r="DF36" s="84">
        <f>IF(OR(IPC!DF36="",IPC!CT36=""),"",AVERAGE(IPC!CU36:DF36)/AVERAGE(IPC!CI36:CT36)-1)</f>
        <v>2.1322615490995567E-2</v>
      </c>
      <c r="DG36" s="84">
        <f>IF(OR(IPC!DG36="",IPC!CU36=""),"",AVERAGE(IPC!CV36:DG36)/AVERAGE(IPC!CJ36:CU36)-1)</f>
        <v>2.0574670280741447E-2</v>
      </c>
      <c r="DH36" s="84">
        <f>IF(OR(IPC!DH36="",IPC!CV36=""),"",AVERAGE(IPC!CW36:DH36)/AVERAGE(IPC!CK36:CV36)-1)</f>
        <v>1.9570983292389377E-2</v>
      </c>
      <c r="DI36" s="84">
        <f>IF(OR(IPC!DI36="",IPC!CW36=""),"",AVERAGE(IPC!CX36:DI36)/AVERAGE(IPC!CL36:CW36)-1)</f>
        <v>1.9032341820241605E-2</v>
      </c>
      <c r="DJ36" s="84">
        <f>IF(OR(IPC!DJ36="",IPC!CX36=""),"",AVERAGE(IPC!CY36:DJ36)/AVERAGE(IPC!CM36:CX36)-1)</f>
        <v>1.7899436453917561E-2</v>
      </c>
      <c r="DK36" s="84">
        <f>IF(OR(IPC!DK36="",IPC!CY36=""),"",AVERAGE(IPC!CZ36:DK36)/AVERAGE(IPC!CN36:CY36)-1)</f>
        <v>1.7969397723324398E-2</v>
      </c>
      <c r="DL36" s="84">
        <f>IF(OR(IPC!DL36="",IPC!CZ36=""),"",AVERAGE(IPC!DA36:DL36)/AVERAGE(IPC!CO36:CZ36)-1)</f>
        <v>1.6938928880449122E-2</v>
      </c>
      <c r="DM36" s="84">
        <f>IF(OR(IPC!DM36="",IPC!DA36=""),"",AVERAGE(IPC!DB36:DM36)/AVERAGE(IPC!CP36:DA36)-1)</f>
        <v>1.6120967642420325E-2</v>
      </c>
      <c r="DN36" s="84">
        <f>IF(OR(IPC!DN36="",IPC!DB36=""),"",AVERAGE(IPC!DC36:DN36)/AVERAGE(IPC!CQ36:DB36)-1)</f>
        <v>1.560617392133401E-2</v>
      </c>
      <c r="DO36" s="84">
        <f>IF(OR(IPC!DO36="",IPC!DC36=""),"",AVERAGE(IPC!DD36:DO36)/AVERAGE(IPC!CR36:DC36)-1)</f>
        <v>1.5110179453165173E-2</v>
      </c>
      <c r="DP36" s="84">
        <f>IF(OR(IPC!DP36="",IPC!DD36=""),"",AVERAGE(IPC!DE36:DP36)/AVERAGE(IPC!CS36:DD36)-1)</f>
        <v>1.4781882344965913E-2</v>
      </c>
      <c r="DQ36" s="84">
        <f>IF(OR(IPC!DQ36="",IPC!DE36=""),"",AVERAGE(IPC!DF36:DQ36)/AVERAGE(IPC!CT36:DE36)-1)</f>
        <v>1.4548706564821101E-2</v>
      </c>
      <c r="DR36" s="84">
        <f>IF(OR(IPC!DR36="",IPC!DF36=""),"",AVERAGE(IPC!DG36:DR36)/AVERAGE(IPC!CU36:DF36)-1)</f>
        <v>1.4426397306523731E-2</v>
      </c>
      <c r="DS36" s="84">
        <f>IF(OR(IPC!DS36="",IPC!DG36=""),"",AVERAGE(IPC!DH36:DS36)/AVERAGE(IPC!CV36:DG36)-1)</f>
        <v>1.4207077029042114E-2</v>
      </c>
      <c r="DT36" s="84">
        <f>IF(OR(IPC!DT36="",IPC!DH36=""),"",AVERAGE(IPC!DI36:DT36)/AVERAGE(IPC!CW36:DH36)-1)</f>
        <v>1.4174416090801945E-2</v>
      </c>
      <c r="DU36" s="84">
        <f>IF(OR(IPC!DU36="",IPC!DI36=""),"",AVERAGE(IPC!DJ36:DU36)/AVERAGE(IPC!CX36:DI36)-1)</f>
        <v>1.3811984220918117E-2</v>
      </c>
      <c r="DV36" s="84">
        <f>IF(OR(IPC!DV36="",IPC!DJ36=""),"",AVERAGE(IPC!DK36:DV36)/AVERAGE(IPC!CY36:DJ36)-1)</f>
        <v>1.3450726699960391E-2</v>
      </c>
      <c r="DW36" s="84">
        <f>IF(OR(IPC!DW36="",IPC!DK36=""),"",AVERAGE(IPC!DL36:DW36)/AVERAGE(IPC!CZ36:DK36)-1)</f>
        <v>1.0882084654421753E-2</v>
      </c>
      <c r="DX36" s="84">
        <f>IF(OR(IPC!DX36="",IPC!DL36=""),"",AVERAGE(IPC!DM36:DX36)/AVERAGE(IPC!DA36:DL36)-1)</f>
        <v>1.0507589487900315E-2</v>
      </c>
      <c r="DY36" s="84">
        <f>IF(OR(IPC!DY36="",IPC!DM36=""),"",AVERAGE(IPC!DN36:DY36)/AVERAGE(IPC!DB36:DM36)-1)</f>
        <v>1.0197238087953808E-2</v>
      </c>
      <c r="DZ36" s="84">
        <f>IF(OR(IPC!DZ36="",IPC!DN36=""),"",AVERAGE(IPC!DO36:DZ36)/AVERAGE(IPC!DC36:DN36)-1)</f>
        <v>9.9426758805405413E-3</v>
      </c>
      <c r="EA36" s="84">
        <f>IF(OR(IPC!EA36="",IPC!DO36=""),"",AVERAGE(IPC!DP36:EA36)/AVERAGE(IPC!DD36:DO36)-1)</f>
        <v>9.8083499038927879E-3</v>
      </c>
      <c r="EB36" s="84">
        <f>IF(OR(IPC!EB36="",IPC!DP36=""),"",AVERAGE(IPC!DQ36:EB36)/AVERAGE(IPC!DE36:DP36)-1)</f>
        <v>9.5152295753413441E-3</v>
      </c>
      <c r="EC36" s="84">
        <f>IF(OR(IPC!EC36="",IPC!DQ36=""),"",AVERAGE(IPC!DR36:EC36)/AVERAGE(IPC!DF36:DQ36)-1)</f>
        <v>9.170616253838304E-3</v>
      </c>
      <c r="ED36" s="84">
        <f>IF(OR(IPC!ED36="",IPC!DR36=""),"",AVERAGE(IPC!DS36:ED36)/AVERAGE(IPC!DG36:DR36)-1)</f>
        <v>8.838561625018837E-3</v>
      </c>
      <c r="EE36" s="84">
        <f>IF(OR(IPC!EE36="",IPC!DS36=""),"",AVERAGE(IPC!DT36:EE36)/AVERAGE(IPC!DH36:DS36)-1)</f>
        <v>9.0513131570912897E-3</v>
      </c>
      <c r="EF36" s="84">
        <f>IF(OR(IPC!EF36="",IPC!DT36=""),"",AVERAGE(IPC!DU36:EF36)/AVERAGE(IPC!DI36:DT36)-1)</f>
        <v>9.4381485064665149E-3</v>
      </c>
      <c r="EG36" s="84">
        <f>IF(OR(IPC!EG36="",IPC!DU36=""),"",AVERAGE(IPC!DV36:EG36)/AVERAGE(IPC!DJ36:DU36)-1)</f>
        <v>9.9203729926149453E-3</v>
      </c>
      <c r="EH36" s="84">
        <f>IF(OR(IPC!EH36="",IPC!DV36=""),"",AVERAGE(IPC!DW36:EH36)/AVERAGE(IPC!DK36:DV36)-1)</f>
        <v>1.0802539525961663E-2</v>
      </c>
      <c r="EI36" s="84">
        <f>IF(OR(IPC!EI36="",IPC!DW36=""),"",AVERAGE(IPC!DX36:EI36)/AVERAGE(IPC!DL36:DW36)-1)</f>
        <v>1.3028622442720295E-2</v>
      </c>
      <c r="EJ36" s="84">
        <f>IF(OR(IPC!EJ36="",IPC!DX36=""),"",AVERAGE(IPC!DY36:EJ36)/AVERAGE(IPC!DM36:DX36)-1)</f>
        <v>1.4566550440447967E-2</v>
      </c>
      <c r="EK36" s="84">
        <f>IF(OR(IPC!EK36="",IPC!DY36=""),"",AVERAGE(IPC!DZ36:EK36)/AVERAGE(IPC!DN36:DY36)-1)</f>
        <v>1.6397358504185222E-2</v>
      </c>
      <c r="EL36" s="84">
        <f>IF(OR(IPC!EL36="",IPC!DZ36=""),"",AVERAGE(IPC!EA36:EL36)/AVERAGE(IPC!DO36:DZ36)-1)</f>
        <v>1.8240365003239223E-2</v>
      </c>
      <c r="EM36" s="84">
        <f>IF(OR(IPC!EM36="",IPC!EA36=""),"",AVERAGE(IPC!EB36:EM36)/AVERAGE(IPC!DP36:EA36)-1)</f>
        <v>2.0300178315151518E-2</v>
      </c>
      <c r="EN36" s="84">
        <f>IF(OR(IPC!EN36="",IPC!EB36=""),"",AVERAGE(IPC!EC36:EN36)/AVERAGE(IPC!DQ36:EB36)-1)</f>
        <v>2.2738706125577268E-2</v>
      </c>
      <c r="EO36" s="84">
        <f>IF(OR(IPC!EO36="",IPC!EC36=""),"",AVERAGE(IPC!ED36:EO36)/AVERAGE(IPC!DR36:EC36)-1)</f>
        <v>2.5101369859703349E-2</v>
      </c>
      <c r="EP36" s="84">
        <f>IF(OR(IPC!EP36="",IPC!ED36=""),"",AVERAGE(IPC!EE36:EP36)/AVERAGE(IPC!DS36:ED36)-1)</f>
        <v>2.7389395296974373E-2</v>
      </c>
      <c r="EQ36" s="84">
        <f>IF(OR(IPC!EQ36="",IPC!EE36=""),"",AVERAGE(IPC!EF36:EQ36)/AVERAGE(IPC!DT36:EE36)-1)</f>
        <v>2.9078367413755801E-2</v>
      </c>
      <c r="ER36" s="84" t="str">
        <f>IF(OR(IPC!ER36="",IPC!EF36=""),"",AVERAGE(IPC!EG36:ER36)/AVERAGE(IPC!DU36:EF36)-1)</f>
        <v/>
      </c>
      <c r="ES36" s="84" t="str">
        <f>IF(OR(IPC!ES36="",IPC!EG36=""),"",AVERAGE(IPC!EH36:ES36)/AVERAGE(IPC!DV36:EG36)-1)</f>
        <v/>
      </c>
      <c r="ET36" s="84" t="str">
        <f>IF(OR(IPC!ET36="",IPC!EH36=""),"",AVERAGE(IPC!EI36:ET36)/AVERAGE(IPC!DW36:EH36)-1)</f>
        <v/>
      </c>
      <c r="EU36" s="84" t="str">
        <f>IF(OR(IPC!EU36="",IPC!EI36=""),"",AVERAGE(IPC!EJ36:EU36)/AVERAGE(IPC!DX36:EI36)-1)</f>
        <v/>
      </c>
      <c r="EV36" s="84" t="str">
        <f>IF(OR(IPC!EV36="",IPC!EJ36=""),"",AVERAGE(IPC!EK36:EV36)/AVERAGE(IPC!DY36:EJ36)-1)</f>
        <v/>
      </c>
      <c r="EW36" s="84" t="str">
        <f>IF(OR(IPC!EW36="",IPC!EK36=""),"",AVERAGE(IPC!EL36:EW36)/AVERAGE(IPC!DZ36:EK36)-1)</f>
        <v/>
      </c>
      <c r="EX36" s="84" t="str">
        <f>IF(OR(IPC!EX36="",IPC!EL36=""),"",AVERAGE(IPC!EM36:EX36)/AVERAGE(IPC!EA36:EL36)-1)</f>
        <v/>
      </c>
      <c r="EY36" s="84" t="str">
        <f>IF(OR(IPC!EY36="",IPC!EM36=""),"",AVERAGE(IPC!EN36:EY36)/AVERAGE(IPC!EB36:EM36)-1)</f>
        <v/>
      </c>
      <c r="EZ36" s="84" t="str">
        <f>IF(OR(IPC!EZ36="",IPC!EN36=""),"",AVERAGE(IPC!EO36:EZ36)/AVERAGE(IPC!EC36:EN36)-1)</f>
        <v/>
      </c>
      <c r="FA36" s="84" t="str">
        <f>IF(OR(IPC!FA36="",IPC!EO36=""),"",AVERAGE(IPC!EP36:FA36)/AVERAGE(IPC!ED36:EO36)-1)</f>
        <v/>
      </c>
      <c r="FB36" s="84" t="str">
        <f>IF(OR(IPC!FB36="",IPC!EP36=""),"",AVERAGE(IPC!EQ36:FB36)/AVERAGE(IPC!EE36:EP36)-1)</f>
        <v/>
      </c>
      <c r="FC36" s="84" t="str">
        <f>IF(OR(IPC!FC36="",IPC!EQ36=""),"",AVERAGE(IPC!ER36:FC36)/AVERAGE(IPC!EF36:EQ36)-1)</f>
        <v/>
      </c>
      <c r="FD36" s="84" t="str">
        <f>IF(OR(IPC!FD36="",IPC!ER36=""),"",AVERAGE(IPC!ES36:FD36)/AVERAGE(IPC!EG36:ER36)-1)</f>
        <v/>
      </c>
      <c r="FE36" s="84" t="str">
        <f>IF(OR(IPC!FE36="",IPC!ES36=""),"",AVERAGE(IPC!ET36:FE36)/AVERAGE(IPC!EH36:ES36)-1)</f>
        <v/>
      </c>
      <c r="FF36" s="84" t="str">
        <f>IF(OR(IPC!FF36="",IPC!ET36=""),"",AVERAGE(IPC!EU36:FF36)/AVERAGE(IPC!EI36:ET36)-1)</f>
        <v/>
      </c>
      <c r="FG36" s="84" t="str">
        <f>IF(OR(IPC!FG36="",IPC!EU36=""),"",AVERAGE(IPC!EV36:FG36)/AVERAGE(IPC!EJ36:EU36)-1)</f>
        <v/>
      </c>
      <c r="FH36" s="84" t="str">
        <f>IF(OR(IPC!FH36="",IPC!EV36=""),"",AVERAGE(IPC!EW36:FH36)/AVERAGE(IPC!EK36:EV36)-1)</f>
        <v/>
      </c>
      <c r="FI36" s="84" t="str">
        <f>IF(OR(IPC!FI36="",IPC!EW36=""),"",AVERAGE(IPC!EX36:FI36)/AVERAGE(IPC!EL36:EW36)-1)</f>
        <v/>
      </c>
    </row>
    <row r="37" spans="1:174" s="74" customFormat="1" ht="10.199999999999999" x14ac:dyDescent="0.2"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7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75"/>
      <c r="EC37" s="75"/>
      <c r="ED37" s="75"/>
      <c r="EE37" s="75"/>
      <c r="EF37" s="75"/>
      <c r="EG37" s="75"/>
      <c r="EH37" s="75"/>
      <c r="EI37" s="75"/>
      <c r="EJ37" s="75"/>
      <c r="EK37" s="75"/>
      <c r="EL37" s="75"/>
      <c r="EM37" s="75"/>
      <c r="EN37" s="75"/>
      <c r="EO37" s="75"/>
      <c r="EP37" s="75"/>
      <c r="EQ37" s="75"/>
      <c r="ER37" s="75"/>
      <c r="ES37" s="75"/>
      <c r="ET37" s="75"/>
      <c r="EU37" s="75"/>
      <c r="EV37" s="75"/>
      <c r="EW37" s="75"/>
      <c r="EX37" s="75"/>
      <c r="EY37" s="75"/>
      <c r="EZ37" s="75"/>
      <c r="FA37" s="75"/>
      <c r="FB37" s="75"/>
      <c r="FC37" s="75"/>
      <c r="FD37" s="75"/>
      <c r="FE37" s="75"/>
      <c r="FF37" s="75"/>
      <c r="FG37" s="75"/>
      <c r="FH37" s="75"/>
      <c r="FI37" s="75"/>
    </row>
    <row r="38" spans="1:174" s="14" customFormat="1" ht="10.199999999999999" x14ac:dyDescent="0.2">
      <c r="B38" s="9" t="s">
        <v>5</v>
      </c>
      <c r="C38" s="62">
        <f>SUM(C7:C8)</f>
        <v>0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>
        <f>IF(OR(IPC!AN38="",IPC!AB38=""),"",AVERAGE(IPC!AC38:AN38)/AVERAGE(IPC!Q38:AB38)-1)</f>
        <v>1.3777431836893728E-2</v>
      </c>
      <c r="AO38" s="34">
        <f>IF(OR(IPC!AO38="",IPC!AC38=""),"",AVERAGE(IPC!AD38:AO38)/AVERAGE(IPC!R38:AC38)-1)</f>
        <v>1.3162282552176885E-2</v>
      </c>
      <c r="AP38" s="34">
        <f>IF(OR(IPC!AP38="",IPC!AD38=""),"",AVERAGE(IPC!AE38:AP38)/AVERAGE(IPC!S38:AD38)-1)</f>
        <v>1.2541943276422884E-2</v>
      </c>
      <c r="AQ38" s="34">
        <f>IF(OR(IPC!AQ38="",IPC!AE38=""),"",AVERAGE(IPC!AF38:AQ38)/AVERAGE(IPC!T38:AE38)-1)</f>
        <v>1.1825499571001652E-2</v>
      </c>
      <c r="AR38" s="34">
        <f>IF(OR(IPC!AR38="",IPC!AF38=""),"",AVERAGE(IPC!AG38:AR38)/AVERAGE(IPC!U38:AF38)-1)</f>
        <v>1.1667068758460797E-2</v>
      </c>
      <c r="AS38" s="34">
        <f>IF(OR(IPC!AS38="",IPC!AG38=""),"",AVERAGE(IPC!AH38:AS38)/AVERAGE(IPC!V38:AG38)-1)</f>
        <v>1.1356537679181544E-2</v>
      </c>
      <c r="AT38" s="34">
        <f>IF(OR(IPC!AT38="",IPC!AH38=""),"",AVERAGE(IPC!AI38:AT38)/AVERAGE(IPC!W38:AH38)-1)</f>
        <v>1.3218584270466627E-2</v>
      </c>
      <c r="AU38" s="34">
        <f>IF(OR(IPC!AU38="",IPC!AI38=""),"",AVERAGE(IPC!AJ38:AU38)/AVERAGE(IPC!X38:AI38)-1)</f>
        <v>1.5066095159705917E-2</v>
      </c>
      <c r="AV38" s="34">
        <f>IF(OR(IPC!AV38="",IPC!AJ38=""),"",AVERAGE(IPC!AK38:AV38)/AVERAGE(IPC!Y38:AJ38)-1)</f>
        <v>1.667807152797951E-2</v>
      </c>
      <c r="AW38" s="34">
        <f>IF(OR(IPC!AW38="",IPC!AK38=""),"",AVERAGE(IPC!AL38:AW38)/AVERAGE(IPC!Z38:AK38)-1)</f>
        <v>1.790787098219937E-2</v>
      </c>
      <c r="AX38" s="34">
        <f>IF(OR(IPC!AX38="",IPC!AL38=""),"",AVERAGE(IPC!AM38:AX38)/AVERAGE(IPC!AA38:AL38)-1)</f>
        <v>1.9761209090042531E-2</v>
      </c>
      <c r="AY38" s="34">
        <f>IF(OR(IPC!AY38="",IPC!AM38=""),"",AVERAGE(IPC!AN38:AY38)/AVERAGE(IPC!AB38:AM38)-1)</f>
        <v>2.1520288107308438E-2</v>
      </c>
      <c r="AZ38" s="34">
        <f>IF(OR(IPC!AZ38="",IPC!AN38=""),"",AVERAGE(IPC!AO38:AZ38)/AVERAGE(IPC!AC38:AN38)-1)</f>
        <v>2.2933097127047608E-2</v>
      </c>
      <c r="BA38" s="34">
        <f>IF(OR(IPC!BA38="",IPC!AO38=""),"",AVERAGE(IPC!AP38:BA38)/AVERAGE(IPC!AD38:AO38)-1)</f>
        <v>2.4897147433400546E-2</v>
      </c>
      <c r="BB38" s="34">
        <f>IF(OR(IPC!BB38="",IPC!AP38=""),"",AVERAGE(IPC!AQ38:BB38)/AVERAGE(IPC!AE38:AP38)-1)</f>
        <v>2.728985184399435E-2</v>
      </c>
      <c r="BC38" s="34">
        <f>IF(OR(IPC!BC38="",IPC!AQ38=""),"",AVERAGE(IPC!AR38:BC38)/AVERAGE(IPC!AF38:AQ38)-1)</f>
        <v>3.0072643313782343E-2</v>
      </c>
      <c r="BD38" s="34">
        <f>IF(OR(IPC!BD38="",IPC!AR38=""),"",AVERAGE(IPC!AS38:BD38)/AVERAGE(IPC!AG38:AR38)-1)</f>
        <v>3.2520913211635083E-2</v>
      </c>
      <c r="BE38" s="34">
        <f>IF(OR(IPC!BE38="",IPC!AS38=""),"",AVERAGE(IPC!AT38:BE38)/AVERAGE(IPC!AH38:AS38)-1)</f>
        <v>3.5468588003908286E-2</v>
      </c>
      <c r="BF38" s="34">
        <f>IF(OR(IPC!BF38="",IPC!AT38=""),"",AVERAGE(IPC!AU38:BF38)/AVERAGE(IPC!AI38:AT38)-1)</f>
        <v>3.4306901658882394E-2</v>
      </c>
      <c r="BG38" s="34">
        <f>IF(OR(IPC!BG38="",IPC!AU38=""),"",AVERAGE(IPC!AV38:BG38)/AVERAGE(IPC!AJ38:AU38)-1)</f>
        <v>3.3184688192696932E-2</v>
      </c>
      <c r="BH38" s="34">
        <f>IF(OR(IPC!BH38="",IPC!AV38=""),"",AVERAGE(IPC!AW38:BH38)/AVERAGE(IPC!AK38:AV38)-1)</f>
        <v>3.1799270677494551E-2</v>
      </c>
      <c r="BI38" s="34">
        <f>IF(OR(IPC!BI38="",IPC!AW38=""),"",AVERAGE(IPC!AX38:BI38)/AVERAGE(IPC!AL38:AW38)-1)</f>
        <v>3.0791879234184583E-2</v>
      </c>
      <c r="BJ38" s="34">
        <f>IF(OR(IPC!BJ38="",IPC!AX38=""),"",AVERAGE(IPC!AY38:BJ38)/AVERAGE(IPC!AM38:AX38)-1)</f>
        <v>2.8866756959986528E-2</v>
      </c>
      <c r="BK38" s="34">
        <f>IF(OR(IPC!BK38="",IPC!AY38=""),"",AVERAGE(IPC!AZ38:BK38)/AVERAGE(IPC!AN38:AY38)-1)</f>
        <v>2.7033306701836901E-2</v>
      </c>
      <c r="BL38" s="34">
        <f>IF(OR(IPC!BL38="",IPC!AZ38=""),"",AVERAGE(IPC!BA38:BL38)/AVERAGE(IPC!AO38:AZ38)-1)</f>
        <v>2.5739282516329842E-2</v>
      </c>
      <c r="BM38" s="34">
        <f>IF(OR(IPC!BM38="",IPC!BA38=""),"",AVERAGE(IPC!BB38:BM38)/AVERAGE(IPC!AP38:BA38)-1)</f>
        <v>2.3574631676472446E-2</v>
      </c>
      <c r="BN38" s="34">
        <f>IF(OR(IPC!BN38="",IPC!BB38=""),"",AVERAGE(IPC!BC38:BN38)/AVERAGE(IPC!AQ38:BB38)-1)</f>
        <v>2.1306841081585981E-2</v>
      </c>
      <c r="BO38" s="34">
        <f>IF(OR(IPC!BO38="",IPC!BC38=""),"",AVERAGE(IPC!BD38:BO38)/AVERAGE(IPC!AR38:BC38)-1)</f>
        <v>1.8606918685134533E-2</v>
      </c>
      <c r="BP38" s="34">
        <f>IF(OR(IPC!BP38="",IPC!BD38=""),"",AVERAGE(IPC!BE38:BP38)/AVERAGE(IPC!AS38:BD38)-1)</f>
        <v>1.5966374616929846E-2</v>
      </c>
      <c r="BQ38" s="34">
        <f>IF(OR(IPC!BQ38="",IPC!BE38=""),"",AVERAGE(IPC!BF38:BQ38)/AVERAGE(IPC!AT38:BE38)-1)</f>
        <v>1.2445420115114292E-2</v>
      </c>
      <c r="BR38" s="34">
        <f>IF(OR(IPC!BR38="",IPC!BF38=""),"",AVERAGE(IPC!BG38:BR38)/AVERAGE(IPC!AU38:BF38)-1)</f>
        <v>1.121593363817408E-2</v>
      </c>
      <c r="BS38" s="34">
        <f>IF(OR(IPC!BS38="",IPC!BG38=""),"",AVERAGE(IPC!BH38:BS38)/AVERAGE(IPC!AV38:BG38)-1)</f>
        <v>1.0116292627103451E-2</v>
      </c>
      <c r="BT38" s="34">
        <f>IF(OR(IPC!BT38="",IPC!BH38=""),"",AVERAGE(IPC!BI38:BT38)/AVERAGE(IPC!AW38:BH38)-1)</f>
        <v>8.9250321806588762E-3</v>
      </c>
      <c r="BU38" s="34">
        <f>IF(OR(IPC!BU38="",IPC!BI38=""),"",AVERAGE(IPC!BJ38:BU38)/AVERAGE(IPC!AX38:BI38)-1)</f>
        <v>8.0578324974980298E-3</v>
      </c>
      <c r="BV38" s="34">
        <f>IF(OR(IPC!BV38="",IPC!BJ38=""),"",AVERAGE(IPC!BK38:BV38)/AVERAGE(IPC!AY38:BJ38)-1)</f>
        <v>7.4630078429240854E-3</v>
      </c>
      <c r="BW38" s="34">
        <f>IF(OR(IPC!BW38="",IPC!BK38=""),"",AVERAGE(IPC!BL38:BW38)/AVERAGE(IPC!AZ38:BK38)-1)</f>
        <v>7.0066323667541397E-3</v>
      </c>
      <c r="BX38" s="34">
        <f>IF(OR(IPC!BX38="",IPC!BL38=""),"",AVERAGE(IPC!BM38:BX38)/AVERAGE(IPC!BA38:BL38)-1)</f>
        <v>6.5111473729526637E-3</v>
      </c>
      <c r="BY38" s="34">
        <f>IF(OR(IPC!BY38="",IPC!BM38=""),"",AVERAGE(IPC!BN38:BY38)/AVERAGE(IPC!BB38:BM38)-1)</f>
        <v>6.5825217525861124E-3</v>
      </c>
      <c r="BZ38" s="34">
        <f>IF(OR(IPC!BZ38="",IPC!BN38=""),"",AVERAGE(IPC!BO38:BZ38)/AVERAGE(IPC!BC38:BN38)-1)</f>
        <v>6.4714802873944155E-3</v>
      </c>
      <c r="CA38" s="34">
        <f>IF(OR(IPC!CA38="",IPC!BO38=""),"",AVERAGE(IPC!BP38:CA38)/AVERAGE(IPC!BD38:BO38)-1)</f>
        <v>6.7241792967707159E-3</v>
      </c>
      <c r="CB38" s="34">
        <f>IF(OR(IPC!CB38="",IPC!BP38=""),"",AVERAGE(IPC!BQ38:CB38)/AVERAGE(IPC!BE38:BP38)-1)</f>
        <v>6.817161421666551E-3</v>
      </c>
      <c r="CC38" s="34">
        <f>IF(OR(IPC!CC38="",IPC!BQ38=""),"",AVERAGE(IPC!BR38:CC38)/AVERAGE(IPC!BF38:BQ38)-1)</f>
        <v>7.5358500433813091E-3</v>
      </c>
      <c r="CD38" s="34">
        <f>IF(OR(IPC!CD38="",IPC!BR38=""),"",AVERAGE(IPC!BS38:CD38)/AVERAGE(IPC!BG38:BR38)-1)</f>
        <v>8.073142202901229E-3</v>
      </c>
      <c r="CE38" s="34">
        <f>IF(OR(IPC!CE38="",IPC!BS38=""),"",AVERAGE(IPC!BT38:CE38)/AVERAGE(IPC!BH38:BS38)-1)</f>
        <v>8.2377409144802627E-3</v>
      </c>
      <c r="CF38" s="34">
        <f>IF(OR(IPC!CF38="",IPC!BT38=""),"",AVERAGE(IPC!BU38:CF38)/AVERAGE(IPC!BI38:BT38)-1)</f>
        <v>8.7561677162781848E-3</v>
      </c>
      <c r="CG38" s="34">
        <f>IF(OR(IPC!CG38="",IPC!BU38=""),"",AVERAGE(IPC!BV38:CG38)/AVERAGE(IPC!BJ38:BU38)-1)</f>
        <v>9.006032921748286E-3</v>
      </c>
      <c r="CH38" s="34">
        <f>IF(OR(IPC!CH38="",IPC!BV38=""),"",AVERAGE(IPC!BW38:CH38)/AVERAGE(IPC!BK38:BV38)-1)</f>
        <v>9.3313073705607597E-3</v>
      </c>
      <c r="CI38" s="34">
        <f>IF(OR(IPC!CI38="",IPC!BW38=""),"",AVERAGE(IPC!BX38:CI38)/AVERAGE(IPC!BL38:BW38)-1)</f>
        <v>9.1660646506603882E-3</v>
      </c>
      <c r="CJ38" s="34">
        <f>IF(OR(IPC!CJ38="",IPC!BX38=""),"",AVERAGE(IPC!BY38:CJ38)/AVERAGE(IPC!BM38:BX38)-1)</f>
        <v>8.9256645594455453E-3</v>
      </c>
      <c r="CK38" s="34">
        <f>IF(OR(IPC!CK38="",IPC!BY38=""),"",AVERAGE(IPC!BZ38:CK38)/AVERAGE(IPC!BN38:BY38)-1)</f>
        <v>8.6216855069563003E-3</v>
      </c>
      <c r="CL38" s="34">
        <f>IF(OR(IPC!CL38="",IPC!BZ38=""),"",AVERAGE(IPC!CA38:CL38)/AVERAGE(IPC!BO38:BZ38)-1)</f>
        <v>8.1455519374247221E-3</v>
      </c>
      <c r="CM38" s="34">
        <f>IF(OR(IPC!CM38="",IPC!CA38=""),"",AVERAGE(IPC!CB38:CM38)/AVERAGE(IPC!BP38:CA38)-1)</f>
        <v>7.5759380747952854E-3</v>
      </c>
      <c r="CN38" s="34">
        <f>IF(OR(IPC!CN38="",IPC!CB38=""),"",AVERAGE(IPC!CC38:CN38)/AVERAGE(IPC!BQ38:CB38)-1)</f>
        <v>7.4431993719128453E-3</v>
      </c>
      <c r="CO38" s="34">
        <f>IF(OR(IPC!CO38="",IPC!CC38=""),"",AVERAGE(IPC!CD38:CO38)/AVERAGE(IPC!BR38:CC38)-1)</f>
        <v>7.2573006277187879E-3</v>
      </c>
      <c r="CP38" s="34">
        <f>IF(OR(IPC!CP38="",IPC!CD38=""),"",AVERAGE(IPC!CE38:CP38)/AVERAGE(IPC!BS38:CD38)-1)</f>
        <v>7.2483347398479836E-3</v>
      </c>
      <c r="CQ38" s="34">
        <f>IF(OR(IPC!CQ38="",IPC!CE38=""),"",AVERAGE(IPC!CF38:CQ38)/AVERAGE(IPC!BT38:CE38)-1)</f>
        <v>7.4898207301932196E-3</v>
      </c>
      <c r="CR38" s="34">
        <f>IF(OR(IPC!CR38="",IPC!CF38=""),"",AVERAGE(IPC!CG38:CR38)/AVERAGE(IPC!BU38:CF38)-1)</f>
        <v>7.6871169713847998E-3</v>
      </c>
      <c r="CS38" s="34">
        <f>IF(OR(IPC!CS38="",IPC!CG38=""),"",AVERAGE(IPC!CH38:CS38)/AVERAGE(IPC!BV38:CG38)-1)</f>
        <v>8.0536508018933528E-3</v>
      </c>
      <c r="CT38" s="34">
        <f>IF(OR(IPC!CT38="",IPC!CH38=""),"",AVERAGE(IPC!CI38:CT38)/AVERAGE(IPC!BW38:CH38)-1)</f>
        <v>8.5895216231541838E-3</v>
      </c>
      <c r="CU38" s="34">
        <f>IF(OR(IPC!CU38="",IPC!CI38=""),"",AVERAGE(IPC!CJ38:CU38)/AVERAGE(IPC!BX38:CI38)-1)</f>
        <v>9.6965891421341155E-3</v>
      </c>
      <c r="CV38" s="34">
        <f>IF(OR(IPC!CV38="",IPC!CJ38=""),"",AVERAGE(IPC!CK38:CV38)/AVERAGE(IPC!BY38:CJ38)-1)</f>
        <v>1.0674897095785507E-2</v>
      </c>
      <c r="CW38" s="34">
        <f>IF(OR(IPC!CW38="",IPC!CK38=""),"",AVERAGE(IPC!CL38:CW38)/AVERAGE(IPC!BZ38:CK38)-1)</f>
        <v>1.1710336721992398E-2</v>
      </c>
      <c r="CX38" s="34">
        <f>IF(OR(IPC!CX38="",IPC!CL38=""),"",AVERAGE(IPC!CM38:CX38)/AVERAGE(IPC!CA38:CL38)-1)</f>
        <v>1.3376188759204322E-2</v>
      </c>
      <c r="CY38" s="34">
        <f>IF(OR(IPC!CY38="",IPC!CM38=""),"",AVERAGE(IPC!CN38:CY38)/AVERAGE(IPC!CB38:CM38)-1)</f>
        <v>1.5027041585419676E-2</v>
      </c>
      <c r="CZ38" s="34">
        <f>IF(OR(IPC!CZ38="",IPC!CN38=""),"",AVERAGE(IPC!CO38:CZ38)/AVERAGE(IPC!CC38:CN38)-1)</f>
        <v>1.6335702201209612E-2</v>
      </c>
      <c r="DA38" s="34">
        <f>IF(OR(IPC!DA38="",IPC!CO38=""),"",AVERAGE(IPC!CP38:DA38)/AVERAGE(IPC!CD38:CO38)-1)</f>
        <v>1.7478723583439715E-2</v>
      </c>
      <c r="DB38" s="34">
        <f>IF(OR(IPC!DB38="",IPC!CP38=""),"",AVERAGE(IPC!CQ38:DB38)/AVERAGE(IPC!CE38:CP38)-1)</f>
        <v>1.8336485595082497E-2</v>
      </c>
      <c r="DC38" s="34">
        <f>IF(OR(IPC!DC38="",IPC!CQ38=""),"",AVERAGE(IPC!CR38:DC38)/AVERAGE(IPC!CF38:CQ38)-1)</f>
        <v>1.9198024441160921E-2</v>
      </c>
      <c r="DD38" s="34">
        <f>IF(OR(IPC!DD38="",IPC!CR38=""),"",AVERAGE(IPC!CS38:DD38)/AVERAGE(IPC!CG38:CR38)-1)</f>
        <v>1.9917392719620786E-2</v>
      </c>
      <c r="DE38" s="34">
        <f>IF(OR(IPC!DE38="",IPC!CS38=""),"",AVERAGE(IPC!CT38:DE38)/AVERAGE(IPC!CH38:CS38)-1)</f>
        <v>2.0612953024230052E-2</v>
      </c>
      <c r="DF38" s="34">
        <f>IF(OR(IPC!DF38="",IPC!CT38=""),"",AVERAGE(IPC!CU38:DF38)/AVERAGE(IPC!CI38:CT38)-1)</f>
        <v>2.134218833551893E-2</v>
      </c>
      <c r="DG38" s="34">
        <f>IF(OR(IPC!DG38="",IPC!CU38=""),"",AVERAGE(IPC!CV38:DG38)/AVERAGE(IPC!CJ38:CU38)-1)</f>
        <v>2.168025728802192E-2</v>
      </c>
      <c r="DH38" s="34">
        <f>IF(OR(IPC!DH38="",IPC!CV38=""),"",AVERAGE(IPC!CW38:DH38)/AVERAGE(IPC!CK38:CV38)-1)</f>
        <v>2.1969694415252983E-2</v>
      </c>
      <c r="DI38" s="34">
        <f>IF(OR(IPC!DI38="",IPC!CW38=""),"",AVERAGE(IPC!CX38:DI38)/AVERAGE(IPC!CL38:CW38)-1)</f>
        <v>2.2261568889649475E-2</v>
      </c>
      <c r="DJ38" s="34">
        <f>IF(OR(IPC!DJ38="",IPC!CX38=""),"",AVERAGE(IPC!CY38:DJ38)/AVERAGE(IPC!CM38:CX38)-1)</f>
        <v>2.197693475581719E-2</v>
      </c>
      <c r="DK38" s="34">
        <f>IF(OR(IPC!DK38="",IPC!CY38=""),"",AVERAGE(IPC!CZ38:DK38)/AVERAGE(IPC!CN38:CY38)-1)</f>
        <v>2.2181876934808331E-2</v>
      </c>
      <c r="DL38" s="34" t="str">
        <f>IF(OR(IPC!DL38="",IPC!CZ38=""),"",AVERAGE(IPC!DA38:DL38)/AVERAGE(IPC!CO38:CZ38)-1)</f>
        <v/>
      </c>
      <c r="DM38" s="34">
        <f>IF(OR(IPC!DM38="",IPC!DA38=""),"",AVERAGE(IPC!DB38:DM38)/AVERAGE(IPC!CP38:DA38)-1)</f>
        <v>2.1021129600442556E-2</v>
      </c>
      <c r="DN38" s="34">
        <f>IF(OR(IPC!DN38="",IPC!DB38=""),"",AVERAGE(IPC!DC38:DN38)/AVERAGE(IPC!CQ38:DB38)-1)</f>
        <v>2.0940618775708186E-2</v>
      </c>
      <c r="DO38" s="34">
        <f>IF(OR(IPC!DO38="",IPC!DC38=""),"",AVERAGE(IPC!DD38:DO38)/AVERAGE(IPC!CR38:DC38)-1)</f>
        <v>2.0799116689553365E-2</v>
      </c>
      <c r="DP38" s="34">
        <f>IF(OR(IPC!DP38="",IPC!DD38=""),"",AVERAGE(IPC!DE38:DP38)/AVERAGE(IPC!CS38:DD38)-1)</f>
        <v>2.065758645337179E-2</v>
      </c>
      <c r="DQ38" s="34">
        <f>IF(OR(IPC!DQ38="",IPC!DE38=""),"",AVERAGE(IPC!DF38:DQ38)/AVERAGE(IPC!CT38:DE38)-1)</f>
        <v>2.0316023487590762E-2</v>
      </c>
      <c r="DR38" s="34">
        <f>IF(OR(IPC!DR38="",IPC!DF38=""),"",AVERAGE(IPC!DG38:DR38)/AVERAGE(IPC!CU38:DF38)-1)</f>
        <v>1.9579733415801881E-2</v>
      </c>
      <c r="DS38" s="34">
        <f>IF(OR(IPC!DS38="",IPC!DG38=""),"",AVERAGE(IPC!DH38:DS38)/AVERAGE(IPC!CV38:DG38)-1)</f>
        <v>1.9049040571328169E-2</v>
      </c>
      <c r="DT38" s="34">
        <f>IF(OR(IPC!DT38="",IPC!DH38=""),"",AVERAGE(IPC!DI38:DT38)/AVERAGE(IPC!CW38:DH38)-1)</f>
        <v>1.8638148735186322E-2</v>
      </c>
      <c r="DU38" s="34">
        <f>IF(OR(IPC!DU38="",IPC!DI38=""),"",AVERAGE(IPC!DJ38:DU38)/AVERAGE(IPC!CX38:DI38)-1)</f>
        <v>1.8087999305615332E-2</v>
      </c>
      <c r="DV38" s="34">
        <f>IF(OR(IPC!DV38="",IPC!DJ38=""),"",AVERAGE(IPC!DK38:DV38)/AVERAGE(IPC!CY38:DJ38)-1)</f>
        <v>1.7679885074855406E-2</v>
      </c>
      <c r="DW38" s="34">
        <f>IF(OR(IPC!DW38="",IPC!DK38=""),"",AVERAGE(IPC!DL38:DW38)/AVERAGE(IPC!CZ38:DK38)-1)</f>
        <v>1.6038169385576451E-2</v>
      </c>
      <c r="DX38" s="34" t="str">
        <f>IF(OR(IPC!DX38="",IPC!DL38=""),"",AVERAGE(IPC!DM38:DX38)/AVERAGE(IPC!DA38:DL38)-1)</f>
        <v/>
      </c>
      <c r="DY38" s="34">
        <f>IF(OR(IPC!DY38="",IPC!DM38=""),"",AVERAGE(IPC!DN38:DY38)/AVERAGE(IPC!DB38:DM38)-1)</f>
        <v>1.5134279364370062E-2</v>
      </c>
      <c r="DZ38" s="34">
        <f>IF(OR(IPC!DZ38="",IPC!DN38=""),"",AVERAGE(IPC!DO38:DZ38)/AVERAGE(IPC!DC38:DN38)-1)</f>
        <v>1.4792901794497659E-2</v>
      </c>
      <c r="EA38" s="34">
        <f>IF(OR(IPC!EA38="",IPC!DO38=""),"",AVERAGE(IPC!DP38:EA38)/AVERAGE(IPC!DD38:DO38)-1)</f>
        <v>1.4273662202878734E-2</v>
      </c>
      <c r="EB38" s="34">
        <f>IF(OR(IPC!EB38="",IPC!DP38=""),"",AVERAGE(IPC!DQ38:EB38)/AVERAGE(IPC!DE38:DP38)-1)</f>
        <v>1.3877461637610278E-2</v>
      </c>
      <c r="EC38" s="34">
        <f>IF(OR(IPC!EC38="",IPC!DQ38=""),"",AVERAGE(IPC!DR38:EC38)/AVERAGE(IPC!DF38:DQ38)-1)</f>
        <v>1.3393426131880659E-2</v>
      </c>
      <c r="ED38" s="34">
        <f>IF(OR(IPC!ED38="",IPC!DR38=""),"",AVERAGE(IPC!DS38:ED38)/AVERAGE(IPC!DG38:DR38)-1)</f>
        <v>1.31389842285623E-2</v>
      </c>
      <c r="EE38" s="34">
        <f>IF(OR(IPC!EE38="",IPC!DS38=""),"",AVERAGE(IPC!DT38:EE38)/AVERAGE(IPC!DH38:DS38)-1)</f>
        <v>1.3050471936094876E-2</v>
      </c>
      <c r="EF38" s="34">
        <f>IF(OR(IPC!EF38="",IPC!DT38=""),"",AVERAGE(IPC!DU38:EF38)/AVERAGE(IPC!DI38:DT38)-1)</f>
        <v>1.3125768535181104E-2</v>
      </c>
      <c r="EG38" s="34">
        <f>IF(OR(IPC!EG38="",IPC!DU38=""),"",AVERAGE(IPC!DV38:EG38)/AVERAGE(IPC!DJ38:DU38)-1)</f>
        <v>1.3390031021283555E-2</v>
      </c>
      <c r="EH38" s="34">
        <f>IF(OR(IPC!EH38="",IPC!DV38=""),"",AVERAGE(IPC!DW38:EH38)/AVERAGE(IPC!DK38:DV38)-1)</f>
        <v>1.9282486607430815E-2</v>
      </c>
      <c r="EI38" s="34">
        <f>IF(OR(IPC!EI38="",IPC!DW38=""),"",AVERAGE(IPC!DX38:EI38)/AVERAGE(IPC!DL38:DW38)-1)</f>
        <v>2.0829191929365498E-2</v>
      </c>
      <c r="EJ38" s="34">
        <f>IF(OR(IPC!EJ38="",IPC!DX38=""),"",AVERAGE(IPC!DY38:EJ38)/AVERAGE(IPC!DM38:DX38)-1)</f>
        <v>2.2666122221840723E-2</v>
      </c>
      <c r="EK38" s="34">
        <f>IF(OR(IPC!EK38="",IPC!DY38=""),"",AVERAGE(IPC!DZ38:EK38)/AVERAGE(IPC!DN38:DY38)-1)</f>
        <v>2.410252384096756E-2</v>
      </c>
      <c r="EL38" s="34">
        <f>IF(OR(IPC!EL38="",IPC!DZ38=""),"",AVERAGE(IPC!EA38:EL38)/AVERAGE(IPC!DO38:DZ38)-1)</f>
        <v>2.5309744180942229E-2</v>
      </c>
      <c r="EM38" s="34">
        <f>IF(OR(IPC!EM38="",IPC!EA38=""),"",AVERAGE(IPC!EB38:EM38)/AVERAGE(IPC!DP38:EA38)-1)</f>
        <v>2.7043815841790053E-2</v>
      </c>
      <c r="EN38" s="34">
        <f>IF(OR(IPC!EN38="",IPC!EB38=""),"",AVERAGE(IPC!EC38:EN38)/AVERAGE(IPC!DQ38:EB38)-1)</f>
        <v>2.9007684743564299E-2</v>
      </c>
      <c r="EO38" s="34">
        <f>IF(OR(IPC!EO38="",IPC!EC38=""),"",AVERAGE(IPC!ED38:EO38)/AVERAGE(IPC!DR38:EC38)-1)</f>
        <v>3.1261505326119154E-2</v>
      </c>
      <c r="EP38" s="34">
        <f>IF(OR(IPC!EP38="",IPC!ED38=""),"",AVERAGE(IPC!EE38:EP38)/AVERAGE(IPC!DS38:ED38)-1)</f>
        <v>3.3647054517748742E-2</v>
      </c>
      <c r="EQ38" s="34">
        <f>IF(OR(IPC!EQ38="",IPC!EE38=""),"",AVERAGE(IPC!EF38:EQ38)/AVERAGE(IPC!DT38:EE38)-1)</f>
        <v>3.5785646396740756E-2</v>
      </c>
      <c r="ER38" s="34">
        <f>IF(OR(IPC!ER38="",IPC!EF38=""),"",AVERAGE(IPC!EG38:ER38)/AVERAGE(IPC!DU38:EF38)-1)</f>
        <v>3.7615612881468419E-2</v>
      </c>
      <c r="ES38" s="34">
        <f>IF(OR(IPC!ES38="",IPC!EG38=""),"",AVERAGE(IPC!EH38:ES38)/AVERAGE(IPC!DV38:EG38)-1)</f>
        <v>4.0711804391070583E-2</v>
      </c>
      <c r="ET38" s="34">
        <f>IF(OR(IPC!ET38="",IPC!EH38=""),"",AVERAGE(IPC!EI38:ET38)/AVERAGE(IPC!DW38:EH38)-1)</f>
        <v>3.340340312644785E-2</v>
      </c>
      <c r="EU38" s="34">
        <f>IF(OR(IPC!EU38="",IPC!EI38=""),"",AVERAGE(IPC!EJ38:EU38)/AVERAGE(IPC!DX38:EI38)-1)</f>
        <v>3.6459909816892289E-2</v>
      </c>
      <c r="EV38" s="34">
        <f>IF(OR(IPC!EV38="",IPC!EJ38=""),"",AVERAGE(IPC!EK38:EV38)/AVERAGE(IPC!DY38:EJ38)-1)</f>
        <v>3.8987231175675152E-2</v>
      </c>
      <c r="EW38" s="34">
        <f>IF(OR(IPC!EW38="",IPC!EK38=""),"",AVERAGE(IPC!EL38:EW38)/AVERAGE(IPC!DZ38:EK38)-1)</f>
        <v>4.1437069187832076E-2</v>
      </c>
      <c r="EX38" s="34">
        <f>IF(OR(IPC!EX38="",IPC!EL38=""),"",AVERAGE(IPC!EM38:EX38)/AVERAGE(IPC!EA38:EL38)-1)</f>
        <v>4.3941877405283103E-2</v>
      </c>
      <c r="EY38" s="34">
        <f>IF(OR(IPC!EY38="",IPC!EM38=""),"",AVERAGE(IPC!EN38:EY38)/AVERAGE(IPC!EB38:EM38)-1)</f>
        <v>4.5915829700198474E-2</v>
      </c>
      <c r="EZ38" s="34">
        <f>IF(OR(IPC!EZ38="",IPC!EN38=""),"",AVERAGE(IPC!EO38:EZ38)/AVERAGE(IPC!EC38:EN38)-1)</f>
        <v>4.7400959618415062E-2</v>
      </c>
      <c r="FA38" s="34">
        <f>IF(OR(IPC!FA38="",IPC!EO38=""),"",AVERAGE(IPC!EP38:FA38)/AVERAGE(IPC!ED38:EO38)-1)</f>
        <v>4.8471441722793163E-2</v>
      </c>
      <c r="FB38" s="34">
        <f>IF(OR(IPC!FB38="",IPC!EP38=""),"",AVERAGE(IPC!EQ38:FB38)/AVERAGE(IPC!EE38:EP38)-1)</f>
        <v>4.9408731917243154E-2</v>
      </c>
      <c r="FC38" s="34">
        <f>IF(OR(IPC!FC38="",IPC!EQ38=""),"",AVERAGE(IPC!ER38:FC38)/AVERAGE(IPC!EF38:EQ38)-1)</f>
        <v>5.0294430707534143E-2</v>
      </c>
      <c r="FD38" s="34">
        <f>IF(OR(IPC!FD38="",IPC!ER38=""),"",AVERAGE(IPC!ES38:FD38)/AVERAGE(IPC!EG38:ER38)-1)</f>
        <v>5.1044087422339901E-2</v>
      </c>
      <c r="FE38" s="34">
        <f>IF(OR(IPC!FE38="",IPC!ES38=""),"",AVERAGE(IPC!ET38:FE38)/AVERAGE(IPC!EH38:ES38)-1)</f>
        <v>5.0191849544606759E-2</v>
      </c>
      <c r="FF38" s="34">
        <f>IF(OR(IPC!FF38="",IPC!ET38=""),"",AVERAGE(IPC!EU38:FF38)/AVERAGE(IPC!EI38:ET38)-1)</f>
        <v>5.364772662234718E-2</v>
      </c>
      <c r="FG38" s="34">
        <f>IF(OR(IPC!FG38="",IPC!EU38=""),"",AVERAGE(IPC!EV38:FG38)/AVERAGE(IPC!EJ38:EU38)-1)</f>
        <v>5.1696163063190026E-2</v>
      </c>
      <c r="FH38" s="34">
        <f>IF(OR(IPC!FH38="",IPC!EV38=""),"",AVERAGE(IPC!EW38:FH38)/AVERAGE(IPC!EK38:EV38)-1)</f>
        <v>5.0092722518041866E-2</v>
      </c>
      <c r="FI38" s="34">
        <f>IF(OR(IPC!FI38="",IPC!EW38=""),"",AVERAGE(IPC!EX38:FI38)/AVERAGE(IPC!EL38:EW38)-1)</f>
        <v>4.8185417120458984E-2</v>
      </c>
      <c r="FJ38" s="34">
        <f>IF(OR(IPC!FJ38="",IPC!EX38=""),"",AVERAGE(IPC!EY38:FJ38)/AVERAGE(IPC!EM38:EX38)-1)</f>
        <v>4.6164929311204528E-2</v>
      </c>
      <c r="FK38" s="34">
        <f>IF(OR(IPC!FK38="",IPC!EY38=""),"",AVERAGE(IPC!EZ38:FK38)/AVERAGE(IPC!EN38:EY38)-1)</f>
        <v>4.4270796941685564E-2</v>
      </c>
      <c r="FL38" s="34">
        <f>IF(OR(IPC!FL38="",IPC!EZ38=""),"",AVERAGE(IPC!FA38:FL38)/AVERAGE(IPC!EO38:EZ38)-1)</f>
        <v>4.262350958643446E-2</v>
      </c>
      <c r="FM38" s="34">
        <f>IF(OR(IPC!FM38="",IPC!FA38=""),"",AVERAGE(IPC!FB38:FM38)/AVERAGE(IPC!EP38:FA38)-1)</f>
        <v>4.1332846765635756E-2</v>
      </c>
      <c r="FN38" s="34">
        <f>IF(OR(IPC!FN38="",IPC!FB38=""),"",AVERAGE(IPC!FC38:FN38)/AVERAGE(IPC!EQ38:FB38)-1)</f>
        <v>4.0083991398247365E-2</v>
      </c>
      <c r="FO38" s="34">
        <f>IF(OR(IPC!FO38="",IPC!FC38=""),"",AVERAGE(IPC!FD38:FO38)/AVERAGE(IPC!ER38:FC38)-1)</f>
        <v>3.9009084139218109E-2</v>
      </c>
      <c r="FP38" s="34">
        <f>IF(OR(IPC!FP38="",IPC!FD38=""),"",AVERAGE(IPC!FE38:FP38)/AVERAGE(IPC!ES38:FD38)-1)</f>
        <v>3.8168889956816887E-2</v>
      </c>
      <c r="FQ38" s="34">
        <f>IF(OR(IPC!FQ38="",IPC!FE38=""),"",AVERAGE(IPC!FF38:FQ38)/AVERAGE(IPC!ET38:FE38)-1)</f>
        <v>3.6374792742296602E-2</v>
      </c>
      <c r="FR38" s="34">
        <f>IF(OR(IPC!FR38="",IPC!FF38=""),"",AVERAGE(IPC!FG38:FR38)/AVERAGE(IPC!EU38:FF38)-1)</f>
        <v>3.4716993581423106E-2</v>
      </c>
    </row>
    <row r="39" spans="1:174" s="14" customFormat="1" ht="10.199999999999999" x14ac:dyDescent="0.2">
      <c r="B39" s="9" t="s">
        <v>6</v>
      </c>
      <c r="C39" s="9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>
        <f>IF(OR(IPC!AN39="",IPC!AB39=""),"",AVERAGE(IPC!AC39:AN39)/AVERAGE(IPC!Q39:AB39)-1)</f>
        <v>1.8311347001830791E-2</v>
      </c>
      <c r="AO39" s="34">
        <f>IF(OR(IPC!AO39="",IPC!AC39=""),"",AVERAGE(IPC!AD39:AO39)/AVERAGE(IPC!R39:AC39)-1)</f>
        <v>1.7388953866730228E-2</v>
      </c>
      <c r="AP39" s="34">
        <f>IF(OR(IPC!AP39="",IPC!AD39=""),"",AVERAGE(IPC!AE39:AP39)/AVERAGE(IPC!S39:AD39)-1)</f>
        <v>1.6491857855596148E-2</v>
      </c>
      <c r="AQ39" s="34">
        <f>IF(OR(IPC!AQ39="",IPC!AE39=""),"",AVERAGE(IPC!AF39:AQ39)/AVERAGE(IPC!T39:AE39)-1)</f>
        <v>1.5677236206913525E-2</v>
      </c>
      <c r="AR39" s="34">
        <f>IF(OR(IPC!AR39="",IPC!AF39=""),"",AVERAGE(IPC!AG39:AR39)/AVERAGE(IPC!U39:AF39)-1)</f>
        <v>1.5313498481960286E-2</v>
      </c>
      <c r="AS39" s="34">
        <f>IF(OR(IPC!AS39="",IPC!AG39=""),"",AVERAGE(IPC!AH39:AS39)/AVERAGE(IPC!V39:AG39)-1)</f>
        <v>1.4451669256208E-2</v>
      </c>
      <c r="AT39" s="34">
        <f>IF(OR(IPC!AT39="",IPC!AH39=""),"",AVERAGE(IPC!AI39:AT39)/AVERAGE(IPC!W39:AH39)-1)</f>
        <v>1.425809049408322E-2</v>
      </c>
      <c r="AU39" s="34">
        <f>IF(OR(IPC!AU39="",IPC!AI39=""),"",AVERAGE(IPC!AJ39:AU39)/AVERAGE(IPC!X39:AI39)-1)</f>
        <v>1.3869698014130183E-2</v>
      </c>
      <c r="AV39" s="34">
        <f>IF(OR(IPC!AV39="",IPC!AJ39=""),"",AVERAGE(IPC!AK39:AV39)/AVERAGE(IPC!Y39:AJ39)-1)</f>
        <v>1.3072426547490856E-2</v>
      </c>
      <c r="AW39" s="34">
        <f>IF(OR(IPC!AW39="",IPC!AK39=""),"",AVERAGE(IPC!AL39:AW39)/AVERAGE(IPC!Z39:AK39)-1)</f>
        <v>1.1801429358974547E-2</v>
      </c>
      <c r="AX39" s="34">
        <f>IF(OR(IPC!AX39="",IPC!AL39=""),"",AVERAGE(IPC!AM39:AX39)/AVERAGE(IPC!AA39:AL39)-1)</f>
        <v>1.0646437085997107E-2</v>
      </c>
      <c r="AY39" s="34">
        <f>IF(OR(IPC!AY39="",IPC!AM39=""),"",AVERAGE(IPC!AN39:AY39)/AVERAGE(IPC!AB39:AM39)-1)</f>
        <v>1.0138586021285256E-2</v>
      </c>
      <c r="AZ39" s="34">
        <f>IF(OR(IPC!AZ39="",IPC!AN39=""),"",AVERAGE(IPC!AO39:AZ39)/AVERAGE(IPC!AC39:AN39)-1)</f>
        <v>9.9233062157457752E-3</v>
      </c>
      <c r="BA39" s="34">
        <f>IF(OR(IPC!BA39="",IPC!AO39=""),"",AVERAGE(IPC!AP39:BA39)/AVERAGE(IPC!AD39:AO39)-1)</f>
        <v>9.9609005344742929E-3</v>
      </c>
      <c r="BB39" s="34">
        <f>IF(OR(IPC!BB39="",IPC!AP39=""),"",AVERAGE(IPC!AQ39:BB39)/AVERAGE(IPC!AE39:AP39)-1)</f>
        <v>1.0297754161556094E-2</v>
      </c>
      <c r="BC39" s="34">
        <f>IF(OR(IPC!BC39="",IPC!AQ39=""),"",AVERAGE(IPC!AR39:BC39)/AVERAGE(IPC!AF39:AQ39)-1)</f>
        <v>1.14228401430716E-2</v>
      </c>
      <c r="BD39" s="34">
        <f>IF(OR(IPC!BD39="",IPC!AR39=""),"",AVERAGE(IPC!AS39:BD39)/AVERAGE(IPC!AG39:AR39)-1)</f>
        <v>1.2119945203362459E-2</v>
      </c>
      <c r="BE39" s="34">
        <f>IF(OR(IPC!BE39="",IPC!AS39=""),"",AVERAGE(IPC!AT39:BE39)/AVERAGE(IPC!AH39:AS39)-1)</f>
        <v>1.3792957608407486E-2</v>
      </c>
      <c r="BF39" s="34">
        <f>IF(OR(IPC!BF39="",IPC!AT39=""),"",AVERAGE(IPC!AU39:BF39)/AVERAGE(IPC!AI39:AT39)-1)</f>
        <v>1.4517277025613007E-2</v>
      </c>
      <c r="BG39" s="34">
        <f>IF(OR(IPC!BG39="",IPC!AU39=""),"",AVERAGE(IPC!AV39:BG39)/AVERAGE(IPC!AJ39:AU39)-1)</f>
        <v>1.5321452819325065E-2</v>
      </c>
      <c r="BH39" s="34">
        <f>IF(OR(IPC!BH39="",IPC!AV39=""),"",AVERAGE(IPC!AW39:BH39)/AVERAGE(IPC!AK39:AV39)-1)</f>
        <v>1.626385022407395E-2</v>
      </c>
      <c r="BI39" s="34">
        <f>IF(OR(IPC!BI39="",IPC!AW39=""),"",AVERAGE(IPC!AX39:BI39)/AVERAGE(IPC!AL39:AW39)-1)</f>
        <v>1.7761866577936658E-2</v>
      </c>
      <c r="BJ39" s="34">
        <f>IF(OR(IPC!BJ39="",IPC!AX39=""),"",AVERAGE(IPC!AY39:BJ39)/AVERAGE(IPC!AM39:AX39)-1)</f>
        <v>1.8237342796090017E-2</v>
      </c>
      <c r="BK39" s="34">
        <f>IF(OR(IPC!BK39="",IPC!AY39=""),"",AVERAGE(IPC!AZ39:BK39)/AVERAGE(IPC!AN39:AY39)-1)</f>
        <v>1.8575454045869355E-2</v>
      </c>
      <c r="BL39" s="34">
        <f>IF(OR(IPC!BL39="",IPC!AZ39=""),"",AVERAGE(IPC!BA39:BL39)/AVERAGE(IPC!AO39:AZ39)-1)</f>
        <v>1.9339809018434906E-2</v>
      </c>
      <c r="BM39" s="34">
        <f>IF(OR(IPC!BM39="",IPC!BA39=""),"",AVERAGE(IPC!BB39:BM39)/AVERAGE(IPC!AP39:BA39)-1)</f>
        <v>1.942418343472041E-2</v>
      </c>
      <c r="BN39" s="34">
        <f>IF(OR(IPC!BN39="",IPC!BB39=""),"",AVERAGE(IPC!BC39:BN39)/AVERAGE(IPC!AQ39:BB39)-1)</f>
        <v>1.9530524312196373E-2</v>
      </c>
      <c r="BO39" s="34">
        <f>IF(OR(IPC!BO39="",IPC!BC39=""),"",AVERAGE(IPC!BD39:BO39)/AVERAGE(IPC!AR39:BC39)-1)</f>
        <v>1.8726265482896132E-2</v>
      </c>
      <c r="BP39" s="34">
        <f>IF(OR(IPC!BP39="",IPC!BD39=""),"",AVERAGE(IPC!BE39:BP39)/AVERAGE(IPC!AS39:BD39)-1)</f>
        <v>1.8375942428235481E-2</v>
      </c>
      <c r="BQ39" s="34">
        <f>IF(OR(IPC!BQ39="",IPC!BE39=""),"",AVERAGE(IPC!BF39:BQ39)/AVERAGE(IPC!AT39:BE39)-1)</f>
        <v>1.6747954090428507E-2</v>
      </c>
      <c r="BR39" s="34">
        <f>IF(OR(IPC!BR39="",IPC!BF39=""),"",AVERAGE(IPC!BG39:BR39)/AVERAGE(IPC!AU39:BF39)-1)</f>
        <v>1.5310044405792977E-2</v>
      </c>
      <c r="BS39" s="34">
        <f>IF(OR(IPC!BS39="",IPC!BG39=""),"",AVERAGE(IPC!BH39:BS39)/AVERAGE(IPC!AV39:BG39)-1)</f>
        <v>1.4431246010170984E-2</v>
      </c>
      <c r="BT39" s="34">
        <f>IF(OR(IPC!BT39="",IPC!BH39=""),"",AVERAGE(IPC!BI39:BT39)/AVERAGE(IPC!AW39:BH39)-1)</f>
        <v>1.3269894132947879E-2</v>
      </c>
      <c r="BU39" s="34">
        <f>IF(OR(IPC!BU39="",IPC!BI39=""),"",AVERAGE(IPC!BJ39:BU39)/AVERAGE(IPC!AX39:BI39)-1)</f>
        <v>1.1745657768730711E-2</v>
      </c>
      <c r="BV39" s="34">
        <f>IF(OR(IPC!BV39="",IPC!BJ39=""),"",AVERAGE(IPC!BK39:BV39)/AVERAGE(IPC!AY39:BJ39)-1)</f>
        <v>1.1032785538638734E-2</v>
      </c>
      <c r="BW39" s="34">
        <f>IF(OR(IPC!BW39="",IPC!BK39=""),"",AVERAGE(IPC!BL39:BW39)/AVERAGE(IPC!AZ39:BK39)-1)</f>
        <v>1.0182989064146275E-2</v>
      </c>
      <c r="BX39" s="34">
        <f>IF(OR(IPC!BX39="",IPC!BL39=""),"",AVERAGE(IPC!BM39:BX39)/AVERAGE(IPC!BA39:BL39)-1)</f>
        <v>8.9369153078941999E-3</v>
      </c>
      <c r="BY39" s="34">
        <f>IF(OR(IPC!BY39="",IPC!BM39=""),"",AVERAGE(IPC!BN39:BY39)/AVERAGE(IPC!BB39:BM39)-1)</f>
        <v>8.039337858081419E-3</v>
      </c>
      <c r="BZ39" s="34">
        <f>IF(OR(IPC!BZ39="",IPC!BN39=""),"",AVERAGE(IPC!BO39:BZ39)/AVERAGE(IPC!BC39:BN39)-1)</f>
        <v>7.0615189452665206E-3</v>
      </c>
      <c r="CA39" s="34">
        <f>IF(OR(IPC!CA39="",IPC!BO39=""),"",AVERAGE(IPC!BP39:CA39)/AVERAGE(IPC!BD39:BO39)-1)</f>
        <v>6.6376132636356555E-3</v>
      </c>
      <c r="CB39" s="34">
        <f>IF(OR(IPC!CB39="",IPC!BP39=""),"",AVERAGE(IPC!BQ39:CB39)/AVERAGE(IPC!BE39:BP39)-1)</f>
        <v>5.6048179021281896E-3</v>
      </c>
      <c r="CC39" s="34">
        <f>IF(OR(IPC!CC39="",IPC!BQ39=""),"",AVERAGE(IPC!BR39:CC39)/AVERAGE(IPC!BF39:BQ39)-1)</f>
        <v>5.4716958905820512E-3</v>
      </c>
      <c r="CD39" s="34">
        <f>IF(OR(IPC!CD39="",IPC!BR39=""),"",AVERAGE(IPC!BS39:CD39)/AVERAGE(IPC!BG39:BR39)-1)</f>
        <v>5.5278701680507858E-3</v>
      </c>
      <c r="CE39" s="34">
        <f>IF(OR(IPC!CE39="",IPC!BS39=""),"",AVERAGE(IPC!BT39:CE39)/AVERAGE(IPC!BH39:BS39)-1)</f>
        <v>5.2549801357038017E-3</v>
      </c>
      <c r="CF39" s="34">
        <f>IF(OR(IPC!CF39="",IPC!BT39=""),"",AVERAGE(IPC!BU39:CF39)/AVERAGE(IPC!BI39:BT39)-1)</f>
        <v>5.325193252441407E-3</v>
      </c>
      <c r="CG39" s="34">
        <f>IF(OR(IPC!CG39="",IPC!BU39=""),"",AVERAGE(IPC!BV39:CG39)/AVERAGE(IPC!BJ39:BU39)-1)</f>
        <v>5.8072184275181904E-3</v>
      </c>
      <c r="CH39" s="34">
        <f>IF(OR(IPC!CH39="",IPC!BV39=""),"",AVERAGE(IPC!BW39:CH39)/AVERAGE(IPC!BK39:BV39)-1)</f>
        <v>6.1081996235039515E-3</v>
      </c>
      <c r="CI39" s="34">
        <f>IF(OR(IPC!CI39="",IPC!BW39=""),"",AVERAGE(IPC!BX39:CI39)/AVERAGE(IPC!BL39:BW39)-1)</f>
        <v>6.3827771811273415E-3</v>
      </c>
      <c r="CJ39" s="34">
        <f>IF(OR(IPC!CJ39="",IPC!BX39=""),"",AVERAGE(IPC!BY39:CJ39)/AVERAGE(IPC!BM39:BX39)-1)</f>
        <v>6.8535545640693307E-3</v>
      </c>
      <c r="CK39" s="34">
        <f>IF(OR(IPC!CK39="",IPC!BY39=""),"",AVERAGE(IPC!BZ39:CK39)/AVERAGE(IPC!BN39:BY39)-1)</f>
        <v>7.275097917860851E-3</v>
      </c>
      <c r="CL39" s="34">
        <f>IF(OR(IPC!CL39="",IPC!BZ39=""),"",AVERAGE(IPC!CA39:CL39)/AVERAGE(IPC!BO39:BZ39)-1)</f>
        <v>7.6292880743833447E-3</v>
      </c>
      <c r="CM39" s="34">
        <f>IF(OR(IPC!CM39="",IPC!CA39=""),"",AVERAGE(IPC!CB39:CM39)/AVERAGE(IPC!BP39:CA39)-1)</f>
        <v>7.636528622416261E-3</v>
      </c>
      <c r="CN39" s="34">
        <f>IF(OR(IPC!CN39="",IPC!CB39=""),"",AVERAGE(IPC!CC39:CN39)/AVERAGE(IPC!BQ39:CB39)-1)</f>
        <v>8.1960371770153362E-3</v>
      </c>
      <c r="CO39" s="34">
        <f>IF(OR(IPC!CO39="",IPC!CC39=""),"",AVERAGE(IPC!CD39:CO39)/AVERAGE(IPC!BR39:CC39)-1)</f>
        <v>8.5247343143766141E-3</v>
      </c>
      <c r="CP39" s="34">
        <f>IF(OR(IPC!CP39="",IPC!CD39=""),"",AVERAGE(IPC!CE39:CP39)/AVERAGE(IPC!BS39:CD39)-1)</f>
        <v>8.7615465440462614E-3</v>
      </c>
      <c r="CQ39" s="34">
        <f>IF(OR(IPC!CQ39="",IPC!CE39=""),"",AVERAGE(IPC!CF39:CQ39)/AVERAGE(IPC!BT39:CE39)-1)</f>
        <v>8.7549875862651394E-3</v>
      </c>
      <c r="CR39" s="34">
        <f>IF(OR(IPC!CR39="",IPC!CF39=""),"",AVERAGE(IPC!CG39:CR39)/AVERAGE(IPC!BU39:CF39)-1)</f>
        <v>8.8314779917268993E-3</v>
      </c>
      <c r="CS39" s="34">
        <f>IF(OR(IPC!CS39="",IPC!CG39=""),"",AVERAGE(IPC!CH39:CS39)/AVERAGE(IPC!BV39:CG39)-1)</f>
        <v>9.2752817303130008E-3</v>
      </c>
      <c r="CT39" s="34">
        <f>IF(OR(IPC!CT39="",IPC!CH39=""),"",AVERAGE(IPC!CI39:CT39)/AVERAGE(IPC!BW39:CH39)-1)</f>
        <v>9.8936254807826529E-3</v>
      </c>
      <c r="CU39" s="34">
        <f>IF(OR(IPC!CU39="",IPC!CI39=""),"",AVERAGE(IPC!CJ39:CU39)/AVERAGE(IPC!BX39:CI39)-1)</f>
        <v>1.0879811299244535E-2</v>
      </c>
      <c r="CV39" s="34">
        <f>IF(OR(IPC!CV39="",IPC!CJ39=""),"",AVERAGE(IPC!CK39:CV39)/AVERAGE(IPC!BY39:CJ39)-1)</f>
        <v>1.1588509412230552E-2</v>
      </c>
      <c r="CW39" s="34">
        <f>IF(OR(IPC!CW39="",IPC!CK39=""),"",AVERAGE(IPC!CL39:CW39)/AVERAGE(IPC!BZ39:CK39)-1)</f>
        <v>1.264350572441697E-2</v>
      </c>
      <c r="CX39" s="34">
        <f>IF(OR(IPC!CX39="",IPC!CL39=""),"",AVERAGE(IPC!CM39:CX39)/AVERAGE(IPC!CA39:CL39)-1)</f>
        <v>1.408980570103413E-2</v>
      </c>
      <c r="CY39" s="34">
        <f>IF(OR(IPC!CY39="",IPC!CM39=""),"",AVERAGE(IPC!CN39:CY39)/AVERAGE(IPC!CB39:CM39)-1)</f>
        <v>1.5537839215394422E-2</v>
      </c>
      <c r="CZ39" s="34">
        <f>IF(OR(IPC!CZ39="",IPC!CN39=""),"",AVERAGE(IPC!CO39:CZ39)/AVERAGE(IPC!CC39:CN39)-1)</f>
        <v>1.6615177335009612E-2</v>
      </c>
      <c r="DA39" s="34">
        <f>IF(OR(IPC!DA39="",IPC!CO39=""),"",AVERAGE(IPC!CP39:DA39)/AVERAGE(IPC!CD39:CO39)-1)</f>
        <v>1.7845407383439094E-2</v>
      </c>
      <c r="DB39" s="34">
        <f>IF(OR(IPC!DB39="",IPC!CP39=""),"",AVERAGE(IPC!CQ39:DB39)/AVERAGE(IPC!CE39:CP39)-1)</f>
        <v>1.9358356556707035E-2</v>
      </c>
      <c r="DC39" s="34">
        <f>IF(OR(IPC!DC39="",IPC!CQ39=""),"",AVERAGE(IPC!CR39:DC39)/AVERAGE(IPC!CF39:CQ39)-1)</f>
        <v>2.110019172380051E-2</v>
      </c>
      <c r="DD39" s="34">
        <f>IF(OR(IPC!DD39="",IPC!CR39=""),"",AVERAGE(IPC!CS39:DD39)/AVERAGE(IPC!CG39:CR39)-1)</f>
        <v>2.242101071907121E-2</v>
      </c>
      <c r="DE39" s="34">
        <f>IF(OR(IPC!DE39="",IPC!CS39=""),"",AVERAGE(IPC!CT39:DE39)/AVERAGE(IPC!CH39:CS39)-1)</f>
        <v>2.3157438664225261E-2</v>
      </c>
      <c r="DF39" s="34">
        <f>IF(OR(IPC!DF39="",IPC!CT39=""),"",AVERAGE(IPC!CU39:DF39)/AVERAGE(IPC!CI39:CT39)-1)</f>
        <v>2.3920376778154617E-2</v>
      </c>
      <c r="DG39" s="34">
        <f>IF(OR(IPC!DG39="",IPC!CU39=""),"",AVERAGE(IPC!CV39:DG39)/AVERAGE(IPC!CJ39:CU39)-1)</f>
        <v>2.438883931127811E-2</v>
      </c>
      <c r="DH39" s="34">
        <f>IF(OR(IPC!DH39="",IPC!CV39=""),"",AVERAGE(IPC!CW39:DH39)/AVERAGE(IPC!CK39:CV39)-1)</f>
        <v>2.5299140359380523E-2</v>
      </c>
      <c r="DI39" s="34">
        <f>IF(OR(IPC!DI39="",IPC!CW39=""),"",AVERAGE(IPC!CX39:DI39)/AVERAGE(IPC!CL39:CW39)-1)</f>
        <v>2.5704495989835374E-2</v>
      </c>
      <c r="DJ39" s="34">
        <f>IF(OR(IPC!DJ39="",IPC!CX39=""),"",AVERAGE(IPC!CY39:DJ39)/AVERAGE(IPC!CM39:CX39)-1)</f>
        <v>2.5604189727622018E-2</v>
      </c>
      <c r="DK39" s="34">
        <f>IF(OR(IPC!DK39="",IPC!CY39=""),"",AVERAGE(IPC!CZ39:DK39)/AVERAGE(IPC!CN39:CY39)-1)</f>
        <v>2.5351474328692225E-2</v>
      </c>
      <c r="DL39" s="34">
        <f>IF(OR(IPC!DL39="",IPC!CZ39=""),"",AVERAGE(IPC!DA39:DL39)/AVERAGE(IPC!CO39:CZ39)-1)</f>
        <v>2.5441360905809951E-2</v>
      </c>
      <c r="DM39" s="34">
        <f>IF(OR(IPC!DM39="",IPC!DA39=""),"",AVERAGE(IPC!DB39:DM39)/AVERAGE(IPC!CP39:DA39)-1)</f>
        <v>2.5356253752543356E-2</v>
      </c>
      <c r="DN39" s="34">
        <f>IF(OR(IPC!DN39="",IPC!DB39=""),"",AVERAGE(IPC!DC39:DN39)/AVERAGE(IPC!CQ39:DB39)-1)</f>
        <v>2.5247317547791637E-2</v>
      </c>
      <c r="DO39" s="34">
        <f>IF(OR(IPC!DO39="",IPC!DC39=""),"",AVERAGE(IPC!DD39:DO39)/AVERAGE(IPC!CR39:DC39)-1)</f>
        <v>2.5115465659580893E-2</v>
      </c>
      <c r="DP39" s="34">
        <f>IF(OR(IPC!DP39="",IPC!DD39=""),"",AVERAGE(IPC!DE39:DP39)/AVERAGE(IPC!CS39:DD39)-1)</f>
        <v>2.5031880700197462E-2</v>
      </c>
      <c r="DQ39" s="34">
        <f>IF(OR(IPC!DQ39="",IPC!DE39=""),"",AVERAGE(IPC!DF39:DQ39)/AVERAGE(IPC!CT39:DE39)-1)</f>
        <v>2.5060634020782624E-2</v>
      </c>
      <c r="DR39" s="34">
        <f>IF(OR(IPC!DR39="",IPC!DF39=""),"",AVERAGE(IPC!DG39:DR39)/AVERAGE(IPC!CU39:DF39)-1)</f>
        <v>2.4597236687488699E-2</v>
      </c>
      <c r="DS39" s="34">
        <f>IF(OR(IPC!DS39="",IPC!DG39=""),"",AVERAGE(IPC!DH39:DS39)/AVERAGE(IPC!CV39:DG39)-1)</f>
        <v>2.4259452095469314E-2</v>
      </c>
      <c r="DT39" s="34">
        <f>IF(OR(IPC!DT39="",IPC!DH39=""),"",AVERAGE(IPC!DI39:DT39)/AVERAGE(IPC!CW39:DH39)-1)</f>
        <v>2.3388964671276602E-2</v>
      </c>
      <c r="DU39" s="34">
        <f>IF(OR(IPC!DU39="",IPC!DI39=""),"",AVERAGE(IPC!DJ39:DU39)/AVERAGE(IPC!CX39:DI39)-1)</f>
        <v>2.2734380146011146E-2</v>
      </c>
      <c r="DV39" s="34">
        <f>IF(OR(IPC!DV39="",IPC!DJ39=""),"",AVERAGE(IPC!DK39:DV39)/AVERAGE(IPC!CY39:DJ39)-1)</f>
        <v>2.2332357290178129E-2</v>
      </c>
      <c r="DW39" s="34">
        <f>IF(OR(IPC!DW39="",IPC!DK39=""),"",AVERAGE(IPC!DL39:DW39)/AVERAGE(IPC!CZ39:DK39)-1)</f>
        <v>2.2383767429553503E-2</v>
      </c>
      <c r="DX39" s="34">
        <f>IF(OR(IPC!DX39="",IPC!DL39=""),"",AVERAGE(IPC!DM39:DX39)/AVERAGE(IPC!DA39:DL39)-1)</f>
        <v>2.2320335103451105E-2</v>
      </c>
      <c r="DY39" s="34">
        <f>IF(OR(IPC!DY39="",IPC!DM39=""),"",AVERAGE(IPC!DN39:DY39)/AVERAGE(IPC!DB39:DM39)-1)</f>
        <v>2.2413668309628099E-2</v>
      </c>
      <c r="DZ39" s="34">
        <f>IF(OR(IPC!DZ39="",IPC!DN39=""),"",AVERAGE(IPC!DO39:DZ39)/AVERAGE(IPC!DC39:DN39)-1)</f>
        <v>2.2411623177557738E-2</v>
      </c>
      <c r="EA39" s="34">
        <f>IF(OR(IPC!EA39="",IPC!DO39=""),"",AVERAGE(IPC!DP39:EA39)/AVERAGE(IPC!DD39:DO39)-1)</f>
        <v>2.2195207092265745E-2</v>
      </c>
      <c r="EB39" s="34">
        <f>IF(OR(IPC!EB39="",IPC!DP39=""),"",AVERAGE(IPC!DQ39:EB39)/AVERAGE(IPC!DE39:DP39)-1)</f>
        <v>2.2266123091420731E-2</v>
      </c>
      <c r="EC39" s="34">
        <f>IF(OR(IPC!EC39="",IPC!DQ39=""),"",AVERAGE(IPC!DR39:EC39)/AVERAGE(IPC!DF39:DQ39)-1)</f>
        <v>2.2077926749354271E-2</v>
      </c>
      <c r="ED39" s="34">
        <f>IF(OR(IPC!ED39="",IPC!DR39=""),"",AVERAGE(IPC!DS39:ED39)/AVERAGE(IPC!DG39:DR39)-1)</f>
        <v>2.2371972139523022E-2</v>
      </c>
      <c r="EE39" s="34">
        <f>IF(OR(IPC!EE39="",IPC!DS39=""),"",AVERAGE(IPC!DT39:EE39)/AVERAGE(IPC!DH39:DS39)-1)</f>
        <v>2.3559265672258967E-2</v>
      </c>
      <c r="EF39" s="34">
        <f>IF(OR(IPC!EF39="",IPC!DT39=""),"",AVERAGE(IPC!DU39:EF39)/AVERAGE(IPC!DI39:DT39)-1)</f>
        <v>2.5469390150268056E-2</v>
      </c>
      <c r="EG39" s="34">
        <f>IF(OR(IPC!EG39="",IPC!DU39=""),"",AVERAGE(IPC!DV39:EG39)/AVERAGE(IPC!DJ39:DU39)-1)</f>
        <v>2.7643918575341875E-2</v>
      </c>
      <c r="EH39" s="34">
        <f>IF(OR(IPC!EH39="",IPC!DV39=""),"",AVERAGE(IPC!DW39:EH39)/AVERAGE(IPC!DK39:DV39)-1)</f>
        <v>3.6319557444528083E-2</v>
      </c>
      <c r="EI39" s="34">
        <f>IF(OR(IPC!EI39="",IPC!DW39=""),"",AVERAGE(IPC!DX39:EI39)/AVERAGE(IPC!DL39:DW39)-1)</f>
        <v>3.9163527308976764E-2</v>
      </c>
      <c r="EJ39" s="34">
        <f>IF(OR(IPC!EJ39="",IPC!DX39=""),"",AVERAGE(IPC!DY39:EJ39)/AVERAGE(IPC!DM39:DX39)-1)</f>
        <v>4.229022970885099E-2</v>
      </c>
      <c r="EK39" s="34">
        <f>IF(OR(IPC!EK39="",IPC!DY39=""),"",AVERAGE(IPC!DZ39:EK39)/AVERAGE(IPC!DN39:DY39)-1)</f>
        <v>4.5269814654090634E-2</v>
      </c>
      <c r="EL39" s="34">
        <f>IF(OR(IPC!EL39="",IPC!DZ39=""),"",AVERAGE(IPC!EA39:EL39)/AVERAGE(IPC!DO39:DZ39)-1)</f>
        <v>4.8331311884418415E-2</v>
      </c>
      <c r="EM39" s="34">
        <f>IF(OR(IPC!EM39="",IPC!EA39=""),"",AVERAGE(IPC!EB39:EM39)/AVERAGE(IPC!DP39:EA39)-1)</f>
        <v>5.2391007456242145E-2</v>
      </c>
      <c r="EN39" s="34">
        <f>IF(OR(IPC!EN39="",IPC!EB39=""),"",AVERAGE(IPC!EC39:EN39)/AVERAGE(IPC!DQ39:EB39)-1)</f>
        <v>5.6835576709359126E-2</v>
      </c>
      <c r="EO39" s="34">
        <f>IF(OR(IPC!EO39="",IPC!EC39=""),"",AVERAGE(IPC!ED39:EO39)/AVERAGE(IPC!DR39:EC39)-1)</f>
        <v>6.1630839465123044E-2</v>
      </c>
      <c r="EP39" s="34">
        <f>IF(OR(IPC!EP39="",IPC!ED39=""),"",AVERAGE(IPC!EE39:EP39)/AVERAGE(IPC!DS39:ED39)-1)</f>
        <v>6.6657527243712877E-2</v>
      </c>
      <c r="EQ39" s="34">
        <f>IF(OR(IPC!EQ39="",IPC!EE39=""),"",AVERAGE(IPC!EF39:EQ39)/AVERAGE(IPC!DT39:EE39)-1)</f>
        <v>7.0042608069645684E-2</v>
      </c>
      <c r="ER39" s="34">
        <f>IF(OR(IPC!ER39="",IPC!EF39=""),"",AVERAGE(IPC!EG39:ER39)/AVERAGE(IPC!DU39:EF39)-1)</f>
        <v>7.289956919429641E-2</v>
      </c>
      <c r="ES39" s="34">
        <f>IF(OR(IPC!ES39="",IPC!EG39=""),"",AVERAGE(IPC!EH39:ES39)/AVERAGE(IPC!DV39:EG39)-1)</f>
        <v>7.5462187564352412E-2</v>
      </c>
      <c r="ET39" s="34">
        <f>IF(OR(IPC!ET39="",IPC!EH39=""),"",AVERAGE(IPC!EI39:ET39)/AVERAGE(IPC!DW39:EH39)-1)</f>
        <v>6.4712538507834871E-2</v>
      </c>
      <c r="EU39" s="34">
        <f>IF(OR(IPC!EU39="",IPC!EI39=""),"",AVERAGE(IPC!EJ39:EU39)/AVERAGE(IPC!DX39:EI39)-1)</f>
        <v>6.5595219597168963E-2</v>
      </c>
      <c r="EV39" s="34">
        <f>IF(OR(IPC!EV39="",IPC!EJ39=""),"",AVERAGE(IPC!EK39:EV39)/AVERAGE(IPC!DY39:EJ39)-1)</f>
        <v>6.5967382470547564E-2</v>
      </c>
      <c r="EW39" s="34">
        <f>IF(OR(IPC!EW39="",IPC!EK39=""),"",AVERAGE(IPC!EL39:EW39)/AVERAGE(IPC!DZ39:EK39)-1)</f>
        <v>6.6519561526585225E-2</v>
      </c>
      <c r="EX39" s="34">
        <f>IF(OR(IPC!EX39="",IPC!EL39=""),"",AVERAGE(IPC!EM39:EX39)/AVERAGE(IPC!EA39:EL39)-1)</f>
        <v>6.664852100958929E-2</v>
      </c>
      <c r="EY39" s="34">
        <f>IF(OR(IPC!EY39="",IPC!EM39=""),"",AVERAGE(IPC!EN39:EY39)/AVERAGE(IPC!EB39:EM39)-1)</f>
        <v>6.5779437698674448E-2</v>
      </c>
      <c r="EZ39" s="34">
        <f>IF(OR(IPC!EZ39="",IPC!EN39=""),"",AVERAGE(IPC!EO39:EZ39)/AVERAGE(IPC!EC39:EN39)-1)</f>
        <v>6.4008607894489478E-2</v>
      </c>
      <c r="FA39" s="34">
        <f>IF(OR(IPC!FA39="",IPC!EO39=""),"",AVERAGE(IPC!EP39:FA39)/AVERAGE(IPC!ED39:EO39)-1)</f>
        <v>6.1981778810979549E-2</v>
      </c>
      <c r="FB39" s="34">
        <f>IF(OR(IPC!FB39="",IPC!EP39=""),"",AVERAGE(IPC!EQ39:FB39)/AVERAGE(IPC!EE39:EP39)-1)</f>
        <v>5.9029634925205743E-2</v>
      </c>
      <c r="FC39" s="34">
        <f>IF(OR(IPC!FC39="",IPC!EQ39=""),"",AVERAGE(IPC!ER39:FC39)/AVERAGE(IPC!EF39:EQ39)-1)</f>
        <v>5.6358707307308631E-2</v>
      </c>
      <c r="FD39" s="34">
        <f>IF(OR(IPC!FD39="",IPC!ER39=""),"",AVERAGE(IPC!ES39:FD39)/AVERAGE(IPC!EG39:ER39)-1)</f>
        <v>5.2994698512629057E-2</v>
      </c>
      <c r="FE39" s="34">
        <f>IF(OR(IPC!FE39="",IPC!ES39=""),"",AVERAGE(IPC!ET39:FE39)/AVERAGE(IPC!EH39:ES39)-1)</f>
        <v>4.967209662546157E-2</v>
      </c>
      <c r="FF39" s="34">
        <f>IF(OR(IPC!FF39="",IPC!ET39=""),"",AVERAGE(IPC!EU39:FF39)/AVERAGE(IPC!EI39:ET39)-1)</f>
        <v>5.2792648399472952E-2</v>
      </c>
      <c r="FG39" s="34">
        <f>IF(OR(IPC!FG39="",IPC!EU39=""),"",AVERAGE(IPC!EV39:FG39)/AVERAGE(IPC!EJ39:EU39)-1)</f>
        <v>5.00179198170001E-2</v>
      </c>
      <c r="FH39" s="34">
        <f>IF(OR(IPC!FH39="",IPC!EV39=""),"",AVERAGE(IPC!EW39:FH39)/AVERAGE(IPC!EK39:EV39)-1)</f>
        <v>4.7314211907544701E-2</v>
      </c>
      <c r="FI39" s="34">
        <f>IF(OR(IPC!FI39="",IPC!EW39=""),"",AVERAGE(IPC!EX39:FI39)/AVERAGE(IPC!EL39:EW39)-1)</f>
        <v>4.440486743470462E-2</v>
      </c>
      <c r="FJ39" s="34">
        <f>IF(OR(IPC!FJ39="",IPC!EX39=""),"",AVERAGE(IPC!EY39:FJ39)/AVERAGE(IPC!EM39:EX39)-1)</f>
        <v>4.1435011948673495E-2</v>
      </c>
      <c r="FK39" s="34">
        <f>IF(OR(IPC!FK39="",IPC!EY39=""),"",AVERAGE(IPC!EZ39:FK39)/AVERAGE(IPC!EN39:EY39)-1)</f>
        <v>3.8598578164283026E-2</v>
      </c>
      <c r="FL39" s="34">
        <f>IF(OR(IPC!FL39="",IPC!EZ39=""),"",AVERAGE(IPC!FA39:FL39)/AVERAGE(IPC!EO39:EZ39)-1)</f>
        <v>3.6696938440028859E-2</v>
      </c>
      <c r="FM39" s="34">
        <f>IF(OR(IPC!FM39="",IPC!FA39=""),"",AVERAGE(IPC!FB39:FM39)/AVERAGE(IPC!EP39:FA39)-1)</f>
        <v>3.4924104746358209E-2</v>
      </c>
      <c r="FN39" s="34">
        <f>IF(OR(IPC!FN39="",IPC!FB39=""),"",AVERAGE(IPC!FC39:FN39)/AVERAGE(IPC!EQ39:FB39)-1)</f>
        <v>3.3728001785937822E-2</v>
      </c>
      <c r="FO39" s="34">
        <f>IF(OR(IPC!FO39="",IPC!FC39=""),"",AVERAGE(IPC!FD39:FO39)/AVERAGE(IPC!ER39:FC39)-1)</f>
        <v>3.3556503308671104E-2</v>
      </c>
      <c r="FP39" s="34">
        <f>IF(OR(IPC!FP39="",IPC!FD39=""),"",AVERAGE(IPC!FE39:FP39)/AVERAGE(IPC!ES39:FD39)-1)</f>
        <v>3.4202629372108051E-2</v>
      </c>
      <c r="FQ39" s="34">
        <f>IF(OR(IPC!FQ39="",IPC!FE39=""),"",AVERAGE(IPC!FF39:FQ39)/AVERAGE(IPC!ET39:FE39)-1)</f>
        <v>3.4489295493649541E-2</v>
      </c>
      <c r="FR39" s="34">
        <f>IF(OR(IPC!FR39="",IPC!FF39=""),"",AVERAGE(IPC!FG39:FR39)/AVERAGE(IPC!EU39:FF39)-1)</f>
        <v>3.4686067530500742E-2</v>
      </c>
    </row>
    <row r="40" spans="1:174" s="14" customFormat="1" ht="10.199999999999999" x14ac:dyDescent="0.2">
      <c r="B40" s="9" t="s">
        <v>7</v>
      </c>
      <c r="C40" s="9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>
        <f>IF(OR(IPC!AN40="",IPC!AB40=""),"",AVERAGE(IPC!AC40:AN40)/AVERAGE(IPC!Q40:AB40)-1)</f>
        <v>1.3019063826353872E-2</v>
      </c>
      <c r="AO40" s="34">
        <f>IF(OR(IPC!AO40="",IPC!AC40=""),"",AVERAGE(IPC!AD40:AO40)/AVERAGE(IPC!R40:AC40)-1)</f>
        <v>1.2607546241762746E-2</v>
      </c>
      <c r="AP40" s="34">
        <f>IF(OR(IPC!AP40="",IPC!AD40=""),"",AVERAGE(IPC!AE40:AP40)/AVERAGE(IPC!S40:AD40)-1)</f>
        <v>1.2167747864632261E-2</v>
      </c>
      <c r="AQ40" s="34">
        <f>IF(OR(IPC!AQ40="",IPC!AE40=""),"",AVERAGE(IPC!AF40:AQ40)/AVERAGE(IPC!T40:AE40)-1)</f>
        <v>1.168160841171173E-2</v>
      </c>
      <c r="AR40" s="34">
        <f>IF(OR(IPC!AR40="",IPC!AF40=""),"",AVERAGE(IPC!AG40:AR40)/AVERAGE(IPC!U40:AF40)-1)</f>
        <v>1.1687449813918338E-2</v>
      </c>
      <c r="AS40" s="34">
        <f>IF(OR(IPC!AS40="",IPC!AG40=""),"",AVERAGE(IPC!AH40:AS40)/AVERAGE(IPC!V40:AG40)-1)</f>
        <v>1.1522188557171242E-2</v>
      </c>
      <c r="AT40" s="34">
        <f>IF(OR(IPC!AT40="",IPC!AH40=""),"",AVERAGE(IPC!AI40:AT40)/AVERAGE(IPC!W40:AH40)-1)</f>
        <v>1.1690369006374546E-2</v>
      </c>
      <c r="AU40" s="34">
        <f>IF(OR(IPC!AU40="",IPC!AI40=""),"",AVERAGE(IPC!AJ40:AU40)/AVERAGE(IPC!X40:AI40)-1)</f>
        <v>1.1924202230123582E-2</v>
      </c>
      <c r="AV40" s="34">
        <f>IF(OR(IPC!AV40="",IPC!AJ40=""),"",AVERAGE(IPC!AK40:AV40)/AVERAGE(IPC!Y40:AJ40)-1)</f>
        <v>1.1725693777995039E-2</v>
      </c>
      <c r="AW40" s="34">
        <f>IF(OR(IPC!AW40="",IPC!AK40=""),"",AVERAGE(IPC!AL40:AW40)/AVERAGE(IPC!Z40:AK40)-1)</f>
        <v>1.1299329015918236E-2</v>
      </c>
      <c r="AX40" s="34">
        <f>IF(OR(IPC!AX40="",IPC!AL40=""),"",AVERAGE(IPC!AM40:AX40)/AVERAGE(IPC!AA40:AL40)-1)</f>
        <v>1.1327485893659839E-2</v>
      </c>
      <c r="AY40" s="34">
        <f>IF(OR(IPC!AY40="",IPC!AM40=""),"",AVERAGE(IPC!AN40:AY40)/AVERAGE(IPC!AB40:AM40)-1)</f>
        <v>1.13962395709577E-2</v>
      </c>
      <c r="AZ40" s="34">
        <f>IF(OR(IPC!AZ40="",IPC!AN40=""),"",AVERAGE(IPC!AO40:AZ40)/AVERAGE(IPC!AC40:AN40)-1)</f>
        <v>1.1158466940273781E-2</v>
      </c>
      <c r="BA40" s="34">
        <f>IF(OR(IPC!BA40="",IPC!AO40=""),"",AVERAGE(IPC!AP40:BA40)/AVERAGE(IPC!AD40:AO40)-1)</f>
        <v>1.1447926495471883E-2</v>
      </c>
      <c r="BB40" s="34">
        <f>IF(OR(IPC!BB40="",IPC!AP40=""),"",AVERAGE(IPC!AQ40:BB40)/AVERAGE(IPC!AE40:AP40)-1)</f>
        <v>1.2151877899925223E-2</v>
      </c>
      <c r="BC40" s="34">
        <f>IF(OR(IPC!BC40="",IPC!AQ40=""),"",AVERAGE(IPC!AR40:BC40)/AVERAGE(IPC!AF40:AQ40)-1)</f>
        <v>1.3242252881097372E-2</v>
      </c>
      <c r="BD40" s="34">
        <f>IF(OR(IPC!BD40="",IPC!AR40=""),"",AVERAGE(IPC!AS40:BD40)/AVERAGE(IPC!AG40:AR40)-1)</f>
        <v>1.403905794612692E-2</v>
      </c>
      <c r="BE40" s="34">
        <f>IF(OR(IPC!BE40="",IPC!AS40=""),"",AVERAGE(IPC!AT40:BE40)/AVERAGE(IPC!AH40:AS40)-1)</f>
        <v>1.5464832335418954E-2</v>
      </c>
      <c r="BF40" s="34">
        <f>IF(OR(IPC!BF40="",IPC!AT40=""),"",AVERAGE(IPC!AU40:BF40)/AVERAGE(IPC!AI40:AT40)-1)</f>
        <v>1.605980358645942E-2</v>
      </c>
      <c r="BG40" s="34">
        <f>IF(OR(IPC!BG40="",IPC!AU40=""),"",AVERAGE(IPC!AV40:BG40)/AVERAGE(IPC!AJ40:AU40)-1)</f>
        <v>1.6633669368792292E-2</v>
      </c>
      <c r="BH40" s="34">
        <f>IF(OR(IPC!BH40="",IPC!AV40=""),"",AVERAGE(IPC!AW40:BH40)/AVERAGE(IPC!AK40:AV40)-1)</f>
        <v>1.7095358198568666E-2</v>
      </c>
      <c r="BI40" s="34">
        <f>IF(OR(IPC!BI40="",IPC!AW40=""),"",AVERAGE(IPC!AX40:BI40)/AVERAGE(IPC!AL40:AW40)-1)</f>
        <v>1.7839851832521791E-2</v>
      </c>
      <c r="BJ40" s="34">
        <f>IF(OR(IPC!BJ40="",IPC!AX40=""),"",AVERAGE(IPC!AY40:BJ40)/AVERAGE(IPC!AM40:AX40)-1)</f>
        <v>1.7776509125030371E-2</v>
      </c>
      <c r="BK40" s="34">
        <f>IF(OR(IPC!BK40="",IPC!AY40=""),"",AVERAGE(IPC!AZ40:BK40)/AVERAGE(IPC!AN40:AY40)-1)</f>
        <v>1.7698927076375437E-2</v>
      </c>
      <c r="BL40" s="34">
        <f>IF(OR(IPC!BL40="",IPC!AZ40=""),"",AVERAGE(IPC!BA40:BL40)/AVERAGE(IPC!AO40:AZ40)-1)</f>
        <v>1.8444131164765398E-2</v>
      </c>
      <c r="BM40" s="34">
        <f>IF(OR(IPC!BM40="",IPC!BA40=""),"",AVERAGE(IPC!BB40:BM40)/AVERAGE(IPC!AP40:BA40)-1)</f>
        <v>1.8257016369562118E-2</v>
      </c>
      <c r="BN40" s="34">
        <f>IF(OR(IPC!BN40="",IPC!BB40=""),"",AVERAGE(IPC!BC40:BN40)/AVERAGE(IPC!AQ40:BB40)-1)</f>
        <v>1.7960441409461625E-2</v>
      </c>
      <c r="BO40" s="34">
        <f>IF(OR(IPC!BO40="",IPC!BC40=""),"",AVERAGE(IPC!BD40:BO40)/AVERAGE(IPC!AR40:BC40)-1)</f>
        <v>1.7146735107807176E-2</v>
      </c>
      <c r="BP40" s="34">
        <f>IF(OR(IPC!BP40="",IPC!BD40=""),"",AVERAGE(IPC!BE40:BP40)/AVERAGE(IPC!AS40:BD40)-1)</f>
        <v>1.6413955780741452E-2</v>
      </c>
      <c r="BQ40" s="34">
        <f>IF(OR(IPC!BQ40="",IPC!BE40=""),"",AVERAGE(IPC!BF40:BQ40)/AVERAGE(IPC!AT40:BE40)-1)</f>
        <v>1.4573332476149004E-2</v>
      </c>
      <c r="BR40" s="34">
        <f>IF(OR(IPC!BR40="",IPC!BF40=""),"",AVERAGE(IPC!BG40:BR40)/AVERAGE(IPC!AU40:BF40)-1)</f>
        <v>1.3439574210068139E-2</v>
      </c>
      <c r="BS40" s="34">
        <f>IF(OR(IPC!BS40="",IPC!BG40=""),"",AVERAGE(IPC!BH40:BS40)/AVERAGE(IPC!AV40:BG40)-1)</f>
        <v>1.2490953663947479E-2</v>
      </c>
      <c r="BT40" s="34">
        <f>IF(OR(IPC!BT40="",IPC!BH40=""),"",AVERAGE(IPC!BI40:BT40)/AVERAGE(IPC!AW40:BH40)-1)</f>
        <v>1.146288007555718E-2</v>
      </c>
      <c r="BU40" s="34">
        <f>IF(OR(IPC!BU40="",IPC!BI40=""),"",AVERAGE(IPC!BJ40:BU40)/AVERAGE(IPC!AX40:BI40)-1)</f>
        <v>1.0729413104593855E-2</v>
      </c>
      <c r="BV40" s="34">
        <f>IF(OR(IPC!BV40="",IPC!BJ40=""),"",AVERAGE(IPC!BK40:BV40)/AVERAGE(IPC!AY40:BJ40)-1)</f>
        <v>1.0234640595211619E-2</v>
      </c>
      <c r="BW40" s="34">
        <f>IF(OR(IPC!BW40="",IPC!BK40=""),"",AVERAGE(IPC!BL40:BW40)/AVERAGE(IPC!AZ40:BK40)-1)</f>
        <v>9.8852182560673629E-3</v>
      </c>
      <c r="BX40" s="34">
        <f>IF(OR(IPC!BX40="",IPC!BL40=""),"",AVERAGE(IPC!BM40:BX40)/AVERAGE(IPC!BA40:BL40)-1)</f>
        <v>9.0484838126942968E-3</v>
      </c>
      <c r="BY40" s="34">
        <f>IF(OR(IPC!BY40="",IPC!BM40=""),"",AVERAGE(IPC!BN40:BY40)/AVERAGE(IPC!BB40:BM40)-1)</f>
        <v>8.8007596562380552E-3</v>
      </c>
      <c r="BZ40" s="34">
        <f>IF(OR(IPC!BZ40="",IPC!BN40=""),"",AVERAGE(IPC!BO40:BZ40)/AVERAGE(IPC!BC40:BN40)-1)</f>
        <v>8.4464352630406747E-3</v>
      </c>
      <c r="CA40" s="34">
        <f>IF(OR(IPC!CA40="",IPC!BO40=""),"",AVERAGE(IPC!BP40:CA40)/AVERAGE(IPC!BD40:BO40)-1)</f>
        <v>8.4421291527774223E-3</v>
      </c>
      <c r="CB40" s="34">
        <f>IF(OR(IPC!CB40="",IPC!BP40=""),"",AVERAGE(IPC!BQ40:CB40)/AVERAGE(IPC!BE40:BP40)-1)</f>
        <v>8.2635383580131894E-3</v>
      </c>
      <c r="CC40" s="34">
        <f>IF(OR(IPC!CC40="",IPC!BQ40=""),"",AVERAGE(IPC!BR40:CC40)/AVERAGE(IPC!BF40:BQ40)-1)</f>
        <v>8.8556173993130649E-3</v>
      </c>
      <c r="CD40" s="34">
        <f>IF(OR(IPC!CD40="",IPC!BR40=""),"",AVERAGE(IPC!BS40:CD40)/AVERAGE(IPC!BG40:BR40)-1)</f>
        <v>9.2611101195119172E-3</v>
      </c>
      <c r="CE40" s="34">
        <f>IF(OR(IPC!CE40="",IPC!BS40=""),"",AVERAGE(IPC!BT40:CE40)/AVERAGE(IPC!BH40:BS40)-1)</f>
        <v>9.2627558913029873E-3</v>
      </c>
      <c r="CF40" s="34">
        <f>IF(OR(IPC!CF40="",IPC!BT40=""),"",AVERAGE(IPC!BU40:CF40)/AVERAGE(IPC!BI40:BT40)-1)</f>
        <v>9.5265815626406347E-3</v>
      </c>
      <c r="CG40" s="34">
        <f>IF(OR(IPC!CG40="",IPC!BU40=""),"",AVERAGE(IPC!BV40:CG40)/AVERAGE(IPC!BJ40:BU40)-1)</f>
        <v>9.6285795947592678E-3</v>
      </c>
      <c r="CH40" s="34">
        <f>IF(OR(IPC!CH40="",IPC!BV40=""),"",AVERAGE(IPC!BW40:CH40)/AVERAGE(IPC!BK40:BV40)-1)</f>
        <v>9.8211134147896395E-3</v>
      </c>
      <c r="CI40" s="34">
        <f>IF(OR(IPC!CI40="",IPC!BW40=""),"",AVERAGE(IPC!BX40:CI40)/AVERAGE(IPC!BL40:BW40)-1)</f>
        <v>9.4305350368899532E-3</v>
      </c>
      <c r="CJ40" s="34">
        <f>IF(OR(IPC!CJ40="",IPC!BX40=""),"",AVERAGE(IPC!BY40:CJ40)/AVERAGE(IPC!BM40:BX40)-1)</f>
        <v>9.2911725531648059E-3</v>
      </c>
      <c r="CK40" s="34">
        <f>IF(OR(IPC!CK40="",IPC!BY40=""),"",AVERAGE(IPC!BZ40:CK40)/AVERAGE(IPC!BN40:BY40)-1)</f>
        <v>9.0932884638001976E-3</v>
      </c>
      <c r="CL40" s="34">
        <f>IF(OR(IPC!CL40="",IPC!BZ40=""),"",AVERAGE(IPC!CA40:CL40)/AVERAGE(IPC!BO40:BZ40)-1)</f>
        <v>8.6851861875347769E-3</v>
      </c>
      <c r="CM40" s="34">
        <f>IF(OR(IPC!CM40="",IPC!CA40=""),"",AVERAGE(IPC!CB40:CM40)/AVERAGE(IPC!BP40:CA40)-1)</f>
        <v>8.2272226022177541E-3</v>
      </c>
      <c r="CN40" s="34">
        <f>IF(OR(IPC!CN40="",IPC!CB40=""),"",AVERAGE(IPC!CC40:CN40)/AVERAGE(IPC!BQ40:CB40)-1)</f>
        <v>8.2210791533168237E-3</v>
      </c>
      <c r="CO40" s="34">
        <f>IF(OR(IPC!CO40="",IPC!CC40=""),"",AVERAGE(IPC!CD40:CO40)/AVERAGE(IPC!BR40:CC40)-1)</f>
        <v>8.11613774824127E-3</v>
      </c>
      <c r="CP40" s="34">
        <f>IF(OR(IPC!CP40="",IPC!CD40=""),"",AVERAGE(IPC!CE40:CP40)/AVERAGE(IPC!BS40:CD40)-1)</f>
        <v>8.0687734278568346E-3</v>
      </c>
      <c r="CQ40" s="34">
        <f>IF(OR(IPC!CQ40="",IPC!CE40=""),"",AVERAGE(IPC!CF40:CQ40)/AVERAGE(IPC!BT40:CE40)-1)</f>
        <v>8.2716177505903765E-3</v>
      </c>
      <c r="CR40" s="34">
        <f>IF(OR(IPC!CR40="",IPC!CF40=""),"",AVERAGE(IPC!CG40:CR40)/AVERAGE(IPC!BU40:CF40)-1)</f>
        <v>8.4610089991350446E-3</v>
      </c>
      <c r="CS40" s="34">
        <f>IF(OR(IPC!CS40="",IPC!CG40=""),"",AVERAGE(IPC!CH40:CS40)/AVERAGE(IPC!BV40:CG40)-1)</f>
        <v>8.7099800056757992E-3</v>
      </c>
      <c r="CT40" s="34">
        <f>IF(OR(IPC!CT40="",IPC!CH40=""),"",AVERAGE(IPC!CI40:CT40)/AVERAGE(IPC!BW40:CH40)-1)</f>
        <v>9.1487525567377492E-3</v>
      </c>
      <c r="CU40" s="34">
        <f>IF(OR(IPC!CU40="",IPC!CI40=""),"",AVERAGE(IPC!CJ40:CU40)/AVERAGE(IPC!BX40:CI40)-1)</f>
        <v>1.0266334339891214E-2</v>
      </c>
      <c r="CV40" s="34">
        <f>IF(OR(IPC!CV40="",IPC!CJ40=""),"",AVERAGE(IPC!CK40:CV40)/AVERAGE(IPC!BY40:CJ40)-1)</f>
        <v>1.1084531330396885E-2</v>
      </c>
      <c r="CW40" s="34">
        <f>IF(OR(IPC!CW40="",IPC!CK40=""),"",AVERAGE(IPC!CL40:CW40)/AVERAGE(IPC!BZ40:CK40)-1)</f>
        <v>1.1996087263976607E-2</v>
      </c>
      <c r="CX40" s="34">
        <f>IF(OR(IPC!CX40="",IPC!CL40=""),"",AVERAGE(IPC!CM40:CX40)/AVERAGE(IPC!CA40:CL40)-1)</f>
        <v>1.3587684121951549E-2</v>
      </c>
      <c r="CY40" s="34">
        <f>IF(OR(IPC!CY40="",IPC!CM40=""),"",AVERAGE(IPC!CN40:CY40)/AVERAGE(IPC!CB40:CM40)-1)</f>
        <v>1.511485509033017E-2</v>
      </c>
      <c r="CZ40" s="34">
        <f>IF(OR(IPC!CZ40="",IPC!CN40=""),"",AVERAGE(IPC!CO40:CZ40)/AVERAGE(IPC!CC40:CN40)-1)</f>
        <v>1.624920260354612E-2</v>
      </c>
      <c r="DA40" s="34">
        <f>IF(OR(IPC!DA40="",IPC!CO40=""),"",AVERAGE(IPC!CP40:DA40)/AVERAGE(IPC!CD40:CO40)-1)</f>
        <v>1.7230819170482636E-2</v>
      </c>
      <c r="DB40" s="34">
        <f>IF(OR(IPC!DB40="",IPC!CP40=""),"",AVERAGE(IPC!CQ40:DB40)/AVERAGE(IPC!CE40:CP40)-1)</f>
        <v>1.8150407560091342E-2</v>
      </c>
      <c r="DC40" s="34">
        <f>IF(OR(IPC!DC40="",IPC!CQ40=""),"",AVERAGE(IPC!CR40:DC40)/AVERAGE(IPC!CF40:CQ40)-1)</f>
        <v>1.9097128027445009E-2</v>
      </c>
      <c r="DD40" s="34">
        <f>IF(OR(IPC!DD40="",IPC!CR40=""),"",AVERAGE(IPC!CS40:DD40)/AVERAGE(IPC!CG40:CR40)-1)</f>
        <v>1.9891843848647284E-2</v>
      </c>
      <c r="DE40" s="34">
        <f>IF(OR(IPC!DE40="",IPC!CS40=""),"",AVERAGE(IPC!CT40:DE40)/AVERAGE(IPC!CH40:CS40)-1)</f>
        <v>2.0758758610927686E-2</v>
      </c>
      <c r="DF40" s="34">
        <f>IF(OR(IPC!DF40="",IPC!CT40=""),"",AVERAGE(IPC!CU40:DF40)/AVERAGE(IPC!CI40:CT40)-1)</f>
        <v>2.1678046363804437E-2</v>
      </c>
      <c r="DG40" s="34">
        <f>IF(OR(IPC!DG40="",IPC!CU40=""),"",AVERAGE(IPC!CV40:DG40)/AVERAGE(IPC!CJ40:CU40)-1)</f>
        <v>2.2153550955635648E-2</v>
      </c>
      <c r="DH40" s="34">
        <f>IF(OR(IPC!DH40="",IPC!CV40=""),"",AVERAGE(IPC!CW40:DH40)/AVERAGE(IPC!CK40:CV40)-1)</f>
        <v>2.2680905244884864E-2</v>
      </c>
      <c r="DI40" s="34">
        <f>IF(OR(IPC!DI40="",IPC!CW40=""),"",AVERAGE(IPC!CX40:DI40)/AVERAGE(IPC!CL40:CW40)-1)</f>
        <v>2.3146085030667285E-2</v>
      </c>
      <c r="DJ40" s="34">
        <f>IF(OR(IPC!DJ40="",IPC!CX40=""),"",AVERAGE(IPC!CY40:DJ40)/AVERAGE(IPC!CM40:CX40)-1)</f>
        <v>2.2817341058836815E-2</v>
      </c>
      <c r="DK40" s="34">
        <f>IF(OR(IPC!DK40="",IPC!CY40=""),"",AVERAGE(IPC!CZ40:DK40)/AVERAGE(IPC!CN40:CY40)-1)</f>
        <v>2.2513231086736862E-2</v>
      </c>
      <c r="DL40" s="34">
        <f>IF(OR(IPC!DL40="",IPC!CZ40=""),"",AVERAGE(IPC!DA40:DL40)/AVERAGE(IPC!CO40:CZ40)-1)</f>
        <v>2.2387929576704657E-2</v>
      </c>
      <c r="DM40" s="34">
        <f>IF(OR(IPC!DM40="",IPC!DA40=""),"",AVERAGE(IPC!DB40:DM40)/AVERAGE(IPC!CP40:DA40)-1)</f>
        <v>2.2182700108760001E-2</v>
      </c>
      <c r="DN40" s="34">
        <f>IF(OR(IPC!DN40="",IPC!DB40=""),"",AVERAGE(IPC!DC40:DN40)/AVERAGE(IPC!CQ40:DB40)-1)</f>
        <v>2.1930888388831837E-2</v>
      </c>
      <c r="DO40" s="34">
        <f>IF(OR(IPC!DO40="",IPC!DC40=""),"",AVERAGE(IPC!DD40:DO40)/AVERAGE(IPC!CR40:DC40)-1)</f>
        <v>2.1599875641788779E-2</v>
      </c>
      <c r="DP40" s="34">
        <f>IF(OR(IPC!DP40="",IPC!DD40=""),"",AVERAGE(IPC!DE40:DP40)/AVERAGE(IPC!CS40:DD40)-1)</f>
        <v>2.1254958092521425E-2</v>
      </c>
      <c r="DQ40" s="34">
        <f>IF(OR(IPC!DQ40="",IPC!DE40=""),"",AVERAGE(IPC!DF40:DQ40)/AVERAGE(IPC!CT40:DE40)-1)</f>
        <v>2.0624296470860504E-2</v>
      </c>
      <c r="DR40" s="34">
        <f>IF(OR(IPC!DR40="",IPC!DF40=""),"",AVERAGE(IPC!DG40:DR40)/AVERAGE(IPC!CU40:DF40)-1)</f>
        <v>1.952877742164949E-2</v>
      </c>
      <c r="DS40" s="34">
        <f>IF(OR(IPC!DS40="",IPC!DG40=""),"",AVERAGE(IPC!DH40:DS40)/AVERAGE(IPC!CV40:DG40)-1)</f>
        <v>1.8723864288480607E-2</v>
      </c>
      <c r="DT40" s="34">
        <f>IF(OR(IPC!DT40="",IPC!DH40=""),"",AVERAGE(IPC!DI40:DT40)/AVERAGE(IPC!CW40:DH40)-1)</f>
        <v>1.7972322900034587E-2</v>
      </c>
      <c r="DU40" s="34">
        <f>IF(OR(IPC!DU40="",IPC!DI40=""),"",AVERAGE(IPC!DJ40:DU40)/AVERAGE(IPC!CX40:DI40)-1)</f>
        <v>1.7176484354792354E-2</v>
      </c>
      <c r="DV40" s="34">
        <f>IF(OR(IPC!DV40="",IPC!DJ40=""),"",AVERAGE(IPC!DK40:DV40)/AVERAGE(IPC!CY40:DJ40)-1)</f>
        <v>1.679355050774034E-2</v>
      </c>
      <c r="DW40" s="34">
        <f>IF(OR(IPC!DW40="",IPC!DK40=""),"",AVERAGE(IPC!DL40:DW40)/AVERAGE(IPC!CZ40:DK40)-1)</f>
        <v>1.6254287179335414E-2</v>
      </c>
      <c r="DX40" s="34">
        <f>IF(OR(IPC!DX40="",IPC!DL40=""),"",AVERAGE(IPC!DM40:DX40)/AVERAGE(IPC!DA40:DL40)-1)</f>
        <v>1.5582187779515255E-2</v>
      </c>
      <c r="DY40" s="34">
        <f>IF(OR(IPC!DY40="",IPC!DM40=""),"",AVERAGE(IPC!DN40:DY40)/AVERAGE(IPC!DB40:DM40)-1)</f>
        <v>1.5199554564752749E-2</v>
      </c>
      <c r="DZ40" s="34">
        <f>IF(OR(IPC!DZ40="",IPC!DN40=""),"",AVERAGE(IPC!DO40:DZ40)/AVERAGE(IPC!DC40:DN40)-1)</f>
        <v>1.5014998529100154E-2</v>
      </c>
      <c r="EA40" s="34">
        <f>IF(OR(IPC!EA40="",IPC!DO40=""),"",AVERAGE(IPC!DP40:EA40)/AVERAGE(IPC!DD40:DO40)-1)</f>
        <v>1.4611022135025076E-2</v>
      </c>
      <c r="EB40" s="34">
        <f>IF(OR(IPC!EB40="",IPC!DP40=""),"",AVERAGE(IPC!DQ40:EB40)/AVERAGE(IPC!DE40:DP40)-1)</f>
        <v>1.4394111992563241E-2</v>
      </c>
      <c r="EC40" s="34">
        <f>IF(OR(IPC!EC40="",IPC!DQ40=""),"",AVERAGE(IPC!DR40:EC40)/AVERAGE(IPC!DF40:DQ40)-1)</f>
        <v>1.4102682329699245E-2</v>
      </c>
      <c r="ED40" s="34">
        <f>IF(OR(IPC!ED40="",IPC!DR40=""),"",AVERAGE(IPC!DS40:ED40)/AVERAGE(IPC!DG40:DR40)-1)</f>
        <v>1.406706520557055E-2</v>
      </c>
      <c r="EE40" s="34">
        <f>IF(OR(IPC!EE40="",IPC!DS40=""),"",AVERAGE(IPC!DT40:EE40)/AVERAGE(IPC!DH40:DS40)-1)</f>
        <v>1.4117409259102098E-2</v>
      </c>
      <c r="EF40" s="34">
        <f>IF(OR(IPC!EF40="",IPC!DT40=""),"",AVERAGE(IPC!DU40:EF40)/AVERAGE(IPC!DI40:DT40)-1)</f>
        <v>1.4339639412656924E-2</v>
      </c>
      <c r="EG40" s="34">
        <f>IF(OR(IPC!EG40="",IPC!DU40=""),"",AVERAGE(IPC!DV40:EG40)/AVERAGE(IPC!DJ40:DU40)-1)</f>
        <v>1.469141753621428E-2</v>
      </c>
      <c r="EH40" s="34">
        <f>IF(OR(IPC!EH40="",IPC!DV40=""),"",AVERAGE(IPC!DW40:EH40)/AVERAGE(IPC!DK40:DV40)-1)</f>
        <v>1.8933760065000804E-2</v>
      </c>
      <c r="EI40" s="34">
        <f>IF(OR(IPC!EI40="",IPC!DW40=""),"",AVERAGE(IPC!DX40:EI40)/AVERAGE(IPC!DL40:DW40)-1)</f>
        <v>1.9929361563114645E-2</v>
      </c>
      <c r="EJ40" s="34">
        <f>IF(OR(IPC!EJ40="",IPC!DX40=""),"",AVERAGE(IPC!DY40:EJ40)/AVERAGE(IPC!DM40:DX40)-1)</f>
        <v>2.1308689157950589E-2</v>
      </c>
      <c r="EK40" s="34">
        <f>IF(OR(IPC!EK40="",IPC!DY40=""),"",AVERAGE(IPC!DZ40:EK40)/AVERAGE(IPC!DN40:DY40)-1)</f>
        <v>2.263068999724438E-2</v>
      </c>
      <c r="EL40" s="34">
        <f>IF(OR(IPC!EL40="",IPC!DZ40=""),"",AVERAGE(IPC!EA40:EL40)/AVERAGE(IPC!DO40:DZ40)-1)</f>
        <v>2.3813449050439583E-2</v>
      </c>
      <c r="EM40" s="34">
        <f>IF(OR(IPC!EM40="",IPC!EA40=""),"",AVERAGE(IPC!EB40:EM40)/AVERAGE(IPC!DP40:EA40)-1)</f>
        <v>2.5569682556179973E-2</v>
      </c>
      <c r="EN40" s="34">
        <f>IF(OR(IPC!EN40="",IPC!EB40=""),"",AVERAGE(IPC!EC40:EN40)/AVERAGE(IPC!DQ40:EB40)-1)</f>
        <v>2.7574030742179012E-2</v>
      </c>
      <c r="EO40" s="34">
        <f>IF(OR(IPC!EO40="",IPC!EC40=""),"",AVERAGE(IPC!ED40:EO40)/AVERAGE(IPC!DR40:EC40)-1)</f>
        <v>2.9937986797131444E-2</v>
      </c>
      <c r="EP40" s="34">
        <f>IF(OR(IPC!EP40="",IPC!ED40=""),"",AVERAGE(IPC!EE40:EP40)/AVERAGE(IPC!DS40:ED40)-1)</f>
        <v>3.2484548952755654E-2</v>
      </c>
      <c r="EQ40" s="34">
        <f>IF(OR(IPC!EQ40="",IPC!EE40=""),"",AVERAGE(IPC!EF40:EQ40)/AVERAGE(IPC!DT40:EE40)-1)</f>
        <v>3.4876483554134197E-2</v>
      </c>
      <c r="ER40" s="34">
        <f>IF(OR(IPC!ER40="",IPC!EF40=""),"",AVERAGE(IPC!EG40:ER40)/AVERAGE(IPC!DU40:EF40)-1)</f>
        <v>3.6968480785083857E-2</v>
      </c>
      <c r="ES40" s="34">
        <f>IF(OR(IPC!ES40="",IPC!EG40=""),"",AVERAGE(IPC!EH40:ES40)/AVERAGE(IPC!DV40:EG40)-1)</f>
        <v>3.9171493094051435E-2</v>
      </c>
      <c r="ET40" s="34">
        <f>IF(OR(IPC!ET40="",IPC!EH40=""),"",AVERAGE(IPC!EI40:ET40)/AVERAGE(IPC!DW40:EH40)-1)</f>
        <v>3.3551820314119629E-2</v>
      </c>
      <c r="EU40" s="34">
        <f>IF(OR(IPC!EU40="",IPC!EI40=""),"",AVERAGE(IPC!EJ40:EU40)/AVERAGE(IPC!DX40:EI40)-1)</f>
        <v>3.4933065451235423E-2</v>
      </c>
      <c r="EV40" s="34">
        <f>IF(OR(IPC!EV40="",IPC!EJ40=""),"",AVERAGE(IPC!EK40:EV40)/AVERAGE(IPC!DY40:EJ40)-1)</f>
        <v>3.5683366867507171E-2</v>
      </c>
      <c r="EW40" s="34">
        <f>IF(OR(IPC!EW40="",IPC!EK40=""),"",AVERAGE(IPC!EL40:EW40)/AVERAGE(IPC!DZ40:EK40)-1)</f>
        <v>3.6383548901490093E-2</v>
      </c>
      <c r="EX40" s="34">
        <f>IF(OR(IPC!EX40="",IPC!EL40=""),"",AVERAGE(IPC!EM40:EX40)/AVERAGE(IPC!EA40:EL40)-1)</f>
        <v>3.7039224724025654E-2</v>
      </c>
      <c r="EY40" s="34">
        <f>IF(OR(IPC!EY40="",IPC!EM40=""),"",AVERAGE(IPC!EN40:EY40)/AVERAGE(IPC!EB40:EM40)-1)</f>
        <v>3.7160627542142333E-2</v>
      </c>
      <c r="EZ40" s="34">
        <f>IF(OR(IPC!EZ40="",IPC!EN40=""),"",AVERAGE(IPC!EO40:EZ40)/AVERAGE(IPC!EC40:EN40)-1)</f>
        <v>3.6718520410911948E-2</v>
      </c>
      <c r="FA40" s="34">
        <f>IF(OR(IPC!FA40="",IPC!EO40=""),"",AVERAGE(IPC!EP40:FA40)/AVERAGE(IPC!ED40:EO40)-1)</f>
        <v>3.5806677746434756E-2</v>
      </c>
      <c r="FB40" s="34">
        <f>IF(OR(IPC!FB40="",IPC!EP40=""),"",AVERAGE(IPC!EQ40:FB40)/AVERAGE(IPC!EE40:EP40)-1)</f>
        <v>3.4673009016959355E-2</v>
      </c>
      <c r="FC40" s="34">
        <f>IF(OR(IPC!FC40="",IPC!EQ40=""),"",AVERAGE(IPC!ER40:FC40)/AVERAGE(IPC!EF40:EQ40)-1)</f>
        <v>3.3337824223854007E-2</v>
      </c>
      <c r="FD40" s="34">
        <f>IF(OR(IPC!FD40="",IPC!ER40=""),"",AVERAGE(IPC!ES40:FD40)/AVERAGE(IPC!EG40:ER40)-1)</f>
        <v>3.1904594885744375E-2</v>
      </c>
      <c r="FE40" s="34">
        <f>IF(OR(IPC!FE40="",IPC!ES40=""),"",AVERAGE(IPC!ET40:FE40)/AVERAGE(IPC!EH40:ES40)-1)</f>
        <v>3.0194660094765569E-2</v>
      </c>
      <c r="FF40" s="34">
        <f>IF(OR(IPC!FF40="",IPC!ET40=""),"",AVERAGE(IPC!EU40:FF40)/AVERAGE(IPC!EI40:ET40)-1)</f>
        <v>3.2149610179390331E-2</v>
      </c>
      <c r="FG40" s="34">
        <f>IF(OR(IPC!FG40="",IPC!EU40=""),"",AVERAGE(IPC!EV40:FG40)/AVERAGE(IPC!EJ40:EU40)-1)</f>
        <v>3.0285071578451284E-2</v>
      </c>
      <c r="FH40" s="34">
        <f>IF(OR(IPC!FH40="",IPC!EV40=""),"",AVERAGE(IPC!EW40:FH40)/AVERAGE(IPC!EK40:EV40)-1)</f>
        <v>2.8809408138146697E-2</v>
      </c>
      <c r="FI40" s="34">
        <f>IF(OR(IPC!FI40="",IPC!EW40=""),"",AVERAGE(IPC!EX40:FI40)/AVERAGE(IPC!EL40:EW40)-1)</f>
        <v>2.7302142488058845E-2</v>
      </c>
      <c r="FJ40" s="34">
        <f>IF(OR(IPC!FJ40="",IPC!EX40=""),"",AVERAGE(IPC!EY40:FJ40)/AVERAGE(IPC!EM40:EX40)-1)</f>
        <v>2.573973889671044E-2</v>
      </c>
      <c r="FK40" s="34">
        <f>IF(OR(IPC!FK40="",IPC!EY40=""),"",AVERAGE(IPC!EZ40:FK40)/AVERAGE(IPC!EN40:EY40)-1)</f>
        <v>2.4321159938234693E-2</v>
      </c>
      <c r="FL40" s="34">
        <f>IF(OR(IPC!FL40="",IPC!EZ40=""),"",AVERAGE(IPC!FA40:FL40)/AVERAGE(IPC!EO40:EZ40)-1)</f>
        <v>2.3090345741504592E-2</v>
      </c>
      <c r="FM40" s="34">
        <f>IF(OR(IPC!FM40="",IPC!FA40=""),"",AVERAGE(IPC!FB40:FM40)/AVERAGE(IPC!EP40:FA40)-1)</f>
        <v>2.2107711540986008E-2</v>
      </c>
      <c r="FN40" s="34">
        <f>IF(OR(IPC!FN40="",IPC!FB40=""),"",AVERAGE(IPC!FC40:FN40)/AVERAGE(IPC!EQ40:FB40)-1)</f>
        <v>2.1225853127268879E-2</v>
      </c>
      <c r="FO40" s="34">
        <f>IF(OR(IPC!FO40="",IPC!FC40=""),"",AVERAGE(IPC!FD40:FO40)/AVERAGE(IPC!ER40:FC40)-1)</f>
        <v>2.0685638810162832E-2</v>
      </c>
      <c r="FP40" s="34">
        <f>IF(OR(IPC!FP40="",IPC!FD40=""),"",AVERAGE(IPC!FE40:FP40)/AVERAGE(IPC!ES40:FD40)-1)</f>
        <v>2.0366087377834852E-2</v>
      </c>
      <c r="FQ40" s="34">
        <f>IF(OR(IPC!FQ40="",IPC!FE40=""),"",AVERAGE(IPC!FF40:FQ40)/AVERAGE(IPC!ET40:FE40)-1)</f>
        <v>1.9904671572812394E-2</v>
      </c>
      <c r="FR40" s="34">
        <f>IF(OR(IPC!FR40="",IPC!FF40=""),"",AVERAGE(IPC!FG40:FR40)/AVERAGE(IPC!EU40:FF40)-1)</f>
        <v>1.9537893189980782E-2</v>
      </c>
    </row>
    <row r="41" spans="1:174" s="1" customFormat="1" ht="10.199999999999999" x14ac:dyDescent="0.2"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</row>
    <row r="42" spans="1:174" s="1" customFormat="1" ht="10.8" thickBot="1" x14ac:dyDescent="0.25"/>
    <row r="43" spans="1:174" s="2" customFormat="1" ht="33" thickTop="1" thickBot="1" x14ac:dyDescent="0.55000000000000004">
      <c r="B43" s="2" t="s">
        <v>100</v>
      </c>
    </row>
    <row r="44" spans="1:174" ht="14.4" thickTop="1" thickBot="1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74" s="24" customFormat="1" ht="13.8" thickBot="1" x14ac:dyDescent="0.3">
      <c r="A45" s="24" t="s">
        <v>8</v>
      </c>
      <c r="B45" s="21" t="s">
        <v>0</v>
      </c>
      <c r="C45" s="22" t="s">
        <v>1</v>
      </c>
      <c r="D45" s="23">
        <v>40544</v>
      </c>
      <c r="E45" s="23">
        <v>40575</v>
      </c>
      <c r="F45" s="23">
        <v>40603</v>
      </c>
      <c r="G45" s="23">
        <v>40634</v>
      </c>
      <c r="H45" s="23">
        <v>40664</v>
      </c>
      <c r="I45" s="23">
        <v>40695</v>
      </c>
      <c r="J45" s="23">
        <v>40725</v>
      </c>
      <c r="K45" s="23">
        <v>40756</v>
      </c>
      <c r="L45" s="23">
        <v>40787</v>
      </c>
      <c r="M45" s="23">
        <v>40817</v>
      </c>
      <c r="N45" s="23">
        <v>40848</v>
      </c>
      <c r="O45" s="23">
        <v>40878</v>
      </c>
      <c r="P45" s="23">
        <v>40909</v>
      </c>
      <c r="Q45" s="23">
        <v>40940</v>
      </c>
      <c r="R45" s="23">
        <v>40969</v>
      </c>
      <c r="S45" s="23">
        <v>41000</v>
      </c>
      <c r="T45" s="23">
        <v>41030</v>
      </c>
      <c r="U45" s="23">
        <v>41061</v>
      </c>
      <c r="V45" s="23">
        <v>41091</v>
      </c>
      <c r="W45" s="23">
        <v>41122</v>
      </c>
      <c r="X45" s="23">
        <v>41153</v>
      </c>
      <c r="Y45" s="23">
        <v>41183</v>
      </c>
      <c r="Z45" s="23">
        <v>41214</v>
      </c>
      <c r="AA45" s="23">
        <v>41244</v>
      </c>
      <c r="AB45" s="23">
        <v>41275</v>
      </c>
      <c r="AC45" s="23">
        <v>41306</v>
      </c>
      <c r="AD45" s="23">
        <v>41334</v>
      </c>
      <c r="AE45" s="23">
        <v>41365</v>
      </c>
      <c r="AF45" s="23">
        <v>41395</v>
      </c>
      <c r="AG45" s="23">
        <v>41426</v>
      </c>
      <c r="AH45" s="23">
        <v>41456</v>
      </c>
      <c r="AI45" s="23">
        <v>41487</v>
      </c>
      <c r="AJ45" s="23">
        <v>41518</v>
      </c>
      <c r="AK45" s="23">
        <v>41548</v>
      </c>
      <c r="AL45" s="23">
        <v>41579</v>
      </c>
      <c r="AM45" s="23">
        <v>41609</v>
      </c>
      <c r="AN45" s="23">
        <v>41640</v>
      </c>
      <c r="AO45" s="23">
        <v>41671</v>
      </c>
      <c r="AP45" s="23">
        <v>41699</v>
      </c>
      <c r="AQ45" s="23">
        <v>41730</v>
      </c>
      <c r="AR45" s="23">
        <v>41760</v>
      </c>
      <c r="AS45" s="23">
        <v>41791</v>
      </c>
      <c r="AT45" s="23">
        <v>41821</v>
      </c>
      <c r="AU45" s="23">
        <v>41852</v>
      </c>
      <c r="AV45" s="23">
        <v>41883</v>
      </c>
      <c r="AW45" s="23">
        <v>41913</v>
      </c>
      <c r="AX45" s="23">
        <v>41944</v>
      </c>
      <c r="AY45" s="23">
        <v>41974</v>
      </c>
      <c r="AZ45" s="23">
        <v>42005</v>
      </c>
      <c r="BA45" s="23">
        <v>42036</v>
      </c>
      <c r="BB45" s="23">
        <v>42064</v>
      </c>
      <c r="BC45" s="23">
        <v>42095</v>
      </c>
      <c r="BD45" s="23">
        <v>42125</v>
      </c>
      <c r="BE45" s="23">
        <v>42156</v>
      </c>
      <c r="BF45" s="23">
        <v>42186</v>
      </c>
      <c r="BG45" s="23">
        <v>42217</v>
      </c>
      <c r="BH45" s="23">
        <v>42248</v>
      </c>
      <c r="BI45" s="23">
        <v>42278</v>
      </c>
      <c r="BJ45" s="23">
        <v>42309</v>
      </c>
      <c r="BK45" s="23">
        <v>42339</v>
      </c>
      <c r="BL45" s="23">
        <v>42370</v>
      </c>
      <c r="BM45" s="23">
        <v>42401</v>
      </c>
      <c r="BN45" s="23">
        <v>42430</v>
      </c>
      <c r="BO45" s="23">
        <v>42461</v>
      </c>
      <c r="BP45" s="23">
        <v>42491</v>
      </c>
      <c r="BQ45" s="23">
        <v>42522</v>
      </c>
      <c r="BR45" s="23">
        <v>42552</v>
      </c>
      <c r="BS45" s="23">
        <v>42583</v>
      </c>
      <c r="BT45" s="23">
        <v>42614</v>
      </c>
      <c r="BU45" s="23">
        <v>42644</v>
      </c>
      <c r="BV45" s="23">
        <v>42675</v>
      </c>
      <c r="BW45" s="23">
        <v>42705</v>
      </c>
      <c r="BX45" s="23">
        <v>42736</v>
      </c>
      <c r="BY45" s="23">
        <v>42767</v>
      </c>
      <c r="BZ45" s="23">
        <v>42795</v>
      </c>
      <c r="CA45" s="23">
        <v>42826</v>
      </c>
      <c r="CB45" s="23">
        <v>42856</v>
      </c>
      <c r="CC45" s="23">
        <v>42887</v>
      </c>
      <c r="CD45" s="23">
        <v>42917</v>
      </c>
      <c r="CE45" s="23">
        <v>42948</v>
      </c>
      <c r="CF45" s="23">
        <v>42979</v>
      </c>
      <c r="CG45" s="23">
        <v>43009</v>
      </c>
      <c r="CH45" s="23">
        <v>43040</v>
      </c>
      <c r="CI45" s="23">
        <v>43070</v>
      </c>
      <c r="CJ45" s="23">
        <v>43101</v>
      </c>
      <c r="CK45" s="23">
        <v>43132</v>
      </c>
      <c r="CL45" s="23">
        <v>43160</v>
      </c>
      <c r="CM45" s="23">
        <v>43191</v>
      </c>
      <c r="CN45" s="23">
        <v>43221</v>
      </c>
      <c r="CO45" s="23">
        <v>43252</v>
      </c>
      <c r="CP45" s="23">
        <v>43282</v>
      </c>
      <c r="CQ45" s="23">
        <v>43313</v>
      </c>
      <c r="CR45" s="23">
        <v>43344</v>
      </c>
      <c r="CS45" s="23">
        <v>43374</v>
      </c>
      <c r="CT45" s="23">
        <v>43405</v>
      </c>
      <c r="CU45" s="23">
        <v>43435</v>
      </c>
      <c r="CV45" s="23">
        <v>43466</v>
      </c>
      <c r="CW45" s="23">
        <v>43497</v>
      </c>
      <c r="CX45" s="23">
        <v>43525</v>
      </c>
      <c r="CY45" s="23">
        <v>43556</v>
      </c>
      <c r="CZ45" s="23">
        <v>43586</v>
      </c>
      <c r="DA45" s="23">
        <v>43617</v>
      </c>
      <c r="DB45" s="23">
        <v>43647</v>
      </c>
      <c r="DC45" s="23">
        <v>43678</v>
      </c>
      <c r="DD45" s="23">
        <v>43709</v>
      </c>
      <c r="DE45" s="23">
        <v>43739</v>
      </c>
      <c r="DF45" s="23">
        <v>43770</v>
      </c>
      <c r="DG45" s="23">
        <v>43800</v>
      </c>
      <c r="DH45" s="23">
        <v>43831</v>
      </c>
      <c r="DI45" s="23">
        <v>43862</v>
      </c>
      <c r="DJ45" s="23">
        <v>43891</v>
      </c>
      <c r="DK45" s="23">
        <v>43922</v>
      </c>
      <c r="DL45" s="23">
        <v>43952</v>
      </c>
      <c r="DM45" s="23">
        <v>43983</v>
      </c>
      <c r="DN45" s="23">
        <v>44013</v>
      </c>
      <c r="DO45" s="23">
        <v>44044</v>
      </c>
      <c r="DP45" s="23">
        <v>44075</v>
      </c>
      <c r="DQ45" s="23">
        <v>44105</v>
      </c>
      <c r="DR45" s="23">
        <v>44136</v>
      </c>
      <c r="DS45" s="23">
        <v>44166</v>
      </c>
      <c r="DT45" s="23">
        <v>44197</v>
      </c>
      <c r="DU45" s="23">
        <v>44228</v>
      </c>
      <c r="DV45" s="23">
        <v>44256</v>
      </c>
      <c r="DW45" s="23">
        <v>44287</v>
      </c>
      <c r="DX45" s="23">
        <v>44317</v>
      </c>
      <c r="DY45" s="23">
        <v>44348</v>
      </c>
      <c r="DZ45" s="23">
        <v>44378</v>
      </c>
      <c r="EA45" s="23">
        <v>44409</v>
      </c>
      <c r="EB45" s="23">
        <v>44440</v>
      </c>
      <c r="EC45" s="23">
        <v>44470</v>
      </c>
      <c r="ED45" s="23">
        <v>44501</v>
      </c>
      <c r="EE45" s="23">
        <v>44531</v>
      </c>
      <c r="EF45" s="23">
        <v>44562</v>
      </c>
      <c r="EG45" s="23">
        <v>44593</v>
      </c>
      <c r="EH45" s="23">
        <v>44621</v>
      </c>
      <c r="EI45" s="23">
        <v>44652</v>
      </c>
      <c r="EJ45" s="23">
        <v>44682</v>
      </c>
      <c r="EK45" s="23">
        <v>44713</v>
      </c>
      <c r="EL45" s="23">
        <v>44743</v>
      </c>
      <c r="EM45" s="23">
        <v>44774</v>
      </c>
      <c r="EN45" s="23">
        <v>44805</v>
      </c>
      <c r="EO45" s="23">
        <v>44835</v>
      </c>
      <c r="EP45" s="23">
        <v>44866</v>
      </c>
      <c r="EQ45" s="23">
        <v>44896</v>
      </c>
      <c r="ER45" s="23">
        <v>44927</v>
      </c>
      <c r="ES45" s="23">
        <v>44958</v>
      </c>
      <c r="ET45" s="23">
        <v>44986</v>
      </c>
      <c r="EU45" s="23">
        <v>45017</v>
      </c>
      <c r="EV45" s="23">
        <v>45047</v>
      </c>
      <c r="EW45" s="23">
        <v>45078</v>
      </c>
      <c r="EX45" s="23">
        <v>45108</v>
      </c>
      <c r="EY45" s="23">
        <v>45139</v>
      </c>
      <c r="EZ45" s="23">
        <v>45170</v>
      </c>
      <c r="FA45" s="23">
        <v>45200</v>
      </c>
      <c r="FB45" s="23">
        <v>45231</v>
      </c>
      <c r="FC45" s="23">
        <v>45261</v>
      </c>
      <c r="FD45" s="23">
        <v>45292</v>
      </c>
      <c r="FE45" s="23">
        <v>45323</v>
      </c>
      <c r="FF45" s="23">
        <v>45352</v>
      </c>
      <c r="FG45" s="23">
        <v>45383</v>
      </c>
      <c r="FH45" s="23">
        <v>45413</v>
      </c>
      <c r="FI45" s="23">
        <v>45444</v>
      </c>
      <c r="FJ45" s="23">
        <v>45474</v>
      </c>
      <c r="FK45" s="23">
        <v>45505</v>
      </c>
      <c r="FL45" s="23">
        <v>45536</v>
      </c>
      <c r="FM45" s="23">
        <v>45566</v>
      </c>
      <c r="FN45" s="23">
        <v>45597</v>
      </c>
      <c r="FO45" s="23">
        <v>45627</v>
      </c>
      <c r="FP45" s="23">
        <v>45658</v>
      </c>
      <c r="FQ45" s="23">
        <v>45689</v>
      </c>
      <c r="FR45" s="23">
        <v>45717</v>
      </c>
    </row>
    <row r="46" spans="1:174" s="19" customFormat="1" ht="10.199999999999999" x14ac:dyDescent="0.2">
      <c r="A46" s="11" t="s">
        <v>9</v>
      </c>
      <c r="B46" s="1" t="s">
        <v>256</v>
      </c>
      <c r="C46" s="8">
        <v>616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 t="str">
        <f>IF(OR(IPC!P5="",IPC!D5=""),"",IPC!P5/IPC!D5-1)</f>
        <v/>
      </c>
      <c r="Q46" s="35" t="str">
        <f>IF(OR(IPC!Q5="",IPC!E5=""),"",IPC!Q5/IPC!E5-1)</f>
        <v/>
      </c>
      <c r="R46" s="35" t="str">
        <f>IF(OR(IPC!R5="",IPC!F5=""),"",IPC!R5/IPC!F5-1)</f>
        <v/>
      </c>
      <c r="S46" s="35" t="str">
        <f>IF(OR(IPC!S5="",IPC!G5=""),"",IPC!S5/IPC!G5-1)</f>
        <v/>
      </c>
      <c r="T46" s="35" t="str">
        <f>IF(OR(IPC!T5="",IPC!H5=""),"",IPC!T5/IPC!H5-1)</f>
        <v/>
      </c>
      <c r="U46" s="35" t="str">
        <f>IF(OR(IPC!U5="",IPC!I5=""),"",IPC!U5/IPC!I5-1)</f>
        <v/>
      </c>
      <c r="V46" s="35" t="str">
        <f>IF(OR(IPC!V5="",IPC!J5=""),"",IPC!V5/IPC!J5-1)</f>
        <v/>
      </c>
      <c r="W46" s="35" t="str">
        <f>IF(OR(IPC!W5="",IPC!K5=""),"",IPC!W5/IPC!K5-1)</f>
        <v/>
      </c>
      <c r="X46" s="35" t="str">
        <f>IF(OR(IPC!X5="",IPC!L5=""),"",IPC!X5/IPC!L5-1)</f>
        <v/>
      </c>
      <c r="Y46" s="35" t="str">
        <f>IF(OR(IPC!Y5="",IPC!M5=""),"",IPC!Y5/IPC!M5-1)</f>
        <v/>
      </c>
      <c r="Z46" s="35" t="str">
        <f>IF(OR(IPC!Z5="",IPC!N5=""),"",IPC!Z5/IPC!N5-1)</f>
        <v/>
      </c>
      <c r="AA46" s="35" t="str">
        <f>IF(OR(IPC!AA5="",IPC!O5=""),"",IPC!AA5/IPC!O5-1)</f>
        <v/>
      </c>
      <c r="AB46" s="35">
        <f>IF(OR(IPC!AB5="",IPC!P5=""),"",IPC!AB5/IPC!P5-1)</f>
        <v>4.9709342020430425E-2</v>
      </c>
      <c r="AC46" s="35">
        <f>IF(OR(IPC!AC5="",IPC!Q5=""),"",IPC!AC5/IPC!Q5-1)</f>
        <v>4.1598224422774388E-2</v>
      </c>
      <c r="AD46" s="35">
        <f>IF(OR(IPC!AD5="",IPC!R5=""),"",IPC!AD5/IPC!R5-1)</f>
        <v>3.7186445943615976E-2</v>
      </c>
      <c r="AE46" s="35">
        <f>IF(OR(IPC!AE5="",IPC!S5=""),"",IPC!AE5/IPC!S5-1)</f>
        <v>2.895549921025653E-2</v>
      </c>
      <c r="AF46" s="35">
        <f>IF(OR(IPC!AF5="",IPC!T5=""),"",IPC!AF5/IPC!T5-1)</f>
        <v>2.7347957718220739E-2</v>
      </c>
      <c r="AG46" s="35">
        <f>IF(OR(IPC!AG5="",IPC!U5=""),"",IPC!AG5/IPC!U5-1)</f>
        <v>3.0771186552734697E-2</v>
      </c>
      <c r="AH46" s="35">
        <f>IF(OR(IPC!AH5="",IPC!V5=""),"",IPC!AH5/IPC!V5-1)</f>
        <v>2.8294280779208592E-2</v>
      </c>
      <c r="AI46" s="35">
        <f>IF(OR(IPC!AI5="",IPC!W5=""),"",IPC!AI5/IPC!W5-1)</f>
        <v>2.6492022473898924E-2</v>
      </c>
      <c r="AJ46" s="35">
        <f>IF(OR(IPC!AJ5="",IPC!X5=""),"",IPC!AJ5/IPC!X5-1)</f>
        <v>2.7627063312735345E-2</v>
      </c>
      <c r="AK46" s="35">
        <f>IF(OR(IPC!AK5="",IPC!Y5=""),"",IPC!AK5/IPC!Y5-1)</f>
        <v>3.0853304830571249E-2</v>
      </c>
      <c r="AL46" s="35">
        <f>IF(OR(IPC!AL5="",IPC!Z5=""),"",IPC!AL5/IPC!Z5-1)</f>
        <v>4.0618878795201985E-2</v>
      </c>
      <c r="AM46" s="35">
        <f>IF(OR(IPC!AM5="",IPC!AA5=""),"",IPC!AM5/IPC!AA5-1)</f>
        <v>2.2151965309118671E-2</v>
      </c>
      <c r="AN46" s="35">
        <f>IF(OR(IPC!AN5="",IPC!AB5=""),"",IPC!AN5/IPC!AB5-1)</f>
        <v>1.0607062081461338E-2</v>
      </c>
      <c r="AO46" s="35">
        <f>IF(OR(IPC!AO5="",IPC!AC5=""),"",IPC!AO5/IPC!AC5-1)</f>
        <v>1.7313844343633367E-2</v>
      </c>
      <c r="AP46" s="35">
        <f>IF(OR(IPC!AP5="",IPC!AD5=""),"",IPC!AP5/IPC!AD5-1)</f>
        <v>1.4666542844901542E-2</v>
      </c>
      <c r="AQ46" s="35">
        <f>IF(OR(IPC!AQ5="",IPC!AE5=""),"",IPC!AQ5/IPC!AE5-1)</f>
        <v>1.0881381466715467E-2</v>
      </c>
      <c r="AR46" s="35">
        <f>IF(OR(IPC!AR5="",IPC!AF5=""),"",IPC!AR5/IPC!AF5-1)</f>
        <v>1.3716545826953475E-2</v>
      </c>
      <c r="AS46" s="35">
        <f>IF(OR(IPC!AS5="",IPC!AG5=""),"",IPC!AS5/IPC!AG5-1)</f>
        <v>3.0810022577387741E-3</v>
      </c>
      <c r="AT46" s="35">
        <f>IF(OR(IPC!AT5="",IPC!AH5=""),"",IPC!AT5/IPC!AH5-1)</f>
        <v>1.6801461138445051E-2</v>
      </c>
      <c r="AU46" s="35">
        <f>IF(OR(IPC!AU5="",IPC!AI5=""),"",IPC!AU5/IPC!AI5-1)</f>
        <v>6.5179715014569428E-3</v>
      </c>
      <c r="AV46" s="35">
        <f>IF(OR(IPC!AV5="",IPC!AJ5=""),"",IPC!AV5/IPC!AJ5-1)</f>
        <v>3.3831137069775252E-3</v>
      </c>
      <c r="AW46" s="35">
        <f>IF(OR(IPC!AW5="",IPC!AK5=""),"",IPC!AW5/IPC!AK5-1)</f>
        <v>-4.8297822994378681E-3</v>
      </c>
      <c r="AX46" s="35">
        <f>IF(OR(IPC!AX5="",IPC!AL5=""),"",IPC!AX5/IPC!AL5-1)</f>
        <v>-2.3890034813561778E-3</v>
      </c>
      <c r="AY46" s="35">
        <f>IF(OR(IPC!AY5="",IPC!AM5=""),"",IPC!AY5/IPC!AM5-1)</f>
        <v>2.0886147068857053E-3</v>
      </c>
      <c r="AZ46" s="35">
        <f>IF(OR(IPC!AZ5="",IPC!AN5=""),"",IPC!AZ5/IPC!AN5-1)</f>
        <v>8.5435132426125993E-3</v>
      </c>
      <c r="BA46" s="35">
        <f>IF(OR(IPC!BA5="",IPC!AO5=""),"",IPC!BA5/IPC!AO5-1)</f>
        <v>1.1442011874277069E-2</v>
      </c>
      <c r="BB46" s="35">
        <f>IF(OR(IPC!BB5="",IPC!AP5=""),"",IPC!BB5/IPC!AP5-1)</f>
        <v>9.6111568678272086E-3</v>
      </c>
      <c r="BC46" s="35">
        <f>IF(OR(IPC!BC5="",IPC!AQ5=""),"",IPC!BC5/IPC!AQ5-1)</f>
        <v>2.5325164902964659E-2</v>
      </c>
      <c r="BD46" s="35">
        <f>IF(OR(IPC!BD5="",IPC!AR5=""),"",IPC!BD5/IPC!AR5-1)</f>
        <v>1.9580800886927374E-2</v>
      </c>
      <c r="BE46" s="35">
        <f>IF(OR(IPC!BE5="",IPC!AS5=""),"",IPC!BE5/IPC!AS5-1)</f>
        <v>2.9427785178229193E-2</v>
      </c>
      <c r="BF46" s="35">
        <f>IF(OR(IPC!BF5="",IPC!AT5=""),"",IPC!BF5/IPC!AT5-1)</f>
        <v>2.8524880092213101E-2</v>
      </c>
      <c r="BG46" s="35">
        <f>IF(OR(IPC!BG5="",IPC!AU5=""),"",IPC!BG5/IPC!AU5-1)</f>
        <v>2.1778872243139347E-2</v>
      </c>
      <c r="BH46" s="35">
        <f>IF(OR(IPC!BH5="",IPC!AV5=""),"",IPC!BH5/IPC!AV5-1)</f>
        <v>2.6412630305341356E-2</v>
      </c>
      <c r="BI46" s="35">
        <f>IF(OR(IPC!BI5="",IPC!AW5=""),"",IPC!BI5/IPC!AW5-1)</f>
        <v>3.1321186447371696E-2</v>
      </c>
      <c r="BJ46" s="35">
        <f>IF(OR(IPC!BJ5="",IPC!AX5=""),"",IPC!BJ5/IPC!AX5-1)</f>
        <v>1.6290891207951796E-2</v>
      </c>
      <c r="BK46" s="35">
        <f>IF(OR(IPC!BK5="",IPC!AY5=""),"",IPC!BK5/IPC!AY5-1)</f>
        <v>1.6192110018919292E-2</v>
      </c>
      <c r="BL46" s="35">
        <f>IF(OR(IPC!BL5="",IPC!AZ5=""),"",IPC!BL5/IPC!AZ5-1)</f>
        <v>1.8246944608629079E-2</v>
      </c>
      <c r="BM46" s="35">
        <f>IF(OR(IPC!BM5="",IPC!BA5=""),"",IPC!BM5/IPC!BA5-1)</f>
        <v>1.9215485295888346E-2</v>
      </c>
      <c r="BN46" s="35">
        <f>IF(OR(IPC!BN5="",IPC!BB5=""),"",IPC!BN5/IPC!BB5-1)</f>
        <v>2.0942862482666413E-2</v>
      </c>
      <c r="BO46" s="35">
        <f>IF(OR(IPC!BO5="",IPC!BC5=""),"",IPC!BO5/IPC!BC5-1)</f>
        <v>1.5907807550784359E-2</v>
      </c>
      <c r="BP46" s="35">
        <f>IF(OR(IPC!BP5="",IPC!BD5=""),"",IPC!BP5/IPC!BD5-1)</f>
        <v>2.4783994925733133E-2</v>
      </c>
      <c r="BQ46" s="35">
        <f>IF(OR(IPC!BQ5="",IPC!BE5=""),"",IPC!BQ5/IPC!BE5-1)</f>
        <v>1.5052989147959606E-2</v>
      </c>
      <c r="BR46" s="35">
        <f>IF(OR(IPC!BR5="",IPC!BF5=""),"",IPC!BR5/IPC!BF5-1)</f>
        <v>4.0487960405755086E-3</v>
      </c>
      <c r="BS46" s="35">
        <f>IF(OR(IPC!BS5="",IPC!BG5=""),"",IPC!BS5/IPC!BG5-1)</f>
        <v>1.29878894454174E-2</v>
      </c>
      <c r="BT46" s="35">
        <f>IF(OR(IPC!BT5="",IPC!BH5=""),"",IPC!BT5/IPC!BH5-1)</f>
        <v>9.212358459919967E-3</v>
      </c>
      <c r="BU46" s="35">
        <f>IF(OR(IPC!BU5="",IPC!BI5=""),"",IPC!BU5/IPC!BI5-1)</f>
        <v>-6.1586488518704519E-3</v>
      </c>
      <c r="BV46" s="35">
        <f>IF(OR(IPC!BV5="",IPC!BJ5=""),"",IPC!BV5/IPC!BJ5-1)</f>
        <v>2.4573470392643681E-3</v>
      </c>
      <c r="BW46" s="35">
        <f>IF(OR(IPC!BW5="",IPC!BK5=""),"",IPC!BW5/IPC!BK5-1)</f>
        <v>-6.0783684448441067E-3</v>
      </c>
      <c r="BX46" s="35">
        <f>IF(OR(IPC!BX5="",IPC!BL5=""),"",IPC!BX5/IPC!BL5-1)</f>
        <v>-6.8398541362982845E-3</v>
      </c>
      <c r="BY46" s="35">
        <f>IF(OR(IPC!BY5="",IPC!BM5=""),"",IPC!BY5/IPC!BM5-1)</f>
        <v>-7.6316882663287622E-3</v>
      </c>
      <c r="BZ46" s="35">
        <f>IF(OR(IPC!BZ5="",IPC!BN5=""),"",IPC!BZ5/IPC!BN5-1)</f>
        <v>-6.4077539292966001E-3</v>
      </c>
      <c r="CA46" s="35">
        <f>IF(OR(IPC!CA5="",IPC!BO5=""),"",IPC!CA5/IPC!BO5-1)</f>
        <v>4.12295210921787E-4</v>
      </c>
      <c r="CB46" s="35">
        <f>IF(OR(IPC!CB5="",IPC!BP5=""),"",IPC!CB5/IPC!BP5-1)</f>
        <v>-8.5805443158684103E-3</v>
      </c>
      <c r="CC46" s="35">
        <f>IF(OR(IPC!CC5="",IPC!BQ5=""),"",IPC!CC5/IPC!BQ5-1)</f>
        <v>-4.3537794353447623E-3</v>
      </c>
      <c r="CD46" s="35">
        <f>IF(OR(IPC!CD5="",IPC!BR5=""),"",IPC!CD5/IPC!BR5-1)</f>
        <v>-3.8106249337599429E-3</v>
      </c>
      <c r="CE46" s="35">
        <f>IF(OR(IPC!CE5="",IPC!BS5=""),"",IPC!CE5/IPC!BS5-1)</f>
        <v>2.9058263680918905E-3</v>
      </c>
      <c r="CF46" s="35">
        <f>IF(OR(IPC!CF5="",IPC!BT5=""),"",IPC!CF5/IPC!BT5-1)</f>
        <v>5.2628451439988844E-3</v>
      </c>
      <c r="CG46" s="35">
        <f>IF(OR(IPC!CG5="",IPC!BU5=""),"",IPC!CG5/IPC!BU5-1)</f>
        <v>8.7909868632518595E-3</v>
      </c>
      <c r="CH46" s="35">
        <f>IF(OR(IPC!CH5="",IPC!BV5=""),"",IPC!CH5/IPC!BV5-1)</f>
        <v>8.6831836467644585E-3</v>
      </c>
      <c r="CI46" s="35">
        <f>IF(OR(IPC!CI5="",IPC!BW5=""),"",IPC!CI5/IPC!BW5-1)</f>
        <v>1.3472969621912689E-2</v>
      </c>
      <c r="CJ46" s="35">
        <f>IF(OR(IPC!CJ5="",IPC!BX5=""),"",IPC!CJ5/IPC!BX5-1)</f>
        <v>1.3922307326153183E-2</v>
      </c>
      <c r="CK46" s="35">
        <f>IF(OR(IPC!CK5="",IPC!BY5=""),"",IPC!CK5/IPC!BY5-1)</f>
        <v>1.2735646890271068E-2</v>
      </c>
      <c r="CL46" s="35">
        <f>IF(OR(IPC!CL5="",IPC!BZ5=""),"",IPC!CL5/IPC!BZ5-1)</f>
        <v>1.6767939495591522E-2</v>
      </c>
      <c r="CM46" s="35">
        <f>IF(OR(IPC!CM5="",IPC!CA5=""),"",IPC!CM5/IPC!CA5-1)</f>
        <v>1.1935771120131555E-2</v>
      </c>
      <c r="CN46" s="35">
        <f>IF(OR(IPC!CN5="",IPC!CB5=""),"",IPC!CN5/IPC!CB5-1)</f>
        <v>1.1861252197896022E-2</v>
      </c>
      <c r="CO46" s="35">
        <f>IF(OR(IPC!CO5="",IPC!CC5=""),"",IPC!CO5/IPC!CC5-1)</f>
        <v>1.0227445082499509E-2</v>
      </c>
      <c r="CP46" s="35">
        <f>IF(OR(IPC!CP5="",IPC!CD5=""),"",IPC!CP5/IPC!CD5-1)</f>
        <v>5.9831417780646934E-3</v>
      </c>
      <c r="CQ46" s="35">
        <f>IF(OR(IPC!CQ5="",IPC!CE5=""),"",IPC!CQ5/IPC!CE5-1)</f>
        <v>-2.2608324202343377E-3</v>
      </c>
      <c r="CR46" s="35">
        <f>IF(OR(IPC!CR5="",IPC!CF5=""),"",IPC!CR5/IPC!CF5-1)</f>
        <v>3.4429294659765741E-3</v>
      </c>
      <c r="CS46" s="35">
        <f>IF(OR(IPC!CS5="",IPC!CG5=""),"",IPC!CS5/IPC!CG5-1)</f>
        <v>1.8850192081086847E-2</v>
      </c>
      <c r="CT46" s="35">
        <f>IF(OR(IPC!CT5="",IPC!CH5=""),"",IPC!CT5/IPC!CH5-1)</f>
        <v>2.0464894613135387E-2</v>
      </c>
      <c r="CU46" s="35">
        <f>IF(OR(IPC!CU5="",IPC!CI5=""),"",IPC!CU5/IPC!CI5-1)</f>
        <v>2.1948061339305047E-2</v>
      </c>
      <c r="CV46" s="35">
        <f>IF(OR(IPC!CV5="",IPC!CJ5=""),"",IPC!CV5/IPC!CJ5-1)</f>
        <v>1.96989715369007E-2</v>
      </c>
      <c r="CW46" s="35">
        <f>IF(OR(IPC!CW5="",IPC!CK5=""),"",IPC!CW5/IPC!CK5-1)</f>
        <v>2.8982488525776118E-2</v>
      </c>
      <c r="CX46" s="35">
        <f>IF(OR(IPC!CX5="",IPC!CL5=""),"",IPC!CX5/IPC!CL5-1)</f>
        <v>3.0495323683909836E-2</v>
      </c>
      <c r="CY46" s="35">
        <f>IF(OR(IPC!CY5="",IPC!CM5=""),"",IPC!CY5/IPC!CM5-1)</f>
        <v>2.7307979834436669E-2</v>
      </c>
      <c r="CZ46" s="35">
        <f>IF(OR(IPC!CZ5="",IPC!CN5=""),"",IPC!CZ5/IPC!CN5-1)</f>
        <v>2.3351826830988687E-2</v>
      </c>
      <c r="DA46" s="35">
        <f>IF(OR(IPC!DA5="",IPC!CO5=""),"",IPC!DA5/IPC!CO5-1)</f>
        <v>3.1153184763001329E-2</v>
      </c>
      <c r="DB46" s="35">
        <f>IF(OR(IPC!DB5="",IPC!CP5=""),"",IPC!DB5/IPC!CP5-1)</f>
        <v>3.8878578782349571E-2</v>
      </c>
      <c r="DC46" s="35">
        <f>IF(OR(IPC!DC5="",IPC!CQ5=""),"",IPC!DC5/IPC!CQ5-1)</f>
        <v>3.8256416713701169E-2</v>
      </c>
      <c r="DD46" s="35">
        <f>IF(OR(IPC!DD5="",IPC!CR5=""),"",IPC!DD5/IPC!CR5-1)</f>
        <v>3.2143987451272782E-2</v>
      </c>
      <c r="DE46" s="35">
        <f>IF(OR(IPC!DE5="",IPC!CS5=""),"",IPC!DE5/IPC!CS5-1)</f>
        <v>2.4498497349205728E-2</v>
      </c>
      <c r="DF46" s="35">
        <f>IF(OR(IPC!DF5="",IPC!CT5=""),"",IPC!DF5/IPC!CT5-1)</f>
        <v>2.5795359391872497E-2</v>
      </c>
      <c r="DG46" s="35">
        <f>IF(OR(IPC!DG5="",IPC!CU5=""),"",IPC!DG5/IPC!CU5-1)</f>
        <v>2.7423580127251102E-2</v>
      </c>
      <c r="DH46" s="35">
        <f>IF(OR(IPC!DH5="",IPC!CV5=""),"",IPC!DH5/IPC!CV5-1)</f>
        <v>4.0141622827335244E-2</v>
      </c>
      <c r="DI46" s="35">
        <f>IF(OR(IPC!DI5="",IPC!CW5=""),"",IPC!DI5/IPC!CW5-1)</f>
        <v>3.232493401955927E-2</v>
      </c>
      <c r="DJ46" s="35">
        <f>IF(OR(IPC!DJ5="",IPC!CX5=""),"",IPC!DJ5/IPC!CX5-1)</f>
        <v>3.4841506189807747E-2</v>
      </c>
      <c r="DK46" s="35">
        <f>IF(OR(IPC!DK5="",IPC!CY5=""),"",IPC!DK5/IPC!CY5-1)</f>
        <v>2.5656842124271106E-2</v>
      </c>
      <c r="DL46" s="35">
        <f>IF(OR(IPC!DL5="",IPC!CZ5=""),"",IPC!DL5/IPC!CZ5-1)</f>
        <v>2.9823128551779154E-2</v>
      </c>
      <c r="DM46" s="35">
        <f>IF(OR(IPC!DM5="",IPC!DA5=""),"",IPC!DM5/IPC!DA5-1)</f>
        <v>3.3021772267229021E-2</v>
      </c>
      <c r="DN46" s="35">
        <f>IF(OR(IPC!DN5="",IPC!DB5=""),"",IPC!DN5/IPC!DB5-1)</f>
        <v>4.0678241595722531E-2</v>
      </c>
      <c r="DO46" s="35">
        <f>IF(OR(IPC!DO5="",IPC!DC5=""),"",IPC!DO5/IPC!DC5-1)</f>
        <v>4.1191104378213828E-2</v>
      </c>
      <c r="DP46" s="35">
        <f>IF(OR(IPC!DP5="",IPC!DD5=""),"",IPC!DP5/IPC!DD5-1)</f>
        <v>3.7410007161368775E-2</v>
      </c>
      <c r="DQ46" s="35">
        <f>IF(OR(IPC!DQ5="",IPC!DE5=""),"",IPC!DQ5/IPC!DE5-1)</f>
        <v>4.0975106974387554E-2</v>
      </c>
      <c r="DR46" s="35">
        <f>IF(OR(IPC!DR5="",IPC!DF5=""),"",IPC!DR5/IPC!DF5-1)</f>
        <v>3.5808439241747259E-2</v>
      </c>
      <c r="DS46" s="35">
        <f>IF(OR(IPC!DS5="",IPC!DG5=""),"",IPC!DS5/IPC!DG5-1)</f>
        <v>3.4870043018514485E-2</v>
      </c>
      <c r="DT46" s="35">
        <f>IF(OR(IPC!DT5="",IPC!DH5=""),"",IPC!DT5/IPC!DH5-1)</f>
        <v>2.6615654156457946E-2</v>
      </c>
      <c r="DU46" s="35">
        <f>IF(OR(IPC!DU5="",IPC!DI5=""),"",IPC!DU5/IPC!DI5-1)</f>
        <v>2.7960776426422029E-2</v>
      </c>
      <c r="DV46" s="35">
        <f>IF(OR(IPC!DV5="",IPC!DJ5=""),"",IPC!DV5/IPC!DJ5-1)</f>
        <v>2.9449111203398548E-2</v>
      </c>
      <c r="DW46" s="35">
        <f>IF(OR(IPC!DW5="",IPC!DK5=""),"",IPC!DW5/IPC!DK5-1)</f>
        <v>4.0684504181846437E-2</v>
      </c>
      <c r="DX46" s="35">
        <f>IF(OR(IPC!DX5="",IPC!DL5=""),"",IPC!DX5/IPC!DL5-1)</f>
        <v>4.3806190455915717E-2</v>
      </c>
      <c r="DY46" s="35">
        <f>IF(OR(IPC!DY5="",IPC!DM5=""),"",IPC!DY5/IPC!DM5-1)</f>
        <v>4.5474822531191617E-2</v>
      </c>
      <c r="DZ46" s="35">
        <f>IF(OR(IPC!DZ5="",IPC!DN5=""),"",IPC!DZ5/IPC!DN5-1)</f>
        <v>4.4536834560843452E-2</v>
      </c>
      <c r="EA46" s="35">
        <f>IF(OR(IPC!EA5="",IPC!DO5=""),"",IPC!EA5/IPC!DO5-1)</f>
        <v>4.2634387362670889E-2</v>
      </c>
      <c r="EB46" s="35">
        <f>IF(OR(IPC!EB5="",IPC!DP5=""),"",IPC!EB5/IPC!DP5-1)</f>
        <v>4.4811572602798222E-2</v>
      </c>
      <c r="EC46" s="35">
        <f>IF(OR(IPC!EC5="",IPC!DQ5=""),"",IPC!EC5/IPC!DQ5-1)</f>
        <v>4.0724669201046115E-2</v>
      </c>
      <c r="ED46" s="35">
        <f>IF(OR(IPC!ED5="",IPC!DR5=""),"",IPC!ED5/IPC!DR5-1)</f>
        <v>4.6857134199680406E-2</v>
      </c>
      <c r="EE46" s="35">
        <f>IF(OR(IPC!EE5="",IPC!DS5=""),"",IPC!EE5/IPC!DS5-1)</f>
        <v>7.5712763436128538E-2</v>
      </c>
      <c r="EF46" s="35">
        <f>IF(OR(IPC!EF5="",IPC!DT5=""),"",IPC!EF5/IPC!DT5-1)</f>
        <v>8.999362332152594E-2</v>
      </c>
      <c r="EG46" s="35">
        <f>IF(OR(IPC!EG5="",IPC!DU5=""),"",IPC!EG5/IPC!DU5-1)</f>
        <v>9.7691425639794938E-2</v>
      </c>
      <c r="EH46" s="35">
        <f>IF(OR(IPC!EH5="",IPC!DV5=""),"",IPC!EH5/IPC!DV5-1)</f>
        <v>9.8894248805067475E-2</v>
      </c>
      <c r="EI46" s="35">
        <f>IF(OR(IPC!EI5="",IPC!DW5=""),"",IPC!EI5/IPC!DW5-1)</f>
        <v>0.11818514547340975</v>
      </c>
      <c r="EJ46" s="35">
        <f>IF(OR(IPC!EJ5="",IPC!DX5=""),"",IPC!EJ5/IPC!DX5-1)</f>
        <v>0.12196775448897079</v>
      </c>
      <c r="EK46" s="35">
        <f>IF(OR(IPC!EK5="",IPC!DY5=""),"",IPC!EK5/IPC!DY5-1)</f>
        <v>0.11954456925442836</v>
      </c>
      <c r="EL46" s="35">
        <f>IF(OR(IPC!EL5="",IPC!DZ5=""),"",IPC!EL5/IPC!DZ5-1)</f>
        <v>0.12424856170517296</v>
      </c>
      <c r="EM46" s="35">
        <f>IF(OR(IPC!EM5="",IPC!EA5=""),"",IPC!EM5/IPC!EA5-1)</f>
        <v>0.14428156720751417</v>
      </c>
      <c r="EN46" s="35">
        <f>IF(OR(IPC!EN5="",IPC!EB5=""),"",IPC!EN5/IPC!EB5-1)</f>
        <v>0.15438531319623694</v>
      </c>
      <c r="EO46" s="35">
        <f>IF(OR(IPC!EO5="",IPC!EC5=""),"",IPC!EO5/IPC!EC5-1)</f>
        <v>0.15444689740056772</v>
      </c>
      <c r="EP46" s="35">
        <f>IF(OR(IPC!EP5="",IPC!ED5=""),"",IPC!EP5/IPC!ED5-1)</f>
        <v>0.16439976625659858</v>
      </c>
      <c r="EQ46" s="35">
        <f>IF(OR(IPC!EQ5="",IPC!EE5=""),"",IPC!EQ5/IPC!EE5-1)</f>
        <v>0.13700699291068696</v>
      </c>
      <c r="ER46" s="35">
        <f>IF(OR(IPC!ER5="",IPC!EF5=""),"",IPC!ER5/IPC!EF5-1)</f>
        <v>0.13924386893789209</v>
      </c>
      <c r="ES46" s="35">
        <f>IF(OR(IPC!ES5="",IPC!EG5=""),"",IPC!ES5/IPC!EG5-1)</f>
        <v>0.13395618828732769</v>
      </c>
      <c r="ET46" s="35">
        <f>IF(OR(IPC!ET5="",IPC!EH5=""),"",IPC!ET5/IPC!EH5-1)</f>
        <v>0.12639011840071279</v>
      </c>
      <c r="EU46" s="35">
        <f>IF(OR(IPC!EU5="",IPC!EI5=""),"",IPC!EU5/IPC!EI5-1)</f>
        <v>0.11325495372920313</v>
      </c>
      <c r="EV46" s="35">
        <f>IF(OR(IPC!EV5="",IPC!EJ5=""),"",IPC!EV5/IPC!EJ5-1)</f>
        <v>0.11357529791196397</v>
      </c>
      <c r="EW46" s="35">
        <f>IF(OR(IPC!EW5="",IPC!EK5=""),"",IPC!EW5/IPC!EK5-1)</f>
        <v>0.1185829233422917</v>
      </c>
      <c r="EX46" s="35">
        <f>IF(OR(IPC!EX5="",IPC!EL5=""),"",IPC!EX5/IPC!EL5-1)</f>
        <v>0.10983817061865175</v>
      </c>
      <c r="EY46" s="35">
        <f>IF(OR(IPC!EY5="",IPC!EM5=""),"",IPC!EY5/IPC!EM5-1)</f>
        <v>0.10586815117876291</v>
      </c>
      <c r="EZ46" s="35">
        <f>IF(OR(IPC!EZ5="",IPC!EN5=""),"",IPC!EZ5/IPC!EN5-1)</f>
        <v>9.7010322520839187E-2</v>
      </c>
      <c r="FA46" s="35">
        <f>IF(OR(IPC!FA5="",IPC!EO5=""),"",IPC!FA5/IPC!EO5-1)</f>
        <v>9.8115074249741197E-2</v>
      </c>
      <c r="FB46" s="35">
        <f>IF(OR(IPC!FB5="",IPC!EP5=""),"",IPC!FB5/IPC!EP5-1)</f>
        <v>8.0938002865711178E-2</v>
      </c>
      <c r="FC46" s="35">
        <f>IF(OR(IPC!FC5="",IPC!EQ5=""),"",IPC!FC5/IPC!EQ5-1)</f>
        <v>7.1502071659779398E-2</v>
      </c>
      <c r="FD46" s="35">
        <f>IF(OR(IPC!FD5="",IPC!ER5=""),"",IPC!FD5/IPC!ER5-1)</f>
        <v>5.2883677816281116E-2</v>
      </c>
      <c r="FE46" s="35">
        <f>IF(OR(IPC!FE5="",IPC!ES5=""),"",IPC!FE5/IPC!ES5-1)</f>
        <v>5.4901239542906266E-2</v>
      </c>
      <c r="FF46" s="35">
        <f>IF(OR(IPC!FF5="",IPC!ET5=""),"",IPC!FF5/IPC!ET5-1)</f>
        <v>5.9499411859179174E-2</v>
      </c>
      <c r="FG46" s="35">
        <f>IF(OR(IPC!FG5="",IPC!EU5=""),"",IPC!FG5/IPC!EU5-1)</f>
        <v>5.8441835097308381E-2</v>
      </c>
      <c r="FH46" s="35">
        <f>IF(OR(IPC!FH5="",IPC!EV5=""),"",IPC!FH5/IPC!EV5-1)</f>
        <v>5.2875900462539427E-2</v>
      </c>
      <c r="FI46" s="35">
        <f>IF(OR(IPC!FI5="",IPC!EW5=""),"",IPC!FI5/IPC!EW5-1)</f>
        <v>5.1142093170938541E-2</v>
      </c>
      <c r="FJ46" s="35">
        <f>IF(OR(IPC!FJ5="",IPC!EX5=""),"",IPC!FJ5/IPC!EX5-1)</f>
        <v>4.2703686074357039E-2</v>
      </c>
      <c r="FK46" s="35">
        <f>IF(OR(IPC!FK5="",IPC!EY5=""),"",IPC!FK5/IPC!EY5-1)</f>
        <v>4.0616452062049779E-2</v>
      </c>
      <c r="FL46" s="35">
        <f>IF(OR(IPC!FL5="",IPC!EZ5=""),"",IPC!FL5/IPC!EZ5-1)</f>
        <v>5.771848589607198E-2</v>
      </c>
      <c r="FM46" s="35">
        <f>IF(OR(IPC!FM5="",IPC!FA5=""),"",IPC!FM5/IPC!FA5-1)</f>
        <v>5.7477845058571786E-2</v>
      </c>
      <c r="FN46" s="35">
        <f>IF(OR(IPC!FN5="",IPC!FB5=""),"",IPC!FN5/IPC!FB5-1)</f>
        <v>5.8017543331605026E-2</v>
      </c>
      <c r="FO46" s="35">
        <f>IF(OR(IPC!FO5="",IPC!FC5=""),"",IPC!FO5/IPC!FC5-1)</f>
        <v>7.4763646141492668E-2</v>
      </c>
      <c r="FP46" s="35">
        <f>IF(OR(IPC!FP5="",IPC!FD5=""),"",IPC!FP5/IPC!FD5-1)</f>
        <v>7.9322638146167579E-2</v>
      </c>
      <c r="FQ46" s="35">
        <f>IF(OR(IPC!FQ5="",IPC!FE5=""),"",IPC!FQ5/IPC!FE5-1)</f>
        <v>7.2566371681415998E-2</v>
      </c>
      <c r="FR46" s="35">
        <f>IF(OR(IPC!FR5="",IPC!FF5=""),"",IPC!FR5/IPC!FF5-1)</f>
        <v>7.2056239015817258E-2</v>
      </c>
    </row>
    <row r="47" spans="1:174" s="19" customFormat="1" ht="10.199999999999999" x14ac:dyDescent="0.2">
      <c r="A47" s="11"/>
      <c r="B47" s="1" t="s">
        <v>97</v>
      </c>
      <c r="C47" s="8">
        <v>80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 t="str">
        <f>IF(OR(IPC!P6="",IPC!D6=""),"",IPC!P6/IPC!D6-1)</f>
        <v/>
      </c>
      <c r="Q47" s="35" t="str">
        <f>IF(OR(IPC!Q6="",IPC!E6=""),"",IPC!Q6/IPC!E6-1)</f>
        <v/>
      </c>
      <c r="R47" s="35" t="str">
        <f>IF(OR(IPC!R6="",IPC!F6=""),"",IPC!R6/IPC!F6-1)</f>
        <v/>
      </c>
      <c r="S47" s="35" t="str">
        <f>IF(OR(IPC!S6="",IPC!G6=""),"",IPC!S6/IPC!G6-1)</f>
        <v/>
      </c>
      <c r="T47" s="35" t="str">
        <f>IF(OR(IPC!T6="",IPC!H6=""),"",IPC!T6/IPC!H6-1)</f>
        <v/>
      </c>
      <c r="U47" s="35" t="str">
        <f>IF(OR(IPC!U6="",IPC!I6=""),"",IPC!U6/IPC!I6-1)</f>
        <v/>
      </c>
      <c r="V47" s="35" t="str">
        <f>IF(OR(IPC!V6="",IPC!J6=""),"",IPC!V6/IPC!J6-1)</f>
        <v/>
      </c>
      <c r="W47" s="35" t="str">
        <f>IF(OR(IPC!W6="",IPC!K6=""),"",IPC!W6/IPC!K6-1)</f>
        <v/>
      </c>
      <c r="X47" s="35" t="str">
        <f>IF(OR(IPC!X6="",IPC!L6=""),"",IPC!X6/IPC!L6-1)</f>
        <v/>
      </c>
      <c r="Y47" s="35" t="str">
        <f>IF(OR(IPC!Y6="",IPC!M6=""),"",IPC!Y6/IPC!M6-1)</f>
        <v/>
      </c>
      <c r="Z47" s="35" t="str">
        <f>IF(OR(IPC!Z6="",IPC!N6=""),"",IPC!Z6/IPC!N6-1)</f>
        <v/>
      </c>
      <c r="AA47" s="35" t="str">
        <f>IF(OR(IPC!AA6="",IPC!O6=""),"",IPC!AA6/IPC!O6-1)</f>
        <v/>
      </c>
      <c r="AB47" s="35">
        <f>IF(OR(IPC!AB6="",IPC!P6=""),"",IPC!AB6/IPC!P6-1)</f>
        <v>5.017671360383269E-2</v>
      </c>
      <c r="AC47" s="35">
        <f>IF(OR(IPC!AC6="",IPC!Q6=""),"",IPC!AC6/IPC!Q6-1)</f>
        <v>4.1956807515992844E-2</v>
      </c>
      <c r="AD47" s="35">
        <f>IF(OR(IPC!AD6="",IPC!R6=""),"",IPC!AD6/IPC!R6-1)</f>
        <v>3.7638600353911089E-2</v>
      </c>
      <c r="AE47" s="35">
        <f>IF(OR(IPC!AE6="",IPC!S6=""),"",IPC!AE6/IPC!S6-1)</f>
        <v>2.9114542798677867E-2</v>
      </c>
      <c r="AF47" s="35">
        <f>IF(OR(IPC!AF6="",IPC!T6=""),"",IPC!AF6/IPC!T6-1)</f>
        <v>2.7278123683342148E-2</v>
      </c>
      <c r="AG47" s="35">
        <f>IF(OR(IPC!AG6="",IPC!U6=""),"",IPC!AG6/IPC!U6-1)</f>
        <v>3.0874306125574513E-2</v>
      </c>
      <c r="AH47" s="35">
        <f>IF(OR(IPC!AH6="",IPC!V6=""),"",IPC!AH6/IPC!V6-1)</f>
        <v>2.8335201690952605E-2</v>
      </c>
      <c r="AI47" s="35">
        <f>IF(OR(IPC!AI6="",IPC!W6=""),"",IPC!AI6/IPC!W6-1)</f>
        <v>2.6622626582025521E-2</v>
      </c>
      <c r="AJ47" s="35">
        <f>IF(OR(IPC!AJ6="",IPC!X6=""),"",IPC!AJ6/IPC!X6-1)</f>
        <v>2.8081398810469116E-2</v>
      </c>
      <c r="AK47" s="35">
        <f>IF(OR(IPC!AK6="",IPC!Y6=""),"",IPC!AK6/IPC!Y6-1)</f>
        <v>3.1253495698458922E-2</v>
      </c>
      <c r="AL47" s="35">
        <f>IF(OR(IPC!AL6="",IPC!Z6=""),"",IPC!AL6/IPC!Z6-1)</f>
        <v>4.1447781877046674E-2</v>
      </c>
      <c r="AM47" s="35">
        <f>IF(OR(IPC!AM6="",IPC!AA6=""),"",IPC!AM6/IPC!AA6-1)</f>
        <v>2.2537443847036709E-2</v>
      </c>
      <c r="AN47" s="35">
        <f>IF(OR(IPC!AN6="",IPC!AB6=""),"",IPC!AN6/IPC!AB6-1)</f>
        <v>1.0958705340046837E-2</v>
      </c>
      <c r="AO47" s="35">
        <f>IF(OR(IPC!AO6="",IPC!AC6=""),"",IPC!AO6/IPC!AC6-1)</f>
        <v>1.7805082438274722E-2</v>
      </c>
      <c r="AP47" s="35">
        <f>IF(OR(IPC!AP6="",IPC!AD6=""),"",IPC!AP6/IPC!AD6-1)</f>
        <v>1.5059308161579965E-2</v>
      </c>
      <c r="AQ47" s="35">
        <f>IF(OR(IPC!AQ6="",IPC!AE6=""),"",IPC!AQ6/IPC!AE6-1)</f>
        <v>1.1134424642053942E-2</v>
      </c>
      <c r="AR47" s="35">
        <f>IF(OR(IPC!AR6="",IPC!AF6=""),"",IPC!AR6/IPC!AF6-1)</f>
        <v>1.4244075710770909E-2</v>
      </c>
      <c r="AS47" s="35">
        <f>IF(OR(IPC!AS6="",IPC!AG6=""),"",IPC!AS6/IPC!AG6-1)</f>
        <v>3.3959134568626315E-3</v>
      </c>
      <c r="AT47" s="35">
        <f>IF(OR(IPC!AT6="",IPC!AH6=""),"",IPC!AT6/IPC!AH6-1)</f>
        <v>1.7112404421738114E-2</v>
      </c>
      <c r="AU47" s="35">
        <f>IF(OR(IPC!AU6="",IPC!AI6=""),"",IPC!AU6/IPC!AI6-1)</f>
        <v>6.4370760141292394E-3</v>
      </c>
      <c r="AV47" s="35">
        <f>IF(OR(IPC!AV6="",IPC!AJ6=""),"",IPC!AV6/IPC!AJ6-1)</f>
        <v>3.227930693414427E-3</v>
      </c>
      <c r="AW47" s="35">
        <f>IF(OR(IPC!AW6="",IPC!AK6=""),"",IPC!AW6/IPC!AK6-1)</f>
        <v>-5.0840468606786482E-3</v>
      </c>
      <c r="AX47" s="35">
        <f>IF(OR(IPC!AX6="",IPC!AL6=""),"",IPC!AX6/IPC!AL6-1)</f>
        <v>-2.7876672991196116E-3</v>
      </c>
      <c r="AY47" s="35">
        <f>IF(OR(IPC!AY6="",IPC!AM6=""),"",IPC!AY6/IPC!AM6-1)</f>
        <v>1.8627685169780861E-3</v>
      </c>
      <c r="AZ47" s="35">
        <f>IF(OR(IPC!AZ6="",IPC!AN6=""),"",IPC!AZ6/IPC!AN6-1)</f>
        <v>8.4503361701460111E-3</v>
      </c>
      <c r="BA47" s="35">
        <f>IF(OR(IPC!BA6="",IPC!AO6=""),"",IPC!BA6/IPC!AO6-1)</f>
        <v>1.1311952532019776E-2</v>
      </c>
      <c r="BB47" s="35">
        <f>IF(OR(IPC!BB6="",IPC!AP6=""),"",IPC!BB6/IPC!AP6-1)</f>
        <v>9.0590201834184203E-3</v>
      </c>
      <c r="BC47" s="35">
        <f>IF(OR(IPC!BC6="",IPC!AQ6=""),"",IPC!BC6/IPC!AQ6-1)</f>
        <v>2.506581101925387E-2</v>
      </c>
      <c r="BD47" s="35">
        <f>IF(OR(IPC!BD6="",IPC!AR6=""),"",IPC!BD6/IPC!AR6-1)</f>
        <v>1.9122276403188421E-2</v>
      </c>
      <c r="BE47" s="35">
        <f>IF(OR(IPC!BE6="",IPC!AS6=""),"",IPC!BE6/IPC!AS6-1)</f>
        <v>2.8963054899420637E-2</v>
      </c>
      <c r="BF47" s="35">
        <f>IF(OR(IPC!BF6="",IPC!AT6=""),"",IPC!BF6/IPC!AT6-1)</f>
        <v>2.816960210513253E-2</v>
      </c>
      <c r="BG47" s="35">
        <f>IF(OR(IPC!BG6="",IPC!AU6=""),"",IPC!BG6/IPC!AU6-1)</f>
        <v>2.1446372368245425E-2</v>
      </c>
      <c r="BH47" s="35">
        <f>IF(OR(IPC!BH6="",IPC!AV6=""),"",IPC!BH6/IPC!AV6-1)</f>
        <v>2.6082153307174449E-2</v>
      </c>
      <c r="BI47" s="35">
        <f>IF(OR(IPC!BI6="",IPC!AW6=""),"",IPC!BI6/IPC!AW6-1)</f>
        <v>3.1139950563805696E-2</v>
      </c>
      <c r="BJ47" s="35">
        <f>IF(OR(IPC!BJ6="",IPC!AX6=""),"",IPC!BJ6/IPC!AX6-1)</f>
        <v>1.595089037682218E-2</v>
      </c>
      <c r="BK47" s="35">
        <f>IF(OR(IPC!BK6="",IPC!AY6=""),"",IPC!BK6/IPC!AY6-1)</f>
        <v>1.5744733379067677E-2</v>
      </c>
      <c r="BL47" s="35">
        <f>IF(OR(IPC!BL6="",IPC!AZ6=""),"",IPC!BL6/IPC!AZ6-1)</f>
        <v>1.7857178752203495E-2</v>
      </c>
      <c r="BM47" s="35">
        <f>IF(OR(IPC!BM6="",IPC!BA6=""),"",IPC!BM6/IPC!BA6-1)</f>
        <v>1.8910862354042601E-2</v>
      </c>
      <c r="BN47" s="35">
        <f>IF(OR(IPC!BN6="",IPC!BB6=""),"",IPC!BN6/IPC!BB6-1)</f>
        <v>2.1139536926926938E-2</v>
      </c>
      <c r="BO47" s="35">
        <f>IF(OR(IPC!BO6="",IPC!BC6=""),"",IPC!BO6/IPC!BC6-1)</f>
        <v>1.6269469830006766E-2</v>
      </c>
      <c r="BP47" s="35">
        <f>IF(OR(IPC!BP6="",IPC!BD6=""),"",IPC!BP6/IPC!BD6-1)</f>
        <v>2.5329613346269708E-2</v>
      </c>
      <c r="BQ47" s="35">
        <f>IF(OR(IPC!BQ6="",IPC!BE6=""),"",IPC!BQ6/IPC!BE6-1)</f>
        <v>1.5489701881291174E-2</v>
      </c>
      <c r="BR47" s="35">
        <f>IF(OR(IPC!BR6="",IPC!BF6=""),"",IPC!BR6/IPC!BF6-1)</f>
        <v>4.2984846365470286E-3</v>
      </c>
      <c r="BS47" s="35">
        <f>IF(OR(IPC!BS6="",IPC!BG6=""),"",IPC!BS6/IPC!BG6-1)</f>
        <v>1.3334524549488247E-2</v>
      </c>
      <c r="BT47" s="35">
        <f>IF(OR(IPC!BT6="",IPC!BH6=""),"",IPC!BT6/IPC!BH6-1)</f>
        <v>9.5642789183865151E-3</v>
      </c>
      <c r="BU47" s="35">
        <f>IF(OR(IPC!BU6="",IPC!BI6=""),"",IPC!BU6/IPC!BI6-1)</f>
        <v>-6.1858740011990765E-3</v>
      </c>
      <c r="BV47" s="35">
        <f>IF(OR(IPC!BV6="",IPC!BJ6=""),"",IPC!BV6/IPC!BJ6-1)</f>
        <v>2.5729649173913405E-3</v>
      </c>
      <c r="BW47" s="35">
        <f>IF(OR(IPC!BW6="",IPC!BK6=""),"",IPC!BW6/IPC!BK6-1)</f>
        <v>-6.1302461937513542E-3</v>
      </c>
      <c r="BX47" s="35">
        <f>IF(OR(IPC!BX6="",IPC!BL6=""),"",IPC!BX6/IPC!BL6-1)</f>
        <v>-7.0057191551713416E-3</v>
      </c>
      <c r="BY47" s="35">
        <f>IF(OR(IPC!BY6="",IPC!BM6=""),"",IPC!BY6/IPC!BM6-1)</f>
        <v>-7.7335993966106686E-3</v>
      </c>
      <c r="BZ47" s="35">
        <f>IF(OR(IPC!BZ6="",IPC!BN6=""),"",IPC!BZ6/IPC!BN6-1)</f>
        <v>-6.4517803708856736E-3</v>
      </c>
      <c r="CA47" s="35">
        <f>IF(OR(IPC!CA6="",IPC!BO6=""),"",IPC!CA6/IPC!BO6-1)</f>
        <v>2.6743489672576004E-4</v>
      </c>
      <c r="CB47" s="35">
        <f>IF(OR(IPC!CB6="",IPC!BP6=""),"",IPC!CB6/IPC!BP6-1)</f>
        <v>-8.8565199499258673E-3</v>
      </c>
      <c r="CC47" s="35">
        <f>IF(OR(IPC!CC6="",IPC!BQ6=""),"",IPC!CC6/IPC!BQ6-1)</f>
        <v>-4.5271131886256422E-3</v>
      </c>
      <c r="CD47" s="35">
        <f>IF(OR(IPC!CD6="",IPC!BR6=""),"",IPC!CD6/IPC!BR6-1)</f>
        <v>-4.0865386077534316E-3</v>
      </c>
      <c r="CE47" s="35">
        <f>IF(OR(IPC!CE6="",IPC!BS6=""),"",IPC!CE6/IPC!BS6-1)</f>
        <v>2.8495178123237874E-3</v>
      </c>
      <c r="CF47" s="35">
        <f>IF(OR(IPC!CF6="",IPC!BT6=""),"",IPC!CF6/IPC!BT6-1)</f>
        <v>5.2436845377417107E-3</v>
      </c>
      <c r="CG47" s="35">
        <f>IF(OR(IPC!CG6="",IPC!BU6=""),"",IPC!CG6/IPC!BU6-1)</f>
        <v>8.8942292826670322E-3</v>
      </c>
      <c r="CH47" s="35">
        <f>IF(OR(IPC!CH6="",IPC!BV6=""),"",IPC!CH6/IPC!BV6-1)</f>
        <v>8.7582782723598651E-3</v>
      </c>
      <c r="CI47" s="35">
        <f>IF(OR(IPC!CI6="",IPC!BW6=""),"",IPC!CI6/IPC!BW6-1)</f>
        <v>1.3628159194610578E-2</v>
      </c>
      <c r="CJ47" s="35">
        <f>IF(OR(IPC!CJ6="",IPC!BX6=""),"",IPC!CJ6/IPC!BX6-1)</f>
        <v>1.4172738750269254E-2</v>
      </c>
      <c r="CK47" s="35">
        <f>IF(OR(IPC!CK6="",IPC!BY6=""),"",IPC!CK6/IPC!BY6-1)</f>
        <v>1.2968763024551855E-2</v>
      </c>
      <c r="CL47" s="35">
        <f>IF(OR(IPC!CL6="",IPC!BZ6=""),"",IPC!CL6/IPC!BZ6-1)</f>
        <v>1.6984562460065522E-2</v>
      </c>
      <c r="CM47" s="35">
        <f>IF(OR(IPC!CM6="",IPC!CA6=""),"",IPC!CM6/IPC!CA6-1)</f>
        <v>1.2045871089836346E-2</v>
      </c>
      <c r="CN47" s="35">
        <f>IF(OR(IPC!CN6="",IPC!CB6=""),"",IPC!CN6/IPC!CB6-1)</f>
        <v>1.1860051044601416E-2</v>
      </c>
      <c r="CO47" s="35">
        <f>IF(OR(IPC!CO6="",IPC!CC6=""),"",IPC!CO6/IPC!CC6-1)</f>
        <v>1.0171125547878246E-2</v>
      </c>
      <c r="CP47" s="35">
        <f>IF(OR(IPC!CP6="",IPC!CD6=""),"",IPC!CP6/IPC!CD6-1)</f>
        <v>5.9718060648907834E-3</v>
      </c>
      <c r="CQ47" s="35">
        <f>IF(OR(IPC!CQ6="",IPC!CE6=""),"",IPC!CQ6/IPC!CE6-1)</f>
        <v>-2.4589371196872545E-3</v>
      </c>
      <c r="CR47" s="35">
        <f>IF(OR(IPC!CR6="",IPC!CF6=""),"",IPC!CR6/IPC!CF6-1)</f>
        <v>3.2487236868081748E-3</v>
      </c>
      <c r="CS47" s="35">
        <f>IF(OR(IPC!CS6="",IPC!CG6=""),"",IPC!CS6/IPC!CG6-1)</f>
        <v>1.8930142948361706E-2</v>
      </c>
      <c r="CT47" s="35">
        <f>IF(OR(IPC!CT6="",IPC!CH6=""),"",IPC!CT6/IPC!CH6-1)</f>
        <v>2.0524300421914221E-2</v>
      </c>
      <c r="CU47" s="35">
        <f>IF(OR(IPC!CU6="",IPC!CI6=""),"",IPC!CU6/IPC!CI6-1)</f>
        <v>2.2045564778705451E-2</v>
      </c>
      <c r="CV47" s="35">
        <f>IF(OR(IPC!CV6="",IPC!CJ6=""),"",IPC!CV6/IPC!CJ6-1)</f>
        <v>1.9785308985481809E-2</v>
      </c>
      <c r="CW47" s="35">
        <f>IF(OR(IPC!CW6="",IPC!CK6=""),"",IPC!CW6/IPC!CK6-1)</f>
        <v>2.9221987201532684E-2</v>
      </c>
      <c r="CX47" s="35">
        <f>IF(OR(IPC!CX6="",IPC!CL6=""),"",IPC!CX6/IPC!CL6-1)</f>
        <v>3.0364791362515575E-2</v>
      </c>
      <c r="CY47" s="35">
        <f>IF(OR(IPC!CY6="",IPC!CM6=""),"",IPC!CY6/IPC!CM6-1)</f>
        <v>2.704949719238714E-2</v>
      </c>
      <c r="CZ47" s="35">
        <f>IF(OR(IPC!CZ6="",IPC!CN6=""),"",IPC!CZ6/IPC!CN6-1)</f>
        <v>2.3099523630937258E-2</v>
      </c>
      <c r="DA47" s="35">
        <f>IF(OR(IPC!DA6="",IPC!CO6=""),"",IPC!DA6/IPC!CO6-1)</f>
        <v>3.1074489119860216E-2</v>
      </c>
      <c r="DB47" s="35">
        <f>IF(OR(IPC!DB6="",IPC!CP6=""),"",IPC!DB6/IPC!CP6-1)</f>
        <v>3.893131328944599E-2</v>
      </c>
      <c r="DC47" s="35">
        <f>IF(OR(IPC!DC6="",IPC!CQ6=""),"",IPC!DC6/IPC!CQ6-1)</f>
        <v>3.8222577069194852E-2</v>
      </c>
      <c r="DD47" s="35">
        <f>IF(OR(IPC!DD6="",IPC!CR6=""),"",IPC!DD6/IPC!CR6-1)</f>
        <v>3.2082408737187373E-2</v>
      </c>
      <c r="DE47" s="35">
        <f>IF(OR(IPC!DE6="",IPC!CS6=""),"",IPC!DE6/IPC!CS6-1)</f>
        <v>2.409288688455069E-2</v>
      </c>
      <c r="DF47" s="35">
        <f>IF(OR(IPC!DF6="",IPC!CT6=""),"",IPC!DF6/IPC!CT6-1)</f>
        <v>2.5494303379959282E-2</v>
      </c>
      <c r="DG47" s="35">
        <f>IF(OR(IPC!DG6="",IPC!CU6=""),"",IPC!DG6/IPC!CU6-1)</f>
        <v>2.7089785191363847E-2</v>
      </c>
      <c r="DH47" s="35">
        <f>IF(OR(IPC!DH6="",IPC!CV6=""),"",IPC!DH6/IPC!CV6-1)</f>
        <v>4.0082533389703912E-2</v>
      </c>
      <c r="DI47" s="35">
        <f>IF(OR(IPC!DI6="",IPC!CW6=""),"",IPC!DI6/IPC!CW6-1)</f>
        <v>3.2133955967933892E-2</v>
      </c>
      <c r="DJ47" s="35">
        <f>IF(OR(IPC!DJ6="",IPC!CX6=""),"",IPC!DJ6/IPC!CX6-1)</f>
        <v>3.5091328870438421E-2</v>
      </c>
      <c r="DK47" s="35">
        <f>IF(OR(IPC!DK6="",IPC!CY6=""),"",IPC!DK6/IPC!CY6-1)</f>
        <v>2.5815065652921687E-2</v>
      </c>
      <c r="DL47" s="35">
        <f>IF(OR(IPC!DL6="",IPC!CZ6=""),"",IPC!DL6/IPC!CZ6-1)</f>
        <v>3.0011515076572959E-2</v>
      </c>
      <c r="DM47" s="35">
        <f>IF(OR(IPC!DM6="",IPC!DA6=""),"",IPC!DM6/IPC!DA6-1)</f>
        <v>3.326887200456019E-2</v>
      </c>
      <c r="DN47" s="35">
        <f>IF(OR(IPC!DN6="",IPC!DB6=""),"",IPC!DN6/IPC!DB6-1)</f>
        <v>4.1057881748340685E-2</v>
      </c>
      <c r="DO47" s="35">
        <f>IF(OR(IPC!DO6="",IPC!DC6=""),"",IPC!DO6/IPC!DC6-1)</f>
        <v>4.1597781814142865E-2</v>
      </c>
      <c r="DP47" s="35">
        <f>IF(OR(IPC!DP6="",IPC!DD6=""),"",IPC!DP6/IPC!DD6-1)</f>
        <v>3.7633235905085716E-2</v>
      </c>
      <c r="DQ47" s="35">
        <f>IF(OR(IPC!DQ6="",IPC!DE6=""),"",IPC!DQ6/IPC!DE6-1)</f>
        <v>4.1451301673725904E-2</v>
      </c>
      <c r="DR47" s="35">
        <f>IF(OR(IPC!DR6="",IPC!DF6=""),"",IPC!DR6/IPC!DF6-1)</f>
        <v>3.6149683121088794E-2</v>
      </c>
      <c r="DS47" s="35">
        <f>IF(OR(IPC!DS6="",IPC!DG6=""),"",IPC!DS6/IPC!DG6-1)</f>
        <v>3.5271729121799655E-2</v>
      </c>
      <c r="DT47" s="35">
        <f>IF(OR(IPC!DT6="",IPC!DH6=""),"",IPC!DT6/IPC!DH6-1)</f>
        <v>2.6829858013013963E-2</v>
      </c>
      <c r="DU47" s="35">
        <f>IF(OR(IPC!DU6="",IPC!DI6=""),"",IPC!DU6/IPC!DI6-1)</f>
        <v>2.8174407514287347E-2</v>
      </c>
      <c r="DV47" s="35">
        <f>IF(OR(IPC!DV6="",IPC!DJ6=""),"",IPC!DV6/IPC!DJ6-1)</f>
        <v>2.9694230777128627E-2</v>
      </c>
      <c r="DW47" s="35">
        <f>IF(OR(IPC!DW6="",IPC!DK6=""),"",IPC!DW6/IPC!DK6-1)</f>
        <v>4.1147826781625874E-2</v>
      </c>
      <c r="DX47" s="35">
        <f>IF(OR(IPC!DX6="",IPC!DL6=""),"",IPC!DX6/IPC!DL6-1)</f>
        <v>4.4357212887488728E-2</v>
      </c>
      <c r="DY47" s="35">
        <f>IF(OR(IPC!DY6="",IPC!DM6=""),"",IPC!DY6/IPC!DM6-1)</f>
        <v>4.6002141522097473E-2</v>
      </c>
      <c r="DZ47" s="35">
        <f>IF(OR(IPC!DZ6="",IPC!DN6=""),"",IPC!DZ6/IPC!DN6-1)</f>
        <v>4.4993886071389433E-2</v>
      </c>
      <c r="EA47" s="35">
        <f>IF(OR(IPC!EA6="",IPC!DO6=""),"",IPC!EA6/IPC!DO6-1)</f>
        <v>4.3041023506549037E-2</v>
      </c>
      <c r="EB47" s="35">
        <f>IF(OR(IPC!EB6="",IPC!DP6=""),"",IPC!EB6/IPC!DP6-1)</f>
        <v>4.5333380099622733E-2</v>
      </c>
      <c r="EC47" s="35">
        <f>IF(OR(IPC!EC6="",IPC!DQ6=""),"",IPC!EC6/IPC!DQ6-1)</f>
        <v>4.1183931779921856E-2</v>
      </c>
      <c r="ED47" s="35">
        <f>IF(OR(IPC!ED6="",IPC!DR6=""),"",IPC!ED6/IPC!DR6-1)</f>
        <v>4.7393157659812557E-2</v>
      </c>
      <c r="EE47" s="35">
        <f>IF(OR(IPC!EE6="",IPC!DS6=""),"",IPC!EE6/IPC!DS6-1)</f>
        <v>7.6739516709652067E-2</v>
      </c>
      <c r="EF47" s="35">
        <f>IF(OR(IPC!EF6="",IPC!DT6=""),"",IPC!EF6/IPC!DT6-1)</f>
        <v>9.12821429194004E-2</v>
      </c>
      <c r="EG47" s="35">
        <f>IF(OR(IPC!EG6="",IPC!DU6=""),"",IPC!EG6/IPC!DU6-1)</f>
        <v>9.8961691128537144E-2</v>
      </c>
      <c r="EH47" s="35">
        <f>IF(OR(IPC!EH6="",IPC!DV6=""),"",IPC!EH6/IPC!DV6-1)</f>
        <v>0.10006986561596887</v>
      </c>
      <c r="EI47" s="35">
        <f>IF(OR(IPC!EI6="",IPC!DW6=""),"",IPC!EI6/IPC!DW6-1)</f>
        <v>0.11974753021035656</v>
      </c>
      <c r="EJ47" s="35">
        <f>IF(OR(IPC!EJ6="",IPC!DX6=""),"",IPC!EJ6/IPC!DX6-1)</f>
        <v>0.12352668688110779</v>
      </c>
      <c r="EK47" s="35">
        <f>IF(OR(IPC!EK6="",IPC!DY6=""),"",IPC!EK6/IPC!DY6-1)</f>
        <v>0.12109681834053898</v>
      </c>
      <c r="EL47" s="35">
        <f>IF(OR(IPC!EL6="",IPC!DZ6=""),"",IPC!EL6/IPC!DZ6-1)</f>
        <v>0.12585625719137128</v>
      </c>
      <c r="EM47" s="35">
        <f>IF(OR(IPC!EM6="",IPC!EA6=""),"",IPC!EM6/IPC!EA6-1)</f>
        <v>0.14622229834672895</v>
      </c>
      <c r="EN47" s="35">
        <f>IF(OR(IPC!EN6="",IPC!EB6=""),"",IPC!EN6/IPC!EB6-1)</f>
        <v>0.15656867070087754</v>
      </c>
      <c r="EO47" s="35">
        <f>IF(OR(IPC!EO6="",IPC!EC6=""),"",IPC!EO6/IPC!EC6-1)</f>
        <v>0.15664021042323983</v>
      </c>
      <c r="EP47" s="35">
        <f>IF(OR(IPC!EP6="",IPC!ED6=""),"",IPC!EP6/IPC!ED6-1)</f>
        <v>0.16672080342442142</v>
      </c>
      <c r="EQ47" s="35">
        <f>IF(OR(IPC!EQ6="",IPC!EE6=""),"",IPC!EQ6/IPC!EE6-1)</f>
        <v>0.13876463724257548</v>
      </c>
      <c r="ER47" s="35">
        <f>IF(OR(IPC!ER6="",IPC!EF6=""),"",IPC!ER6/IPC!EF6-1)</f>
        <v>0.14159358063667637</v>
      </c>
      <c r="ES47" s="35">
        <f>IF(OR(IPC!ES6="",IPC!EG6=""),"",IPC!ES6/IPC!EG6-1)</f>
        <v>0.13675159050759556</v>
      </c>
      <c r="ET47" s="35">
        <f>IF(OR(IPC!ET6="",IPC!EH6=""),"",IPC!ET6/IPC!EH6-1)</f>
        <v>0.12919720985232375</v>
      </c>
      <c r="EU47" s="35">
        <f>IF(OR(IPC!EU6="",IPC!EI6=""),"",IPC!EU6/IPC!EI6-1)</f>
        <v>0.11516767822220686</v>
      </c>
      <c r="EV47" s="35">
        <f>IF(OR(IPC!EV6="",IPC!EJ6=""),"",IPC!EV6/IPC!EJ6-1)</f>
        <v>0.11587790386821895</v>
      </c>
      <c r="EW47" s="35">
        <f>IF(OR(IPC!EW6="",IPC!EK6=""),"",IPC!EW6/IPC!EK6-1)</f>
        <v>0.12146160869963896</v>
      </c>
      <c r="EX47" s="35">
        <f>IF(OR(IPC!EX6="",IPC!EL6=""),"",IPC!EX6/IPC!EL6-1)</f>
        <v>0.11314586328479037</v>
      </c>
      <c r="EY47" s="35">
        <f>IF(OR(IPC!EY6="",IPC!EM6=""),"",IPC!EY6/IPC!EM6-1)</f>
        <v>0.10883816958282333</v>
      </c>
      <c r="EZ47" s="35">
        <f>IF(OR(IPC!EZ6="",IPC!EN6=""),"",IPC!EZ6/IPC!EN6-1)</f>
        <v>9.9783477069002036E-2</v>
      </c>
      <c r="FA47" s="35">
        <f>IF(OR(IPC!FA6="",IPC!EO6=""),"",IPC!FA6/IPC!EO6-1)</f>
        <v>0.10090176241254589</v>
      </c>
      <c r="FB47" s="35">
        <f>IF(OR(IPC!FB6="",IPC!EP6=""),"",IPC!FB6/IPC!EP6-1)</f>
        <v>8.3901323166760022E-2</v>
      </c>
      <c r="FC47" s="35">
        <f>IF(OR(IPC!FC6="",IPC!EQ6=""),"",IPC!FC6/IPC!EQ6-1)</f>
        <v>7.6139284034068444E-2</v>
      </c>
      <c r="FD47" s="35">
        <f>IF(OR(IPC!FD6="",IPC!ER6=""),"",IPC!FD6/IPC!ER6-1)</f>
        <v>5.4358013120899606E-2</v>
      </c>
      <c r="FE47" s="35">
        <f>IF(OR(IPC!FE6="",IPC!ES6=""),"",IPC!FE6/IPC!ES6-1)</f>
        <v>5.5917986952469745E-2</v>
      </c>
      <c r="FF47" s="35">
        <f>IF(OR(IPC!FF6="",IPC!ET6=""),"",IPC!FF6/IPC!ET6-1)</f>
        <v>6.1338289962825421E-2</v>
      </c>
      <c r="FG47" s="35">
        <f>IF(OR(IPC!FG6="",IPC!EU6=""),"",IPC!FG6/IPC!EU6-1)</f>
        <v>6.0606060606060552E-2</v>
      </c>
      <c r="FH47" s="35">
        <f>IF(OR(IPC!FH6="",IPC!EV6=""),"",IPC!FH6/IPC!EV6-1)</f>
        <v>5.4545454545454453E-2</v>
      </c>
      <c r="FI47" s="35">
        <f>IF(OR(IPC!FI6="",IPC!EW6=""),"",IPC!FI6/IPC!EW6-1)</f>
        <v>5.2158273381294862E-2</v>
      </c>
      <c r="FJ47" s="35">
        <f>IF(OR(IPC!FJ6="",IPC!EX6=""),"",IPC!FJ6/IPC!EX6-1)</f>
        <v>4.3672014260249581E-2</v>
      </c>
      <c r="FK47" s="35">
        <f>IF(OR(IPC!FK6="",IPC!EY6=""),"",IPC!FK6/IPC!EY6-1)</f>
        <v>4.1373239436619746E-2</v>
      </c>
      <c r="FL47" s="35">
        <f>IF(OR(IPC!FL6="",IPC!EZ6=""),"",IPC!FL6/IPC!EZ6-1)</f>
        <v>5.9701492537313383E-2</v>
      </c>
      <c r="FM47" s="35">
        <f>IF(OR(IPC!FM6="",IPC!FA6=""),"",IPC!FM6/IPC!FA6-1)</f>
        <v>5.8617672790901132E-2</v>
      </c>
      <c r="FN47" s="35">
        <f>IF(OR(IPC!FN6="",IPC!FB6=""),"",IPC!FN6/IPC!FB6-1)</f>
        <v>5.8823529411764497E-2</v>
      </c>
      <c r="FO47" s="35">
        <f>IF(OR(IPC!FO6="",IPC!FC6=""),"",IPC!FO6/IPC!FC6-1)</f>
        <v>7.4692442882249521E-2</v>
      </c>
      <c r="FP47" s="35">
        <f>IF(OR(IPC!FP6="",IPC!FD6=""),"",IPC!FP6/IPC!FD6-1)</f>
        <v>8.0888888888888788E-2</v>
      </c>
      <c r="FQ47" s="35">
        <f>IF(OR(IPC!FQ6="",IPC!FE6=""),"",IPC!FQ6/IPC!FE6-1)</f>
        <v>7.5022065313327557E-2</v>
      </c>
      <c r="FR47" s="35">
        <f>IF(OR(IPC!FR6="",IPC!FF6=""),"",IPC!FR6/IPC!FF6-1)</f>
        <v>7.2679509632224137E-2</v>
      </c>
    </row>
    <row r="48" spans="1:174" s="19" customFormat="1" ht="10.199999999999999" x14ac:dyDescent="0.2">
      <c r="A48" s="11"/>
      <c r="B48" s="1" t="s">
        <v>98</v>
      </c>
      <c r="C48" s="8">
        <v>174</v>
      </c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 t="str">
        <f>IF(OR(IPC!P7="",IPC!D7=""),"",IPC!P7/IPC!D7-1)</f>
        <v/>
      </c>
      <c r="Q48" s="35" t="str">
        <f>IF(OR(IPC!Q7="",IPC!E7=""),"",IPC!Q7/IPC!E7-1)</f>
        <v/>
      </c>
      <c r="R48" s="35" t="str">
        <f>IF(OR(IPC!R7="",IPC!F7=""),"",IPC!R7/IPC!F7-1)</f>
        <v/>
      </c>
      <c r="S48" s="35" t="str">
        <f>IF(OR(IPC!S7="",IPC!G7=""),"",IPC!S7/IPC!G7-1)</f>
        <v/>
      </c>
      <c r="T48" s="35" t="str">
        <f>IF(OR(IPC!T7="",IPC!H7=""),"",IPC!T7/IPC!H7-1)</f>
        <v/>
      </c>
      <c r="U48" s="35" t="str">
        <f>IF(OR(IPC!U7="",IPC!I7=""),"",IPC!U7/IPC!I7-1)</f>
        <v/>
      </c>
      <c r="V48" s="35" t="str">
        <f>IF(OR(IPC!V7="",IPC!J7=""),"",IPC!V7/IPC!J7-1)</f>
        <v/>
      </c>
      <c r="W48" s="35" t="str">
        <f>IF(OR(IPC!W7="",IPC!K7=""),"",IPC!W7/IPC!K7-1)</f>
        <v/>
      </c>
      <c r="X48" s="35" t="str">
        <f>IF(OR(IPC!X7="",IPC!L7=""),"",IPC!X7/IPC!L7-1)</f>
        <v/>
      </c>
      <c r="Y48" s="35" t="str">
        <f>IF(OR(IPC!Y7="",IPC!M7=""),"",IPC!Y7/IPC!M7-1)</f>
        <v/>
      </c>
      <c r="Z48" s="35" t="str">
        <f>IF(OR(IPC!Z7="",IPC!N7=""),"",IPC!Z7/IPC!N7-1)</f>
        <v/>
      </c>
      <c r="AA48" s="35" t="str">
        <f>IF(OR(IPC!AA7="",IPC!O7=""),"",IPC!AA7/IPC!O7-1)</f>
        <v/>
      </c>
      <c r="AB48" s="35">
        <f>IF(OR(IPC!AB7="",IPC!P7=""),"",IPC!AB7/IPC!P7-1)</f>
        <v>2.7730202807670246E-2</v>
      </c>
      <c r="AC48" s="35">
        <f>IF(OR(IPC!AC7="",IPC!Q7=""),"",IPC!AC7/IPC!Q7-1)</f>
        <v>2.6216851248869411E-2</v>
      </c>
      <c r="AD48" s="35">
        <f>IF(OR(IPC!AD7="",IPC!R7=""),"",IPC!AD7/IPC!R7-1)</f>
        <v>1.6553998348787458E-2</v>
      </c>
      <c r="AE48" s="35">
        <f>IF(OR(IPC!AE7="",IPC!S7=""),"",IPC!AE7/IPC!S7-1)</f>
        <v>2.2834497223506389E-2</v>
      </c>
      <c r="AF48" s="35">
        <f>IF(OR(IPC!AF7="",IPC!T7=""),"",IPC!AF7/IPC!T7-1)</f>
        <v>3.0753955526675369E-2</v>
      </c>
      <c r="AG48" s="35">
        <f>IF(OR(IPC!AG7="",IPC!U7=""),"",IPC!AG7/IPC!U7-1)</f>
        <v>2.5631049829619723E-2</v>
      </c>
      <c r="AH48" s="35">
        <f>IF(OR(IPC!AH7="",IPC!V7=""),"",IPC!AH7/IPC!V7-1)</f>
        <v>2.7738830673999626E-2</v>
      </c>
      <c r="AI48" s="35">
        <f>IF(OR(IPC!AI7="",IPC!W7=""),"",IPC!AI7/IPC!W7-1)</f>
        <v>2.2009517870156703E-2</v>
      </c>
      <c r="AJ48" s="35">
        <f>IF(OR(IPC!AJ7="",IPC!X7=""),"",IPC!AJ7/IPC!X7-1)</f>
        <v>6.4815649289744481E-3</v>
      </c>
      <c r="AK48" s="35">
        <f>IF(OR(IPC!AK7="",IPC!Y7=""),"",IPC!AK7/IPC!Y7-1)</f>
        <v>1.3112107882764734E-2</v>
      </c>
      <c r="AL48" s="35">
        <f>IF(OR(IPC!AL7="",IPC!Z7=""),"",IPC!AL7/IPC!Z7-1)</f>
        <v>3.464956467056135E-3</v>
      </c>
      <c r="AM48" s="35">
        <f>IF(OR(IPC!AM7="",IPC!AA7=""),"",IPC!AM7/IPC!AA7-1)</f>
        <v>5.5608733700016622E-3</v>
      </c>
      <c r="AN48" s="35">
        <f>IF(OR(IPC!AN7="",IPC!AB7=""),"",IPC!AN7/IPC!AB7-1)</f>
        <v>-4.580449709207346E-3</v>
      </c>
      <c r="AO48" s="35">
        <f>IF(OR(IPC!AO7="",IPC!AC7=""),"",IPC!AO7/IPC!AC7-1)</f>
        <v>-5.392683839321788E-3</v>
      </c>
      <c r="AP48" s="35">
        <f>IF(OR(IPC!AP7="",IPC!AD7=""),"",IPC!AP7/IPC!AD7-1)</f>
        <v>-3.2506707708546134E-3</v>
      </c>
      <c r="AQ48" s="35">
        <f>IF(OR(IPC!AQ7="",IPC!AE7=""),"",IPC!AQ7/IPC!AE7-1)</f>
        <v>-6.1237502649358344E-4</v>
      </c>
      <c r="AR48" s="35">
        <f>IF(OR(IPC!AR7="",IPC!AF7=""),"",IPC!AR7/IPC!AF7-1)</f>
        <v>-1.027252688233915E-2</v>
      </c>
      <c r="AS48" s="35">
        <f>IF(OR(IPC!AS7="",IPC!AG7=""),"",IPC!AS7/IPC!AG7-1)</f>
        <v>-1.0158329173125202E-2</v>
      </c>
      <c r="AT48" s="35">
        <f>IF(OR(IPC!AT7="",IPC!AH7=""),"",IPC!AT7/IPC!AH7-1)</f>
        <v>3.7364836774425036E-3</v>
      </c>
      <c r="AU48" s="35">
        <f>IF(OR(IPC!AU7="",IPC!AI7=""),"",IPC!AU7/IPC!AI7-1)</f>
        <v>1.1826562182257083E-2</v>
      </c>
      <c r="AV48" s="35">
        <f>IF(OR(IPC!AV7="",IPC!AJ7=""),"",IPC!AV7/IPC!AJ7-1)</f>
        <v>1.3507523919809916E-2</v>
      </c>
      <c r="AW48" s="35">
        <f>IF(OR(IPC!AW7="",IPC!AK7=""),"",IPC!AW7/IPC!AK7-1)</f>
        <v>7.6726608453774325E-3</v>
      </c>
      <c r="AX48" s="35">
        <f>IF(OR(IPC!AX7="",IPC!AL7=""),"",IPC!AX7/IPC!AL7-1)</f>
        <v>1.6275461417769366E-2</v>
      </c>
      <c r="AY48" s="35">
        <f>IF(OR(IPC!AY7="",IPC!AM7=""),"",IPC!AY7/IPC!AM7-1)</f>
        <v>1.2444069927323609E-2</v>
      </c>
      <c r="AZ48" s="35">
        <f>IF(OR(IPC!AZ7="",IPC!AN7=""),"",IPC!AZ7/IPC!AN7-1)</f>
        <v>1.3041151858374844E-2</v>
      </c>
      <c r="BA48" s="35">
        <f>IF(OR(IPC!BA7="",IPC!AO7=""),"",IPC!BA7/IPC!AO7-1)</f>
        <v>1.919983158777816E-2</v>
      </c>
      <c r="BB48" s="35">
        <f>IF(OR(IPC!BB7="",IPC!AP7=""),"",IPC!BB7/IPC!AP7-1)</f>
        <v>3.6184071571033316E-2</v>
      </c>
      <c r="BC48" s="35">
        <f>IF(OR(IPC!BC7="",IPC!AQ7=""),"",IPC!BC7/IPC!AQ7-1)</f>
        <v>3.6928104381183546E-2</v>
      </c>
      <c r="BD48" s="35">
        <f>IF(OR(IPC!BD7="",IPC!AR7=""),"",IPC!BD7/IPC!AR7-1)</f>
        <v>4.1615147304823186E-2</v>
      </c>
      <c r="BE48" s="35">
        <f>IF(OR(IPC!BE7="",IPC!AS7=""),"",IPC!BE7/IPC!AS7-1)</f>
        <v>5.1457508426534737E-2</v>
      </c>
      <c r="BF48" s="35">
        <f>IF(OR(IPC!BF7="",IPC!AT7=""),"",IPC!BF7/IPC!AT7-1)</f>
        <v>4.3571837630051347E-2</v>
      </c>
      <c r="BG48" s="35">
        <f>IF(OR(IPC!BG7="",IPC!AU7=""),"",IPC!BG7/IPC!AU7-1)</f>
        <v>3.6724094937226948E-2</v>
      </c>
      <c r="BH48" s="35">
        <f>IF(OR(IPC!BH7="",IPC!AV7=""),"",IPC!BH7/IPC!AV7-1)</f>
        <v>4.0936632112286153E-2</v>
      </c>
      <c r="BI48" s="35">
        <f>IF(OR(IPC!BI7="",IPC!AW7=""),"",IPC!BI7/IPC!AW7-1)</f>
        <v>3.9271018987749429E-2</v>
      </c>
      <c r="BJ48" s="35">
        <f>IF(OR(IPC!BJ7="",IPC!AX7=""),"",IPC!BJ7/IPC!AX7-1)</f>
        <v>3.3470100978640893E-2</v>
      </c>
      <c r="BK48" s="35">
        <f>IF(OR(IPC!BK7="",IPC!AY7=""),"",IPC!BK7/IPC!AY7-1)</f>
        <v>3.7450685680057605E-2</v>
      </c>
      <c r="BL48" s="35">
        <f>IF(OR(IPC!BL7="",IPC!AZ7=""),"",IPC!BL7/IPC!AZ7-1)</f>
        <v>3.6085486224122221E-2</v>
      </c>
      <c r="BM48" s="35">
        <f>IF(OR(IPC!BM7="",IPC!BA7=""),"",IPC!BM7/IPC!BA7-1)</f>
        <v>3.2554773890338895E-2</v>
      </c>
      <c r="BN48" s="35">
        <f>IF(OR(IPC!BN7="",IPC!BB7=""),"",IPC!BN7/IPC!BB7-1)</f>
        <v>1.1860364835010184E-2</v>
      </c>
      <c r="BO48" s="35">
        <f>IF(OR(IPC!BO7="",IPC!BC7=""),"",IPC!BO7/IPC!BC7-1)</f>
        <v>7.1103126458504917E-4</v>
      </c>
      <c r="BP48" s="35">
        <f>IF(OR(IPC!BP7="",IPC!BD7=""),"",IPC!BP7/IPC!BD7-1)</f>
        <v>4.4140371976841841E-4</v>
      </c>
      <c r="BQ48" s="35">
        <f>IF(OR(IPC!BQ7="",IPC!BE7=""),"",IPC!BQ7/IPC!BE7-1)</f>
        <v>-4.5757390732730219E-3</v>
      </c>
      <c r="BR48" s="35">
        <f>IF(OR(IPC!BR7="",IPC!BF7=""),"",IPC!BR7/IPC!BF7-1)</f>
        <v>-6.5706579280204735E-3</v>
      </c>
      <c r="BS48" s="35">
        <f>IF(OR(IPC!BS7="",IPC!BG7=""),"",IPC!BS7/IPC!BG7-1)</f>
        <v>-2.7479157363595741E-3</v>
      </c>
      <c r="BT48" s="35">
        <f>IF(OR(IPC!BT7="",IPC!BH7=""),"",IPC!BT7/IPC!BH7-1)</f>
        <v>-6.5671122019155259E-3</v>
      </c>
      <c r="BU48" s="35">
        <f>IF(OR(IPC!BU7="",IPC!BI7=""),"",IPC!BU7/IPC!BI7-1)</f>
        <v>-2.16858260043995E-3</v>
      </c>
      <c r="BV48" s="35">
        <f>IF(OR(IPC!BV7="",IPC!BJ7=""),"",IPC!BV7/IPC!BJ7-1)</f>
        <v>-1.4583564113272995E-3</v>
      </c>
      <c r="BW48" s="35">
        <f>IF(OR(IPC!BW7="",IPC!BK7=""),"",IPC!BW7/IPC!BK7-1)</f>
        <v>-1.168861718075842E-3</v>
      </c>
      <c r="BX48" s="35">
        <f>IF(OR(IPC!BX7="",IPC!BL7=""),"",IPC!BX7/IPC!BL7-1)</f>
        <v>4.0853565434550987E-3</v>
      </c>
      <c r="BY48" s="35">
        <f>IF(OR(IPC!BY7="",IPC!BM7=""),"",IPC!BY7/IPC!BM7-1)</f>
        <v>-8.2384173009175665E-4</v>
      </c>
      <c r="BZ48" s="35">
        <f>IF(OR(IPC!BZ7="",IPC!BN7=""),"",IPC!BZ7/IPC!BN7-1)</f>
        <v>-2.0608960187438186E-3</v>
      </c>
      <c r="CA48" s="35">
        <f>IF(OR(IPC!CA7="",IPC!BO7=""),"",IPC!CA7/IPC!BO7-1)</f>
        <v>9.4453643342848892E-3</v>
      </c>
      <c r="CB48" s="35">
        <f>IF(OR(IPC!CB7="",IPC!BP7=""),"",IPC!CB7/IPC!BP7-1)</f>
        <v>6.2462125590310169E-3</v>
      </c>
      <c r="CC48" s="35">
        <f>IF(OR(IPC!CC7="",IPC!BQ7=""),"",IPC!CC7/IPC!BQ7-1)</f>
        <v>4.9708504815362264E-3</v>
      </c>
      <c r="CD48" s="35">
        <f>IF(OR(IPC!CD7="",IPC!BR7=""),"",IPC!CD7/IPC!BR7-1)</f>
        <v>1.0288647853818889E-2</v>
      </c>
      <c r="CE48" s="35">
        <f>IF(OR(IPC!CE7="",IPC!BS7=""),"",IPC!CE7/IPC!BS7-1)</f>
        <v>6.2994169643890707E-3</v>
      </c>
      <c r="CF48" s="35">
        <f>IF(OR(IPC!CF7="",IPC!BT7=""),"",IPC!CF7/IPC!BT7-1)</f>
        <v>5.8182207191881385E-3</v>
      </c>
      <c r="CG48" s="35">
        <f>IF(OR(IPC!CG7="",IPC!BU7=""),"",IPC!CG7/IPC!BU7-1)</f>
        <v>2.4494877601961562E-3</v>
      </c>
      <c r="CH48" s="35">
        <f>IF(OR(IPC!CH7="",IPC!BV7=""),"",IPC!CH7/IPC!BV7-1)</f>
        <v>4.3740421590592327E-3</v>
      </c>
      <c r="CI48" s="35">
        <f>IF(OR(IPC!CI7="",IPC!BW7=""),"",IPC!CI7/IPC!BW7-1)</f>
        <v>4.9452236071307887E-3</v>
      </c>
      <c r="CJ48" s="35">
        <f>IF(OR(IPC!CJ7="",IPC!BX7=""),"",IPC!CJ7/IPC!BX7-1)</f>
        <v>1.304945025264459E-4</v>
      </c>
      <c r="CK48" s="35">
        <f>IF(OR(IPC!CK7="",IPC!BY7=""),"",IPC!CK7/IPC!BY7-1)</f>
        <v>4.9573566254523804E-4</v>
      </c>
      <c r="CL48" s="35">
        <f>IF(OR(IPC!CL7="",IPC!BZ7=""),"",IPC!CL7/IPC!BZ7-1)</f>
        <v>4.9014713548924949E-3</v>
      </c>
      <c r="CM48" s="35">
        <f>IF(OR(IPC!CM7="",IPC!CA7=""),"",IPC!CM7/IPC!CA7-1)</f>
        <v>5.3215189910047478E-3</v>
      </c>
      <c r="CN48" s="35">
        <f>IF(OR(IPC!CN7="",IPC!CB7=""),"",IPC!CN7/IPC!CB7-1)</f>
        <v>1.1163917868979523E-2</v>
      </c>
      <c r="CO48" s="35">
        <f>IF(OR(IPC!CO7="",IPC!CC7=""),"",IPC!CO7/IPC!CC7-1)</f>
        <v>1.2000772593318665E-2</v>
      </c>
      <c r="CP48" s="35">
        <f>IF(OR(IPC!CP7="",IPC!CD7=""),"",IPC!CP7/IPC!CD7-1)</f>
        <v>6.4763426790941381E-3</v>
      </c>
      <c r="CQ48" s="35">
        <f>IF(OR(IPC!CQ7="",IPC!CE7=""),"",IPC!CQ7/IPC!CE7-1)</f>
        <v>7.6221984576181345E-3</v>
      </c>
      <c r="CR48" s="35">
        <f>IF(OR(IPC!CR7="",IPC!CF7=""),"",IPC!CR7/IPC!CF7-1)</f>
        <v>1.3711875307456989E-2</v>
      </c>
      <c r="CS48" s="35">
        <f>IF(OR(IPC!CS7="",IPC!CG7=""),"",IPC!CS7/IPC!CG7-1)</f>
        <v>1.6972786373196991E-2</v>
      </c>
      <c r="CT48" s="35">
        <f>IF(OR(IPC!CT7="",IPC!CH7=""),"",IPC!CT7/IPC!CH7-1)</f>
        <v>1.8909698303398281E-2</v>
      </c>
      <c r="CU48" s="35">
        <f>IF(OR(IPC!CU7="",IPC!CI7=""),"",IPC!CU7/IPC!CI7-1)</f>
        <v>1.9031565365580594E-2</v>
      </c>
      <c r="CV48" s="35">
        <f>IF(OR(IPC!CV7="",IPC!CJ7=""),"",IPC!CV7/IPC!CJ7-1)</f>
        <v>1.6780373618172195E-2</v>
      </c>
      <c r="CW48" s="35">
        <f>IF(OR(IPC!CW7="",IPC!CK7=""),"",IPC!CW7/IPC!CK7-1)</f>
        <v>1.9957830741035743E-2</v>
      </c>
      <c r="CX48" s="35">
        <f>IF(OR(IPC!CX7="",IPC!CL7=""),"",IPC!CX7/IPC!CL7-1)</f>
        <v>3.8306487187019345E-2</v>
      </c>
      <c r="CY48" s="35">
        <f>IF(OR(IPC!CY7="",IPC!CM7=""),"",IPC!CY7/IPC!CM7-1)</f>
        <v>3.9917990835870887E-2</v>
      </c>
      <c r="CZ48" s="35">
        <f>IF(OR(IPC!CZ7="",IPC!CN7=""),"",IPC!CZ7/IPC!CN7-1)</f>
        <v>3.5768414793513337E-2</v>
      </c>
      <c r="DA48" s="35">
        <f>IF(OR(IPC!DA7="",IPC!CO7=""),"",IPC!DA7/IPC!CO7-1)</f>
        <v>3.6072902639188831E-2</v>
      </c>
      <c r="DB48" s="35">
        <f>IF(OR(IPC!DB7="",IPC!CP7=""),"",IPC!DB7/IPC!CP7-1)</f>
        <v>3.7092064278920311E-2</v>
      </c>
      <c r="DC48" s="35">
        <f>IF(OR(IPC!DC7="",IPC!CQ7=""),"",IPC!DC7/IPC!CQ7-1)</f>
        <v>4.1068312443612864E-2</v>
      </c>
      <c r="DD48" s="35">
        <f>IF(OR(IPC!DD7="",IPC!CR7=""),"",IPC!DD7/IPC!CR7-1)</f>
        <v>3.6635035626849222E-2</v>
      </c>
      <c r="DE48" s="35">
        <f>IF(OR(IPC!DE7="",IPC!CS7=""),"",IPC!DE7/IPC!CS7-1)</f>
        <v>4.5003368939996458E-2</v>
      </c>
      <c r="DF48" s="35">
        <f>IF(OR(IPC!DF7="",IPC!CT7=""),"",IPC!DF7/IPC!CT7-1)</f>
        <v>4.1117313555617319E-2</v>
      </c>
      <c r="DG48" s="35">
        <f>IF(OR(IPC!DG7="",IPC!CU7=""),"",IPC!DG7/IPC!CU7-1)</f>
        <v>4.4451150430300679E-2</v>
      </c>
      <c r="DH48" s="35">
        <f>IF(OR(IPC!DH7="",IPC!CV7=""),"",IPC!DH7/IPC!CV7-1)</f>
        <v>4.3987642955579442E-2</v>
      </c>
      <c r="DI48" s="35">
        <f>IF(OR(IPC!DI7="",IPC!CW7=""),"",IPC!DI7/IPC!CW7-1)</f>
        <v>4.1363585911079692E-2</v>
      </c>
      <c r="DJ48" s="35">
        <f>IF(OR(IPC!DJ7="",IPC!CX7=""),"",IPC!DJ7/IPC!CX7-1)</f>
        <v>2.4139337335324917E-2</v>
      </c>
      <c r="DK48" s="35">
        <f>IF(OR(IPC!DK7="",IPC!CY7=""),"",IPC!DK7/IPC!CY7-1)</f>
        <v>1.9780811049076696E-2</v>
      </c>
      <c r="DL48" s="35">
        <f>IF(OR(IPC!DL7="",IPC!CZ7=""),"",IPC!DL7/IPC!CZ7-1)</f>
        <v>2.2961443288751049E-2</v>
      </c>
      <c r="DM48" s="35">
        <f>IF(OR(IPC!DM7="",IPC!DA7=""),"",IPC!DM7/IPC!DA7-1)</f>
        <v>2.3138694024328776E-2</v>
      </c>
      <c r="DN48" s="35">
        <f>IF(OR(IPC!DN7="",IPC!DB7=""),"",IPC!DN7/IPC!DB7-1)</f>
        <v>2.3698688878630358E-2</v>
      </c>
      <c r="DO48" s="35">
        <f>IF(OR(IPC!DO7="",IPC!DC7=""),"",IPC!DO7/IPC!DC7-1)</f>
        <v>2.2931461903580086E-2</v>
      </c>
      <c r="DP48" s="35">
        <f>IF(OR(IPC!DP7="",IPC!DD7=""),"",IPC!DP7/IPC!DD7-1)</f>
        <v>2.8720807077309285E-2</v>
      </c>
      <c r="DQ48" s="35">
        <f>IF(OR(IPC!DQ7="",IPC!DE7=""),"",IPC!DQ7/IPC!DE7-1)</f>
        <v>1.995096237716476E-2</v>
      </c>
      <c r="DR48" s="35">
        <f>IF(OR(IPC!DR7="",IPC!DF7=""),"",IPC!DR7/IPC!DF7-1)</f>
        <v>2.0721940925282123E-2</v>
      </c>
      <c r="DS48" s="35">
        <f>IF(OR(IPC!DS7="",IPC!DG7=""),"",IPC!DS7/IPC!DG7-1)</f>
        <v>1.6320797864207259E-2</v>
      </c>
      <c r="DT48" s="35">
        <f>IF(OR(IPC!DT7="",IPC!DH7=""),"",IPC!DT7/IPC!DH7-1)</f>
        <v>1.8155468341140901E-2</v>
      </c>
      <c r="DU48" s="35">
        <f>IF(OR(IPC!DU7="",IPC!DI7=""),"",IPC!DU7/IPC!DI7-1)</f>
        <v>1.9347889101447802E-2</v>
      </c>
      <c r="DV48" s="35">
        <f>IF(OR(IPC!DV7="",IPC!DJ7=""),"",IPC!DV7/IPC!DJ7-1)</f>
        <v>1.8788363660322549E-2</v>
      </c>
      <c r="DW48" s="35">
        <f>IF(OR(IPC!DW7="",IPC!DK7=""),"",IPC!DW7/IPC!DK7-1)</f>
        <v>1.8914649934574257E-2</v>
      </c>
      <c r="DX48" s="35">
        <f>IF(OR(IPC!DX7="",IPC!DL7=""),"",IPC!DX7/IPC!DL7-1)</f>
        <v>1.6658712662054764E-2</v>
      </c>
      <c r="DY48" s="35">
        <f>IF(OR(IPC!DY7="",IPC!DM7=""),"",IPC!DY7/IPC!DM7-1)</f>
        <v>1.9316257674266701E-2</v>
      </c>
      <c r="DZ48" s="35">
        <f>IF(OR(IPC!DZ7="",IPC!DN7=""),"",IPC!DZ7/IPC!DN7-1)</f>
        <v>2.2201669070316177E-2</v>
      </c>
      <c r="EA48" s="35">
        <f>IF(OR(IPC!EA7="",IPC!DO7=""),"",IPC!EA7/IPC!DO7-1)</f>
        <v>2.2112854598637099E-2</v>
      </c>
      <c r="EB48" s="35">
        <f>IF(OR(IPC!EB7="",IPC!DP7=""),"",IPC!EB7/IPC!DP7-1)</f>
        <v>1.7736980571078753E-2</v>
      </c>
      <c r="EC48" s="35">
        <f>IF(OR(IPC!EC7="",IPC!DQ7=""),"",IPC!EC7/IPC!DQ7-1)</f>
        <v>1.6365920439769033E-2</v>
      </c>
      <c r="ED48" s="35">
        <f>IF(OR(IPC!ED7="",IPC!DR7=""),"",IPC!ED7/IPC!DR7-1)</f>
        <v>1.906682776135904E-2</v>
      </c>
      <c r="EE48" s="35">
        <f>IF(OR(IPC!EE7="",IPC!DS7=""),"",IPC!EE7/IPC!DS7-1)</f>
        <v>2.4606981290083763E-2</v>
      </c>
      <c r="EF48" s="35">
        <f>IF(OR(IPC!EF7="",IPC!DT7=""),"",IPC!EF7/IPC!DT7-1)</f>
        <v>2.5141648260926575E-2</v>
      </c>
      <c r="EG48" s="35">
        <f>IF(OR(IPC!EG7="",IPC!DU7=""),"",IPC!EG7/IPC!DU7-1)</f>
        <v>3.2580715732740906E-2</v>
      </c>
      <c r="EH48" s="35">
        <f>IF(OR(IPC!EH7="",IPC!DV7=""),"",IPC!EH7/IPC!DV7-1)</f>
        <v>3.8492487124431651E-2</v>
      </c>
      <c r="EI48" s="35">
        <f>IF(OR(IPC!EI7="",IPC!DW7=""),"",IPC!EI7/IPC!DW7-1)</f>
        <v>3.9758882531181872E-2</v>
      </c>
      <c r="EJ48" s="35">
        <f>IF(OR(IPC!EJ7="",IPC!DX7=""),"",IPC!EJ7/IPC!DX7-1)</f>
        <v>4.4079270335382725E-2</v>
      </c>
      <c r="EK48" s="35">
        <f>IF(OR(IPC!EK7="",IPC!DY7=""),"",IPC!EK7/IPC!DY7-1)</f>
        <v>4.2474453475562779E-2</v>
      </c>
      <c r="EL48" s="35">
        <f>IF(OR(IPC!EL7="",IPC!DZ7=""),"",IPC!EL7/IPC!DZ7-1)</f>
        <v>4.4178174975099349E-2</v>
      </c>
      <c r="EM48" s="35">
        <f>IF(OR(IPC!EM7="",IPC!EA7=""),"",IPC!EM7/IPC!EA7-1)</f>
        <v>4.7446339040984942E-2</v>
      </c>
      <c r="EN48" s="35">
        <f>IF(OR(IPC!EN7="",IPC!EB7=""),"",IPC!EN7/IPC!EB7-1)</f>
        <v>4.5856951891377618E-2</v>
      </c>
      <c r="EO48" s="35">
        <f>IF(OR(IPC!EO7="",IPC!EC7=""),"",IPC!EO7/IPC!EC7-1)</f>
        <v>4.6058542370349231E-2</v>
      </c>
      <c r="EP48" s="35">
        <f>IF(OR(IPC!EP7="",IPC!ED7=""),"",IPC!EP7/IPC!ED7-1)</f>
        <v>4.9046511853214181E-2</v>
      </c>
      <c r="EQ48" s="35">
        <f>IF(OR(IPC!EQ7="",IPC!EE7=""),"",IPC!EQ7/IPC!EE7-1)</f>
        <v>4.7747567680888059E-2</v>
      </c>
      <c r="ER48" s="35">
        <f>IF(OR(IPC!ER7="",IPC!EF7=""),"",IPC!ER7/IPC!EF7-1)</f>
        <v>4.5609151733237541E-2</v>
      </c>
      <c r="ES48" s="35">
        <f>IF(OR(IPC!ES7="",IPC!EG7=""),"",IPC!ES7/IPC!EG7-1)</f>
        <v>4.1198576629406958E-2</v>
      </c>
      <c r="ET48" s="35">
        <f>IF(OR(IPC!ET7="",IPC!EH7=""),"",IPC!ET7/IPC!EH7-1)</f>
        <v>3.6295750417835393E-2</v>
      </c>
      <c r="EU48" s="35">
        <f>IF(OR(IPC!EU7="",IPC!EI7=""),"",IPC!EU7/IPC!EI7-1)</f>
        <v>3.5431659481831357E-2</v>
      </c>
      <c r="EV48" s="35">
        <f>IF(OR(IPC!EV7="",IPC!EJ7=""),"",IPC!EV7/IPC!EJ7-1)</f>
        <v>3.0625972590928141E-2</v>
      </c>
      <c r="EW48" s="35">
        <f>IF(OR(IPC!EW7="",IPC!EK7=""),"",IPC!EW7/IPC!EK7-1)</f>
        <v>2.9671155498274926E-2</v>
      </c>
      <c r="EX48" s="35">
        <f>IF(OR(IPC!EX7="",IPC!EL7=""),"",IPC!EX7/IPC!EL7-1)</f>
        <v>2.5758522285464158E-2</v>
      </c>
      <c r="EY48" s="35">
        <f>IF(OR(IPC!EY7="",IPC!EM7=""),"",IPC!EY7/IPC!EM7-1)</f>
        <v>2.0614944541675895E-2</v>
      </c>
      <c r="EZ48" s="35">
        <f>IF(OR(IPC!EZ7="",IPC!EN7=""),"",IPC!EZ7/IPC!EN7-1)</f>
        <v>2.0876992958512419E-2</v>
      </c>
      <c r="FA48" s="35">
        <f>IF(OR(IPC!FA7="",IPC!EO7=""),"",IPC!FA7/IPC!EO7-1)</f>
        <v>2.0515800513117854E-2</v>
      </c>
      <c r="FB48" s="35">
        <f>IF(OR(IPC!FB7="",IPC!EP7=""),"",IPC!FB7/IPC!EP7-1)</f>
        <v>1.608427333374074E-2</v>
      </c>
      <c r="FC48" s="35">
        <f>IF(OR(IPC!FC7="",IPC!EQ7=""),"",IPC!FC7/IPC!EQ7-1)</f>
        <v>1.0896475546456452E-2</v>
      </c>
      <c r="FD48" s="35">
        <f>IF(OR(IPC!FD7="",IPC!ER7=""),"",IPC!FD7/IPC!ER7-1)</f>
        <v>1.4720314033366044E-2</v>
      </c>
      <c r="FE48" s="35">
        <f>IF(OR(IPC!FE7="",IPC!ES7=""),"",IPC!FE7/IPC!ES7-1)</f>
        <v>1.1730205278592365E-2</v>
      </c>
      <c r="FF48" s="35">
        <f>IF(OR(IPC!FF7="",IPC!ET7=""),"",IPC!FF7/IPC!ET7-1)</f>
        <v>1.073170731707318E-2</v>
      </c>
      <c r="FG48" s="35">
        <f>IF(OR(IPC!FG7="",IPC!EU7=""),"",IPC!FG7/IPC!EU7-1)</f>
        <v>9.7370983446933845E-3</v>
      </c>
      <c r="FH48" s="35">
        <f>IF(OR(IPC!FH7="",IPC!EV7=""),"",IPC!FH7/IPC!EV7-1)</f>
        <v>1.0710808179162479E-2</v>
      </c>
      <c r="FI48" s="35">
        <f>IF(OR(IPC!FI7="",IPC!EW7=""),"",IPC!FI7/IPC!EW7-1)</f>
        <v>1.1673151750972721E-2</v>
      </c>
      <c r="FJ48" s="35">
        <f>IF(OR(IPC!FJ7="",IPC!EX7=""),"",IPC!FJ7/IPC!EX7-1)</f>
        <v>1.0689990281826933E-2</v>
      </c>
      <c r="FK48" s="35">
        <f>IF(OR(IPC!FK7="",IPC!EY7=""),"",IPC!FK7/IPC!EY7-1)</f>
        <v>9.7087378640776656E-3</v>
      </c>
      <c r="FL48" s="35">
        <f>IF(OR(IPC!FL7="",IPC!EZ7=""),"",IPC!FL7/IPC!EZ7-1)</f>
        <v>9.6993210475266878E-3</v>
      </c>
      <c r="FM48" s="35">
        <f>IF(OR(IPC!FM7="",IPC!FA7=""),"",IPC!FM7/IPC!FA7-1)</f>
        <v>1.0669253152279401E-2</v>
      </c>
      <c r="FN48" s="35">
        <f>IF(OR(IPC!FN7="",IPC!FB7=""),"",IPC!FN7/IPC!FB7-1)</f>
        <v>1.1639185257032114E-2</v>
      </c>
      <c r="FO48" s="35">
        <f>IF(OR(IPC!FO7="",IPC!FC7=""),"",IPC!FO7/IPC!FC7-1)</f>
        <v>1.1639185257032114E-2</v>
      </c>
      <c r="FP48" s="35">
        <f>IF(OR(IPC!FP7="",IPC!FD7=""),"",IPC!FP7/IPC!FD7-1)</f>
        <v>1.1605415860734825E-2</v>
      </c>
      <c r="FQ48" s="35">
        <f>IF(OR(IPC!FQ7="",IPC!FE7=""),"",IPC!FQ7/IPC!FE7-1)</f>
        <v>1.1594202898550732E-2</v>
      </c>
      <c r="FR48" s="35">
        <f>IF(OR(IPC!FR7="",IPC!FF7=""),"",IPC!FR7/IPC!FF7-1)</f>
        <v>1.3513513513513598E-2</v>
      </c>
    </row>
    <row r="49" spans="1:174" s="19" customFormat="1" ht="10.199999999999999" x14ac:dyDescent="0.2">
      <c r="A49" s="11" t="s">
        <v>11</v>
      </c>
      <c r="B49" s="1" t="s">
        <v>12</v>
      </c>
      <c r="C49" s="8">
        <v>56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 t="str">
        <f>IF(OR(IPC!P8="",IPC!D8=""),"",IPC!P8/IPC!D8-1)</f>
        <v/>
      </c>
      <c r="Q49" s="35" t="str">
        <f>IF(OR(IPC!Q8="",IPC!E8=""),"",IPC!Q8/IPC!E8-1)</f>
        <v/>
      </c>
      <c r="R49" s="35" t="str">
        <f>IF(OR(IPC!R8="",IPC!F8=""),"",IPC!R8/IPC!F8-1)</f>
        <v/>
      </c>
      <c r="S49" s="35" t="str">
        <f>IF(OR(IPC!S8="",IPC!G8=""),"",IPC!S8/IPC!G8-1)</f>
        <v/>
      </c>
      <c r="T49" s="35" t="str">
        <f>IF(OR(IPC!T8="",IPC!H8=""),"",IPC!T8/IPC!H8-1)</f>
        <v/>
      </c>
      <c r="U49" s="35" t="str">
        <f>IF(OR(IPC!U8="",IPC!I8=""),"",IPC!U8/IPC!I8-1)</f>
        <v/>
      </c>
      <c r="V49" s="35" t="str">
        <f>IF(OR(IPC!V8="",IPC!J8=""),"",IPC!V8/IPC!J8-1)</f>
        <v/>
      </c>
      <c r="W49" s="35" t="str">
        <f>IF(OR(IPC!W8="",IPC!K8=""),"",IPC!W8/IPC!K8-1)</f>
        <v/>
      </c>
      <c r="X49" s="35" t="str">
        <f>IF(OR(IPC!X8="",IPC!L8=""),"",IPC!X8/IPC!L8-1)</f>
        <v/>
      </c>
      <c r="Y49" s="35" t="str">
        <f>IF(OR(IPC!Y8="",IPC!M8=""),"",IPC!Y8/IPC!M8-1)</f>
        <v/>
      </c>
      <c r="Z49" s="35" t="str">
        <f>IF(OR(IPC!Z8="",IPC!N8=""),"",IPC!Z8/IPC!N8-1)</f>
        <v/>
      </c>
      <c r="AA49" s="35" t="str">
        <f>IF(OR(IPC!AA8="",IPC!O8=""),"",IPC!AA8/IPC!O8-1)</f>
        <v/>
      </c>
      <c r="AB49" s="35">
        <f>IF(OR(IPC!AB8="",IPC!P8=""),"",IPC!AB8/IPC!P8-1)</f>
        <v>2.4653115070863096E-2</v>
      </c>
      <c r="AC49" s="35">
        <f>IF(OR(IPC!AC8="",IPC!Q8=""),"",IPC!AC8/IPC!Q8-1)</f>
        <v>1.7951072947265612E-2</v>
      </c>
      <c r="AD49" s="35">
        <f>IF(OR(IPC!AD8="",IPC!R8=""),"",IPC!AD8/IPC!R8-1)</f>
        <v>1.0716504692222628E-2</v>
      </c>
      <c r="AE49" s="35">
        <f>IF(OR(IPC!AE8="",IPC!S8=""),"",IPC!AE8/IPC!S8-1)</f>
        <v>2.892539999401933E-2</v>
      </c>
      <c r="AF49" s="35">
        <f>IF(OR(IPC!AF8="",IPC!T8=""),"",IPC!AF8/IPC!T8-1)</f>
        <v>2.7081326638932479E-2</v>
      </c>
      <c r="AG49" s="35">
        <f>IF(OR(IPC!AG8="",IPC!U8=""),"",IPC!AG8/IPC!U8-1)</f>
        <v>3.3129755829821805E-2</v>
      </c>
      <c r="AH49" s="35">
        <f>IF(OR(IPC!AH8="",IPC!V8=""),"",IPC!AH8/IPC!V8-1)</f>
        <v>4.1666834290563504E-2</v>
      </c>
      <c r="AI49" s="35">
        <f>IF(OR(IPC!AI8="",IPC!W8=""),"",IPC!AI8/IPC!W8-1)</f>
        <v>3.7661697536166328E-2</v>
      </c>
      <c r="AJ49" s="35">
        <f>IF(OR(IPC!AJ8="",IPC!X8=""),"",IPC!AJ8/IPC!X8-1)</f>
        <v>2.8694818279705325E-2</v>
      </c>
      <c r="AK49" s="35">
        <f>IF(OR(IPC!AK8="",IPC!Y8=""),"",IPC!AK8/IPC!Y8-1)</f>
        <v>3.9737624797253623E-2</v>
      </c>
      <c r="AL49" s="35">
        <f>IF(OR(IPC!AL8="",IPC!Z8=""),"",IPC!AL8/IPC!Z8-1)</f>
        <v>3.4730652397266359E-2</v>
      </c>
      <c r="AM49" s="35">
        <f>IF(OR(IPC!AM8="",IPC!AA8=""),"",IPC!AM8/IPC!AA8-1)</f>
        <v>3.5801710144300669E-2</v>
      </c>
      <c r="AN49" s="35">
        <f>IF(OR(IPC!AN8="",IPC!AB8=""),"",IPC!AN8/IPC!AB8-1)</f>
        <v>3.1583841073341112E-2</v>
      </c>
      <c r="AO49" s="35">
        <f>IF(OR(IPC!AO8="",IPC!AC8=""),"",IPC!AO8/IPC!AC8-1)</f>
        <v>2.5032234880059567E-2</v>
      </c>
      <c r="AP49" s="35">
        <f>IF(OR(IPC!AP8="",IPC!AD8=""),"",IPC!AP8/IPC!AD8-1)</f>
        <v>2.8895422570553109E-2</v>
      </c>
      <c r="AQ49" s="35">
        <f>IF(OR(IPC!AQ8="",IPC!AE8=""),"",IPC!AQ8/IPC!AE8-1)</f>
        <v>1.2803266456858475E-2</v>
      </c>
      <c r="AR49" s="35">
        <f>IF(OR(IPC!AR8="",IPC!AF8=""),"",IPC!AR8/IPC!AF8-1)</f>
        <v>1.4647704943949735E-2</v>
      </c>
      <c r="AS49" s="35">
        <f>IF(OR(IPC!AS8="",IPC!AG8=""),"",IPC!AS8/IPC!AG8-1)</f>
        <v>1.0226248910624181E-2</v>
      </c>
      <c r="AT49" s="35">
        <f>IF(OR(IPC!AT8="",IPC!AH8=""),"",IPC!AT8/IPC!AH8-1)</f>
        <v>1.4650574566430485E-3</v>
      </c>
      <c r="AU49" s="35">
        <f>IF(OR(IPC!AU8="",IPC!AI8=""),"",IPC!AU8/IPC!AI8-1)</f>
        <v>1.156211139754082E-2</v>
      </c>
      <c r="AV49" s="35">
        <f>IF(OR(IPC!AV8="",IPC!AJ8=""),"",IPC!AV8/IPC!AJ8-1)</f>
        <v>7.5778648295703466E-3</v>
      </c>
      <c r="AW49" s="35">
        <f>IF(OR(IPC!AW8="",IPC!AK8=""),"",IPC!AW8/IPC!AK8-1)</f>
        <v>9.1362772393421832E-3</v>
      </c>
      <c r="AX49" s="35">
        <f>IF(OR(IPC!AX8="",IPC!AL8=""),"",IPC!AX8/IPC!AL8-1)</f>
        <v>4.791772741325584E-3</v>
      </c>
      <c r="AY49" s="35">
        <f>IF(OR(IPC!AY8="",IPC!AM8=""),"",IPC!AY8/IPC!AM8-1)</f>
        <v>9.1678526923912873E-3</v>
      </c>
      <c r="AZ49" s="35">
        <f>IF(OR(IPC!AZ8="",IPC!AN8=""),"",IPC!AZ8/IPC!AN8-1)</f>
        <v>7.1203959860421939E-3</v>
      </c>
      <c r="BA49" s="35">
        <f>IF(OR(IPC!BA8="",IPC!AO8=""),"",IPC!BA8/IPC!AO8-1)</f>
        <v>6.0693648906775977E-2</v>
      </c>
      <c r="BB49" s="35">
        <f>IF(OR(IPC!BB8="",IPC!AP8=""),"",IPC!BB8/IPC!AP8-1)</f>
        <v>8.2638040210823549E-2</v>
      </c>
      <c r="BC49" s="35">
        <f>IF(OR(IPC!BC8="",IPC!AQ8=""),"",IPC!BC8/IPC!AQ8-1)</f>
        <v>9.6535271503135123E-2</v>
      </c>
      <c r="BD49" s="35">
        <f>IF(OR(IPC!BD8="",IPC!AR8=""),"",IPC!BD8/IPC!AR8-1)</f>
        <v>9.7202386916652728E-2</v>
      </c>
      <c r="BE49" s="35">
        <f>IF(OR(IPC!BE8="",IPC!AS8=""),"",IPC!BE8/IPC!AS8-1)</f>
        <v>0.10049816996557714</v>
      </c>
      <c r="BF49" s="35">
        <f>IF(OR(IPC!BF8="",IPC!AT8=""),"",IPC!BF8/IPC!AT8-1)</f>
        <v>0.10448149223952941</v>
      </c>
      <c r="BG49" s="35">
        <f>IF(OR(IPC!BG8="",IPC!AU8=""),"",IPC!BG8/IPC!AU8-1)</f>
        <v>9.6709323677637071E-2</v>
      </c>
      <c r="BH49" s="35">
        <f>IF(OR(IPC!BH8="",IPC!AV8=""),"",IPC!BH8/IPC!AV8-1)</f>
        <v>0.1021904266144702</v>
      </c>
      <c r="BI49" s="35">
        <f>IF(OR(IPC!BI8="",IPC!AW8=""),"",IPC!BI8/IPC!AW8-1)</f>
        <v>0.10736382819634405</v>
      </c>
      <c r="BJ49" s="35">
        <f>IF(OR(IPC!BJ8="",IPC!AX8=""),"",IPC!BJ8/IPC!AX8-1)</f>
        <v>0.11031543948592781</v>
      </c>
      <c r="BK49" s="35">
        <f>IF(OR(IPC!BK8="",IPC!AY8=""),"",IPC!BK8/IPC!AY8-1)</f>
        <v>0.10646857236185103</v>
      </c>
      <c r="BL49" s="35">
        <f>IF(OR(IPC!BL8="",IPC!AZ8=""),"",IPC!BL8/IPC!AZ8-1)</f>
        <v>0.11450655882514216</v>
      </c>
      <c r="BM49" s="35">
        <f>IF(OR(IPC!BM8="",IPC!BA8=""),"",IPC!BM8/IPC!BA8-1)</f>
        <v>5.9317380428957955E-2</v>
      </c>
      <c r="BN49" s="35">
        <f>IF(OR(IPC!BN8="",IPC!BB8=""),"",IPC!BN8/IPC!BB8-1)</f>
        <v>3.5751896544623518E-2</v>
      </c>
      <c r="BO49" s="35">
        <f>IF(OR(IPC!BO8="",IPC!BC8=""),"",IPC!BO8/IPC!BC8-1)</f>
        <v>2.2232662113613522E-2</v>
      </c>
      <c r="BP49" s="35">
        <f>IF(OR(IPC!BP8="",IPC!BD8=""),"",IPC!BP8/IPC!BD8-1)</f>
        <v>2.3350087836140121E-2</v>
      </c>
      <c r="BQ49" s="35">
        <f>IF(OR(IPC!BQ8="",IPC!BE8=""),"",IPC!BQ8/IPC!BE8-1)</f>
        <v>2.3345276186078623E-2</v>
      </c>
      <c r="BR49" s="35">
        <f>IF(OR(IPC!BR8="",IPC!BF8=""),"",IPC!BR8/IPC!BF8-1)</f>
        <v>2.0861808436338558E-2</v>
      </c>
      <c r="BS49" s="35">
        <f>IF(OR(IPC!BS8="",IPC!BG8=""),"",IPC!BS8/IPC!BG8-1)</f>
        <v>1.7175231315069261E-2</v>
      </c>
      <c r="BT49" s="35">
        <f>IF(OR(IPC!BT8="",IPC!BH8=""),"",IPC!BT8/IPC!BH8-1)</f>
        <v>2.2176774130528543E-2</v>
      </c>
      <c r="BU49" s="35">
        <f>IF(OR(IPC!BU8="",IPC!BI8=""),"",IPC!BU8/IPC!BI8-1)</f>
        <v>5.5956295036865278E-3</v>
      </c>
      <c r="BV49" s="35">
        <f>IF(OR(IPC!BV8="",IPC!BJ8=""),"",IPC!BV8/IPC!BJ8-1)</f>
        <v>1.3638835065459709E-2</v>
      </c>
      <c r="BW49" s="35">
        <f>IF(OR(IPC!BW8="",IPC!BK8=""),"",IPC!BW8/IPC!BK8-1)</f>
        <v>1.1216233348616322E-2</v>
      </c>
      <c r="BX49" s="35">
        <f>IF(OR(IPC!BX8="",IPC!BL8=""),"",IPC!BX8/IPC!BL8-1)</f>
        <v>1.3390556479548898E-2</v>
      </c>
      <c r="BY49" s="35">
        <f>IF(OR(IPC!BY8="",IPC!BM8=""),"",IPC!BY8/IPC!BM8-1)</f>
        <v>1.5690372780395867E-2</v>
      </c>
      <c r="BZ49" s="35">
        <f>IF(OR(IPC!BZ8="",IPC!BN8=""),"",IPC!BZ8/IPC!BN8-1)</f>
        <v>2.1095959505882389E-2</v>
      </c>
      <c r="CA49" s="35">
        <f>IF(OR(IPC!CA8="",IPC!BO8=""),"",IPC!CA8/IPC!BO8-1)</f>
        <v>1.286980989640818E-2</v>
      </c>
      <c r="CB49" s="35">
        <f>IF(OR(IPC!CB8="",IPC!BP8=""),"",IPC!CB8/IPC!BP8-1)</f>
        <v>7.5577289739567899E-3</v>
      </c>
      <c r="CC49" s="35">
        <f>IF(OR(IPC!CC8="",IPC!BQ8=""),"",IPC!CC8/IPC!BQ8-1)</f>
        <v>9.3118724187761792E-3</v>
      </c>
      <c r="CD49" s="35">
        <f>IF(OR(IPC!CD8="",IPC!BR8=""),"",IPC!CD8/IPC!BR8-1)</f>
        <v>1.4067381288945802E-2</v>
      </c>
      <c r="CE49" s="35">
        <f>IF(OR(IPC!CE8="",IPC!BS8=""),"",IPC!CE8/IPC!BS8-1)</f>
        <v>1.851068820671542E-2</v>
      </c>
      <c r="CF49" s="35">
        <f>IF(OR(IPC!CF8="",IPC!BT8=""),"",IPC!CF8/IPC!BT8-1)</f>
        <v>1.1913908872179357E-2</v>
      </c>
      <c r="CG49" s="35">
        <f>IF(OR(IPC!CG8="",IPC!BU8=""),"",IPC!CG8/IPC!BU8-1)</f>
        <v>2.1845117547156567E-2</v>
      </c>
      <c r="CH49" s="35">
        <f>IF(OR(IPC!CH8="",IPC!BV8=""),"",IPC!CH8/IPC!BV8-1)</f>
        <v>1.250828434126583E-2</v>
      </c>
      <c r="CI49" s="35">
        <f>IF(OR(IPC!CI8="",IPC!BW8=""),"",IPC!CI8/IPC!BW8-1)</f>
        <v>1.3225194695149156E-2</v>
      </c>
      <c r="CJ49" s="35">
        <f>IF(OR(IPC!CJ8="",IPC!BX8=""),"",IPC!CJ8/IPC!BX8-1)</f>
        <v>1.0816629018867374E-2</v>
      </c>
      <c r="CK49" s="35">
        <f>IF(OR(IPC!CK8="",IPC!BY8=""),"",IPC!CK8/IPC!BY8-1)</f>
        <v>7.3754642173509133E-3</v>
      </c>
      <c r="CL49" s="35">
        <f>IF(OR(IPC!CL8="",IPC!BZ8=""),"",IPC!CL8/IPC!BZ8-1)</f>
        <v>-1.7025017820417876E-3</v>
      </c>
      <c r="CM49" s="35">
        <f>IF(OR(IPC!CM8="",IPC!CA8=""),"",IPC!CM8/IPC!CA8-1)</f>
        <v>1.1192887879392543E-2</v>
      </c>
      <c r="CN49" s="35">
        <f>IF(OR(IPC!CN8="",IPC!CB8=""),"",IPC!CN8/IPC!CB8-1)</f>
        <v>1.3488533753012844E-2</v>
      </c>
      <c r="CO49" s="35">
        <f>IF(OR(IPC!CO8="",IPC!CC8=""),"",IPC!CO8/IPC!CC8-1)</f>
        <v>1.615110500087158E-2</v>
      </c>
      <c r="CP49" s="35">
        <f>IF(OR(IPC!CP8="",IPC!CD8=""),"",IPC!CP8/IPC!CD8-1)</f>
        <v>1.6597151107930808E-2</v>
      </c>
      <c r="CQ49" s="35">
        <f>IF(OR(IPC!CQ8="",IPC!CE8=""),"",IPC!CQ8/IPC!CE8-1)</f>
        <v>1.6815646527517325E-2</v>
      </c>
      <c r="CR49" s="35">
        <f>IF(OR(IPC!CR8="",IPC!CF8=""),"",IPC!CR8/IPC!CF8-1)</f>
        <v>2.3441104679873259E-2</v>
      </c>
      <c r="CS49" s="35">
        <f>IF(OR(IPC!CS8="",IPC!CG8=""),"",IPC!CS8/IPC!CG8-1)</f>
        <v>2.0046778941014809E-2</v>
      </c>
      <c r="CT49" s="35">
        <f>IF(OR(IPC!CT8="",IPC!CH8=""),"",IPC!CT8/IPC!CH8-1)</f>
        <v>2.0248348579346098E-2</v>
      </c>
      <c r="CU49" s="35">
        <f>IF(OR(IPC!CU8="",IPC!CI8=""),"",IPC!CU8/IPC!CI8-1)</f>
        <v>2.2010394325459481E-2</v>
      </c>
      <c r="CV49" s="35">
        <f>IF(OR(IPC!CV8="",IPC!CJ8=""),"",IPC!CV8/IPC!CJ8-1)</f>
        <v>2.2961105660668002E-2</v>
      </c>
      <c r="CW49" s="35">
        <f>IF(OR(IPC!CW8="",IPC!CK8=""),"",IPC!CW8/IPC!CK8-1)</f>
        <v>3.6519444268651391E-2</v>
      </c>
      <c r="CX49" s="35">
        <f>IF(OR(IPC!CX8="",IPC!CL8=""),"",IPC!CX8/IPC!CL8-1)</f>
        <v>4.5869269746358965E-2</v>
      </c>
      <c r="CY49" s="35">
        <f>IF(OR(IPC!CY8="",IPC!CM8=""),"",IPC!CY8/IPC!CM8-1)</f>
        <v>5.3131138377433329E-2</v>
      </c>
      <c r="CZ49" s="35">
        <f>IF(OR(IPC!CZ8="",IPC!CN8=""),"",IPC!CZ8/IPC!CN8-1)</f>
        <v>5.6655707803479505E-2</v>
      </c>
      <c r="DA49" s="35">
        <f>IF(OR(IPC!DA8="",IPC!CO8=""),"",IPC!DA8/IPC!CO8-1)</f>
        <v>5.4455692839843639E-2</v>
      </c>
      <c r="DB49" s="35">
        <f>IF(OR(IPC!DB8="",IPC!CP8=""),"",IPC!DB8/IPC!CP8-1)</f>
        <v>5.0837156232209191E-2</v>
      </c>
      <c r="DC49" s="35">
        <f>IF(OR(IPC!DC8="",IPC!CQ8=""),"",IPC!DC8/IPC!CQ8-1)</f>
        <v>5.1536405525621332E-2</v>
      </c>
      <c r="DD49" s="35">
        <f>IF(OR(IPC!DD8="",IPC!CR8=""),"",IPC!DD8/IPC!CR8-1)</f>
        <v>4.7369840369934524E-2</v>
      </c>
      <c r="DE49" s="35">
        <f>IF(OR(IPC!DE8="",IPC!CS8=""),"",IPC!DE8/IPC!CS8-1)</f>
        <v>4.7822219687667644E-2</v>
      </c>
      <c r="DF49" s="35">
        <f>IF(OR(IPC!DF8="",IPC!CT8=""),"",IPC!DF8/IPC!CT8-1)</f>
        <v>5.0197637738955692E-2</v>
      </c>
      <c r="DG49" s="35">
        <f>IF(OR(IPC!DG8="",IPC!CU8=""),"",IPC!DG8/IPC!CU8-1)</f>
        <v>5.1382959263947425E-2</v>
      </c>
      <c r="DH49" s="35">
        <f>IF(OR(IPC!DH8="",IPC!CV8=""),"",IPC!DH8/IPC!CV8-1)</f>
        <v>5.4980105329100137E-2</v>
      </c>
      <c r="DI49" s="35">
        <f>IF(OR(IPC!DI8="",IPC!CW8=""),"",IPC!DI8/IPC!CW8-1)</f>
        <v>4.5472367512175982E-2</v>
      </c>
      <c r="DJ49" s="35">
        <f>IF(OR(IPC!DJ8="",IPC!CX8=""),"",IPC!DJ8/IPC!CX8-1)</f>
        <v>3.5905576845795206E-2</v>
      </c>
      <c r="DK49" s="35">
        <f>IF(OR(IPC!DK8="",IPC!CY8=""),"",IPC!DK8/IPC!CY8-1)</f>
        <v>2.5523911628484663E-2</v>
      </c>
      <c r="DL49" s="35">
        <f>IF(OR(IPC!DL8="",IPC!CZ8=""),"",IPC!DL8/IPC!CZ8-1)</f>
        <v>2.2208911386031094E-2</v>
      </c>
      <c r="DM49" s="35">
        <f>IF(OR(IPC!DM8="",IPC!DA8=""),"",IPC!DM8/IPC!DA8-1)</f>
        <v>2.2314317410976559E-2</v>
      </c>
      <c r="DN49" s="35">
        <f>IF(OR(IPC!DN8="",IPC!DB8=""),"",IPC!DN8/IPC!DB8-1)</f>
        <v>2.2996475282887063E-2</v>
      </c>
      <c r="DO49" s="35">
        <f>IF(OR(IPC!DO8="",IPC!DC8=""),"",IPC!DO8/IPC!DC8-1)</f>
        <v>2.3137078127051902E-2</v>
      </c>
      <c r="DP49" s="35">
        <f>IF(OR(IPC!DP8="",IPC!DD8=""),"",IPC!DP8/IPC!DD8-1)</f>
        <v>2.3427885111543034E-2</v>
      </c>
      <c r="DQ49" s="35">
        <f>IF(OR(IPC!DQ8="",IPC!DE8=""),"",IPC!DQ8/IPC!DE8-1)</f>
        <v>2.7906277517132816E-2</v>
      </c>
      <c r="DR49" s="35">
        <f>IF(OR(IPC!DR8="",IPC!DF8=""),"",IPC!DR8/IPC!DF8-1)</f>
        <v>3.1507233172258786E-2</v>
      </c>
      <c r="DS49" s="35">
        <f>IF(OR(IPC!DS8="",IPC!DG8=""),"",IPC!DS8/IPC!DG8-1)</f>
        <v>2.9266517770461409E-2</v>
      </c>
      <c r="DT49" s="35">
        <f>IF(OR(IPC!DT8="",IPC!DH8=""),"",IPC!DT8/IPC!DH8-1)</f>
        <v>1.8019924725812375E-2</v>
      </c>
      <c r="DU49" s="35">
        <f>IF(OR(IPC!DU8="",IPC!DI8=""),"",IPC!DU8/IPC!DI8-1)</f>
        <v>1.8696204340115763E-2</v>
      </c>
      <c r="DV49" s="35">
        <f>IF(OR(IPC!DV8="",IPC!DJ8=""),"",IPC!DV8/IPC!DJ8-1)</f>
        <v>2.0017477946819184E-2</v>
      </c>
      <c r="DW49" s="35">
        <f>IF(OR(IPC!DW8="",IPC!DK8=""),"",IPC!DW8/IPC!DK8-1)</f>
        <v>2.1642168574866893E-2</v>
      </c>
      <c r="DX49" s="35">
        <f>IF(OR(IPC!DX8="",IPC!DL8=""),"",IPC!DX8/IPC!DL8-1)</f>
        <v>2.0490078346852236E-2</v>
      </c>
      <c r="DY49" s="35">
        <f>IF(OR(IPC!DY8="",IPC!DM8=""),"",IPC!DY8/IPC!DM8-1)</f>
        <v>2.1682929786753125E-2</v>
      </c>
      <c r="DZ49" s="35">
        <f>IF(OR(IPC!DZ8="",IPC!DN8=""),"",IPC!DZ8/IPC!DN8-1)</f>
        <v>2.3050328235765249E-2</v>
      </c>
      <c r="EA49" s="35">
        <f>IF(OR(IPC!EA8="",IPC!DO8=""),"",IPC!EA8/IPC!DO8-1)</f>
        <v>2.0093523697385596E-2</v>
      </c>
      <c r="EB49" s="35">
        <f>IF(OR(IPC!EB8="",IPC!DP8=""),"",IPC!EB8/IPC!DP8-1)</f>
        <v>2.2149647941717143E-2</v>
      </c>
      <c r="EC49" s="35">
        <f>IF(OR(IPC!EC8="",IPC!DQ8=""),"",IPC!EC8/IPC!DQ8-1)</f>
        <v>2.4805952167999967E-2</v>
      </c>
      <c r="ED49" s="35">
        <f>IF(OR(IPC!ED8="",IPC!DR8=""),"",IPC!ED8/IPC!DR8-1)</f>
        <v>1.6753608750604831E-2</v>
      </c>
      <c r="EE49" s="35">
        <f>IF(OR(IPC!EE8="",IPC!DS8=""),"",IPC!EE8/IPC!DS8-1)</f>
        <v>2.1686013469305765E-2</v>
      </c>
      <c r="EF49" s="35">
        <f>IF(OR(IPC!EF8="",IPC!DT8=""),"",IPC!EF8/IPC!DT8-1)</f>
        <v>3.3980156021464092E-2</v>
      </c>
      <c r="EG49" s="35">
        <f>IF(OR(IPC!EG8="",IPC!DU8=""),"",IPC!EG8/IPC!DU8-1)</f>
        <v>3.3075910600761427E-2</v>
      </c>
      <c r="EH49" s="35">
        <f>IF(OR(IPC!EH8="",IPC!DV8=""),"",IPC!EH8/IPC!DV8-1)</f>
        <v>3.4326133984230678E-2</v>
      </c>
      <c r="EI49" s="35">
        <f>IF(OR(IPC!EI8="",IPC!DW8=""),"",IPC!EI8/IPC!DW8-1)</f>
        <v>3.5466190508259388E-2</v>
      </c>
      <c r="EJ49" s="35">
        <f>IF(OR(IPC!EJ8="",IPC!DX8=""),"",IPC!EJ8/IPC!DX8-1)</f>
        <v>3.90318934560836E-2</v>
      </c>
      <c r="EK49" s="35">
        <f>IF(OR(IPC!EK8="",IPC!DY8=""),"",IPC!EK8/IPC!DY8-1)</f>
        <v>4.1016953586183291E-2</v>
      </c>
      <c r="EL49" s="35">
        <f>IF(OR(IPC!EL8="",IPC!DZ8=""),"",IPC!EL8/IPC!DZ8-1)</f>
        <v>4.4065316674751553E-2</v>
      </c>
      <c r="EM49" s="35">
        <f>IF(OR(IPC!EM8="",IPC!EA8=""),"",IPC!EM8/IPC!EA8-1)</f>
        <v>4.8972888954449401E-2</v>
      </c>
      <c r="EN49" s="35">
        <f>IF(OR(IPC!EN8="",IPC!EB8=""),"",IPC!EN8/IPC!EB8-1)</f>
        <v>4.7620494095413246E-2</v>
      </c>
      <c r="EO49" s="35">
        <f>IF(OR(IPC!EO8="",IPC!EC8=""),"",IPC!EO8/IPC!EC8-1)</f>
        <v>4.2394975620130504E-2</v>
      </c>
      <c r="EP49" s="35">
        <f>IF(OR(IPC!EP8="",IPC!ED8=""),"",IPC!EP8/IPC!ED8-1)</f>
        <v>5.1808381497578493E-2</v>
      </c>
      <c r="EQ49" s="35">
        <f>IF(OR(IPC!EQ8="",IPC!EE8=""),"",IPC!EQ8/IPC!EE8-1)</f>
        <v>4.331958027455296E-2</v>
      </c>
      <c r="ER49" s="35">
        <f>IF(OR(IPC!ER8="",IPC!EF8=""),"",IPC!ER8/IPC!EF8-1)</f>
        <v>3.3779163905478971E-2</v>
      </c>
      <c r="ES49" s="35">
        <f>IF(OR(IPC!ES8="",IPC!EG8=""),"",IPC!ES8/IPC!EG8-1)</f>
        <v>3.5961160154231342E-2</v>
      </c>
      <c r="ET49" s="35">
        <f>IF(OR(IPC!ET8="",IPC!EH8=""),"",IPC!ET8/IPC!EH8-1)</f>
        <v>3.7953436610189017E-2</v>
      </c>
      <c r="EU49" s="35">
        <f>IF(OR(IPC!EU8="",IPC!EI8=""),"",IPC!EU8/IPC!EI8-1)</f>
        <v>4.6880761531626014E-2</v>
      </c>
      <c r="EV49" s="35">
        <f>IF(OR(IPC!EV8="",IPC!EJ8=""),"",IPC!EV8/IPC!EJ8-1)</f>
        <v>4.3739338829757557E-2</v>
      </c>
      <c r="EW49" s="35">
        <f>IF(OR(IPC!EW8="",IPC!EK8=""),"",IPC!EW8/IPC!EK8-1)</f>
        <v>3.9908000618436912E-2</v>
      </c>
      <c r="EX49" s="35">
        <f>IF(OR(IPC!EX8="",IPC!EL8=""),"",IPC!EX8/IPC!EL8-1)</f>
        <v>3.5384432637469265E-2</v>
      </c>
      <c r="EY49" s="35">
        <f>IF(OR(IPC!EY8="",IPC!EM8=""),"",IPC!EY8/IPC!EM8-1)</f>
        <v>3.3157870845474724E-2</v>
      </c>
      <c r="EZ49" s="35">
        <f>IF(OR(IPC!EZ8="",IPC!EN8=""),"",IPC!EZ8/IPC!EN8-1)</f>
        <v>3.1123047696584694E-2</v>
      </c>
      <c r="FA49" s="35">
        <f>IF(OR(IPC!FA8="",IPC!EO8=""),"",IPC!FA8/IPC!EO8-1)</f>
        <v>2.7391366639708536E-2</v>
      </c>
      <c r="FB49" s="35">
        <f>IF(OR(IPC!FB8="",IPC!EP8=""),"",IPC!FB8/IPC!EP8-1)</f>
        <v>2.0368441794861081E-2</v>
      </c>
      <c r="FC49" s="35">
        <f>IF(OR(IPC!FC8="",IPC!EQ8=""),"",IPC!FC8/IPC!EQ8-1)</f>
        <v>2.3704175651430903E-2</v>
      </c>
      <c r="FD49" s="35">
        <f>IF(OR(IPC!FD8="",IPC!ER8=""),"",IPC!FD8/IPC!ER8-1)</f>
        <v>2.5969663266663945E-2</v>
      </c>
      <c r="FE49" s="35">
        <f>IF(OR(IPC!FE8="",IPC!ES8=""),"",IPC!FE8/IPC!ES8-1)</f>
        <v>2.8799506006160325E-2</v>
      </c>
      <c r="FF49" s="35">
        <f>IF(OR(IPC!FF8="",IPC!ET8=""),"",IPC!FF8/IPC!ET8-1)</f>
        <v>2.7805930322405414E-2</v>
      </c>
      <c r="FG49" s="35">
        <f>IF(OR(IPC!FG8="",IPC!EU8=""),"",IPC!FG8/IPC!EU8-1)</f>
        <v>1.9686885361416273E-2</v>
      </c>
      <c r="FH49" s="35">
        <f>IF(OR(IPC!FH8="",IPC!EV8=""),"",IPC!FH8/IPC!EV8-1)</f>
        <v>2.2385019333343692E-2</v>
      </c>
      <c r="FI49" s="35">
        <f>IF(OR(IPC!FI8="",IPC!EW8=""),"",IPC!FI8/IPC!EW8-1)</f>
        <v>2.0143511222312505E-2</v>
      </c>
      <c r="FJ49" s="35">
        <f>IF(OR(IPC!FJ8="",IPC!EX8=""),"",IPC!FJ8/IPC!EX8-1)</f>
        <v>2.0920869619350579E-2</v>
      </c>
      <c r="FK49" s="35">
        <f>IF(OR(IPC!FK8="",IPC!EY8=""),"",IPC!FK8/IPC!EY8-1)</f>
        <v>1.9705973320542247E-2</v>
      </c>
      <c r="FL49" s="35">
        <f>IF(OR(IPC!FL8="",IPC!EZ8=""),"",IPC!FL8/IPC!EZ8-1)</f>
        <v>2.1104361909644265E-2</v>
      </c>
      <c r="FM49" s="35">
        <f>IF(OR(IPC!FM8="",IPC!FA8=""),"",IPC!FM8/IPC!FA8-1)</f>
        <v>2.0710566196785685E-2</v>
      </c>
      <c r="FN49" s="35">
        <f>IF(OR(IPC!FN8="",IPC!FB8=""),"",IPC!FN8/IPC!FB8-1)</f>
        <v>2.984868560443088E-2</v>
      </c>
      <c r="FO49" s="35">
        <f>IF(OR(IPC!FO8="",IPC!FC8=""),"",IPC!FO8/IPC!FC8-1)</f>
        <v>3.3738804356741481E-2</v>
      </c>
      <c r="FP49" s="35">
        <f>IF(OR(IPC!FP8="",IPC!FD8=""),"",IPC!FP8/IPC!FD8-1)</f>
        <v>3.5474592521572479E-2</v>
      </c>
      <c r="FQ49" s="35">
        <f>IF(OR(IPC!FQ8="",IPC!FE8=""),"",IPC!FQ8/IPC!FE8-1)</f>
        <v>3.9122137404580259E-2</v>
      </c>
      <c r="FR49" s="35">
        <f>IF(OR(IPC!FR8="",IPC!FF8=""),"",IPC!FR8/IPC!FF8-1)</f>
        <v>4.1904761904761889E-2</v>
      </c>
    </row>
    <row r="50" spans="1:174" s="19" customFormat="1" ht="10.199999999999999" x14ac:dyDescent="0.2">
      <c r="A50" s="11" t="s">
        <v>13</v>
      </c>
      <c r="B50" s="1" t="s">
        <v>14</v>
      </c>
      <c r="C50" s="8">
        <v>94</v>
      </c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 t="str">
        <f>IF(OR(IPC!P9="",IPC!D9=""),"",IPC!P9/IPC!D9-1)</f>
        <v/>
      </c>
      <c r="Q50" s="35" t="str">
        <f>IF(OR(IPC!Q9="",IPC!E9=""),"",IPC!Q9/IPC!E9-1)</f>
        <v/>
      </c>
      <c r="R50" s="35" t="str">
        <f>IF(OR(IPC!R9="",IPC!F9=""),"",IPC!R9/IPC!F9-1)</f>
        <v/>
      </c>
      <c r="S50" s="35" t="str">
        <f>IF(OR(IPC!S9="",IPC!G9=""),"",IPC!S9/IPC!G9-1)</f>
        <v/>
      </c>
      <c r="T50" s="35" t="str">
        <f>IF(OR(IPC!T9="",IPC!H9=""),"",IPC!T9/IPC!H9-1)</f>
        <v/>
      </c>
      <c r="U50" s="35" t="str">
        <f>IF(OR(IPC!U9="",IPC!I9=""),"",IPC!U9/IPC!I9-1)</f>
        <v/>
      </c>
      <c r="V50" s="35" t="str">
        <f>IF(OR(IPC!V9="",IPC!J9=""),"",IPC!V9/IPC!J9-1)</f>
        <v/>
      </c>
      <c r="W50" s="35" t="str">
        <f>IF(OR(IPC!W9="",IPC!K9=""),"",IPC!W9/IPC!K9-1)</f>
        <v/>
      </c>
      <c r="X50" s="35" t="str">
        <f>IF(OR(IPC!X9="",IPC!L9=""),"",IPC!X9/IPC!L9-1)</f>
        <v/>
      </c>
      <c r="Y50" s="35" t="str">
        <f>IF(OR(IPC!Y9="",IPC!M9=""),"",IPC!Y9/IPC!M9-1)</f>
        <v/>
      </c>
      <c r="Z50" s="35" t="str">
        <f>IF(OR(IPC!Z9="",IPC!N9=""),"",IPC!Z9/IPC!N9-1)</f>
        <v/>
      </c>
      <c r="AA50" s="35" t="str">
        <f>IF(OR(IPC!AA9="",IPC!O9=""),"",IPC!AA9/IPC!O9-1)</f>
        <v/>
      </c>
      <c r="AB50" s="35">
        <f>IF(OR(IPC!AB9="",IPC!P9=""),"",IPC!AB9/IPC!P9-1)</f>
        <v>1.6261581031198125E-2</v>
      </c>
      <c r="AC50" s="35">
        <f>IF(OR(IPC!AC9="",IPC!Q9=""),"",IPC!AC9/IPC!Q9-1)</f>
        <v>1.3990655651524353E-2</v>
      </c>
      <c r="AD50" s="35">
        <f>IF(OR(IPC!AD9="",IPC!R9=""),"",IPC!AD9/IPC!R9-1)</f>
        <v>1.1090217013615788E-2</v>
      </c>
      <c r="AE50" s="35">
        <f>IF(OR(IPC!AE9="",IPC!S9=""),"",IPC!AE9/IPC!S9-1)</f>
        <v>1.6359196989470304E-2</v>
      </c>
      <c r="AF50" s="35">
        <f>IF(OR(IPC!AF9="",IPC!T9=""),"",IPC!AF9/IPC!T9-1)</f>
        <v>8.7345505640343823E-3</v>
      </c>
      <c r="AG50" s="35">
        <f>IF(OR(IPC!AG9="",IPC!U9=""),"",IPC!AG9/IPC!U9-1)</f>
        <v>8.0992738937617492E-3</v>
      </c>
      <c r="AH50" s="35">
        <f>IF(OR(IPC!AH9="",IPC!V9=""),"",IPC!AH9/IPC!V9-1)</f>
        <v>5.2921175075022475E-3</v>
      </c>
      <c r="AI50" s="35">
        <f>IF(OR(IPC!AI9="",IPC!W9=""),"",IPC!AI9/IPC!W9-1)</f>
        <v>1.0006878263049135E-2</v>
      </c>
      <c r="AJ50" s="35">
        <f>IF(OR(IPC!AJ9="",IPC!X9=""),"",IPC!AJ9/IPC!X9-1)</f>
        <v>1.7815061353460004E-2</v>
      </c>
      <c r="AK50" s="35">
        <f>IF(OR(IPC!AK9="",IPC!Y9=""),"",IPC!AK9/IPC!Y9-1)</f>
        <v>1.5011673697961969E-2</v>
      </c>
      <c r="AL50" s="35">
        <f>IF(OR(IPC!AL9="",IPC!Z9=""),"",IPC!AL9/IPC!Z9-1)</f>
        <v>1.6625479252454722E-2</v>
      </c>
      <c r="AM50" s="35">
        <f>IF(OR(IPC!AM9="",IPC!AA9=""),"",IPC!AM9/IPC!AA9-1)</f>
        <v>1.2921572530705028E-2</v>
      </c>
      <c r="AN50" s="35">
        <f>IF(OR(IPC!AN9="",IPC!AB9=""),"",IPC!AN9/IPC!AB9-1)</f>
        <v>1.4812865114561591E-2</v>
      </c>
      <c r="AO50" s="35">
        <f>IF(OR(IPC!AO9="",IPC!AC9=""),"",IPC!AO9/IPC!AC9-1)</f>
        <v>1.1669798498334716E-2</v>
      </c>
      <c r="AP50" s="35">
        <f>IF(OR(IPC!AP9="",IPC!AD9=""),"",IPC!AP9/IPC!AD9-1)</f>
        <v>9.7515952855165011E-3</v>
      </c>
      <c r="AQ50" s="35">
        <f>IF(OR(IPC!AQ9="",IPC!AE9=""),"",IPC!AQ9/IPC!AE9-1)</f>
        <v>9.6065163790917119E-3</v>
      </c>
      <c r="AR50" s="35">
        <f>IF(OR(IPC!AR9="",IPC!AF9=""),"",IPC!AR9/IPC!AF9-1)</f>
        <v>1.9313474272498077E-2</v>
      </c>
      <c r="AS50" s="35">
        <f>IF(OR(IPC!AS9="",IPC!AG9=""),"",IPC!AS9/IPC!AG9-1)</f>
        <v>1.8708485567308086E-2</v>
      </c>
      <c r="AT50" s="35">
        <f>IF(OR(IPC!AT9="",IPC!AH9=""),"",IPC!AT9/IPC!AH9-1)</f>
        <v>2.2062738020871109E-2</v>
      </c>
      <c r="AU50" s="35">
        <f>IF(OR(IPC!AU9="",IPC!AI9=""),"",IPC!AU9/IPC!AI9-1)</f>
        <v>1.725035681620124E-2</v>
      </c>
      <c r="AV50" s="35">
        <f>IF(OR(IPC!AV9="",IPC!AJ9=""),"",IPC!AV9/IPC!AJ9-1)</f>
        <v>1.4037679443284157E-2</v>
      </c>
      <c r="AW50" s="35">
        <f>IF(OR(IPC!AW9="",IPC!AK9=""),"",IPC!AW9/IPC!AK9-1)</f>
        <v>1.5042794353098854E-2</v>
      </c>
      <c r="AX50" s="35">
        <f>IF(OR(IPC!AX9="",IPC!AL9=""),"",IPC!AX9/IPC!AL9-1)</f>
        <v>1.9704000259506804E-2</v>
      </c>
      <c r="AY50" s="35">
        <f>IF(OR(IPC!AY9="",IPC!AM9=""),"",IPC!AY9/IPC!AM9-1)</f>
        <v>1.4653902020058673E-2</v>
      </c>
      <c r="AZ50" s="35">
        <f>IF(OR(IPC!AZ9="",IPC!AN9=""),"",IPC!AZ9/IPC!AN9-1)</f>
        <v>1.1761678594369718E-2</v>
      </c>
      <c r="BA50" s="35">
        <f>IF(OR(IPC!BA9="",IPC!AO9=""),"",IPC!BA9/IPC!AO9-1)</f>
        <v>1.0046323619899988E-2</v>
      </c>
      <c r="BB50" s="35">
        <f>IF(OR(IPC!BB9="",IPC!AP9=""),"",IPC!BB9/IPC!AP9-1)</f>
        <v>1.3972163548645611E-2</v>
      </c>
      <c r="BC50" s="35">
        <f>IF(OR(IPC!BC9="",IPC!AQ9=""),"",IPC!BC9/IPC!AQ9-1)</f>
        <v>3.2628407689765382E-3</v>
      </c>
      <c r="BD50" s="35">
        <f>IF(OR(IPC!BD9="",IPC!AR9=""),"",IPC!BD9/IPC!AR9-1)</f>
        <v>1.7386041273825814E-3</v>
      </c>
      <c r="BE50" s="35">
        <f>IF(OR(IPC!BE9="",IPC!AS9=""),"",IPC!BE9/IPC!AS9-1)</f>
        <v>3.7610072178084764E-3</v>
      </c>
      <c r="BF50" s="35">
        <f>IF(OR(IPC!BF9="",IPC!AT9=""),"",IPC!BF9/IPC!AT9-1)</f>
        <v>-1.0558160458609134E-3</v>
      </c>
      <c r="BG50" s="35">
        <f>IF(OR(IPC!BG9="",IPC!AU9=""),"",IPC!BG9/IPC!AU9-1)</f>
        <v>2.2360655071484992E-4</v>
      </c>
      <c r="BH50" s="35">
        <f>IF(OR(IPC!BH9="",IPC!AV9=""),"",IPC!BH9/IPC!AV9-1)</f>
        <v>3.2414822823900735E-5</v>
      </c>
      <c r="BI50" s="35">
        <f>IF(OR(IPC!BI9="",IPC!AW9=""),"",IPC!BI9/IPC!AW9-1)</f>
        <v>-7.4076319230563792E-3</v>
      </c>
      <c r="BJ50" s="35">
        <f>IF(OR(IPC!BJ9="",IPC!AX9=""),"",IPC!BJ9/IPC!AX9-1)</f>
        <v>-7.2549966184420889E-3</v>
      </c>
      <c r="BK50" s="35">
        <f>IF(OR(IPC!BK9="",IPC!AY9=""),"",IPC!BK9/IPC!AY9-1)</f>
        <v>-8.9332372417600947E-3</v>
      </c>
      <c r="BL50" s="35">
        <f>IF(OR(IPC!BL9="",IPC!AZ9=""),"",IPC!BL9/IPC!AZ9-1)</f>
        <v>-4.2833431492259599E-3</v>
      </c>
      <c r="BM50" s="35">
        <f>IF(OR(IPC!BM9="",IPC!BA9=""),"",IPC!BM9/IPC!BA9-1)</f>
        <v>-4.2068318320322984E-3</v>
      </c>
      <c r="BN50" s="35">
        <f>IF(OR(IPC!BN9="",IPC!BB9=""),"",IPC!BN9/IPC!BB9-1)</f>
        <v>-2.5649591853594833E-3</v>
      </c>
      <c r="BO50" s="35">
        <f>IF(OR(IPC!BO9="",IPC!BC9=""),"",IPC!BO9/IPC!BC9-1)</f>
        <v>2.337318251874887E-4</v>
      </c>
      <c r="BP50" s="35">
        <f>IF(OR(IPC!BP9="",IPC!BD9=""),"",IPC!BP9/IPC!BD9-1)</f>
        <v>-3.8364477545519415E-3</v>
      </c>
      <c r="BQ50" s="35">
        <f>IF(OR(IPC!BQ9="",IPC!BE9=""),"",IPC!BQ9/IPC!BE9-1)</f>
        <v>-5.4911624031228623E-3</v>
      </c>
      <c r="BR50" s="35">
        <f>IF(OR(IPC!BR9="",IPC!BF9=""),"",IPC!BR9/IPC!BF9-1)</f>
        <v>2.2889801844949709E-3</v>
      </c>
      <c r="BS50" s="35">
        <f>IF(OR(IPC!BS9="",IPC!BG9=""),"",IPC!BS9/IPC!BG9-1)</f>
        <v>3.5941699929646909E-3</v>
      </c>
      <c r="BT50" s="35">
        <f>IF(OR(IPC!BT9="",IPC!BH9=""),"",IPC!BT9/IPC!BH9-1)</f>
        <v>6.0781756769370254E-3</v>
      </c>
      <c r="BU50" s="35">
        <f>IF(OR(IPC!BU9="",IPC!BI9=""),"",IPC!BU9/IPC!BI9-1)</f>
        <v>8.7299309114559076E-3</v>
      </c>
      <c r="BV50" s="35">
        <f>IF(OR(IPC!BV9="",IPC!BJ9=""),"",IPC!BV9/IPC!BJ9-1)</f>
        <v>5.3837184492611101E-4</v>
      </c>
      <c r="BW50" s="35">
        <f>IF(OR(IPC!BW9="",IPC!BK9=""),"",IPC!BW9/IPC!BK9-1)</f>
        <v>7.441645751270709E-3</v>
      </c>
      <c r="BX50" s="35">
        <f>IF(OR(IPC!BX9="",IPC!BL9=""),"",IPC!BX9/IPC!BL9-1)</f>
        <v>1.1860672321465371E-2</v>
      </c>
      <c r="BY50" s="35">
        <f>IF(OR(IPC!BY9="",IPC!BM9=""),"",IPC!BY9/IPC!BM9-1)</f>
        <v>1.083256690878831E-2</v>
      </c>
      <c r="BZ50" s="35">
        <f>IF(OR(IPC!BZ9="",IPC!BN9=""),"",IPC!BZ9/IPC!BN9-1)</f>
        <v>1.0128062638496527E-2</v>
      </c>
      <c r="CA50" s="35">
        <f>IF(OR(IPC!CA9="",IPC!BO9=""),"",IPC!CA9/IPC!BO9-1)</f>
        <v>1.5272832616710641E-2</v>
      </c>
      <c r="CB50" s="35">
        <f>IF(OR(IPC!CB9="",IPC!BP9=""),"",IPC!CB9/IPC!BP9-1)</f>
        <v>1.2851489269446015E-2</v>
      </c>
      <c r="CC50" s="35">
        <f>IF(OR(IPC!CC9="",IPC!BQ9=""),"",IPC!CC9/IPC!BQ9-1)</f>
        <v>1.1200423531794623E-2</v>
      </c>
      <c r="CD50" s="35">
        <f>IF(OR(IPC!CD9="",IPC!BR9=""),"",IPC!CD9/IPC!BR9-1)</f>
        <v>6.1602382920846743E-3</v>
      </c>
      <c r="CE50" s="35">
        <f>IF(OR(IPC!CE9="",IPC!BS9=""),"",IPC!CE9/IPC!BS9-1)</f>
        <v>6.4105765951607552E-3</v>
      </c>
      <c r="CF50" s="35">
        <f>IF(OR(IPC!CF9="",IPC!BT9=""),"",IPC!CF9/IPC!BT9-1)</f>
        <v>7.6683952601919181E-3</v>
      </c>
      <c r="CG50" s="35">
        <f>IF(OR(IPC!CG9="",IPC!BU9=""),"",IPC!CG9/IPC!BU9-1)</f>
        <v>6.8556001218076368E-3</v>
      </c>
      <c r="CH50" s="35">
        <f>IF(OR(IPC!CH9="",IPC!BV9=""),"",IPC!CH9/IPC!BV9-1)</f>
        <v>1.3346478278673413E-2</v>
      </c>
      <c r="CI50" s="35">
        <f>IF(OR(IPC!CI9="",IPC!BW9=""),"",IPC!CI9/IPC!BW9-1)</f>
        <v>2.5525114256801373E-3</v>
      </c>
      <c r="CJ50" s="35">
        <f>IF(OR(IPC!CJ9="",IPC!BX9=""),"",IPC!CJ9/IPC!BX9-1)</f>
        <v>6.0605536665967463E-3</v>
      </c>
      <c r="CK50" s="35">
        <f>IF(OR(IPC!CK9="",IPC!BY9=""),"",IPC!CK9/IPC!BY9-1)</f>
        <v>1.2100379604130795E-2</v>
      </c>
      <c r="CL50" s="35">
        <f>IF(OR(IPC!CL9="",IPC!BZ9=""),"",IPC!CL9/IPC!BZ9-1)</f>
        <v>1.1849890238710081E-2</v>
      </c>
      <c r="CM50" s="35">
        <f>IF(OR(IPC!CM9="",IPC!CA9=""),"",IPC!CM9/IPC!CA9-1)</f>
        <v>1.4638147432581183E-2</v>
      </c>
      <c r="CN50" s="35">
        <f>IF(OR(IPC!CN9="",IPC!CB9=""),"",IPC!CN9/IPC!CB9-1)</f>
        <v>1.8437209226744633E-2</v>
      </c>
      <c r="CO50" s="35">
        <f>IF(OR(IPC!CO9="",IPC!CC9=""),"",IPC!CO9/IPC!CC9-1)</f>
        <v>1.8640335072034775E-2</v>
      </c>
      <c r="CP50" s="35">
        <f>IF(OR(IPC!CP9="",IPC!CD9=""),"",IPC!CP9/IPC!CD9-1)</f>
        <v>1.9288343752674963E-2</v>
      </c>
      <c r="CQ50" s="35">
        <f>IF(OR(IPC!CQ9="",IPC!CE9=""),"",IPC!CQ9/IPC!CE9-1)</f>
        <v>1.9944748719227468E-2</v>
      </c>
      <c r="CR50" s="35">
        <f>IF(OR(IPC!CR9="",IPC!CF9=""),"",IPC!CR9/IPC!CF9-1)</f>
        <v>2.0335797791854349E-2</v>
      </c>
      <c r="CS50" s="35">
        <f>IF(OR(IPC!CS9="",IPC!CG9=""),"",IPC!CS9/IPC!CG9-1)</f>
        <v>2.6774600621494171E-2</v>
      </c>
      <c r="CT50" s="35">
        <f>IF(OR(IPC!CT9="",IPC!CH9=""),"",IPC!CT9/IPC!CH9-1)</f>
        <v>2.9275849588370928E-2</v>
      </c>
      <c r="CU50" s="35">
        <f>IF(OR(IPC!CU9="",IPC!CI9=""),"",IPC!CU9/IPC!CI9-1)</f>
        <v>2.9422521371993859E-2</v>
      </c>
      <c r="CV50" s="35">
        <f>IF(OR(IPC!CV9="",IPC!CJ9=""),"",IPC!CV9/IPC!CJ9-1)</f>
        <v>2.8372437030313336E-2</v>
      </c>
      <c r="CW50" s="35">
        <f>IF(OR(IPC!CW9="",IPC!CK9=""),"",IPC!CW9/IPC!CK9-1)</f>
        <v>2.6177653942342616E-2</v>
      </c>
      <c r="CX50" s="35">
        <f>IF(OR(IPC!CX9="",IPC!CL9=""),"",IPC!CX9/IPC!CL9-1)</f>
        <v>2.7663187418419888E-2</v>
      </c>
      <c r="CY50" s="35">
        <f>IF(OR(IPC!CY9="",IPC!CM9=""),"",IPC!CY9/IPC!CM9-1)</f>
        <v>2.7639299070884249E-2</v>
      </c>
      <c r="CZ50" s="35">
        <f>IF(OR(IPC!CZ9="",IPC!CN9=""),"",IPC!CZ9/IPC!CN9-1)</f>
        <v>2.7240999562762269E-2</v>
      </c>
      <c r="DA50" s="35">
        <f>IF(OR(IPC!DA9="",IPC!CO9=""),"",IPC!DA9/IPC!CO9-1)</f>
        <v>2.9897336488983184E-2</v>
      </c>
      <c r="DB50" s="35">
        <f>IF(OR(IPC!DB9="",IPC!CP9=""),"",IPC!DB9/IPC!CP9-1)</f>
        <v>2.9334883786603649E-2</v>
      </c>
      <c r="DC50" s="35">
        <f>IF(OR(IPC!DC9="",IPC!CQ9=""),"",IPC!DC9/IPC!CQ9-1)</f>
        <v>2.8710788212852556E-2</v>
      </c>
      <c r="DD50" s="35">
        <f>IF(OR(IPC!DD9="",IPC!CR9=""),"",IPC!DD9/IPC!CR9-1)</f>
        <v>2.8116735689195815E-2</v>
      </c>
      <c r="DE50" s="35">
        <f>IF(OR(IPC!DE9="",IPC!CS9=""),"",IPC!DE9/IPC!CS9-1)</f>
        <v>2.9243576219103451E-2</v>
      </c>
      <c r="DF50" s="35">
        <f>IF(OR(IPC!DF9="",IPC!CT9=""),"",IPC!DF9/IPC!CT9-1)</f>
        <v>2.9334552465871688E-2</v>
      </c>
      <c r="DG50" s="35">
        <f>IF(OR(IPC!DG9="",IPC!CU9=""),"",IPC!DG9/IPC!CU9-1)</f>
        <v>2.880897231013102E-2</v>
      </c>
      <c r="DH50" s="35">
        <f>IF(OR(IPC!DH9="",IPC!CV9=""),"",IPC!DH9/IPC!CV9-1)</f>
        <v>2.6713754990527194E-2</v>
      </c>
      <c r="DI50" s="35">
        <f>IF(OR(IPC!DI9="",IPC!CW9=""),"",IPC!DI9/IPC!CW9-1)</f>
        <v>2.6650276044733578E-2</v>
      </c>
      <c r="DJ50" s="35">
        <f>IF(OR(IPC!DJ9="",IPC!CX9=""),"",IPC!DJ9/IPC!CX9-1)</f>
        <v>2.3743826461736894E-2</v>
      </c>
      <c r="DK50" s="35">
        <f>IF(OR(IPC!DK9="",IPC!CY9=""),"",IPC!DK9/IPC!CY9-1)</f>
        <v>2.5496760720203904E-2</v>
      </c>
      <c r="DL50" s="35">
        <f>IF(OR(IPC!DL9="",IPC!CZ9=""),"",IPC!DL9/IPC!CZ9-1)</f>
        <v>2.5427441905817361E-2</v>
      </c>
      <c r="DM50" s="35">
        <f>IF(OR(IPC!DM9="",IPC!DA9=""),"",IPC!DM9/IPC!DA9-1)</f>
        <v>2.4571113042283876E-2</v>
      </c>
      <c r="DN50" s="35">
        <f>IF(OR(IPC!DN9="",IPC!DB9=""),"",IPC!DN9/IPC!DB9-1)</f>
        <v>2.3154128169039501E-2</v>
      </c>
      <c r="DO50" s="35">
        <f>IF(OR(IPC!DO9="",IPC!DC9=""),"",IPC!DO9/IPC!DC9-1)</f>
        <v>2.2639562791153534E-2</v>
      </c>
      <c r="DP50" s="35">
        <f>IF(OR(IPC!DP9="",IPC!DD9=""),"",IPC!DP9/IPC!DD9-1)</f>
        <v>2.5097024437792825E-2</v>
      </c>
      <c r="DQ50" s="35">
        <f>IF(OR(IPC!DQ9="",IPC!DE9=""),"",IPC!DQ9/IPC!DE9-1)</f>
        <v>2.1178589767659961E-2</v>
      </c>
      <c r="DR50" s="35">
        <f>IF(OR(IPC!DR9="",IPC!DF9=""),"",IPC!DR9/IPC!DF9-1)</f>
        <v>1.8752228282014727E-2</v>
      </c>
      <c r="DS50" s="35">
        <f>IF(OR(IPC!DS9="",IPC!DG9=""),"",IPC!DS9/IPC!DG9-1)</f>
        <v>1.8016784214004433E-2</v>
      </c>
      <c r="DT50" s="35">
        <f>IF(OR(IPC!DT9="",IPC!DH9=""),"",IPC!DT9/IPC!DH9-1)</f>
        <v>2.1482741637500524E-2</v>
      </c>
      <c r="DU50" s="35">
        <f>IF(OR(IPC!DU9="",IPC!DI9=""),"",IPC!DU9/IPC!DI9-1)</f>
        <v>2.0707128966175992E-2</v>
      </c>
      <c r="DV50" s="35">
        <f>IF(OR(IPC!DV9="",IPC!DJ9=""),"",IPC!DV9/IPC!DJ9-1)</f>
        <v>2.6916986422682365E-2</v>
      </c>
      <c r="DW50" s="35">
        <f>IF(OR(IPC!DW9="",IPC!DK9=""),"",IPC!DW9/IPC!DK9-1)</f>
        <v>2.0112279142829648E-2</v>
      </c>
      <c r="DX50" s="35">
        <f>IF(OR(IPC!DX9="",IPC!DL9=""),"",IPC!DX9/IPC!DL9-1)</f>
        <v>2.0076083822033963E-2</v>
      </c>
      <c r="DY50" s="35">
        <f>IF(OR(IPC!DY9="",IPC!DM9=""),"",IPC!DY9/IPC!DM9-1)</f>
        <v>1.9802233871823116E-2</v>
      </c>
      <c r="DZ50" s="35">
        <f>IF(OR(IPC!DZ9="",IPC!DN9=""),"",IPC!DZ9/IPC!DN9-1)</f>
        <v>2.3648873073019994E-2</v>
      </c>
      <c r="EA50" s="35">
        <f>IF(OR(IPC!EA9="",IPC!DO9=""),"",IPC!EA9/IPC!DO9-1)</f>
        <v>2.4356636045920421E-2</v>
      </c>
      <c r="EB50" s="35">
        <f>IF(OR(IPC!EB9="",IPC!DP9=""),"",IPC!EB9/IPC!DP9-1)</f>
        <v>1.916739425053815E-2</v>
      </c>
      <c r="EC50" s="35">
        <f>IF(OR(IPC!EC9="",IPC!DQ9=""),"",IPC!EC9/IPC!DQ9-1)</f>
        <v>2.243880548757704E-2</v>
      </c>
      <c r="ED50" s="35">
        <f>IF(OR(IPC!ED9="",IPC!DR9=""),"",IPC!ED9/IPC!DR9-1)</f>
        <v>2.3191382143164185E-2</v>
      </c>
      <c r="EE50" s="35">
        <f>IF(OR(IPC!EE9="",IPC!DS9=""),"",IPC!EE9/IPC!DS9-1)</f>
        <v>2.2298896462689344E-2</v>
      </c>
      <c r="EF50" s="35">
        <f>IF(OR(IPC!EF9="",IPC!DT9=""),"",IPC!EF9/IPC!DT9-1)</f>
        <v>2.568843066938431E-2</v>
      </c>
      <c r="EG50" s="35">
        <f>IF(OR(IPC!EG9="",IPC!DU9=""),"",IPC!EG9/IPC!DU9-1)</f>
        <v>3.0625101721188264E-2</v>
      </c>
      <c r="EH50" s="35">
        <f>IF(OR(IPC!EH9="",IPC!DV9=""),"",IPC!EH9/IPC!DV9-1)</f>
        <v>2.849613057627165E-2</v>
      </c>
      <c r="EI50" s="35">
        <f>IF(OR(IPC!EI9="",IPC!DW9=""),"",IPC!EI9/IPC!DW9-1)</f>
        <v>3.9456213430095088E-2</v>
      </c>
      <c r="EJ50" s="35">
        <f>IF(OR(IPC!EJ9="",IPC!DX9=""),"",IPC!EJ9/IPC!DX9-1)</f>
        <v>4.2604212490471749E-2</v>
      </c>
      <c r="EK50" s="35">
        <f>IF(OR(IPC!EK9="",IPC!DY9=""),"",IPC!EK9/IPC!DY9-1)</f>
        <v>4.6401752181966849E-2</v>
      </c>
      <c r="EL50" s="35">
        <f>IF(OR(IPC!EL9="",IPC!DZ9=""),"",IPC!EL9/IPC!DZ9-1)</f>
        <v>3.8354587427094522E-2</v>
      </c>
      <c r="EM50" s="35">
        <f>IF(OR(IPC!EM9="",IPC!EA9=""),"",IPC!EM9/IPC!EA9-1)</f>
        <v>4.040882091000797E-2</v>
      </c>
      <c r="EN50" s="35">
        <f>IF(OR(IPC!EN9="",IPC!EB9=""),"",IPC!EN9/IPC!EB9-1)</f>
        <v>4.7930653455829697E-2</v>
      </c>
      <c r="EO50" s="35">
        <f>IF(OR(IPC!EO9="",IPC!EC9=""),"",IPC!EO9/IPC!EC9-1)</f>
        <v>4.5072940408573015E-2</v>
      </c>
      <c r="EP50" s="35">
        <f>IF(OR(IPC!EP9="",IPC!ED9=""),"",IPC!EP9/IPC!ED9-1)</f>
        <v>4.3487339373563749E-2</v>
      </c>
      <c r="EQ50" s="35">
        <f>IF(OR(IPC!EQ9="",IPC!EE9=""),"",IPC!EQ9/IPC!EE9-1)</f>
        <v>4.5931275633094737E-2</v>
      </c>
      <c r="ER50" s="35">
        <f>IF(OR(IPC!ER9="",IPC!EF9=""),"",IPC!ER9/IPC!EF9-1)</f>
        <v>4.5068368036537576E-2</v>
      </c>
      <c r="ES50" s="35">
        <f>IF(OR(IPC!ES9="",IPC!EG9=""),"",IPC!ES9/IPC!EG9-1)</f>
        <v>4.4598065610698567E-2</v>
      </c>
      <c r="ET50" s="35">
        <f>IF(OR(IPC!ET9="",IPC!EH9=""),"",IPC!ET9/IPC!EH9-1)</f>
        <v>4.5496468934226098E-2</v>
      </c>
      <c r="EU50" s="35">
        <f>IF(OR(IPC!EU9="",IPC!EI9=""),"",IPC!EU9/IPC!EI9-1)</f>
        <v>4.7536264557348051E-2</v>
      </c>
      <c r="EV50" s="35">
        <f>IF(OR(IPC!EV9="",IPC!EJ9=""),"",IPC!EV9/IPC!EJ9-1)</f>
        <v>4.259190237914523E-2</v>
      </c>
      <c r="EW50" s="35">
        <f>IF(OR(IPC!EW9="",IPC!EK9=""),"",IPC!EW9/IPC!EK9-1)</f>
        <v>3.8688424897568741E-2</v>
      </c>
      <c r="EX50" s="35">
        <f>IF(OR(IPC!EX9="",IPC!EL9=""),"",IPC!EX9/IPC!EL9-1)</f>
        <v>4.514296218559477E-2</v>
      </c>
      <c r="EY50" s="35">
        <f>IF(OR(IPC!EY9="",IPC!EM9=""),"",IPC!EY9/IPC!EM9-1)</f>
        <v>4.5298417661820523E-2</v>
      </c>
      <c r="EZ50" s="35">
        <f>IF(OR(IPC!EZ9="",IPC!EN9=""),"",IPC!EZ9/IPC!EN9-1)</f>
        <v>4.1267669086064496E-2</v>
      </c>
      <c r="FA50" s="35">
        <f>IF(OR(IPC!FA9="",IPC!EO9=""),"",IPC!FA9/IPC!EO9-1)</f>
        <v>3.9813316807681298E-2</v>
      </c>
      <c r="FB50" s="35">
        <f>IF(OR(IPC!FB9="",IPC!EP9=""),"",IPC!FB9/IPC!EP9-1)</f>
        <v>4.1203751419717882E-2</v>
      </c>
      <c r="FC50" s="35">
        <f>IF(OR(IPC!FC9="",IPC!EQ9=""),"",IPC!FC9/IPC!EQ9-1)</f>
        <v>4.4717269123136782E-2</v>
      </c>
      <c r="FD50" s="35">
        <f>IF(OR(IPC!FD9="",IPC!ER9=""),"",IPC!FD9/IPC!ER9-1)</f>
        <v>3.9468992822199178E-2</v>
      </c>
      <c r="FE50" s="35">
        <f>IF(OR(IPC!FE9="",IPC!ES9=""),"",IPC!FE9/IPC!ES9-1)</f>
        <v>3.6198819661564796E-2</v>
      </c>
      <c r="FF50" s="35">
        <f>IF(OR(IPC!FF9="",IPC!ET9=""),"",IPC!FF9/IPC!ET9-1)</f>
        <v>3.5110154953127193E-2</v>
      </c>
      <c r="FG50" s="35">
        <f>IF(OR(IPC!FG9="",IPC!EU9=""),"",IPC!FG9/IPC!EU9-1)</f>
        <v>2.3783092487511315E-2</v>
      </c>
      <c r="FH50" s="35">
        <f>IF(OR(IPC!FH9="",IPC!EV9=""),"",IPC!FH9/IPC!EV9-1)</f>
        <v>2.4502727583958439E-2</v>
      </c>
      <c r="FI50" s="35">
        <f>IF(OR(IPC!FI9="",IPC!EW9=""),"",IPC!FI9/IPC!EW9-1)</f>
        <v>2.2250804339598806E-2</v>
      </c>
      <c r="FJ50" s="35">
        <f>IF(OR(IPC!FJ9="",IPC!EX9=""),"",IPC!FJ9/IPC!EX9-1)</f>
        <v>2.1495619538198563E-2</v>
      </c>
      <c r="FK50" s="35">
        <f>IF(OR(IPC!FK9="",IPC!EY9=""),"",IPC!FK9/IPC!EY9-1)</f>
        <v>1.8248479047678678E-2</v>
      </c>
      <c r="FL50" s="35">
        <f>IF(OR(IPC!FL9="",IPC!EZ9=""),"",IPC!FL9/IPC!EZ9-1)</f>
        <v>1.8190211015735036E-2</v>
      </c>
      <c r="FM50" s="35">
        <f>IF(OR(IPC!FM9="",IPC!FA9=""),"",IPC!FM9/IPC!FA9-1)</f>
        <v>1.8980938903276012E-2</v>
      </c>
      <c r="FN50" s="35">
        <f>IF(OR(IPC!FN9="",IPC!FB9=""),"",IPC!FN9/IPC!FB9-1)</f>
        <v>2.0953486972936197E-2</v>
      </c>
      <c r="FO50" s="35">
        <f>IF(OR(IPC!FO9="",IPC!FC9=""),"",IPC!FO9/IPC!FC9-1)</f>
        <v>2.2720337869460039E-2</v>
      </c>
      <c r="FP50" s="35">
        <f>IF(OR(IPC!FP9="",IPC!FD9=""),"",IPC!FP9/IPC!FD9-1)</f>
        <v>2.2620169651272448E-2</v>
      </c>
      <c r="FQ50" s="35">
        <f>IF(OR(IPC!FQ9="",IPC!FE9=""),"",IPC!FQ9/IPC!FE9-1)</f>
        <v>2.2577610536218318E-2</v>
      </c>
      <c r="FR50" s="35">
        <f>IF(OR(IPC!FR9="",IPC!FF9=""),"",IPC!FR9/IPC!FF9-1)</f>
        <v>2.0637898686679312E-2</v>
      </c>
    </row>
    <row r="51" spans="1:174" s="19" customFormat="1" ht="10.199999999999999" x14ac:dyDescent="0.2">
      <c r="A51" s="11" t="s">
        <v>15</v>
      </c>
      <c r="B51" s="1" t="s">
        <v>16</v>
      </c>
      <c r="C51" s="8">
        <v>71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 t="str">
        <f>IF(OR(IPC!P10="",IPC!D10=""),"",IPC!P10/IPC!D10-1)</f>
        <v/>
      </c>
      <c r="Q51" s="35" t="str">
        <f>IF(OR(IPC!Q10="",IPC!E10=""),"",IPC!Q10/IPC!E10-1)</f>
        <v/>
      </c>
      <c r="R51" s="35" t="str">
        <f>IF(OR(IPC!R10="",IPC!F10=""),"",IPC!R10/IPC!F10-1)</f>
        <v/>
      </c>
      <c r="S51" s="35" t="str">
        <f>IF(OR(IPC!S10="",IPC!G10=""),"",IPC!S10/IPC!G10-1)</f>
        <v/>
      </c>
      <c r="T51" s="35" t="str">
        <f>IF(OR(IPC!T10="",IPC!H10=""),"",IPC!T10/IPC!H10-1)</f>
        <v/>
      </c>
      <c r="U51" s="35" t="str">
        <f>IF(OR(IPC!U10="",IPC!I10=""),"",IPC!U10/IPC!I10-1)</f>
        <v/>
      </c>
      <c r="V51" s="35" t="str">
        <f>IF(OR(IPC!V10="",IPC!J10=""),"",IPC!V10/IPC!J10-1)</f>
        <v/>
      </c>
      <c r="W51" s="35" t="str">
        <f>IF(OR(IPC!W10="",IPC!K10=""),"",IPC!W10/IPC!K10-1)</f>
        <v/>
      </c>
      <c r="X51" s="35" t="str">
        <f>IF(OR(IPC!X10="",IPC!L10=""),"",IPC!X10/IPC!L10-1)</f>
        <v/>
      </c>
      <c r="Y51" s="35" t="str">
        <f>IF(OR(IPC!Y10="",IPC!M10=""),"",IPC!Y10/IPC!M10-1)</f>
        <v/>
      </c>
      <c r="Z51" s="35" t="str">
        <f>IF(OR(IPC!Z10="",IPC!N10=""),"",IPC!Z10/IPC!N10-1)</f>
        <v/>
      </c>
      <c r="AA51" s="35" t="str">
        <f>IF(OR(IPC!AA10="",IPC!O10=""),"",IPC!AA10/IPC!O10-1)</f>
        <v/>
      </c>
      <c r="AB51" s="35">
        <f>IF(OR(IPC!AB10="",IPC!P10=""),"",IPC!AB10/IPC!P10-1)</f>
        <v>3.089438381495313E-2</v>
      </c>
      <c r="AC51" s="35">
        <f>IF(OR(IPC!AC10="",IPC!Q10=""),"",IPC!AC10/IPC!Q10-1)</f>
        <v>3.667858274333291E-2</v>
      </c>
      <c r="AD51" s="35">
        <f>IF(OR(IPC!AD10="",IPC!R10=""),"",IPC!AD10/IPC!R10-1)</f>
        <v>3.3474910175844697E-2</v>
      </c>
      <c r="AE51" s="35">
        <f>IF(OR(IPC!AE10="",IPC!S10=""),"",IPC!AE10/IPC!S10-1)</f>
        <v>2.2573923278191188E-2</v>
      </c>
      <c r="AF51" s="35">
        <f>IF(OR(IPC!AF10="",IPC!T10=""),"",IPC!AF10/IPC!T10-1)</f>
        <v>2.1895448519205996E-2</v>
      </c>
      <c r="AG51" s="35">
        <f>IF(OR(IPC!AG10="",IPC!U10=""),"",IPC!AG10/IPC!U10-1)</f>
        <v>1.5342781745563361E-2</v>
      </c>
      <c r="AH51" s="35">
        <f>IF(OR(IPC!AH10="",IPC!V10=""),"",IPC!AH10/IPC!V10-1)</f>
        <v>2.0724329501372374E-2</v>
      </c>
      <c r="AI51" s="35">
        <f>IF(OR(IPC!AI10="",IPC!W10=""),"",IPC!AI10/IPC!W10-1)</f>
        <v>1.6894410430882578E-2</v>
      </c>
      <c r="AJ51" s="35">
        <f>IF(OR(IPC!AJ10="",IPC!X10=""),"",IPC!AJ10/IPC!X10-1)</f>
        <v>3.5996147954836299E-2</v>
      </c>
      <c r="AK51" s="35">
        <f>IF(OR(IPC!AK10="",IPC!Y10=""),"",IPC!AK10/IPC!Y10-1)</f>
        <v>3.3647727339781497E-2</v>
      </c>
      <c r="AL51" s="35">
        <f>IF(OR(IPC!AL10="",IPC!Z10=""),"",IPC!AL10/IPC!Z10-1)</f>
        <v>3.3962368128297449E-2</v>
      </c>
      <c r="AM51" s="35">
        <f>IF(OR(IPC!AM10="",IPC!AA10=""),"",IPC!AM10/IPC!AA10-1)</f>
        <v>2.8531913525759789E-2</v>
      </c>
      <c r="AN51" s="35">
        <f>IF(OR(IPC!AN10="",IPC!AB10=""),"",IPC!AN10/IPC!AB10-1)</f>
        <v>2.9219159879421808E-2</v>
      </c>
      <c r="AO51" s="35">
        <f>IF(OR(IPC!AO10="",IPC!AC10=""),"",IPC!AO10/IPC!AC10-1)</f>
        <v>3.0072877868904557E-2</v>
      </c>
      <c r="AP51" s="35">
        <f>IF(OR(IPC!AP10="",IPC!AD10=""),"",IPC!AP10/IPC!AD10-1)</f>
        <v>1.944134594923641E-2</v>
      </c>
      <c r="AQ51" s="35">
        <f>IF(OR(IPC!AQ10="",IPC!AE10=""),"",IPC!AQ10/IPC!AE10-1)</f>
        <v>1.7980518592446426E-2</v>
      </c>
      <c r="AR51" s="35">
        <f>IF(OR(IPC!AR10="",IPC!AF10=""),"",IPC!AR10/IPC!AF10-1)</f>
        <v>1.4751893424011842E-2</v>
      </c>
      <c r="AS51" s="35">
        <f>IF(OR(IPC!AS10="",IPC!AG10=""),"",IPC!AS10/IPC!AG10-1)</f>
        <v>7.3775839726022419E-3</v>
      </c>
      <c r="AT51" s="35">
        <f>IF(OR(IPC!AT10="",IPC!AH10=""),"",IPC!AT10/IPC!AH10-1)</f>
        <v>1.3115928248689457E-2</v>
      </c>
      <c r="AU51" s="35">
        <f>IF(OR(IPC!AU10="",IPC!AI10=""),"",IPC!AU10/IPC!AI10-1)</f>
        <v>2.1927756054418657E-2</v>
      </c>
      <c r="AV51" s="35">
        <f>IF(OR(IPC!AV10="",IPC!AJ10=""),"",IPC!AV10/IPC!AJ10-1)</f>
        <v>1.9059155114950155E-2</v>
      </c>
      <c r="AW51" s="35">
        <f>IF(OR(IPC!AW10="",IPC!AK10=""),"",IPC!AW10/IPC!AK10-1)</f>
        <v>8.7696485288026871E-3</v>
      </c>
      <c r="AX51" s="35">
        <f>IF(OR(IPC!AX10="",IPC!AL10=""),"",IPC!AX10/IPC!AL10-1)</f>
        <v>2.7427536550950204E-2</v>
      </c>
      <c r="AY51" s="35">
        <f>IF(OR(IPC!AY10="",IPC!AM10=""),"",IPC!AY10/IPC!AM10-1)</f>
        <v>3.1420126647789592E-2</v>
      </c>
      <c r="AZ51" s="35">
        <f>IF(OR(IPC!AZ10="",IPC!AN10=""),"",IPC!AZ10/IPC!AN10-1)</f>
        <v>1.453801767520102E-2</v>
      </c>
      <c r="BA51" s="35">
        <f>IF(OR(IPC!BA10="",IPC!AO10=""),"",IPC!BA10/IPC!AO10-1)</f>
        <v>2.3041547821477382E-2</v>
      </c>
      <c r="BB51" s="35">
        <f>IF(OR(IPC!BB10="",IPC!AP10=""),"",IPC!BB10/IPC!AP10-1)</f>
        <v>1.9326824071628224E-2</v>
      </c>
      <c r="BC51" s="35">
        <f>IF(OR(IPC!BC10="",IPC!AQ10=""),"",IPC!BC10/IPC!AQ10-1)</f>
        <v>3.6831354323934029E-2</v>
      </c>
      <c r="BD51" s="35">
        <f>IF(OR(IPC!BD10="",IPC!AR10=""),"",IPC!BD10/IPC!AR10-1)</f>
        <v>3.9021717794478272E-2</v>
      </c>
      <c r="BE51" s="35">
        <f>IF(OR(IPC!BE10="",IPC!AS10=""),"",IPC!BE10/IPC!AS10-1)</f>
        <v>5.5353724223302869E-2</v>
      </c>
      <c r="BF51" s="35">
        <f>IF(OR(IPC!BF10="",IPC!AT10=""),"",IPC!BF10/IPC!AT10-1)</f>
        <v>4.0729499050067286E-2</v>
      </c>
      <c r="BG51" s="35">
        <f>IF(OR(IPC!BG10="",IPC!AU10=""),"",IPC!BG10/IPC!AU10-1)</f>
        <v>3.6861198231929571E-2</v>
      </c>
      <c r="BH51" s="35">
        <f>IF(OR(IPC!BH10="",IPC!AV10=""),"",IPC!BH10/IPC!AV10-1)</f>
        <v>3.1737409233113967E-2</v>
      </c>
      <c r="BI51" s="35">
        <f>IF(OR(IPC!BI10="",IPC!AW10=""),"",IPC!BI10/IPC!AW10-1)</f>
        <v>2.6647123253210392E-2</v>
      </c>
      <c r="BJ51" s="35">
        <f>IF(OR(IPC!BJ10="",IPC!AX10=""),"",IPC!BJ10/IPC!AX10-1)</f>
        <v>1.2701217295030709E-2</v>
      </c>
      <c r="BK51" s="35">
        <f>IF(OR(IPC!BK10="",IPC!AY10=""),"",IPC!BK10/IPC!AY10-1)</f>
        <v>1.6554905022921895E-2</v>
      </c>
      <c r="BL51" s="35">
        <f>IF(OR(IPC!BL10="",IPC!AZ10=""),"",IPC!BL10/IPC!AZ10-1)</f>
        <v>2.5806742490309453E-2</v>
      </c>
      <c r="BM51" s="35">
        <f>IF(OR(IPC!BM10="",IPC!BA10=""),"",IPC!BM10/IPC!BA10-1)</f>
        <v>9.526616555243006E-3</v>
      </c>
      <c r="BN51" s="35">
        <f>IF(OR(IPC!BN10="",IPC!BB10=""),"",IPC!BN10/IPC!BB10-1)</f>
        <v>2.5548699164213318E-2</v>
      </c>
      <c r="BO51" s="35">
        <f>IF(OR(IPC!BO10="",IPC!BC10=""),"",IPC!BO10/IPC!BC10-1)</f>
        <v>1.6128886224346717E-2</v>
      </c>
      <c r="BP51" s="35">
        <f>IF(OR(IPC!BP10="",IPC!BD10=""),"",IPC!BP10/IPC!BD10-1)</f>
        <v>2.5473196129612186E-2</v>
      </c>
      <c r="BQ51" s="35">
        <f>IF(OR(IPC!BQ10="",IPC!BE10=""),"",IPC!BQ10/IPC!BE10-1)</f>
        <v>3.0276156395663278E-3</v>
      </c>
      <c r="BR51" s="35">
        <f>IF(OR(IPC!BR10="",IPC!BF10=""),"",IPC!BR10/IPC!BF10-1)</f>
        <v>5.1245980427072624E-3</v>
      </c>
      <c r="BS51" s="35">
        <f>IF(OR(IPC!BS10="",IPC!BG10=""),"",IPC!BS10/IPC!BG10-1)</f>
        <v>1.5739890208434248E-2</v>
      </c>
      <c r="BT51" s="35">
        <f>IF(OR(IPC!BT10="",IPC!BH10=""),"",IPC!BT10/IPC!BH10-1)</f>
        <v>5.3110467503181269E-3</v>
      </c>
      <c r="BU51" s="35">
        <f>IF(OR(IPC!BU10="",IPC!BI10=""),"",IPC!BU10/IPC!BI10-1)</f>
        <v>1.8631691141264062E-2</v>
      </c>
      <c r="BV51" s="35">
        <f>IF(OR(IPC!BV10="",IPC!BJ10=""),"",IPC!BV10/IPC!BJ10-1)</f>
        <v>1.0548391646296729E-2</v>
      </c>
      <c r="BW51" s="35">
        <f>IF(OR(IPC!BW10="",IPC!BK10=""),"",IPC!BW10/IPC!BK10-1)</f>
        <v>1.2347180438646577E-2</v>
      </c>
      <c r="BX51" s="35">
        <f>IF(OR(IPC!BX10="",IPC!BL10=""),"",IPC!BX10/IPC!BL10-1)</f>
        <v>8.4842399408844305E-3</v>
      </c>
      <c r="BY51" s="35">
        <f>IF(OR(IPC!BY10="",IPC!BM10=""),"",IPC!BY10/IPC!BM10-1)</f>
        <v>1.6288499490992203E-2</v>
      </c>
      <c r="BZ51" s="35">
        <f>IF(OR(IPC!BZ10="",IPC!BN10=""),"",IPC!BZ10/IPC!BN10-1)</f>
        <v>1.1701495925810157E-2</v>
      </c>
      <c r="CA51" s="35">
        <f>IF(OR(IPC!CA10="",IPC!BO10=""),"",IPC!CA10/IPC!BO10-1)</f>
        <v>1.2561955878405362E-2</v>
      </c>
      <c r="CB51" s="35">
        <f>IF(OR(IPC!CB10="",IPC!BP10=""),"",IPC!CB10/IPC!BP10-1)</f>
        <v>5.6463998345888111E-3</v>
      </c>
      <c r="CC51" s="35">
        <f>IF(OR(IPC!CC10="",IPC!BQ10=""),"",IPC!CC10/IPC!BQ10-1)</f>
        <v>1.6784993439988183E-2</v>
      </c>
      <c r="CD51" s="35">
        <f>IF(OR(IPC!CD10="",IPC!BR10=""),"",IPC!CD10/IPC!BR10-1)</f>
        <v>1.5287605657531955E-2</v>
      </c>
      <c r="CE51" s="35">
        <f>IF(OR(IPC!CE10="",IPC!BS10=""),"",IPC!CE10/IPC!BS10-1)</f>
        <v>6.5739998592020399E-3</v>
      </c>
      <c r="CF51" s="35">
        <f>IF(OR(IPC!CF10="",IPC!BT10=""),"",IPC!CF10/IPC!BT10-1)</f>
        <v>1.5199328104619436E-2</v>
      </c>
      <c r="CG51" s="35">
        <f>IF(OR(IPC!CG10="",IPC!BU10=""),"",IPC!CG10/IPC!BU10-1)</f>
        <v>1.7263570552852769E-2</v>
      </c>
      <c r="CH51" s="35">
        <f>IF(OR(IPC!CH10="",IPC!BV10=""),"",IPC!CH10/IPC!BV10-1)</f>
        <v>1.573293461825287E-2</v>
      </c>
      <c r="CI51" s="35">
        <f>IF(OR(IPC!CI10="",IPC!BW10=""),"",IPC!CI10/IPC!BW10-1)</f>
        <v>1.4776367936832902E-3</v>
      </c>
      <c r="CJ51" s="35">
        <f>IF(OR(IPC!CJ10="",IPC!BX10=""),"",IPC!CJ10/IPC!BX10-1)</f>
        <v>1.5467060901584784E-2</v>
      </c>
      <c r="CK51" s="35">
        <f>IF(OR(IPC!CK10="",IPC!BY10=""),"",IPC!CK10/IPC!BY10-1)</f>
        <v>7.1447007469787049E-3</v>
      </c>
      <c r="CL51" s="35">
        <f>IF(OR(IPC!CL10="",IPC!BZ10=""),"",IPC!CL10/IPC!BZ10-1)</f>
        <v>-4.658329151421281E-3</v>
      </c>
      <c r="CM51" s="35">
        <f>IF(OR(IPC!CM10="",IPC!CA10=""),"",IPC!CM10/IPC!CA10-1)</f>
        <v>-1.1653098626596137E-4</v>
      </c>
      <c r="CN51" s="35">
        <f>IF(OR(IPC!CN10="",IPC!CB10=""),"",IPC!CN10/IPC!CB10-1)</f>
        <v>2.8515982835288778E-3</v>
      </c>
      <c r="CO51" s="35">
        <f>IF(OR(IPC!CO10="",IPC!CC10=""),"",IPC!CO10/IPC!CC10-1)</f>
        <v>4.0768949684681921E-3</v>
      </c>
      <c r="CP51" s="35">
        <f>IF(OR(IPC!CP10="",IPC!CD10=""),"",IPC!CP10/IPC!CD10-1)</f>
        <v>2.2210383417986534E-3</v>
      </c>
      <c r="CQ51" s="35">
        <f>IF(OR(IPC!CQ10="",IPC!CE10=""),"",IPC!CQ10/IPC!CE10-1)</f>
        <v>1.8802724537614335E-3</v>
      </c>
      <c r="CR51" s="35">
        <f>IF(OR(IPC!CR10="",IPC!CF10=""),"",IPC!CR10/IPC!CF10-1)</f>
        <v>7.9905263954760386E-4</v>
      </c>
      <c r="CS51" s="35">
        <f>IF(OR(IPC!CS10="",IPC!CG10=""),"",IPC!CS10/IPC!CG10-1)</f>
        <v>2.2888016396480637E-3</v>
      </c>
      <c r="CT51" s="35">
        <f>IF(OR(IPC!CT10="",IPC!CH10=""),"",IPC!CT10/IPC!CH10-1)</f>
        <v>5.4724619552772857E-3</v>
      </c>
      <c r="CU51" s="35">
        <f>IF(OR(IPC!CU10="",IPC!CI10=""),"",IPC!CU10/IPC!CI10-1)</f>
        <v>1.1220092224285771E-2</v>
      </c>
      <c r="CV51" s="35">
        <f>IF(OR(IPC!CV10="",IPC!CJ10=""),"",IPC!CV10/IPC!CJ10-1)</f>
        <v>5.6257621279760528E-3</v>
      </c>
      <c r="CW51" s="35">
        <f>IF(OR(IPC!CW10="",IPC!CK10=""),"",IPC!CW10/IPC!CK10-1)</f>
        <v>9.0666278434770042E-3</v>
      </c>
      <c r="CX51" s="35">
        <f>IF(OR(IPC!CX10="",IPC!CL10=""),"",IPC!CX10/IPC!CL10-1)</f>
        <v>1.8665397225511748E-2</v>
      </c>
      <c r="CY51" s="35">
        <f>IF(OR(IPC!CY10="",IPC!CM10=""),"",IPC!CY10/IPC!CM10-1)</f>
        <v>1.2882586430988718E-2</v>
      </c>
      <c r="CZ51" s="35">
        <f>IF(OR(IPC!CZ10="",IPC!CN10=""),"",IPC!CZ10/IPC!CN10-1)</f>
        <v>8.4972703115375747E-3</v>
      </c>
      <c r="DA51" s="35">
        <f>IF(OR(IPC!DA10="",IPC!CO10=""),"",IPC!DA10/IPC!CO10-1)</f>
        <v>4.9272615222684113E-3</v>
      </c>
      <c r="DB51" s="35">
        <f>IF(OR(IPC!DB10="",IPC!CP10=""),"",IPC!DB10/IPC!CP10-1)</f>
        <v>1.1136446171676972E-2</v>
      </c>
      <c r="DC51" s="35">
        <f>IF(OR(IPC!DC10="",IPC!CQ10=""),"",IPC!DC10/IPC!CQ10-1)</f>
        <v>1.8018898614440504E-2</v>
      </c>
      <c r="DD51" s="35">
        <f>IF(OR(IPC!DD10="",IPC!CR10=""),"",IPC!DD10/IPC!CR10-1)</f>
        <v>1.7474387084768006E-2</v>
      </c>
      <c r="DE51" s="35">
        <f>IF(OR(IPC!DE10="",IPC!CS10=""),"",IPC!DE10/IPC!CS10-1)</f>
        <v>2.5604145523894895E-2</v>
      </c>
      <c r="DF51" s="35">
        <f>IF(OR(IPC!DF10="",IPC!CT10=""),"",IPC!DF10/IPC!CT10-1)</f>
        <v>3.6849709625530469E-2</v>
      </c>
      <c r="DG51" s="35">
        <f>IF(OR(IPC!DG10="",IPC!CU10=""),"",IPC!DG10/IPC!CU10-1)</f>
        <v>3.140876322479258E-2</v>
      </c>
      <c r="DH51" s="35">
        <f>IF(OR(IPC!DH10="",IPC!CV10=""),"",IPC!DH10/IPC!CV10-1)</f>
        <v>3.4428968702118423E-2</v>
      </c>
      <c r="DI51" s="35">
        <f>IF(OR(IPC!DI10="",IPC!CW10=""),"",IPC!DI10/IPC!CW10-1)</f>
        <v>3.8489442723560696E-2</v>
      </c>
      <c r="DJ51" s="35">
        <f>IF(OR(IPC!DJ10="",IPC!CX10=""),"",IPC!DJ10/IPC!CX10-1)</f>
        <v>3.5265869395681104E-2</v>
      </c>
      <c r="DK51" s="35">
        <f>IF(OR(IPC!DK10="",IPC!CY10=""),"",IPC!DK10/IPC!CY10-1)</f>
        <v>3.8129336653788259E-2</v>
      </c>
      <c r="DL51" s="35">
        <f>IF(OR(IPC!DL10="",IPC!CZ10=""),"",IPC!DL10/IPC!CZ10-1)</f>
        <v>4.532398560643669E-2</v>
      </c>
      <c r="DM51" s="35">
        <f>IF(OR(IPC!DM10="",IPC!DA10=""),"",IPC!DM10/IPC!DA10-1)</f>
        <v>3.648053107843352E-2</v>
      </c>
      <c r="DN51" s="35">
        <f>IF(OR(IPC!DN10="",IPC!DB10=""),"",IPC!DN10/IPC!DB10-1)</f>
        <v>3.3164470629594378E-2</v>
      </c>
      <c r="DO51" s="35">
        <f>IF(OR(IPC!DO10="",IPC!DC10=""),"",IPC!DO10/IPC!DC10-1)</f>
        <v>3.3980848390746887E-2</v>
      </c>
      <c r="DP51" s="35">
        <f>IF(OR(IPC!DP10="",IPC!DD10=""),"",IPC!DP10/IPC!DD10-1)</f>
        <v>2.3503755142485483E-2</v>
      </c>
      <c r="DQ51" s="35">
        <f>IF(OR(IPC!DQ10="",IPC!DE10=""),"",IPC!DQ10/IPC!DE10-1)</f>
        <v>2.1497400148501766E-2</v>
      </c>
      <c r="DR51" s="35">
        <f>IF(OR(IPC!DR10="",IPC!DF10=""),"",IPC!DR10/IPC!DF10-1)</f>
        <v>7.5522303392461243E-3</v>
      </c>
      <c r="DS51" s="35">
        <f>IF(OR(IPC!DS10="",IPC!DG10=""),"",IPC!DS10/IPC!DG10-1)</f>
        <v>1.6439203960279869E-2</v>
      </c>
      <c r="DT51" s="35">
        <f>IF(OR(IPC!DT10="",IPC!DH10=""),"",IPC!DT10/IPC!DH10-1)</f>
        <v>1.7582433749090853E-2</v>
      </c>
      <c r="DU51" s="35">
        <f>IF(OR(IPC!DU10="",IPC!DI10=""),"",IPC!DU10/IPC!DI10-1)</f>
        <v>1.6708481575005596E-2</v>
      </c>
      <c r="DV51" s="35">
        <f>IF(OR(IPC!DV10="",IPC!DJ10=""),"",IPC!DV10/IPC!DJ10-1)</f>
        <v>1.436899219368426E-2</v>
      </c>
      <c r="DW51" s="35">
        <f>IF(OR(IPC!DW10="",IPC!DK10=""),"",IPC!DW10/IPC!DK10-1)</f>
        <v>1.8100923383695289E-2</v>
      </c>
      <c r="DX51" s="35">
        <f>IF(OR(IPC!DX10="",IPC!DL10=""),"",IPC!DX10/IPC!DL10-1)</f>
        <v>1.5785480100410254E-2</v>
      </c>
      <c r="DY51" s="35">
        <f>IF(OR(IPC!DY10="",IPC!DM10=""),"",IPC!DY10/IPC!DM10-1)</f>
        <v>2.4504510094254472E-2</v>
      </c>
      <c r="DZ51" s="35">
        <f>IF(OR(IPC!DZ10="",IPC!DN10=""),"",IPC!DZ10/IPC!DN10-1)</f>
        <v>2.797341228311323E-2</v>
      </c>
      <c r="EA51" s="35">
        <f>IF(OR(IPC!EA10="",IPC!DO10=""),"",IPC!EA10/IPC!DO10-1)</f>
        <v>1.4406010930305246E-2</v>
      </c>
      <c r="EB51" s="35">
        <f>IF(OR(IPC!EB10="",IPC!DP10=""),"",IPC!EB10/IPC!DP10-1)</f>
        <v>2.65796414835755E-2</v>
      </c>
      <c r="EC51" s="35">
        <f>IF(OR(IPC!EC10="",IPC!DQ10=""),"",IPC!EC10/IPC!DQ10-1)</f>
        <v>1.4422743536097737E-2</v>
      </c>
      <c r="ED51" s="35">
        <f>IF(OR(IPC!ED10="",IPC!DR10=""),"",IPC!ED10/IPC!DR10-1)</f>
        <v>1.4135294034417489E-2</v>
      </c>
      <c r="EE51" s="35">
        <f>IF(OR(IPC!EE10="",IPC!DS10=""),"",IPC!EE10/IPC!DS10-1)</f>
        <v>1.4316323261756692E-2</v>
      </c>
      <c r="EF51" s="35">
        <f>IF(OR(IPC!EF10="",IPC!DT10=""),"",IPC!EF10/IPC!DT10-1)</f>
        <v>1.5165104204479585E-2</v>
      </c>
      <c r="EG51" s="35">
        <f>IF(OR(IPC!EG10="",IPC!DU10=""),"",IPC!EG10/IPC!DU10-1)</f>
        <v>1.4483719919005988E-2</v>
      </c>
      <c r="EH51" s="35">
        <f>IF(OR(IPC!EH10="",IPC!DV10=""),"",IPC!EH10/IPC!DV10-1)</f>
        <v>2.2806446024189464E-2</v>
      </c>
      <c r="EI51" s="35">
        <f>IF(OR(IPC!EI10="",IPC!DW10=""),"",IPC!EI10/IPC!DW10-1)</f>
        <v>1.8779526089364618E-2</v>
      </c>
      <c r="EJ51" s="35">
        <f>IF(OR(IPC!EJ10="",IPC!DX10=""),"",IPC!EJ10/IPC!DX10-1)</f>
        <v>1.8378446834969253E-2</v>
      </c>
      <c r="EK51" s="35">
        <f>IF(OR(IPC!EK10="",IPC!DY10=""),"",IPC!EK10/IPC!DY10-1)</f>
        <v>1.1234791991083792E-2</v>
      </c>
      <c r="EL51" s="35">
        <f>IF(OR(IPC!EL10="",IPC!DZ10=""),"",IPC!EL10/IPC!DZ10-1)</f>
        <v>7.050385049669039E-3</v>
      </c>
      <c r="EM51" s="35">
        <f>IF(OR(IPC!EM10="",IPC!EA10=""),"",IPC!EM10/IPC!EA10-1)</f>
        <v>1.4784682056926846E-2</v>
      </c>
      <c r="EN51" s="35">
        <f>IF(OR(IPC!EN10="",IPC!EB10=""),"",IPC!EN10/IPC!EB10-1)</f>
        <v>1.3598357182396992E-2</v>
      </c>
      <c r="EO51" s="35">
        <f>IF(OR(IPC!EO10="",IPC!EC10=""),"",IPC!EO10/IPC!EC10-1)</f>
        <v>2.5377611878310891E-2</v>
      </c>
      <c r="EP51" s="35">
        <f>IF(OR(IPC!EP10="",IPC!ED10=""),"",IPC!EP10/IPC!ED10-1)</f>
        <v>2.990239826002683E-2</v>
      </c>
      <c r="EQ51" s="35">
        <f>IF(OR(IPC!EQ10="",IPC!EE10=""),"",IPC!EQ10/IPC!EE10-1)</f>
        <v>3.1131711657302441E-2</v>
      </c>
      <c r="ER51" s="35">
        <f>IF(OR(IPC!ER10="",IPC!EF10=""),"",IPC!ER10/IPC!EF10-1)</f>
        <v>2.5465260292097058E-2</v>
      </c>
      <c r="ES51" s="35">
        <f>IF(OR(IPC!ES10="",IPC!EG10=""),"",IPC!ES10/IPC!EG10-1)</f>
        <v>3.4100746383586511E-2</v>
      </c>
      <c r="ET51" s="35">
        <f>IF(OR(IPC!ET10="",IPC!EH10=""),"",IPC!ET10/IPC!EH10-1)</f>
        <v>2.8453027148575449E-2</v>
      </c>
      <c r="EU51" s="35">
        <f>IF(OR(IPC!EU10="",IPC!EI10=""),"",IPC!EU10/IPC!EI10-1)</f>
        <v>2.9019872830711169E-2</v>
      </c>
      <c r="EV51" s="35">
        <f>IF(OR(IPC!EV10="",IPC!EJ10=""),"",IPC!EV10/IPC!EJ10-1)</f>
        <v>2.907996116772682E-2</v>
      </c>
      <c r="EW51" s="35">
        <f>IF(OR(IPC!EW10="",IPC!EK10=""),"",IPC!EW10/IPC!EK10-1)</f>
        <v>3.9756750189352319E-2</v>
      </c>
      <c r="EX51" s="35">
        <f>IF(OR(IPC!EX10="",IPC!EL10=""),"",IPC!EX10/IPC!EL10-1)</f>
        <v>4.6235279738256807E-2</v>
      </c>
      <c r="EY51" s="35">
        <f>IF(OR(IPC!EY10="",IPC!EM10=""),"",IPC!EY10/IPC!EM10-1)</f>
        <v>4.155198858050535E-2</v>
      </c>
      <c r="EZ51" s="35">
        <f>IF(OR(IPC!EZ10="",IPC!EN10=""),"",IPC!EZ10/IPC!EN10-1)</f>
        <v>4.1778840107477011E-2</v>
      </c>
      <c r="FA51" s="35">
        <f>IF(OR(IPC!FA10="",IPC!EO10=""),"",IPC!FA10/IPC!EO10-1)</f>
        <v>3.1941554782465742E-2</v>
      </c>
      <c r="FB51" s="35">
        <f>IF(OR(IPC!FB10="",IPC!EP10=""),"",IPC!FB10/IPC!EP10-1)</f>
        <v>3.5133684935923393E-2</v>
      </c>
      <c r="FC51" s="35">
        <f>IF(OR(IPC!FC10="",IPC!EQ10=""),"",IPC!FC10/IPC!EQ10-1)</f>
        <v>2.8116529339216489E-2</v>
      </c>
      <c r="FD51" s="35">
        <f>IF(OR(IPC!FD10="",IPC!ER10=""),"",IPC!FD10/IPC!ER10-1)</f>
        <v>2.9570805034579539E-2</v>
      </c>
      <c r="FE51" s="35">
        <f>IF(OR(IPC!FE10="",IPC!ES10=""),"",IPC!FE10/IPC!ES10-1)</f>
        <v>3.1435421158101828E-2</v>
      </c>
      <c r="FF51" s="35">
        <f>IF(OR(IPC!FF10="",IPC!ET10=""),"",IPC!FF10/IPC!ET10-1)</f>
        <v>3.0262810011337349E-2</v>
      </c>
      <c r="FG51" s="35">
        <f>IF(OR(IPC!FG10="",IPC!EU10=""),"",IPC!FG10/IPC!EU10-1)</f>
        <v>3.0688586732829259E-2</v>
      </c>
      <c r="FH51" s="35">
        <f>IF(OR(IPC!FH10="",IPC!EV10=""),"",IPC!FH10/IPC!EV10-1)</f>
        <v>3.5273430199217026E-2</v>
      </c>
      <c r="FI51" s="35">
        <f>IF(OR(IPC!FI10="",IPC!EW10=""),"",IPC!FI10/IPC!EW10-1)</f>
        <v>3.6092138530388063E-2</v>
      </c>
      <c r="FJ51" s="35">
        <f>IF(OR(IPC!FJ10="",IPC!EX10=""),"",IPC!FJ10/IPC!EX10-1)</f>
        <v>3.0007649956120597E-2</v>
      </c>
      <c r="FK51" s="35">
        <f>IF(OR(IPC!FK10="",IPC!EY10=""),"",IPC!FK10/IPC!EY10-1)</f>
        <v>3.3263244872203668E-2</v>
      </c>
      <c r="FL51" s="35">
        <f>IF(OR(IPC!FL10="",IPC!EZ10=""),"",IPC!FL10/IPC!EZ10-1)</f>
        <v>3.3908312153408726E-2</v>
      </c>
      <c r="FM51" s="35">
        <f>IF(OR(IPC!FM10="",IPC!FA10=""),"",IPC!FM10/IPC!FA10-1)</f>
        <v>3.2962833743843012E-2</v>
      </c>
      <c r="FN51" s="35">
        <f>IF(OR(IPC!FN10="",IPC!FB10=""),"",IPC!FN10/IPC!FB10-1)</f>
        <v>3.1466455014208972E-2</v>
      </c>
      <c r="FO51" s="35">
        <f>IF(OR(IPC!FO10="",IPC!FC10=""),"",IPC!FO10/IPC!FC10-1)</f>
        <v>3.8287602616041472E-2</v>
      </c>
      <c r="FP51" s="35">
        <f>IF(OR(IPC!FP10="",IPC!FD10=""),"",IPC!FP10/IPC!FD10-1)</f>
        <v>3.8204393505253176E-2</v>
      </c>
      <c r="FQ51" s="35">
        <f>IF(OR(IPC!FQ10="",IPC!FE10=""),"",IPC!FQ10/IPC!FE10-1)</f>
        <v>2.9356060606060774E-2</v>
      </c>
      <c r="FR51" s="35">
        <f>IF(OR(IPC!FR10="",IPC!FF10=""),"",IPC!FR10/IPC!FF10-1)</f>
        <v>3.2166508987701015E-2</v>
      </c>
    </row>
    <row r="52" spans="1:174" s="19" customFormat="1" ht="10.199999999999999" x14ac:dyDescent="0.2">
      <c r="A52" s="11" t="s">
        <v>17</v>
      </c>
      <c r="B52" s="1" t="s">
        <v>18</v>
      </c>
      <c r="C52" s="8">
        <v>25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 t="str">
        <f>IF(OR(IPC!P11="",IPC!D11=""),"",IPC!P11/IPC!D11-1)</f>
        <v/>
      </c>
      <c r="Q52" s="35" t="str">
        <f>IF(OR(IPC!Q11="",IPC!E11=""),"",IPC!Q11/IPC!E11-1)</f>
        <v/>
      </c>
      <c r="R52" s="35" t="str">
        <f>IF(OR(IPC!R11="",IPC!F11=""),"",IPC!R11/IPC!F11-1)</f>
        <v/>
      </c>
      <c r="S52" s="35" t="str">
        <f>IF(OR(IPC!S11="",IPC!G11=""),"",IPC!S11/IPC!G11-1)</f>
        <v/>
      </c>
      <c r="T52" s="35" t="str">
        <f>IF(OR(IPC!T11="",IPC!H11=""),"",IPC!T11/IPC!H11-1)</f>
        <v/>
      </c>
      <c r="U52" s="35" t="str">
        <f>IF(OR(IPC!U11="",IPC!I11=""),"",IPC!U11/IPC!I11-1)</f>
        <v/>
      </c>
      <c r="V52" s="35" t="str">
        <f>IF(OR(IPC!V11="",IPC!J11=""),"",IPC!V11/IPC!J11-1)</f>
        <v/>
      </c>
      <c r="W52" s="35" t="str">
        <f>IF(OR(IPC!W11="",IPC!K11=""),"",IPC!W11/IPC!K11-1)</f>
        <v/>
      </c>
      <c r="X52" s="35" t="str">
        <f>IF(OR(IPC!X11="",IPC!L11=""),"",IPC!X11/IPC!L11-1)</f>
        <v/>
      </c>
      <c r="Y52" s="35" t="str">
        <f>IF(OR(IPC!Y11="",IPC!M11=""),"",IPC!Y11/IPC!M11-1)</f>
        <v/>
      </c>
      <c r="Z52" s="35" t="str">
        <f>IF(OR(IPC!Z11="",IPC!N11=""),"",IPC!Z11/IPC!N11-1)</f>
        <v/>
      </c>
      <c r="AA52" s="35" t="str">
        <f>IF(OR(IPC!AA11="",IPC!O11=""),"",IPC!AA11/IPC!O11-1)</f>
        <v/>
      </c>
      <c r="AB52" s="35">
        <f>IF(OR(IPC!AB11="",IPC!P11=""),"",IPC!AB11/IPC!P11-1)</f>
        <v>8.9139339102610737E-3</v>
      </c>
      <c r="AC52" s="35">
        <f>IF(OR(IPC!AC11="",IPC!Q11=""),"",IPC!AC11/IPC!Q11-1)</f>
        <v>2.1526426245457975E-2</v>
      </c>
      <c r="AD52" s="35">
        <f>IF(OR(IPC!AD11="",IPC!R11=""),"",IPC!AD11/IPC!R11-1)</f>
        <v>1.7716126745491945E-2</v>
      </c>
      <c r="AE52" s="35">
        <f>IF(OR(IPC!AE11="",IPC!S11=""),"",IPC!AE11/IPC!S11-1)</f>
        <v>1.2866121204604841E-2</v>
      </c>
      <c r="AF52" s="35">
        <f>IF(OR(IPC!AF11="",IPC!T11=""),"",IPC!AF11/IPC!T11-1)</f>
        <v>1.7885225161816676E-2</v>
      </c>
      <c r="AG52" s="35">
        <f>IF(OR(IPC!AG11="",IPC!U11=""),"",IPC!AG11/IPC!U11-1)</f>
        <v>2.4195521406133347E-2</v>
      </c>
      <c r="AH52" s="35">
        <f>IF(OR(IPC!AH11="",IPC!V11=""),"",IPC!AH11/IPC!V11-1)</f>
        <v>2.39069138993111E-2</v>
      </c>
      <c r="AI52" s="35">
        <f>IF(OR(IPC!AI11="",IPC!W11=""),"",IPC!AI11/IPC!W11-1)</f>
        <v>2.714850264203772E-2</v>
      </c>
      <c r="AJ52" s="35">
        <f>IF(OR(IPC!AJ11="",IPC!X11=""),"",IPC!AJ11/IPC!X11-1)</f>
        <v>2.8851007140130003E-2</v>
      </c>
      <c r="AK52" s="35">
        <f>IF(OR(IPC!AK11="",IPC!Y11=""),"",IPC!AK11/IPC!Y11-1)</f>
        <v>2.2879493124601025E-2</v>
      </c>
      <c r="AL52" s="35">
        <f>IF(OR(IPC!AL11="",IPC!Z11=""),"",IPC!AL11/IPC!Z11-1)</f>
        <v>2.1212962503043054E-2</v>
      </c>
      <c r="AM52" s="35">
        <f>IF(OR(IPC!AM11="",IPC!AA11=""),"",IPC!AM11/IPC!AA11-1)</f>
        <v>2.1906447023583686E-2</v>
      </c>
      <c r="AN52" s="35">
        <f>IF(OR(IPC!AN11="",IPC!AB11=""),"",IPC!AN11/IPC!AB11-1)</f>
        <v>1.0109992258664047E-2</v>
      </c>
      <c r="AO52" s="35">
        <f>IF(OR(IPC!AO11="",IPC!AC11=""),"",IPC!AO11/IPC!AC11-1)</f>
        <v>5.0229306491076375E-3</v>
      </c>
      <c r="AP52" s="35">
        <f>IF(OR(IPC!AP11="",IPC!AD11=""),"",IPC!AP11/IPC!AD11-1)</f>
        <v>4.1288692432197571E-3</v>
      </c>
      <c r="AQ52" s="35">
        <f>IF(OR(IPC!AQ11="",IPC!AE11=""),"",IPC!AQ11/IPC!AE11-1)</f>
        <v>6.9968130318496247E-3</v>
      </c>
      <c r="AR52" s="35">
        <f>IF(OR(IPC!AR11="",IPC!AF11=""),"",IPC!AR11/IPC!AF11-1)</f>
        <v>2.2190591387074576E-3</v>
      </c>
      <c r="AS52" s="35">
        <f>IF(OR(IPC!AS11="",IPC!AG11=""),"",IPC!AS11/IPC!AG11-1)</f>
        <v>4.8186950797068917E-3</v>
      </c>
      <c r="AT52" s="35">
        <f>IF(OR(IPC!AT11="",IPC!AH11=""),"",IPC!AT11/IPC!AH11-1)</f>
        <v>1.8734668088586925E-3</v>
      </c>
      <c r="AU52" s="35">
        <f>IF(OR(IPC!AU11="",IPC!AI11=""),"",IPC!AU11/IPC!AI11-1)</f>
        <v>4.4004782500612905E-3</v>
      </c>
      <c r="AV52" s="35">
        <f>IF(OR(IPC!AV11="",IPC!AJ11=""),"",IPC!AV11/IPC!AJ11-1)</f>
        <v>4.3773189246778532E-3</v>
      </c>
      <c r="AW52" s="35">
        <f>IF(OR(IPC!AW11="",IPC!AK11=""),"",IPC!AW11/IPC!AK11-1)</f>
        <v>4.8837135246526664E-4</v>
      </c>
      <c r="AX52" s="35">
        <f>IF(OR(IPC!AX11="",IPC!AL11=""),"",IPC!AX11/IPC!AL11-1)</f>
        <v>3.1537714897520441E-3</v>
      </c>
      <c r="AY52" s="35">
        <f>IF(OR(IPC!AY11="",IPC!AM11=""),"",IPC!AY11/IPC!AM11-1)</f>
        <v>-4.5532930126457316E-4</v>
      </c>
      <c r="AZ52" s="35">
        <f>IF(OR(IPC!AZ11="",IPC!AN11=""),"",IPC!AZ11/IPC!AN11-1)</f>
        <v>7.134875055440526E-3</v>
      </c>
      <c r="BA52" s="35">
        <f>IF(OR(IPC!BA11="",IPC!AO11=""),"",IPC!BA11/IPC!AO11-1)</f>
        <v>7.7723892641425874E-3</v>
      </c>
      <c r="BB52" s="35">
        <f>IF(OR(IPC!BB11="",IPC!AP11=""),"",IPC!BB11/IPC!AP11-1)</f>
        <v>1.0327442988077751E-2</v>
      </c>
      <c r="BC52" s="35">
        <f>IF(OR(IPC!BC11="",IPC!AQ11=""),"",IPC!BC11/IPC!AQ11-1)</f>
        <v>1.6303070270606401E-2</v>
      </c>
      <c r="BD52" s="35">
        <f>IF(OR(IPC!BD11="",IPC!AR11=""),"",IPC!BD11/IPC!AR11-1)</f>
        <v>1.5670562705684121E-2</v>
      </c>
      <c r="BE52" s="35">
        <f>IF(OR(IPC!BE11="",IPC!AS11=""),"",IPC!BE11/IPC!AS11-1)</f>
        <v>1.8395588565723653E-2</v>
      </c>
      <c r="BF52" s="35">
        <f>IF(OR(IPC!BF11="",IPC!AT11=""),"",IPC!BF11/IPC!AT11-1)</f>
        <v>1.9497784096830673E-2</v>
      </c>
      <c r="BG52" s="35">
        <f>IF(OR(IPC!BG11="",IPC!AU11=""),"",IPC!BG11/IPC!AU11-1)</f>
        <v>1.3867197925868213E-2</v>
      </c>
      <c r="BH52" s="35">
        <f>IF(OR(IPC!BH11="",IPC!AV11=""),"",IPC!BH11/IPC!AV11-1)</f>
        <v>1.594135822619136E-2</v>
      </c>
      <c r="BI52" s="35">
        <f>IF(OR(IPC!BI11="",IPC!AW11=""),"",IPC!BI11/IPC!AW11-1)</f>
        <v>1.8742235177953148E-2</v>
      </c>
      <c r="BJ52" s="35">
        <f>IF(OR(IPC!BJ11="",IPC!AX11=""),"",IPC!BJ11/IPC!AX11-1)</f>
        <v>1.5565324570798067E-2</v>
      </c>
      <c r="BK52" s="35">
        <f>IF(OR(IPC!BK11="",IPC!AY11=""),"",IPC!BK11/IPC!AY11-1)</f>
        <v>1.5700128009676462E-2</v>
      </c>
      <c r="BL52" s="35">
        <f>IF(OR(IPC!BL11="",IPC!AZ11=""),"",IPC!BL11/IPC!AZ11-1)</f>
        <v>1.2525902725246674E-2</v>
      </c>
      <c r="BM52" s="35">
        <f>IF(OR(IPC!BM11="",IPC!BA11=""),"",IPC!BM11/IPC!BA11-1)</f>
        <v>8.9187304551734403E-3</v>
      </c>
      <c r="BN52" s="35">
        <f>IF(OR(IPC!BN11="",IPC!BB11=""),"",IPC!BN11/IPC!BB11-1)</f>
        <v>1.8321599829123736E-2</v>
      </c>
      <c r="BO52" s="35">
        <f>IF(OR(IPC!BO11="",IPC!BC11=""),"",IPC!BO11/IPC!BC11-1)</f>
        <v>9.0256139496214249E-3</v>
      </c>
      <c r="BP52" s="35">
        <f>IF(OR(IPC!BP11="",IPC!BD11=""),"",IPC!BP11/IPC!BD11-1)</f>
        <v>7.3323481288243286E-3</v>
      </c>
      <c r="BQ52" s="35">
        <f>IF(OR(IPC!BQ11="",IPC!BE11=""),"",IPC!BQ11/IPC!BE11-1)</f>
        <v>3.483391959735016E-3</v>
      </c>
      <c r="BR52" s="35">
        <f>IF(OR(IPC!BR11="",IPC!BF11=""),"",IPC!BR11/IPC!BF11-1)</f>
        <v>-3.7238139881810017E-3</v>
      </c>
      <c r="BS52" s="35">
        <f>IF(OR(IPC!BS11="",IPC!BG11=""),"",IPC!BS11/IPC!BG11-1)</f>
        <v>1.2046633089763947E-3</v>
      </c>
      <c r="BT52" s="35">
        <f>IF(OR(IPC!BT11="",IPC!BH11=""),"",IPC!BT11/IPC!BH11-1)</f>
        <v>-1.5404025831068369E-3</v>
      </c>
      <c r="BU52" s="35">
        <f>IF(OR(IPC!BU11="",IPC!BI11=""),"",IPC!BU11/IPC!BI11-1)</f>
        <v>5.6745360002987688E-3</v>
      </c>
      <c r="BV52" s="35">
        <f>IF(OR(IPC!BV11="",IPC!BJ11=""),"",IPC!BV11/IPC!BJ11-1)</f>
        <v>6.5211939509908223E-3</v>
      </c>
      <c r="BW52" s="35">
        <f>IF(OR(IPC!BW11="",IPC!BK11=""),"",IPC!BW11/IPC!BK11-1)</f>
        <v>8.1168539488871705E-3</v>
      </c>
      <c r="BX52" s="35">
        <f>IF(OR(IPC!BX11="",IPC!BL11=""),"",IPC!BX11/IPC!BL11-1)</f>
        <v>9.0878008320203207E-3</v>
      </c>
      <c r="BY52" s="35">
        <f>IF(OR(IPC!BY11="",IPC!BM11=""),"",IPC!BY11/IPC!BM11-1)</f>
        <v>4.734459234991828E-3</v>
      </c>
      <c r="BZ52" s="35">
        <f>IF(OR(IPC!BZ11="",IPC!BN11=""),"",IPC!BZ11/IPC!BN11-1)</f>
        <v>-1.3461471556204252E-3</v>
      </c>
      <c r="CA52" s="35">
        <f>IF(OR(IPC!CA11="",IPC!BO11=""),"",IPC!CA11/IPC!BO11-1)</f>
        <v>2.6983813485781383E-4</v>
      </c>
      <c r="CB52" s="35">
        <f>IF(OR(IPC!CB11="",IPC!BP11=""),"",IPC!CB11/IPC!BP11-1)</f>
        <v>3.0199964083976738E-4</v>
      </c>
      <c r="CC52" s="35">
        <f>IF(OR(IPC!CC11="",IPC!BQ11=""),"",IPC!CC11/IPC!BQ11-1)</f>
        <v>2.8749514001431553E-3</v>
      </c>
      <c r="CD52" s="35">
        <f>IF(OR(IPC!CD11="",IPC!BR11=""),"",IPC!CD11/IPC!BR11-1)</f>
        <v>7.4036954725564819E-3</v>
      </c>
      <c r="CE52" s="35">
        <f>IF(OR(IPC!CE11="",IPC!BS11=""),"",IPC!CE11/IPC!BS11-1)</f>
        <v>5.4659533388794479E-3</v>
      </c>
      <c r="CF52" s="35">
        <f>IF(OR(IPC!CF11="",IPC!BT11=""),"",IPC!CF11/IPC!BT11-1)</f>
        <v>4.1770965482677003E-3</v>
      </c>
      <c r="CG52" s="35">
        <f>IF(OR(IPC!CG11="",IPC!BU11=""),"",IPC!CG11/IPC!BU11-1)</f>
        <v>9.0645018551205325E-4</v>
      </c>
      <c r="CH52" s="35">
        <f>IF(OR(IPC!CH11="",IPC!BV11=""),"",IPC!CH11/IPC!BV11-1)</f>
        <v>2.9279897868828009E-4</v>
      </c>
      <c r="CI52" s="35">
        <f>IF(OR(IPC!CI11="",IPC!BW11=""),"",IPC!CI11/IPC!BW11-1)</f>
        <v>1.9029950883906466E-3</v>
      </c>
      <c r="CJ52" s="35">
        <f>IF(OR(IPC!CJ11="",IPC!BX11=""),"",IPC!CJ11/IPC!BX11-1)</f>
        <v>-1.3541246476802549E-3</v>
      </c>
      <c r="CK52" s="35">
        <f>IF(OR(IPC!CK11="",IPC!BY11=""),"",IPC!CK11/IPC!BY11-1)</f>
        <v>4.0629208666946859E-3</v>
      </c>
      <c r="CL52" s="35">
        <f>IF(OR(IPC!CL11="",IPC!BZ11=""),"",IPC!CL11/IPC!BZ11-1)</f>
        <v>1.8244332627415094E-3</v>
      </c>
      <c r="CM52" s="35">
        <f>IF(OR(IPC!CM11="",IPC!CA11=""),"",IPC!CM11/IPC!CA11-1)</f>
        <v>6.7955769078573702E-3</v>
      </c>
      <c r="CN52" s="35">
        <f>IF(OR(IPC!CN11="",IPC!CB11=""),"",IPC!CN11/IPC!CB11-1)</f>
        <v>1.0895421293491747E-2</v>
      </c>
      <c r="CO52" s="35">
        <f>IF(OR(IPC!CO11="",IPC!CC11=""),"",IPC!CO11/IPC!CC11-1)</f>
        <v>1.1049325528395437E-2</v>
      </c>
      <c r="CP52" s="35">
        <f>IF(OR(IPC!CP11="",IPC!CD11=""),"",IPC!CP11/IPC!CD11-1)</f>
        <v>9.1936900079057082E-3</v>
      </c>
      <c r="CQ52" s="35">
        <f>IF(OR(IPC!CQ11="",IPC!CE11=""),"",IPC!CQ11/IPC!CE11-1)</f>
        <v>9.8066925068254207E-3</v>
      </c>
      <c r="CR52" s="35">
        <f>IF(OR(IPC!CR11="",IPC!CF11=""),"",IPC!CR11/IPC!CF11-1)</f>
        <v>1.3388427521643598E-2</v>
      </c>
      <c r="CS52" s="35">
        <f>IF(OR(IPC!CS11="",IPC!CG11=""),"",IPC!CS11/IPC!CG11-1)</f>
        <v>1.4220751008179766E-2</v>
      </c>
      <c r="CT52" s="35">
        <f>IF(OR(IPC!CT11="",IPC!CH11=""),"",IPC!CT11/IPC!CH11-1)</f>
        <v>1.3887616812014558E-2</v>
      </c>
      <c r="CU52" s="35">
        <f>IF(OR(IPC!CU11="",IPC!CI11=""),"",IPC!CU11/IPC!CI11-1)</f>
        <v>1.326904195434353E-2</v>
      </c>
      <c r="CV52" s="35">
        <f>IF(OR(IPC!CV11="",IPC!CJ11=""),"",IPC!CV11/IPC!CJ11-1)</f>
        <v>1.8247315173201661E-2</v>
      </c>
      <c r="CW52" s="35">
        <f>IF(OR(IPC!CW11="",IPC!CK11=""),"",IPC!CW11/IPC!CK11-1)</f>
        <v>1.921109449529812E-2</v>
      </c>
      <c r="CX52" s="35">
        <f>IF(OR(IPC!CX11="",IPC!CL11=""),"",IPC!CX11/IPC!CL11-1)</f>
        <v>2.0889209507041429E-2</v>
      </c>
      <c r="CY52" s="35">
        <f>IF(OR(IPC!CY11="",IPC!CM11=""),"",IPC!CY11/IPC!CM11-1)</f>
        <v>2.1158721782547074E-2</v>
      </c>
      <c r="CZ52" s="35">
        <f>IF(OR(IPC!CZ11="",IPC!CN11=""),"",IPC!CZ11/IPC!CN11-1)</f>
        <v>2.0408414906749606E-2</v>
      </c>
      <c r="DA52" s="35">
        <f>IF(OR(IPC!DA11="",IPC!CO11=""),"",IPC!DA11/IPC!CO11-1)</f>
        <v>1.8990451591549995E-2</v>
      </c>
      <c r="DB52" s="35">
        <f>IF(OR(IPC!DB11="",IPC!CP11=""),"",IPC!DB11/IPC!CP11-1)</f>
        <v>1.9080291188027676E-2</v>
      </c>
      <c r="DC52" s="35">
        <f>IF(OR(IPC!DC11="",IPC!CQ11=""),"",IPC!DC11/IPC!CQ11-1)</f>
        <v>1.8985778736300141E-2</v>
      </c>
      <c r="DD52" s="35">
        <f>IF(OR(IPC!DD11="",IPC!CR11=""),"",IPC!DD11/IPC!CR11-1)</f>
        <v>1.6787266692356972E-2</v>
      </c>
      <c r="DE52" s="35">
        <f>IF(OR(IPC!DE11="",IPC!CS11=""),"",IPC!DE11/IPC!CS11-1)</f>
        <v>1.6647583394934884E-2</v>
      </c>
      <c r="DF52" s="35">
        <f>IF(OR(IPC!DF11="",IPC!CT11=""),"",IPC!DF11/IPC!CT11-1)</f>
        <v>1.8050099109053974E-2</v>
      </c>
      <c r="DG52" s="35">
        <f>IF(OR(IPC!DG11="",IPC!CU11=""),"",IPC!DG11/IPC!CU11-1)</f>
        <v>1.7006837119284635E-2</v>
      </c>
      <c r="DH52" s="35">
        <f>IF(OR(IPC!DH11="",IPC!CV11=""),"",IPC!DH11/IPC!CV11-1)</f>
        <v>1.63711346096298E-2</v>
      </c>
      <c r="DI52" s="35">
        <f>IF(OR(IPC!DI11="",IPC!CW11=""),"",IPC!DI11/IPC!CW11-1)</f>
        <v>1.314913393306294E-2</v>
      </c>
      <c r="DJ52" s="35">
        <f>IF(OR(IPC!DJ11="",IPC!CX11=""),"",IPC!DJ11/IPC!CX11-1)</f>
        <v>1.2235626294052837E-2</v>
      </c>
      <c r="DK52" s="35">
        <f>IF(OR(IPC!DK11="",IPC!CY11=""),"",IPC!DK11/IPC!CY11-1)</f>
        <v>1.0439739653478775E-2</v>
      </c>
      <c r="DL52" s="35">
        <f>IF(OR(IPC!DL11="",IPC!CZ11=""),"",IPC!DL11/IPC!CZ11-1)</f>
        <v>1.3184127565625703E-2</v>
      </c>
      <c r="DM52" s="35">
        <f>IF(OR(IPC!DM11="",IPC!DA11=""),"",IPC!DM11/IPC!DA11-1)</f>
        <v>1.6443684133049974E-2</v>
      </c>
      <c r="DN52" s="35">
        <f>IF(OR(IPC!DN11="",IPC!DB11=""),"",IPC!DN11/IPC!DB11-1)</f>
        <v>1.5312172180778072E-2</v>
      </c>
      <c r="DO52" s="35">
        <f>IF(OR(IPC!DO11="",IPC!DC11=""),"",IPC!DO11/IPC!DC11-1)</f>
        <v>1.5290486553384719E-2</v>
      </c>
      <c r="DP52" s="35">
        <f>IF(OR(IPC!DP11="",IPC!DD11=""),"",IPC!DP11/IPC!DD11-1)</f>
        <v>1.7526950150705378E-2</v>
      </c>
      <c r="DQ52" s="35">
        <f>IF(OR(IPC!DQ11="",IPC!DE11=""),"",IPC!DQ11/IPC!DE11-1)</f>
        <v>1.8730258127629629E-2</v>
      </c>
      <c r="DR52" s="35">
        <f>IF(OR(IPC!DR11="",IPC!DF11=""),"",IPC!DR11/IPC!DF11-1)</f>
        <v>1.8453207501945679E-2</v>
      </c>
      <c r="DS52" s="35">
        <f>IF(OR(IPC!DS11="",IPC!DG11=""),"",IPC!DS11/IPC!DG11-1)</f>
        <v>1.6555011273447162E-2</v>
      </c>
      <c r="DT52" s="35">
        <f>IF(OR(IPC!DT11="",IPC!DH11=""),"",IPC!DT11/IPC!DH11-1)</f>
        <v>1.6558681781901008E-2</v>
      </c>
      <c r="DU52" s="35">
        <f>IF(OR(IPC!DU11="",IPC!DI11=""),"",IPC!DU11/IPC!DI11-1)</f>
        <v>1.8763527096911758E-2</v>
      </c>
      <c r="DV52" s="35">
        <f>IF(OR(IPC!DV11="",IPC!DJ11=""),"",IPC!DV11/IPC!DJ11-1)</f>
        <v>1.9646987327738064E-2</v>
      </c>
      <c r="DW52" s="35">
        <f>IF(OR(IPC!DW11="",IPC!DK11=""),"",IPC!DW11/IPC!DK11-1)</f>
        <v>1.8038409462331151E-2</v>
      </c>
      <c r="DX52" s="35">
        <f>IF(OR(IPC!DX11="",IPC!DL11=""),"",IPC!DX11/IPC!DL11-1)</f>
        <v>1.4378454304278421E-2</v>
      </c>
      <c r="DY52" s="35">
        <f>IF(OR(IPC!DY11="",IPC!DM11=""),"",IPC!DY11/IPC!DM11-1)</f>
        <v>1.1947432145855696E-2</v>
      </c>
      <c r="DZ52" s="35">
        <f>IF(OR(IPC!DZ11="",IPC!DN11=""),"",IPC!DZ11/IPC!DN11-1)</f>
        <v>1.4617062588265339E-2</v>
      </c>
      <c r="EA52" s="35">
        <f>IF(OR(IPC!EA11="",IPC!DO11=""),"",IPC!EA11/IPC!DO11-1)</f>
        <v>1.4024222220585525E-2</v>
      </c>
      <c r="EB52" s="35">
        <f>IF(OR(IPC!EB11="",IPC!DP11=""),"",IPC!EB11/IPC!DP11-1)</f>
        <v>1.1086234038230058E-2</v>
      </c>
      <c r="EC52" s="35">
        <f>IF(OR(IPC!EC11="",IPC!DQ11=""),"",IPC!EC11/IPC!DQ11-1)</f>
        <v>9.6929750152308092E-3</v>
      </c>
      <c r="ED52" s="35">
        <f>IF(OR(IPC!ED11="",IPC!DR11=""),"",IPC!ED11/IPC!DR11-1)</f>
        <v>1.0396675337148276E-2</v>
      </c>
      <c r="EE52" s="35">
        <f>IF(OR(IPC!EE11="",IPC!DS11=""),"",IPC!EE11/IPC!DS11-1)</f>
        <v>1.1328861312553951E-2</v>
      </c>
      <c r="EF52" s="35">
        <f>IF(OR(IPC!EF11="",IPC!DT11=""),"",IPC!EF11/IPC!DT11-1)</f>
        <v>1.3211240473907537E-2</v>
      </c>
      <c r="EG52" s="35">
        <f>IF(OR(IPC!EG11="",IPC!DU11=""),"",IPC!EG11/IPC!DU11-1)</f>
        <v>1.9592694183584003E-2</v>
      </c>
      <c r="EH52" s="35">
        <f>IF(OR(IPC!EH11="",IPC!DV11=""),"",IPC!EH11/IPC!DV11-1)</f>
        <v>2.5940356026540989E-2</v>
      </c>
      <c r="EI52" s="35">
        <f>IF(OR(IPC!EI11="",IPC!DW11=""),"",IPC!EI11/IPC!DW11-1)</f>
        <v>3.6685990615085817E-2</v>
      </c>
      <c r="EJ52" s="35">
        <f>IF(OR(IPC!EJ11="",IPC!DX11=""),"",IPC!EJ11/IPC!DX11-1)</f>
        <v>4.6165273862152745E-2</v>
      </c>
      <c r="EK52" s="35">
        <f>IF(OR(IPC!EK11="",IPC!DY11=""),"",IPC!EK11/IPC!DY11-1)</f>
        <v>5.5203081131190324E-2</v>
      </c>
      <c r="EL52" s="35">
        <f>IF(OR(IPC!EL11="",IPC!DZ11=""),"",IPC!EL11/IPC!DZ11-1)</f>
        <v>6.4222739415218388E-2</v>
      </c>
      <c r="EM52" s="35">
        <f>IF(OR(IPC!EM11="",IPC!EA11=""),"",IPC!EM11/IPC!EA11-1)</f>
        <v>6.8474741136910433E-2</v>
      </c>
      <c r="EN52" s="35">
        <f>IF(OR(IPC!EN11="",IPC!EB11=""),"",IPC!EN11/IPC!EB11-1)</f>
        <v>7.5608005463218664E-2</v>
      </c>
      <c r="EO52" s="35">
        <f>IF(OR(IPC!EO11="",IPC!EC11=""),"",IPC!EO11/IPC!EC11-1)</f>
        <v>8.1764496488032634E-2</v>
      </c>
      <c r="EP52" s="35">
        <f>IF(OR(IPC!EP11="",IPC!ED11=""),"",IPC!EP11/IPC!ED11-1)</f>
        <v>9.1329873370878945E-2</v>
      </c>
      <c r="EQ52" s="35">
        <f>IF(OR(IPC!EQ11="",IPC!EE11=""),"",IPC!EQ11/IPC!EE11-1)</f>
        <v>9.7684434696661215E-2</v>
      </c>
      <c r="ER52" s="35">
        <f>IF(OR(IPC!ER11="",IPC!EF11=""),"",IPC!ER11/IPC!EF11-1)</f>
        <v>0.10284281505162873</v>
      </c>
      <c r="ES52" s="35">
        <f>IF(OR(IPC!ES11="",IPC!EG11=""),"",IPC!ES11/IPC!EG11-1)</f>
        <v>9.9574345259601849E-2</v>
      </c>
      <c r="ET52" s="35">
        <f>IF(OR(IPC!ET11="",IPC!EH11=""),"",IPC!ET11/IPC!EH11-1)</f>
        <v>9.7400928896566485E-2</v>
      </c>
      <c r="EU52" s="35">
        <f>IF(OR(IPC!EU11="",IPC!EI11=""),"",IPC!EU11/IPC!EI11-1)</f>
        <v>9.3137865810726694E-2</v>
      </c>
      <c r="EV52" s="35">
        <f>IF(OR(IPC!EV11="",IPC!EJ11=""),"",IPC!EV11/IPC!EJ11-1)</f>
        <v>8.5090084501386443E-2</v>
      </c>
      <c r="EW52" s="35">
        <f>IF(OR(IPC!EW11="",IPC!EK11=""),"",IPC!EW11/IPC!EK11-1)</f>
        <v>7.6964334005796831E-2</v>
      </c>
      <c r="EX52" s="35">
        <f>IF(OR(IPC!EX11="",IPC!EL11=""),"",IPC!EX11/IPC!EL11-1)</f>
        <v>6.6795782755474598E-2</v>
      </c>
      <c r="EY52" s="35">
        <f>IF(OR(IPC!EY11="",IPC!EM11=""),"",IPC!EY11/IPC!EM11-1)</f>
        <v>6.2816403829826006E-2</v>
      </c>
      <c r="EZ52" s="35">
        <f>IF(OR(IPC!EZ11="",IPC!EN11=""),"",IPC!EZ11/IPC!EN11-1)</f>
        <v>5.6304164025409609E-2</v>
      </c>
      <c r="FA52" s="35">
        <f>IF(OR(IPC!FA11="",IPC!EO11=""),"",IPC!FA11/IPC!EO11-1)</f>
        <v>5.0785894269288923E-2</v>
      </c>
      <c r="FB52" s="35">
        <f>IF(OR(IPC!FB11="",IPC!EP11=""),"",IPC!FB11/IPC!EP11-1)</f>
        <v>4.1683010651582642E-2</v>
      </c>
      <c r="FC52" s="35">
        <f>IF(OR(IPC!FC11="",IPC!EQ11=""),"",IPC!FC11/IPC!EQ11-1)</f>
        <v>3.5659751508511528E-2</v>
      </c>
      <c r="FD52" s="35">
        <f>IF(OR(IPC!FD11="",IPC!ER11=""),"",IPC!FD11/IPC!ER11-1)</f>
        <v>2.8172317056842422E-2</v>
      </c>
      <c r="FE52" s="35">
        <f>IF(OR(IPC!FE11="",IPC!ES11=""),"",IPC!FE11/IPC!ES11-1)</f>
        <v>2.7014376627259473E-2</v>
      </c>
      <c r="FF52" s="35">
        <f>IF(OR(IPC!FF11="",IPC!ET11=""),"",IPC!FF11/IPC!ET11-1)</f>
        <v>2.2178778961651879E-2</v>
      </c>
      <c r="FG52" s="35">
        <f>IF(OR(IPC!FG11="",IPC!EU11=""),"",IPC!FG11/IPC!EU11-1)</f>
        <v>1.7345486735891535E-2</v>
      </c>
      <c r="FH52" s="35">
        <f>IF(OR(IPC!FH11="",IPC!EV11=""),"",IPC!FH11/IPC!EV11-1)</f>
        <v>1.7918072205813207E-2</v>
      </c>
      <c r="FI52" s="35">
        <f>IF(OR(IPC!FI11="",IPC!EW11=""),"",IPC!FI11/IPC!EW11-1)</f>
        <v>1.7964604342048496E-2</v>
      </c>
      <c r="FJ52" s="35">
        <f>IF(OR(IPC!FJ11="",IPC!EX11=""),"",IPC!FJ11/IPC!EX11-1)</f>
        <v>1.9059304027559731E-2</v>
      </c>
      <c r="FK52" s="35">
        <f>IF(OR(IPC!FK11="",IPC!EY11=""),"",IPC!FK11/IPC!EY11-1)</f>
        <v>1.9669846412013303E-2</v>
      </c>
      <c r="FL52" s="35">
        <f>IF(OR(IPC!FL11="",IPC!EZ11=""),"",IPC!FL11/IPC!EZ11-1)</f>
        <v>1.9364002970627903E-2</v>
      </c>
      <c r="FM52" s="35">
        <f>IF(OR(IPC!FM11="",IPC!FA11=""),"",IPC!FM11/IPC!FA11-1)</f>
        <v>1.7800343614376546E-2</v>
      </c>
      <c r="FN52" s="35">
        <f>IF(OR(IPC!FN11="",IPC!FB11=""),"",IPC!FN11/IPC!FB11-1)</f>
        <v>1.6795635724256686E-2</v>
      </c>
      <c r="FO52" s="35">
        <f>IF(OR(IPC!FO11="",IPC!FC11=""),"",IPC!FO11/IPC!FC11-1)</f>
        <v>1.402504636670443E-2</v>
      </c>
      <c r="FP52" s="35">
        <f>IF(OR(IPC!FP11="",IPC!FD11=""),"",IPC!FP11/IPC!FD11-1)</f>
        <v>1.6635859519408491E-2</v>
      </c>
      <c r="FQ52" s="35">
        <f>IF(OR(IPC!FQ11="",IPC!FE11=""),"",IPC!FQ11/IPC!FE11-1)</f>
        <v>1.3812154696132506E-2</v>
      </c>
      <c r="FR52" s="35">
        <f>IF(OR(IPC!FR11="",IPC!FF11=""),"",IPC!FR11/IPC!FF11-1)</f>
        <v>1.3799448022079108E-2</v>
      </c>
    </row>
    <row r="53" spans="1:174" s="19" customFormat="1" ht="10.199999999999999" x14ac:dyDescent="0.2">
      <c r="A53" s="11" t="s">
        <v>19</v>
      </c>
      <c r="B53" s="1" t="s">
        <v>20</v>
      </c>
      <c r="C53" s="8">
        <v>26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 t="str">
        <f>IF(OR(IPC!P12="",IPC!D12=""),"",IPC!P12/IPC!D12-1)</f>
        <v/>
      </c>
      <c r="Q53" s="35" t="str">
        <f>IF(OR(IPC!Q12="",IPC!E12=""),"",IPC!Q12/IPC!E12-1)</f>
        <v/>
      </c>
      <c r="R53" s="35" t="str">
        <f>IF(OR(IPC!R12="",IPC!F12=""),"",IPC!R12/IPC!F12-1)</f>
        <v/>
      </c>
      <c r="S53" s="35" t="str">
        <f>IF(OR(IPC!S12="",IPC!G12=""),"",IPC!S12/IPC!G12-1)</f>
        <v/>
      </c>
      <c r="T53" s="35" t="str">
        <f>IF(OR(IPC!T12="",IPC!H12=""),"",IPC!T12/IPC!H12-1)</f>
        <v/>
      </c>
      <c r="U53" s="35" t="str">
        <f>IF(OR(IPC!U12="",IPC!I12=""),"",IPC!U12/IPC!I12-1)</f>
        <v/>
      </c>
      <c r="V53" s="35" t="str">
        <f>IF(OR(IPC!V12="",IPC!J12=""),"",IPC!V12/IPC!J12-1)</f>
        <v/>
      </c>
      <c r="W53" s="35" t="str">
        <f>IF(OR(IPC!W12="",IPC!K12=""),"",IPC!W12/IPC!K12-1)</f>
        <v/>
      </c>
      <c r="X53" s="35" t="str">
        <f>IF(OR(IPC!X12="",IPC!L12=""),"",IPC!X12/IPC!L12-1)</f>
        <v/>
      </c>
      <c r="Y53" s="35" t="str">
        <f>IF(OR(IPC!Y12="",IPC!M12=""),"",IPC!Y12/IPC!M12-1)</f>
        <v/>
      </c>
      <c r="Z53" s="35" t="str">
        <f>IF(OR(IPC!Z12="",IPC!N12=""),"",IPC!Z12/IPC!N12-1)</f>
        <v/>
      </c>
      <c r="AA53" s="35" t="str">
        <f>IF(OR(IPC!AA12="",IPC!O12=""),"",IPC!AA12/IPC!O12-1)</f>
        <v/>
      </c>
      <c r="AB53" s="35">
        <f>IF(OR(IPC!AB12="",IPC!P12=""),"",IPC!AB12/IPC!P12-1)</f>
        <v>2.6095278196085481E-3</v>
      </c>
      <c r="AC53" s="35">
        <f>IF(OR(IPC!AC12="",IPC!Q12=""),"",IPC!AC12/IPC!Q12-1)</f>
        <v>2.6483309318154902E-3</v>
      </c>
      <c r="AD53" s="35">
        <f>IF(OR(IPC!AD12="",IPC!R12=""),"",IPC!AD12/IPC!R12-1)</f>
        <v>1.1010325309357416E-3</v>
      </c>
      <c r="AE53" s="35">
        <f>IF(OR(IPC!AE12="",IPC!S12=""),"",IPC!AE12/IPC!S12-1)</f>
        <v>3.1593331073749287E-3</v>
      </c>
      <c r="AF53" s="35">
        <f>IF(OR(IPC!AF12="",IPC!T12=""),"",IPC!AF12/IPC!T12-1)</f>
        <v>5.4436201746164148E-3</v>
      </c>
      <c r="AG53" s="35">
        <f>IF(OR(IPC!AG12="",IPC!U12=""),"",IPC!AG12/IPC!U12-1)</f>
        <v>9.2242311315111625E-3</v>
      </c>
      <c r="AH53" s="35">
        <f>IF(OR(IPC!AH12="",IPC!V12=""),"",IPC!AH12/IPC!V12-1)</f>
        <v>4.138445384099354E-3</v>
      </c>
      <c r="AI53" s="35">
        <f>IF(OR(IPC!AI12="",IPC!W12=""),"",IPC!AI12/IPC!W12-1)</f>
        <v>6.9559100380778283E-4</v>
      </c>
      <c r="AJ53" s="35">
        <f>IF(OR(IPC!AJ12="",IPC!X12=""),"",IPC!AJ12/IPC!X12-1)</f>
        <v>2.2239798475705008E-3</v>
      </c>
      <c r="AK53" s="35">
        <f>IF(OR(IPC!AK12="",IPC!Y12=""),"",IPC!AK12/IPC!Y12-1)</f>
        <v>1.2474887740872243E-2</v>
      </c>
      <c r="AL53" s="35">
        <f>IF(OR(IPC!AL12="",IPC!Z12=""),"",IPC!AL12/IPC!Z12-1)</f>
        <v>1.3010274789174048E-2</v>
      </c>
      <c r="AM53" s="35">
        <f>IF(OR(IPC!AM12="",IPC!AA12=""),"",IPC!AM12/IPC!AA12-1)</f>
        <v>9.6443316089680486E-3</v>
      </c>
      <c r="AN53" s="35">
        <f>IF(OR(IPC!AN12="",IPC!AB12=""),"",IPC!AN12/IPC!AB12-1)</f>
        <v>1.2541537581482576E-2</v>
      </c>
      <c r="AO53" s="35">
        <f>IF(OR(IPC!AO12="",IPC!AC12=""),"",IPC!AO12/IPC!AC12-1)</f>
        <v>8.2832500134586429E-3</v>
      </c>
      <c r="AP53" s="35">
        <f>IF(OR(IPC!AP12="",IPC!AD12=""),"",IPC!AP12/IPC!AD12-1)</f>
        <v>9.0044721794542149E-3</v>
      </c>
      <c r="AQ53" s="35">
        <f>IF(OR(IPC!AQ12="",IPC!AE12=""),"",IPC!AQ12/IPC!AE12-1)</f>
        <v>7.750514648330098E-3</v>
      </c>
      <c r="AR53" s="35">
        <f>IF(OR(IPC!AR12="",IPC!AF12=""),"",IPC!AR12/IPC!AF12-1)</f>
        <v>9.8407716318671401E-3</v>
      </c>
      <c r="AS53" s="35">
        <f>IF(OR(IPC!AS12="",IPC!AG12=""),"",IPC!AS12/IPC!AG12-1)</f>
        <v>6.0790645202755123E-3</v>
      </c>
      <c r="AT53" s="35">
        <f>IF(OR(IPC!AT12="",IPC!AH12=""),"",IPC!AT12/IPC!AH12-1)</f>
        <v>9.8172955293236441E-3</v>
      </c>
      <c r="AU53" s="35">
        <f>IF(OR(IPC!AU12="",IPC!AI12=""),"",IPC!AU12/IPC!AI12-1)</f>
        <v>1.217445537086892E-2</v>
      </c>
      <c r="AV53" s="35">
        <f>IF(OR(IPC!AV12="",IPC!AJ12=""),"",IPC!AV12/IPC!AJ12-1)</f>
        <v>9.3543702783283056E-3</v>
      </c>
      <c r="AW53" s="35">
        <f>IF(OR(IPC!AW12="",IPC!AK12=""),"",IPC!AW12/IPC!AK12-1)</f>
        <v>1.6253554612961629E-3</v>
      </c>
      <c r="AX53" s="35">
        <f>IF(OR(IPC!AX12="",IPC!AL12=""),"",IPC!AX12/IPC!AL12-1)</f>
        <v>3.9039235556992402E-4</v>
      </c>
      <c r="AY53" s="35">
        <f>IF(OR(IPC!AY12="",IPC!AM12=""),"",IPC!AY12/IPC!AM12-1)</f>
        <v>1.8741924890548489E-3</v>
      </c>
      <c r="AZ53" s="35">
        <f>IF(OR(IPC!AZ12="",IPC!AN12=""),"",IPC!AZ12/IPC!AN12-1)</f>
        <v>4.3516040230973108E-3</v>
      </c>
      <c r="BA53" s="35">
        <f>IF(OR(IPC!BA12="",IPC!AO12=""),"",IPC!BA12/IPC!AO12-1)</f>
        <v>5.0988132815115161E-3</v>
      </c>
      <c r="BB53" s="35">
        <f>IF(OR(IPC!BB12="",IPC!AP12=""),"",IPC!BB12/IPC!AP12-1)</f>
        <v>6.5230021314206521E-3</v>
      </c>
      <c r="BC53" s="35">
        <f>IF(OR(IPC!BC12="",IPC!AQ12=""),"",IPC!BC12/IPC!AQ12-1)</f>
        <v>9.1356812293714729E-3</v>
      </c>
      <c r="BD53" s="35">
        <f>IF(OR(IPC!BD12="",IPC!AR12=""),"",IPC!BD12/IPC!AR12-1)</f>
        <v>2.1937805841343305E-3</v>
      </c>
      <c r="BE53" s="35">
        <f>IF(OR(IPC!BE12="",IPC!AS12=""),"",IPC!BE12/IPC!AS12-1)</f>
        <v>4.8824485858254274E-3</v>
      </c>
      <c r="BF53" s="35">
        <f>IF(OR(IPC!BF12="",IPC!AT12=""),"",IPC!BF12/IPC!AT12-1)</f>
        <v>1.0173420864756366E-3</v>
      </c>
      <c r="BG53" s="35">
        <f>IF(OR(IPC!BG12="",IPC!AU12=""),"",IPC!BG12/IPC!AU12-1)</f>
        <v>1.3094093588763567E-3</v>
      </c>
      <c r="BH53" s="35">
        <f>IF(OR(IPC!BH12="",IPC!AV12=""),"",IPC!BH12/IPC!AV12-1)</f>
        <v>2.8842482176765216E-3</v>
      </c>
      <c r="BI53" s="35">
        <f>IF(OR(IPC!BI12="",IPC!AW12=""),"",IPC!BI12/IPC!AW12-1)</f>
        <v>7.4940402507466253E-3</v>
      </c>
      <c r="BJ53" s="35">
        <f>IF(OR(IPC!BJ12="",IPC!AX12=""),"",IPC!BJ12/IPC!AX12-1)</f>
        <v>6.7741051847229894E-3</v>
      </c>
      <c r="BK53" s="35">
        <f>IF(OR(IPC!BK12="",IPC!AY12=""),"",IPC!BK12/IPC!AY12-1)</f>
        <v>5.377676413965693E-3</v>
      </c>
      <c r="BL53" s="35">
        <f>IF(OR(IPC!BL12="",IPC!AZ12=""),"",IPC!BL12/IPC!AZ12-1)</f>
        <v>-1.15695740916677E-3</v>
      </c>
      <c r="BM53" s="35">
        <f>IF(OR(IPC!BM12="",IPC!BA12=""),"",IPC!BM12/IPC!BA12-1)</f>
        <v>-1.9918722516688581E-3</v>
      </c>
      <c r="BN53" s="35">
        <f>IF(OR(IPC!BN12="",IPC!BB12=""),"",IPC!BN12/IPC!BB12-1)</f>
        <v>-4.6361277882770446E-3</v>
      </c>
      <c r="BO53" s="35">
        <f>IF(OR(IPC!BO12="",IPC!BC12=""),"",IPC!BO12/IPC!BC12-1)</f>
        <v>-3.7374230835006683E-3</v>
      </c>
      <c r="BP53" s="35">
        <f>IF(OR(IPC!BP12="",IPC!BD12=""),"",IPC!BP12/IPC!BD12-1)</f>
        <v>-2.9780956455467411E-3</v>
      </c>
      <c r="BQ53" s="35">
        <f>IF(OR(IPC!BQ12="",IPC!BE12=""),"",IPC!BQ12/IPC!BE12-1)</f>
        <v>-4.7947956886498222E-3</v>
      </c>
      <c r="BR53" s="35">
        <f>IF(OR(IPC!BR12="",IPC!BF12=""),"",IPC!BR12/IPC!BF12-1)</f>
        <v>-2.0074354719763488E-3</v>
      </c>
      <c r="BS53" s="35">
        <f>IF(OR(IPC!BS12="",IPC!BG12=""),"",IPC!BS12/IPC!BG12-1)</f>
        <v>-3.1788142283428744E-3</v>
      </c>
      <c r="BT53" s="35">
        <f>IF(OR(IPC!BT12="",IPC!BH12=""),"",IPC!BT12/IPC!BH12-1)</f>
        <v>-2.5529042125164159E-3</v>
      </c>
      <c r="BU53" s="35">
        <f>IF(OR(IPC!BU12="",IPC!BI12=""),"",IPC!BU12/IPC!BI12-1)</f>
        <v>-6.4240896303480177E-3</v>
      </c>
      <c r="BV53" s="35">
        <f>IF(OR(IPC!BV12="",IPC!BJ12=""),"",IPC!BV12/IPC!BJ12-1)</f>
        <v>-3.6340522474871406E-3</v>
      </c>
      <c r="BW53" s="35">
        <f>IF(OR(IPC!BW12="",IPC!BK12=""),"",IPC!BW12/IPC!BK12-1)</f>
        <v>-5.8720483794305611E-4</v>
      </c>
      <c r="BX53" s="35">
        <f>IF(OR(IPC!BX12="",IPC!BL12=""),"",IPC!BX12/IPC!BL12-1)</f>
        <v>1.5334154681763135E-3</v>
      </c>
      <c r="BY53" s="35">
        <f>IF(OR(IPC!BY12="",IPC!BM12=""),"",IPC!BY12/IPC!BM12-1)</f>
        <v>2.6915638195612601E-3</v>
      </c>
      <c r="BZ53" s="35">
        <f>IF(OR(IPC!BZ12="",IPC!BN12=""),"",IPC!BZ12/IPC!BN12-1)</f>
        <v>2.9919685886770075E-4</v>
      </c>
      <c r="CA53" s="35">
        <f>IF(OR(IPC!CA12="",IPC!BO12=""),"",IPC!CA12/IPC!BO12-1)</f>
        <v>3.1136290465916261E-6</v>
      </c>
      <c r="CB53" s="35">
        <f>IF(OR(IPC!CB12="",IPC!BP12=""),"",IPC!CB12/IPC!BP12-1)</f>
        <v>4.2339189957336654E-3</v>
      </c>
      <c r="CC53" s="35">
        <f>IF(OR(IPC!CC12="",IPC!BQ12=""),"",IPC!CC12/IPC!BQ12-1)</f>
        <v>5.3081627162261391E-3</v>
      </c>
      <c r="CD53" s="35">
        <f>IF(OR(IPC!CD12="",IPC!BR12=""),"",IPC!CD12/IPC!BR12-1)</f>
        <v>4.9487636608864793E-3</v>
      </c>
      <c r="CE53" s="35">
        <f>IF(OR(IPC!CE12="",IPC!BS12=""),"",IPC!CE12/IPC!BS12-1)</f>
        <v>5.1961476343436175E-3</v>
      </c>
      <c r="CF53" s="35">
        <f>IF(OR(IPC!CF12="",IPC!BT12=""),"",IPC!CF12/IPC!BT12-1)</f>
        <v>4.2497231570164384E-3</v>
      </c>
      <c r="CG53" s="35">
        <f>IF(OR(IPC!CG12="",IPC!BU12=""),"",IPC!CG12/IPC!BU12-1)</f>
        <v>3.5746305526709321E-3</v>
      </c>
      <c r="CH53" s="35">
        <f>IF(OR(IPC!CH12="",IPC!BV12=""),"",IPC!CH12/IPC!BV12-1)</f>
        <v>2.3571077549824349E-3</v>
      </c>
      <c r="CI53" s="35">
        <f>IF(OR(IPC!CI12="",IPC!BW12=""),"",IPC!CI12/IPC!BW12-1)</f>
        <v>1.6614277735833571E-3</v>
      </c>
      <c r="CJ53" s="35">
        <f>IF(OR(IPC!CJ12="",IPC!BX12=""),"",IPC!CJ12/IPC!BX12-1)</f>
        <v>-1.2751076479533552E-4</v>
      </c>
      <c r="CK53" s="35">
        <f>IF(OR(IPC!CK12="",IPC!BY12=""),"",IPC!CK12/IPC!BY12-1)</f>
        <v>2.5740307932831108E-4</v>
      </c>
      <c r="CL53" s="35">
        <f>IF(OR(IPC!CL12="",IPC!BZ12=""),"",IPC!CL12/IPC!BZ12-1)</f>
        <v>2.9630463836571863E-3</v>
      </c>
      <c r="CM53" s="35">
        <f>IF(OR(IPC!CM12="",IPC!CA12=""),"",IPC!CM12/IPC!CA12-1)</f>
        <v>2.2954551446183746E-3</v>
      </c>
      <c r="CN53" s="35">
        <f>IF(OR(IPC!CN12="",IPC!CB12=""),"",IPC!CN12/IPC!CB12-1)</f>
        <v>3.5868098490763334E-3</v>
      </c>
      <c r="CO53" s="35">
        <f>IF(OR(IPC!CO12="",IPC!CC12=""),"",IPC!CO12/IPC!CC12-1)</f>
        <v>4.3875185010420203E-3</v>
      </c>
      <c r="CP53" s="35">
        <f>IF(OR(IPC!CP12="",IPC!CD12=""),"",IPC!CP12/IPC!CD12-1)</f>
        <v>6.8193825192770507E-3</v>
      </c>
      <c r="CQ53" s="35">
        <f>IF(OR(IPC!CQ12="",IPC!CE12=""),"",IPC!CQ12/IPC!CE12-1)</f>
        <v>7.2216832876956794E-3</v>
      </c>
      <c r="CR53" s="35">
        <f>IF(OR(IPC!CR12="",IPC!CF12=""),"",IPC!CR12/IPC!CF12-1)</f>
        <v>7.1862470619223906E-3</v>
      </c>
      <c r="CS53" s="35">
        <f>IF(OR(IPC!CS12="",IPC!CG12=""),"",IPC!CS12/IPC!CG12-1)</f>
        <v>6.5156245812261204E-3</v>
      </c>
      <c r="CT53" s="35">
        <f>IF(OR(IPC!CT12="",IPC!CH12=""),"",IPC!CT12/IPC!CH12-1)</f>
        <v>6.3254141982391765E-3</v>
      </c>
      <c r="CU53" s="35">
        <f>IF(OR(IPC!CU12="",IPC!CI12=""),"",IPC!CU12/IPC!CI12-1)</f>
        <v>6.237943325609896E-3</v>
      </c>
      <c r="CV53" s="35">
        <f>IF(OR(IPC!CV12="",IPC!CJ12=""),"",IPC!CV12/IPC!CJ12-1)</f>
        <v>7.3724756766497812E-3</v>
      </c>
      <c r="CW53" s="35">
        <f>IF(OR(IPC!CW12="",IPC!CK12=""),"",IPC!CW12/IPC!CK12-1)</f>
        <v>7.6216836647986508E-3</v>
      </c>
      <c r="CX53" s="35">
        <f>IF(OR(IPC!CX12="",IPC!CL12=""),"",IPC!CX12/IPC!CL12-1)</f>
        <v>9.1083306867234537E-3</v>
      </c>
      <c r="CY53" s="35">
        <f>IF(OR(IPC!CY12="",IPC!CM12=""),"",IPC!CY12/IPC!CM12-1)</f>
        <v>8.4325833403884332E-3</v>
      </c>
      <c r="CZ53" s="35">
        <f>IF(OR(IPC!CZ12="",IPC!CN12=""),"",IPC!CZ12/IPC!CN12-1)</f>
        <v>6.9322380499514669E-3</v>
      </c>
      <c r="DA53" s="35">
        <f>IF(OR(IPC!DA12="",IPC!CO12=""),"",IPC!DA12/IPC!CO12-1)</f>
        <v>6.2536698366255639E-3</v>
      </c>
      <c r="DB53" s="35">
        <f>IF(OR(IPC!DB12="",IPC!CP12=""),"",IPC!DB12/IPC!CP12-1)</f>
        <v>4.0952014281712135E-3</v>
      </c>
      <c r="DC53" s="35">
        <f>IF(OR(IPC!DC12="",IPC!CQ12=""),"",IPC!DC12/IPC!CQ12-1)</f>
        <v>3.2624682164550389E-3</v>
      </c>
      <c r="DD53" s="35">
        <f>IF(OR(IPC!DD12="",IPC!CR12=""),"",IPC!DD12/IPC!CR12-1)</f>
        <v>3.4213572899952638E-3</v>
      </c>
      <c r="DE53" s="35">
        <f>IF(OR(IPC!DE12="",IPC!CS12=""),"",IPC!DE12/IPC!CS12-1)</f>
        <v>3.445261008909295E-3</v>
      </c>
      <c r="DF53" s="35">
        <f>IF(OR(IPC!DF12="",IPC!CT12=""),"",IPC!DF12/IPC!CT12-1)</f>
        <v>3.5969022741000334E-3</v>
      </c>
      <c r="DG53" s="35">
        <f>IF(OR(IPC!DG12="",IPC!CU12=""),"",IPC!DG12/IPC!CU12-1)</f>
        <v>3.65762314165341E-3</v>
      </c>
      <c r="DH53" s="35">
        <f>IF(OR(IPC!DH12="",IPC!CV12=""),"",IPC!DH12/IPC!CV12-1)</f>
        <v>3.4044698014730201E-3</v>
      </c>
      <c r="DI53" s="35">
        <f>IF(OR(IPC!DI12="",IPC!CW12=""),"",IPC!DI12/IPC!CW12-1)</f>
        <v>3.0719892486406053E-3</v>
      </c>
      <c r="DJ53" s="35">
        <f>IF(OR(IPC!DJ12="",IPC!CX12=""),"",IPC!DJ12/IPC!CX12-1)</f>
        <v>2.0408619043772447E-3</v>
      </c>
      <c r="DK53" s="35">
        <f>IF(OR(IPC!DK12="",IPC!CY12=""),"",IPC!DK12/IPC!CY12-1)</f>
        <v>1.7767538697341934E-3</v>
      </c>
      <c r="DL53" s="35">
        <f>IF(OR(IPC!DL12="",IPC!CZ12=""),"",IPC!DL12/IPC!CZ12-1)</f>
        <v>2.045115607624437E-3</v>
      </c>
      <c r="DM53" s="35">
        <f>IF(OR(IPC!DM12="",IPC!DA12=""),"",IPC!DM12/IPC!DA12-1)</f>
        <v>2.0065511168525507E-3</v>
      </c>
      <c r="DN53" s="35">
        <f>IF(OR(IPC!DN12="",IPC!DB12=""),"",IPC!DN12/IPC!DB12-1)</f>
        <v>8.1404284275632399E-4</v>
      </c>
      <c r="DO53" s="35">
        <f>IF(OR(IPC!DO12="",IPC!DC12=""),"",IPC!DO12/IPC!DC12-1)</f>
        <v>1.6868106157934548E-3</v>
      </c>
      <c r="DP53" s="35">
        <f>IF(OR(IPC!DP12="",IPC!DD12=""),"",IPC!DP12/IPC!DD12-1)</f>
        <v>2.4148383444322352E-3</v>
      </c>
      <c r="DQ53" s="35">
        <f>IF(OR(IPC!DQ12="",IPC!DE12=""),"",IPC!DQ12/IPC!DE12-1)</f>
        <v>2.7571361419174156E-3</v>
      </c>
      <c r="DR53" s="35">
        <f>IF(OR(IPC!DR12="",IPC!DF12=""),"",IPC!DR12/IPC!DF12-1)</f>
        <v>2.5828638259242087E-3</v>
      </c>
      <c r="DS53" s="35">
        <f>IF(OR(IPC!DS12="",IPC!DG12=""),"",IPC!DS12/IPC!DG12-1)</f>
        <v>2.3780555360550792E-3</v>
      </c>
      <c r="DT53" s="35">
        <f>IF(OR(IPC!DT12="",IPC!DH12=""),"",IPC!DT12/IPC!DH12-1)</f>
        <v>2.6098223671706666E-3</v>
      </c>
      <c r="DU53" s="35">
        <f>IF(OR(IPC!DU12="",IPC!DI12=""),"",IPC!DU12/IPC!DI12-1)</f>
        <v>2.3581379154240523E-3</v>
      </c>
      <c r="DV53" s="35">
        <f>IF(OR(IPC!DV12="",IPC!DJ12=""),"",IPC!DV12/IPC!DJ12-1)</f>
        <v>1.8918681596125086E-3</v>
      </c>
      <c r="DW53" s="35">
        <f>IF(OR(IPC!DW12="",IPC!DK12=""),"",IPC!DW12/IPC!DK12-1)</f>
        <v>1.2429318186095717E-3</v>
      </c>
      <c r="DX53" s="35">
        <f>IF(OR(IPC!DX12="",IPC!DL12=""),"",IPC!DX12/IPC!DL12-1)</f>
        <v>1.1443975632212666E-3</v>
      </c>
      <c r="DY53" s="35">
        <f>IF(OR(IPC!DY12="",IPC!DM12=""),"",IPC!DY12/IPC!DM12-1)</f>
        <v>9.5641325514672637E-4</v>
      </c>
      <c r="DZ53" s="35">
        <f>IF(OR(IPC!DZ12="",IPC!DN12=""),"",IPC!DZ12/IPC!DN12-1)</f>
        <v>1.9651294225848659E-3</v>
      </c>
      <c r="EA53" s="35">
        <f>IF(OR(IPC!EA12="",IPC!DO12=""),"",IPC!EA12/IPC!DO12-1)</f>
        <v>1.8039366821058778E-3</v>
      </c>
      <c r="EB53" s="35">
        <f>IF(OR(IPC!EB12="",IPC!DP12=""),"",IPC!EB12/IPC!DP12-1)</f>
        <v>1.26723374405735E-3</v>
      </c>
      <c r="EC53" s="35">
        <f>IF(OR(IPC!EC12="",IPC!DQ12=""),"",IPC!EC12/IPC!DQ12-1)</f>
        <v>9.9020777006986194E-4</v>
      </c>
      <c r="ED53" s="35">
        <f>IF(OR(IPC!ED12="",IPC!DR12=""),"",IPC!ED12/IPC!DR12-1)</f>
        <v>1.2876511858410655E-3</v>
      </c>
      <c r="EE53" s="35">
        <f>IF(OR(IPC!EE12="",IPC!DS12=""),"",IPC!EE12/IPC!DS12-1)</f>
        <v>1.394950547738194E-3</v>
      </c>
      <c r="EF53" s="35">
        <f>IF(OR(IPC!EF12="",IPC!DT12=""),"",IPC!EF12/IPC!DT12-1)</f>
        <v>1.9397414055519757E-3</v>
      </c>
      <c r="EG53" s="35">
        <f>IF(OR(IPC!EG12="",IPC!DU12=""),"",IPC!EG12/IPC!DU12-1)</f>
        <v>1.6692987103852364E-3</v>
      </c>
      <c r="EH53" s="35">
        <f>IF(OR(IPC!EH12="",IPC!DV12=""),"",IPC!EH12/IPC!DV12-1)</f>
        <v>2.9539873379123005E-3</v>
      </c>
      <c r="EI53" s="35">
        <f>IF(OR(IPC!EI12="",IPC!DW12=""),"",IPC!EI12/IPC!DW12-1)</f>
        <v>4.3847772718312861E-3</v>
      </c>
      <c r="EJ53" s="35">
        <f>IF(OR(IPC!EJ12="",IPC!DX12=""),"",IPC!EJ12/IPC!DX12-1)</f>
        <v>3.4938525248324748E-3</v>
      </c>
      <c r="EK53" s="35">
        <f>IF(OR(IPC!EK12="",IPC!DY12=""),"",IPC!EK12/IPC!DY12-1)</f>
        <v>4.769725328211738E-3</v>
      </c>
      <c r="EL53" s="35">
        <f>IF(OR(IPC!EL12="",IPC!DZ12=""),"",IPC!EL12/IPC!DZ12-1)</f>
        <v>4.6526567908906635E-3</v>
      </c>
      <c r="EM53" s="35">
        <f>IF(OR(IPC!EM12="",IPC!EA12=""),"",IPC!EM12/IPC!EA12-1)</f>
        <v>4.7568342656651996E-3</v>
      </c>
      <c r="EN53" s="35">
        <f>IF(OR(IPC!EN12="",IPC!EB12=""),"",IPC!EN12/IPC!EB12-1)</f>
        <v>4.8204557830175965E-3</v>
      </c>
      <c r="EO53" s="35">
        <f>IF(OR(IPC!EO12="",IPC!EC12=""),"",IPC!EO12/IPC!EC12-1)</f>
        <v>5.2399996430658735E-3</v>
      </c>
      <c r="EP53" s="35">
        <f>IF(OR(IPC!EP12="",IPC!ED12=""),"",IPC!EP12/IPC!ED12-1)</f>
        <v>6.1037334276903277E-3</v>
      </c>
      <c r="EQ53" s="35">
        <f>IF(OR(IPC!EQ12="",IPC!EE12=""),"",IPC!EQ12/IPC!EE12-1)</f>
        <v>6.2637952709274636E-3</v>
      </c>
      <c r="ER53" s="35">
        <f>IF(OR(IPC!ER12="",IPC!EF12=""),"",IPC!ER12/IPC!EF12-1)</f>
        <v>7.590866085570136E-3</v>
      </c>
      <c r="ES53" s="35">
        <f>IF(OR(IPC!ES12="",IPC!EG12=""),"",IPC!ES12/IPC!EG12-1)</f>
        <v>9.4077448399076946E-3</v>
      </c>
      <c r="ET53" s="35">
        <f>IF(OR(IPC!ET12="",IPC!EH12=""),"",IPC!ET12/IPC!EH12-1)</f>
        <v>8.7903645884910286E-3</v>
      </c>
      <c r="EU53" s="35">
        <f>IF(OR(IPC!EU12="",IPC!EI12=""),"",IPC!EU12/IPC!EI12-1)</f>
        <v>8.6452364631375289E-3</v>
      </c>
      <c r="EV53" s="35">
        <f>IF(OR(IPC!EV12="",IPC!EJ12=""),"",IPC!EV12/IPC!EJ12-1)</f>
        <v>9.365123305811851E-3</v>
      </c>
      <c r="EW53" s="35">
        <f>IF(OR(IPC!EW12="",IPC!EK12=""),"",IPC!EW12/IPC!EK12-1)</f>
        <v>8.208713735139872E-3</v>
      </c>
      <c r="EX53" s="35">
        <f>IF(OR(IPC!EX12="",IPC!EL12=""),"",IPC!EX12/IPC!EL12-1)</f>
        <v>8.4101922503134752E-3</v>
      </c>
      <c r="EY53" s="35">
        <f>IF(OR(IPC!EY12="",IPC!EM12=""),"",IPC!EY12/IPC!EM12-1)</f>
        <v>9.0214276662474724E-3</v>
      </c>
      <c r="EZ53" s="35">
        <f>IF(OR(IPC!EZ12="",IPC!EN12=""),"",IPC!EZ12/IPC!EN12-1)</f>
        <v>8.8432424246560615E-3</v>
      </c>
      <c r="FA53" s="35">
        <f>IF(OR(IPC!FA12="",IPC!EO12=""),"",IPC!FA12/IPC!EO12-1)</f>
        <v>8.4649690033438141E-3</v>
      </c>
      <c r="FB53" s="35">
        <f>IF(OR(IPC!FB12="",IPC!EP12=""),"",IPC!FB12/IPC!EP12-1)</f>
        <v>7.6394718924326366E-3</v>
      </c>
      <c r="FC53" s="35">
        <f>IF(OR(IPC!FC12="",IPC!EQ12=""),"",IPC!FC12/IPC!EQ12-1)</f>
        <v>7.5429789772301081E-3</v>
      </c>
      <c r="FD53" s="35">
        <f>IF(OR(IPC!FD12="",IPC!ER12=""),"",IPC!FD12/IPC!ER12-1)</f>
        <v>6.3313901474257861E-3</v>
      </c>
      <c r="FE53" s="35">
        <f>IF(OR(IPC!FE12="",IPC!ES12=""),"",IPC!FE12/IPC!ES12-1)</f>
        <v>5.7573543950224515E-3</v>
      </c>
      <c r="FF53" s="35">
        <f>IF(OR(IPC!FF12="",IPC!ET12=""),"",IPC!FF12/IPC!ET12-1)</f>
        <v>7.017637129304255E-3</v>
      </c>
      <c r="FG53" s="35">
        <f>IF(OR(IPC!FG12="",IPC!EU12=""),"",IPC!FG12/IPC!EU12-1)</f>
        <v>5.9920092780549883E-3</v>
      </c>
      <c r="FH53" s="35">
        <f>IF(OR(IPC!FH12="",IPC!EV12=""),"",IPC!FH12/IPC!EV12-1)</f>
        <v>5.6734844581687316E-3</v>
      </c>
      <c r="FI53" s="35">
        <f>IF(OR(IPC!FI12="",IPC!EW12=""),"",IPC!FI12/IPC!EW12-1)</f>
        <v>6.5038075583792043E-3</v>
      </c>
      <c r="FJ53" s="35">
        <f>IF(OR(IPC!FJ12="",IPC!EX12=""),"",IPC!FJ12/IPC!EX12-1)</f>
        <v>6.3724603833255067E-3</v>
      </c>
      <c r="FK53" s="35">
        <f>IF(OR(IPC!FK12="",IPC!EY12=""),"",IPC!FK12/IPC!EY12-1)</f>
        <v>5.5987348701567186E-3</v>
      </c>
      <c r="FL53" s="35">
        <f>IF(OR(IPC!FL12="",IPC!EZ12=""),"",IPC!FL12/IPC!EZ12-1)</f>
        <v>6.3054449163912896E-3</v>
      </c>
      <c r="FM53" s="35">
        <f>IF(OR(IPC!FM12="",IPC!FA12=""),"",IPC!FM12/IPC!FA12-1)</f>
        <v>6.5421881180383057E-3</v>
      </c>
      <c r="FN53" s="35">
        <f>IF(OR(IPC!FN12="",IPC!FB12=""),"",IPC!FN12/IPC!FB12-1)</f>
        <v>6.8554603776009859E-3</v>
      </c>
      <c r="FO53" s="35">
        <f>IF(OR(IPC!FO12="",IPC!FC12=""),"",IPC!FO12/IPC!FC12-1)</f>
        <v>7.5106794114179198E-3</v>
      </c>
      <c r="FP53" s="35">
        <f>IF(OR(IPC!FP12="",IPC!FD12=""),"",IPC!FP12/IPC!FD12-1)</f>
        <v>6.923837784371889E-3</v>
      </c>
      <c r="FQ53" s="35">
        <f>IF(OR(IPC!FQ12="",IPC!FE12=""),"",IPC!FQ12/IPC!FE12-1)</f>
        <v>6.9169960474309011E-3</v>
      </c>
      <c r="FR53" s="35">
        <f>IF(OR(IPC!FR12="",IPC!FF12=""),"",IPC!FR12/IPC!FF12-1)</f>
        <v>4.930966469427922E-3</v>
      </c>
    </row>
    <row r="54" spans="1:174" s="19" customFormat="1" ht="10.199999999999999" x14ac:dyDescent="0.2">
      <c r="A54" s="11" t="s">
        <v>21</v>
      </c>
      <c r="B54" s="1" t="s">
        <v>22</v>
      </c>
      <c r="C54" s="8">
        <v>44</v>
      </c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 t="str">
        <f>IF(OR(IPC!P13="",IPC!D13=""),"",IPC!P13/IPC!D13-1)</f>
        <v/>
      </c>
      <c r="Q54" s="35" t="str">
        <f>IF(OR(IPC!Q13="",IPC!E13=""),"",IPC!Q13/IPC!E13-1)</f>
        <v/>
      </c>
      <c r="R54" s="35" t="str">
        <f>IF(OR(IPC!R13="",IPC!F13=""),"",IPC!R13/IPC!F13-1)</f>
        <v/>
      </c>
      <c r="S54" s="35" t="str">
        <f>IF(OR(IPC!S13="",IPC!G13=""),"",IPC!S13/IPC!G13-1)</f>
        <v/>
      </c>
      <c r="T54" s="35" t="str">
        <f>IF(OR(IPC!T13="",IPC!H13=""),"",IPC!T13/IPC!H13-1)</f>
        <v/>
      </c>
      <c r="U54" s="35" t="str">
        <f>IF(OR(IPC!U13="",IPC!I13=""),"",IPC!U13/IPC!I13-1)</f>
        <v/>
      </c>
      <c r="V54" s="35" t="str">
        <f>IF(OR(IPC!V13="",IPC!J13=""),"",IPC!V13/IPC!J13-1)</f>
        <v/>
      </c>
      <c r="W54" s="35" t="str">
        <f>IF(OR(IPC!W13="",IPC!K13=""),"",IPC!W13/IPC!K13-1)</f>
        <v/>
      </c>
      <c r="X54" s="35" t="str">
        <f>IF(OR(IPC!X13="",IPC!L13=""),"",IPC!X13/IPC!L13-1)</f>
        <v/>
      </c>
      <c r="Y54" s="35" t="str">
        <f>IF(OR(IPC!Y13="",IPC!M13=""),"",IPC!Y13/IPC!M13-1)</f>
        <v/>
      </c>
      <c r="Z54" s="35" t="str">
        <f>IF(OR(IPC!Z13="",IPC!N13=""),"",IPC!Z13/IPC!N13-1)</f>
        <v/>
      </c>
      <c r="AA54" s="35" t="str">
        <f>IF(OR(IPC!AA13="",IPC!O13=""),"",IPC!AA13/IPC!O13-1)</f>
        <v/>
      </c>
      <c r="AB54" s="35">
        <f>IF(OR(IPC!AB13="",IPC!P13=""),"",IPC!AB13/IPC!P13-1)</f>
        <v>2.6294365106758644E-2</v>
      </c>
      <c r="AC54" s="35">
        <f>IF(OR(IPC!AC13="",IPC!Q13=""),"",IPC!AC13/IPC!Q13-1)</f>
        <v>3.2374621421343397E-2</v>
      </c>
      <c r="AD54" s="35">
        <f>IF(OR(IPC!AD13="",IPC!R13=""),"",IPC!AD13/IPC!R13-1)</f>
        <v>3.0440836935713866E-2</v>
      </c>
      <c r="AE54" s="35">
        <f>IF(OR(IPC!AE13="",IPC!S13=""),"",IPC!AE13/IPC!S13-1)</f>
        <v>2.934474573212742E-2</v>
      </c>
      <c r="AF54" s="35">
        <f>IF(OR(IPC!AF13="",IPC!T13=""),"",IPC!AF13/IPC!T13-1)</f>
        <v>2.4248517812389014E-2</v>
      </c>
      <c r="AG54" s="35">
        <f>IF(OR(IPC!AG13="",IPC!U13=""),"",IPC!AG13/IPC!U13-1)</f>
        <v>2.5682922420027676E-2</v>
      </c>
      <c r="AH54" s="35">
        <f>IF(OR(IPC!AH13="",IPC!V13=""),"",IPC!AH13/IPC!V13-1)</f>
        <v>7.7023883814886229E-3</v>
      </c>
      <c r="AI54" s="35">
        <f>IF(OR(IPC!AI13="",IPC!W13=""),"",IPC!AI13/IPC!W13-1)</f>
        <v>1.086061539387928E-2</v>
      </c>
      <c r="AJ54" s="35">
        <f>IF(OR(IPC!AJ13="",IPC!X13=""),"",IPC!AJ13/IPC!X13-1)</f>
        <v>9.0613824533767318E-3</v>
      </c>
      <c r="AK54" s="35">
        <f>IF(OR(IPC!AK13="",IPC!Y13=""),"",IPC!AK13/IPC!Y13-1)</f>
        <v>1.3819876630677852E-2</v>
      </c>
      <c r="AL54" s="35">
        <f>IF(OR(IPC!AL13="",IPC!Z13=""),"",IPC!AL13/IPC!Z13-1)</f>
        <v>7.3153298180459458E-3</v>
      </c>
      <c r="AM54" s="35">
        <f>IF(OR(IPC!AM13="",IPC!AA13=""),"",IPC!AM13/IPC!AA13-1)</f>
        <v>9.9607539548407509E-3</v>
      </c>
      <c r="AN54" s="35">
        <f>IF(OR(IPC!AN13="",IPC!AB13=""),"",IPC!AN13/IPC!AB13-1)</f>
        <v>1.6038151520735511E-2</v>
      </c>
      <c r="AO54" s="35">
        <f>IF(OR(IPC!AO13="",IPC!AC13=""),"",IPC!AO13/IPC!AC13-1)</f>
        <v>1.1232289713560384E-2</v>
      </c>
      <c r="AP54" s="35">
        <f>IF(OR(IPC!AP13="",IPC!AD13=""),"",IPC!AP13/IPC!AD13-1)</f>
        <v>1.0715696445450673E-2</v>
      </c>
      <c r="AQ54" s="35">
        <f>IF(OR(IPC!AQ13="",IPC!AE13=""),"",IPC!AQ13/IPC!AE13-1)</f>
        <v>5.2862402375695172E-3</v>
      </c>
      <c r="AR54" s="35">
        <f>IF(OR(IPC!AR13="",IPC!AF13=""),"",IPC!AR13/IPC!AF13-1)</f>
        <v>1.1289292571595499E-2</v>
      </c>
      <c r="AS54" s="35">
        <f>IF(OR(IPC!AS13="",IPC!AG13=""),"",IPC!AS13/IPC!AG13-1)</f>
        <v>1.2095671083831361E-2</v>
      </c>
      <c r="AT54" s="35">
        <f>IF(OR(IPC!AT13="",IPC!AH13=""),"",IPC!AT13/IPC!AH13-1)</f>
        <v>0.14138889863845772</v>
      </c>
      <c r="AU54" s="35">
        <f>IF(OR(IPC!AU13="",IPC!AI13=""),"",IPC!AU13/IPC!AI13-1)</f>
        <v>0.13850561038626563</v>
      </c>
      <c r="AV54" s="35">
        <f>IF(OR(IPC!AV13="",IPC!AJ13=""),"",IPC!AV13/IPC!AJ13-1)</f>
        <v>0.14740095520162866</v>
      </c>
      <c r="AW54" s="35">
        <f>IF(OR(IPC!AW13="",IPC!AK13=""),"",IPC!AW13/IPC!AK13-1)</f>
        <v>0.13722387620676524</v>
      </c>
      <c r="AX54" s="35">
        <f>IF(OR(IPC!AX13="",IPC!AL13=""),"",IPC!AX13/IPC!AL13-1)</f>
        <v>0.15016387385582886</v>
      </c>
      <c r="AY54" s="35">
        <f>IF(OR(IPC!AY13="",IPC!AM13=""),"",IPC!AY13/IPC!AM13-1)</f>
        <v>0.14227545031097066</v>
      </c>
      <c r="AZ54" s="35">
        <f>IF(OR(IPC!AZ13="",IPC!AN13=""),"",IPC!AZ13/IPC!AN13-1)</f>
        <v>0.14153057688671278</v>
      </c>
      <c r="BA54" s="35">
        <f>IF(OR(IPC!BA13="",IPC!AO13=""),"",IPC!BA13/IPC!AO13-1)</f>
        <v>0.14525492119334782</v>
      </c>
      <c r="BB54" s="35">
        <f>IF(OR(IPC!BB13="",IPC!AP13=""),"",IPC!BB13/IPC!AP13-1)</f>
        <v>0.15123652970744494</v>
      </c>
      <c r="BC54" s="35">
        <f>IF(OR(IPC!BC13="",IPC!AQ13=""),"",IPC!BC13/IPC!AQ13-1)</f>
        <v>0.15091227637509586</v>
      </c>
      <c r="BD54" s="35">
        <f>IF(OR(IPC!BD13="",IPC!AR13=""),"",IPC!BD13/IPC!AR13-1)</f>
        <v>0.15011999594468151</v>
      </c>
      <c r="BE54" s="35">
        <f>IF(OR(IPC!BE13="",IPC!AS13=""),"",IPC!BE13/IPC!AS13-1)</f>
        <v>0.14812060336755239</v>
      </c>
      <c r="BF54" s="35">
        <f>IF(OR(IPC!BF13="",IPC!AT13=""),"",IPC!BF13/IPC!AT13-1)</f>
        <v>1.4659242390971494E-2</v>
      </c>
      <c r="BG54" s="35">
        <f>IF(OR(IPC!BG13="",IPC!AU13=""),"",IPC!BG13/IPC!AU13-1)</f>
        <v>1.6275097764040902E-2</v>
      </c>
      <c r="BH54" s="35">
        <f>IF(OR(IPC!BH13="",IPC!AV13=""),"",IPC!BH13/IPC!AV13-1)</f>
        <v>1.1878288092738387E-2</v>
      </c>
      <c r="BI54" s="35">
        <f>IF(OR(IPC!BI13="",IPC!AW13=""),"",IPC!BI13/IPC!AW13-1)</f>
        <v>1.2117711986385116E-2</v>
      </c>
      <c r="BJ54" s="35">
        <f>IF(OR(IPC!BJ13="",IPC!AX13=""),"",IPC!BJ13/IPC!AX13-1)</f>
        <v>6.3957461996047016E-3</v>
      </c>
      <c r="BK54" s="35">
        <f>IF(OR(IPC!BK13="",IPC!AY13=""),"",IPC!BK13/IPC!AY13-1)</f>
        <v>6.5559671815564879E-3</v>
      </c>
      <c r="BL54" s="35">
        <f>IF(OR(IPC!BL13="",IPC!AZ13=""),"",IPC!BL13/IPC!AZ13-1)</f>
        <v>-4.9390729220443186E-3</v>
      </c>
      <c r="BM54" s="35">
        <f>IF(OR(IPC!BM13="",IPC!BA13=""),"",IPC!BM13/IPC!BA13-1)</f>
        <v>-8.5986060029270561E-3</v>
      </c>
      <c r="BN54" s="35">
        <f>IF(OR(IPC!BN13="",IPC!BB13=""),"",IPC!BN13/IPC!BB13-1)</f>
        <v>-5.280615282042378E-3</v>
      </c>
      <c r="BO54" s="35">
        <f>IF(OR(IPC!BO13="",IPC!BC13=""),"",IPC!BO13/IPC!BC13-1)</f>
        <v>-6.7383651978278891E-3</v>
      </c>
      <c r="BP54" s="35">
        <f>IF(OR(IPC!BP13="",IPC!BD13=""),"",IPC!BP13/IPC!BD13-1)</f>
        <v>-8.4479123270160272E-3</v>
      </c>
      <c r="BQ54" s="35">
        <f>IF(OR(IPC!BQ13="",IPC!BE13=""),"",IPC!BQ13/IPC!BE13-1)</f>
        <v>-8.2719434934924729E-3</v>
      </c>
      <c r="BR54" s="35">
        <f>IF(OR(IPC!BR13="",IPC!BF13=""),"",IPC!BR13/IPC!BF13-1)</f>
        <v>-5.8870307901770502E-3</v>
      </c>
      <c r="BS54" s="35">
        <f>IF(OR(IPC!BS13="",IPC!BG13=""),"",IPC!BS13/IPC!BG13-1)</f>
        <v>-5.9183420323346558E-3</v>
      </c>
      <c r="BT54" s="35">
        <f>IF(OR(IPC!BT13="",IPC!BH13=""),"",IPC!BT13/IPC!BH13-1)</f>
        <v>-1.2046614790692467E-2</v>
      </c>
      <c r="BU54" s="35">
        <f>IF(OR(IPC!BU13="",IPC!BI13=""),"",IPC!BU13/IPC!BI13-1)</f>
        <v>-6.3627063318577592E-3</v>
      </c>
      <c r="BV54" s="35">
        <f>IF(OR(IPC!BV13="",IPC!BJ13=""),"",IPC!BV13/IPC!BJ13-1)</f>
        <v>-6.7504671530566052E-3</v>
      </c>
      <c r="BW54" s="35">
        <f>IF(OR(IPC!BW13="",IPC!BK13=""),"",IPC!BW13/IPC!BK13-1)</f>
        <v>-5.3621875056664159E-3</v>
      </c>
      <c r="BX54" s="35">
        <f>IF(OR(IPC!BX13="",IPC!BL13=""),"",IPC!BX13/IPC!BL13-1)</f>
        <v>8.9546990455084963E-3</v>
      </c>
      <c r="BY54" s="35">
        <f>IF(OR(IPC!BY13="",IPC!BM13=""),"",IPC!BY13/IPC!BM13-1)</f>
        <v>1.0944759221993561E-2</v>
      </c>
      <c r="BZ54" s="35">
        <f>IF(OR(IPC!BZ13="",IPC!BN13=""),"",IPC!BZ13/IPC!BN13-1)</f>
        <v>7.5670578021869161E-3</v>
      </c>
      <c r="CA54" s="35">
        <f>IF(OR(IPC!CA13="",IPC!BO13=""),"",IPC!CA13/IPC!BO13-1)</f>
        <v>1.1383688180902851E-2</v>
      </c>
      <c r="CB54" s="35">
        <f>IF(OR(IPC!CB13="",IPC!BP13=""),"",IPC!CB13/IPC!BP13-1)</f>
        <v>8.5629728642235836E-3</v>
      </c>
      <c r="CC54" s="35">
        <f>IF(OR(IPC!CC13="",IPC!BQ13=""),"",IPC!CC13/IPC!BQ13-1)</f>
        <v>7.7231943919333634E-3</v>
      </c>
      <c r="CD54" s="35">
        <f>IF(OR(IPC!CD13="",IPC!BR13=""),"",IPC!CD13/IPC!BR13-1)</f>
        <v>8.3100805031679492E-3</v>
      </c>
      <c r="CE54" s="35">
        <f>IF(OR(IPC!CE13="",IPC!BS13=""),"",IPC!CE13/IPC!BS13-1)</f>
        <v>5.5706516467746159E-3</v>
      </c>
      <c r="CF54" s="35">
        <f>IF(OR(IPC!CF13="",IPC!BT13=""),"",IPC!CF13/IPC!BT13-1)</f>
        <v>9.0631062408190743E-3</v>
      </c>
      <c r="CG54" s="35">
        <f>IF(OR(IPC!CG13="",IPC!BU13=""),"",IPC!CG13/IPC!BU13-1)</f>
        <v>5.3046536084653262E-3</v>
      </c>
      <c r="CH54" s="35">
        <f>IF(OR(IPC!CH13="",IPC!BV13=""),"",IPC!CH13/IPC!BV13-1)</f>
        <v>4.9185005379106528E-3</v>
      </c>
      <c r="CI54" s="35">
        <f>IF(OR(IPC!CI13="",IPC!BW13=""),"",IPC!CI13/IPC!BW13-1)</f>
        <v>5.9640677842636158E-3</v>
      </c>
      <c r="CJ54" s="35">
        <f>IF(OR(IPC!CJ13="",IPC!BX13=""),"",IPC!CJ13/IPC!BX13-1)</f>
        <v>8.9171109842522966E-5</v>
      </c>
      <c r="CK54" s="35">
        <f>IF(OR(IPC!CK13="",IPC!BY13=""),"",IPC!CK13/IPC!BY13-1)</f>
        <v>9.8234409195807615E-4</v>
      </c>
      <c r="CL54" s="35">
        <f>IF(OR(IPC!CL13="",IPC!BZ13=""),"",IPC!CL13/IPC!BZ13-1)</f>
        <v>-2.1533937558276817E-3</v>
      </c>
      <c r="CM54" s="35">
        <f>IF(OR(IPC!CM13="",IPC!CA13=""),"",IPC!CM13/IPC!CA13-1)</f>
        <v>-2.0858871046187666E-3</v>
      </c>
      <c r="CN54" s="35">
        <f>IF(OR(IPC!CN13="",IPC!CB13=""),"",IPC!CN13/IPC!CB13-1)</f>
        <v>-5.6841298389309625E-4</v>
      </c>
      <c r="CO54" s="35">
        <f>IF(OR(IPC!CO13="",IPC!CC13=""),"",IPC!CO13/IPC!CC13-1)</f>
        <v>6.5278170359905907E-4</v>
      </c>
      <c r="CP54" s="35">
        <f>IF(OR(IPC!CP13="",IPC!CD13=""),"",IPC!CP13/IPC!CD13-1)</f>
        <v>1.0433834060734615E-2</v>
      </c>
      <c r="CQ54" s="35">
        <f>IF(OR(IPC!CQ13="",IPC!CE13=""),"",IPC!CQ13/IPC!CE13-1)</f>
        <v>1.0728898368648432E-2</v>
      </c>
      <c r="CR54" s="35">
        <f>IF(OR(IPC!CR13="",IPC!CF13=""),"",IPC!CR13/IPC!CF13-1)</f>
        <v>1.1845988896339588E-2</v>
      </c>
      <c r="CS54" s="35">
        <f>IF(OR(IPC!CS13="",IPC!CG13=""),"",IPC!CS13/IPC!CG13-1)</f>
        <v>1.6706864160555224E-2</v>
      </c>
      <c r="CT54" s="35">
        <f>IF(OR(IPC!CT13="",IPC!CH13=""),"",IPC!CT13/IPC!CH13-1)</f>
        <v>1.7146731129749293E-2</v>
      </c>
      <c r="CU54" s="35">
        <f>IF(OR(IPC!CU13="",IPC!CI13=""),"",IPC!CU13/IPC!CI13-1)</f>
        <v>1.862366464529619E-2</v>
      </c>
      <c r="CV54" s="35">
        <f>IF(OR(IPC!CV13="",IPC!CJ13=""),"",IPC!CV13/IPC!CJ13-1)</f>
        <v>2.1398043032376579E-2</v>
      </c>
      <c r="CW54" s="35">
        <f>IF(OR(IPC!CW13="",IPC!CK13=""),"",IPC!CW13/IPC!CK13-1)</f>
        <v>2.0814923057357548E-2</v>
      </c>
      <c r="CX54" s="35">
        <f>IF(OR(IPC!CX13="",IPC!CL13=""),"",IPC!CX13/IPC!CL13-1)</f>
        <v>2.2269880846810919E-2</v>
      </c>
      <c r="CY54" s="35">
        <f>IF(OR(IPC!CY13="",IPC!CM13=""),"",IPC!CY13/IPC!CM13-1)</f>
        <v>2.5086452448433771E-2</v>
      </c>
      <c r="CZ54" s="35">
        <f>IF(OR(IPC!CZ13="",IPC!CN13=""),"",IPC!CZ13/IPC!CN13-1)</f>
        <v>2.5540333007032956E-2</v>
      </c>
      <c r="DA54" s="35">
        <f>IF(OR(IPC!DA13="",IPC!CO13=""),"",IPC!DA13/IPC!CO13-1)</f>
        <v>2.4004763971675391E-2</v>
      </c>
      <c r="DB54" s="35">
        <f>IF(OR(IPC!DB13="",IPC!CP13=""),"",IPC!DB13/IPC!CP13-1)</f>
        <v>1.7048705909508133E-2</v>
      </c>
      <c r="DC54" s="35">
        <f>IF(OR(IPC!DC13="",IPC!CQ13=""),"",IPC!DC13/IPC!CQ13-1)</f>
        <v>1.5996453407761679E-2</v>
      </c>
      <c r="DD54" s="35">
        <f>IF(OR(IPC!DD13="",IPC!CR13=""),"",IPC!DD13/IPC!CR13-1)</f>
        <v>1.6014141324321551E-2</v>
      </c>
      <c r="DE54" s="35">
        <f>IF(OR(IPC!DE13="",IPC!CS13=""),"",IPC!DE13/IPC!CS13-1)</f>
        <v>1.4860747754777526E-2</v>
      </c>
      <c r="DF54" s="35">
        <f>IF(OR(IPC!DF13="",IPC!CT13=""),"",IPC!DF13/IPC!CT13-1)</f>
        <v>1.4585022436943262E-2</v>
      </c>
      <c r="DG54" s="35">
        <f>IF(OR(IPC!DG13="",IPC!CU13=""),"",IPC!DG13/IPC!CU13-1)</f>
        <v>1.4515635395812909E-2</v>
      </c>
      <c r="DH54" s="35">
        <f>IF(OR(IPC!DH13="",IPC!CV13=""),"",IPC!DH13/IPC!CV13-1)</f>
        <v>1.0712270128832913E-2</v>
      </c>
      <c r="DI54" s="35">
        <f>IF(OR(IPC!DI13="",IPC!CW13=""),"",IPC!DI13/IPC!CW13-1)</f>
        <v>1.3969097378710993E-2</v>
      </c>
      <c r="DJ54" s="35">
        <f>IF(OR(IPC!DJ13="",IPC!CX13=""),"",IPC!DJ13/IPC!CX13-1)</f>
        <v>2.1399824526880495E-2</v>
      </c>
      <c r="DK54" s="35">
        <f>IF(OR(IPC!DK13="",IPC!CY13=""),"",IPC!DK13/IPC!CY13-1)</f>
        <v>5.7512216003693162E-2</v>
      </c>
      <c r="DL54" s="35">
        <f>IF(OR(IPC!DL13="",IPC!CZ13=""),"",IPC!DL13/IPC!CZ13-1)</f>
        <v>1.7912849039430689E-2</v>
      </c>
      <c r="DM54" s="35">
        <f>IF(OR(IPC!DM13="",IPC!DA13=""),"",IPC!DM13/IPC!DA13-1)</f>
        <v>1.7286593556600893E-2</v>
      </c>
      <c r="DN54" s="35">
        <f>IF(OR(IPC!DN13="",IPC!DB13=""),"",IPC!DN13/IPC!DB13-1)</f>
        <v>1.6335153473148623E-2</v>
      </c>
      <c r="DO54" s="35">
        <f>IF(OR(IPC!DO13="",IPC!DC13=""),"",IPC!DO13/IPC!DC13-1)</f>
        <v>1.5732884588939955E-2</v>
      </c>
      <c r="DP54" s="35">
        <f>IF(OR(IPC!DP13="",IPC!DD13=""),"",IPC!DP13/IPC!DD13-1)</f>
        <v>1.7027954446692917E-2</v>
      </c>
      <c r="DQ54" s="35">
        <f>IF(OR(IPC!DQ13="",IPC!DE13=""),"",IPC!DQ13/IPC!DE13-1)</f>
        <v>1.8905193321055558E-2</v>
      </c>
      <c r="DR54" s="35">
        <f>IF(OR(IPC!DR13="",IPC!DF13=""),"",IPC!DR13/IPC!DF13-1)</f>
        <v>1.9535320622745322E-2</v>
      </c>
      <c r="DS54" s="35">
        <f>IF(OR(IPC!DS13="",IPC!DG13=""),"",IPC!DS13/IPC!DG13-1)</f>
        <v>1.6676827671183059E-2</v>
      </c>
      <c r="DT54" s="35">
        <f>IF(OR(IPC!DT13="",IPC!DH13=""),"",IPC!DT13/IPC!DH13-1)</f>
        <v>1.8052380923475386E-2</v>
      </c>
      <c r="DU54" s="35">
        <f>IF(OR(IPC!DU13="",IPC!DI13=""),"",IPC!DU13/IPC!DI13-1)</f>
        <v>1.4390043803588215E-2</v>
      </c>
      <c r="DV54" s="35">
        <f>IF(OR(IPC!DV13="",IPC!DJ13=""),"",IPC!DV13/IPC!DJ13-1)</f>
        <v>7.5321917862163357E-3</v>
      </c>
      <c r="DW54" s="35">
        <f>IF(OR(IPC!DW13="",IPC!DK13=""),"",IPC!DW13/IPC!DK13-1)</f>
        <v>-2.9828690287860615E-2</v>
      </c>
      <c r="DX54" s="35">
        <f>IF(OR(IPC!DX13="",IPC!DL13=""),"",IPC!DX13/IPC!DL13-1)</f>
        <v>7.657545955769951E-3</v>
      </c>
      <c r="DY54" s="35">
        <f>IF(OR(IPC!DY13="",IPC!DM13=""),"",IPC!DY13/IPC!DM13-1)</f>
        <v>8.7363674916449696E-3</v>
      </c>
      <c r="DZ54" s="35">
        <f>IF(OR(IPC!DZ13="",IPC!DN13=""),"",IPC!DZ13/IPC!DN13-1)</f>
        <v>1.2738549094329255E-2</v>
      </c>
      <c r="EA54" s="35">
        <f>IF(OR(IPC!EA13="",IPC!DO13=""),"",IPC!EA13/IPC!DO13-1)</f>
        <v>1.2419346809218634E-2</v>
      </c>
      <c r="EB54" s="35">
        <f>IF(OR(IPC!EB13="",IPC!DP13=""),"",IPC!EB13/IPC!DP13-1)</f>
        <v>1.0878542246336886E-2</v>
      </c>
      <c r="EC54" s="35">
        <f>IF(OR(IPC!EC13="",IPC!DQ13=""),"",IPC!EC13/IPC!DQ13-1)</f>
        <v>1.058012634302008E-2</v>
      </c>
      <c r="ED54" s="35">
        <f>IF(OR(IPC!ED13="",IPC!DR13=""),"",IPC!ED13/IPC!DR13-1)</f>
        <v>1.0972814163527023E-2</v>
      </c>
      <c r="EE54" s="35">
        <f>IF(OR(IPC!EE13="",IPC!DS13=""),"",IPC!EE13/IPC!DS13-1)</f>
        <v>1.5119277285423394E-2</v>
      </c>
      <c r="EF54" s="35">
        <f>IF(OR(IPC!EF13="",IPC!DT13=""),"",IPC!EF13/IPC!DT13-1)</f>
        <v>1.8229428642173362E-2</v>
      </c>
      <c r="EG54" s="35">
        <f>IF(OR(IPC!EG13="",IPC!DU13=""),"",IPC!EG13/IPC!DU13-1)</f>
        <v>2.0060738999272187E-2</v>
      </c>
      <c r="EH54" s="35">
        <f>IF(OR(IPC!EH13="",IPC!DV13=""),"",IPC!EH13/IPC!DV13-1)</f>
        <v>2.173933466602529E-2</v>
      </c>
      <c r="EI54" s="35">
        <f>IF(OR(IPC!EI13="",IPC!DW13=""),"",IPC!EI13/IPC!DW13-1)</f>
        <v>2.3748686101527916E-2</v>
      </c>
      <c r="EJ54" s="35">
        <f>IF(OR(IPC!EJ13="",IPC!DX13=""),"",IPC!EJ13/IPC!DX13-1)</f>
        <v>2.4885607533879917E-2</v>
      </c>
      <c r="EK54" s="35">
        <f>IF(OR(IPC!EK13="",IPC!DY13=""),"",IPC!EK13/IPC!DY13-1)</f>
        <v>3.3004563739990278E-2</v>
      </c>
      <c r="EL54" s="35">
        <f>IF(OR(IPC!EL13="",IPC!DZ13=""),"",IPC!EL13/IPC!DZ13-1)</f>
        <v>2.886420091359776E-2</v>
      </c>
      <c r="EM54" s="35">
        <f>IF(OR(IPC!EM13="",IPC!EA13=""),"",IPC!EM13/IPC!EA13-1)</f>
        <v>3.2034666902690301E-2</v>
      </c>
      <c r="EN54" s="35">
        <f>IF(OR(IPC!EN13="",IPC!EB13=""),"",IPC!EN13/IPC!EB13-1)</f>
        <v>3.2182551115905289E-2</v>
      </c>
      <c r="EO54" s="35">
        <f>IF(OR(IPC!EO13="",IPC!EC13=""),"",IPC!EO13/IPC!EC13-1)</f>
        <v>3.1133151358011313E-2</v>
      </c>
      <c r="EP54" s="35">
        <f>IF(OR(IPC!EP13="",IPC!ED13=""),"",IPC!EP13/IPC!ED13-1)</f>
        <v>3.0054873436016649E-2</v>
      </c>
      <c r="EQ54" s="35">
        <f>IF(OR(IPC!EQ13="",IPC!EE13=""),"",IPC!EQ13/IPC!EE13-1)</f>
        <v>2.574997149802849E-2</v>
      </c>
      <c r="ER54" s="35">
        <f>IF(OR(IPC!ER13="",IPC!EF13=""),"",IPC!ER13/IPC!EF13-1)</f>
        <v>2.4703622514402834E-2</v>
      </c>
      <c r="ES54" s="35">
        <f>IF(OR(IPC!ES13="",IPC!EG13=""),"",IPC!ES13/IPC!EG13-1)</f>
        <v>0.1105034792787889</v>
      </c>
      <c r="ET54" s="35">
        <f>IF(OR(IPC!ET13="",IPC!EH13=""),"",IPC!ET13/IPC!EH13-1)</f>
        <v>0.15972794208788477</v>
      </c>
      <c r="EU54" s="35">
        <f>IF(OR(IPC!EU13="",IPC!EI13=""),"",IPC!EU13/IPC!EI13-1)</f>
        <v>0.16083030498675366</v>
      </c>
      <c r="EV54" s="35">
        <f>IF(OR(IPC!EV13="",IPC!EJ13=""),"",IPC!EV13/IPC!EJ13-1)</f>
        <v>0.16203282716435474</v>
      </c>
      <c r="EW54" s="35">
        <f>IF(OR(IPC!EW13="",IPC!EK13=""),"",IPC!EW13/IPC!EK13-1)</f>
        <v>0.16699091981606817</v>
      </c>
      <c r="EX54" s="35">
        <f>IF(OR(IPC!EX13="",IPC!EL13=""),"",IPC!EX13/IPC!EL13-1)</f>
        <v>0.17023593446080398</v>
      </c>
      <c r="EY54" s="35">
        <f>IF(OR(IPC!EY13="",IPC!EM13=""),"",IPC!EY13/IPC!EM13-1)</f>
        <v>0.16752621055530348</v>
      </c>
      <c r="EZ54" s="35">
        <f>IF(OR(IPC!EZ13="",IPC!EN13=""),"",IPC!EZ13/IPC!EN13-1)</f>
        <v>0.16724776240055328</v>
      </c>
      <c r="FA54" s="35">
        <f>IF(OR(IPC!FA13="",IPC!EO13=""),"",IPC!FA13/IPC!EO13-1)</f>
        <v>0.16530230181735472</v>
      </c>
      <c r="FB54" s="35">
        <f>IF(OR(IPC!FB13="",IPC!EP13=""),"",IPC!FB13/IPC!EP13-1)</f>
        <v>0.16891737355355851</v>
      </c>
      <c r="FC54" s="35">
        <f>IF(OR(IPC!FC13="",IPC!EQ13=""),"",IPC!FC13/IPC!EQ13-1)</f>
        <v>0.17395302387361156</v>
      </c>
      <c r="FD54" s="35">
        <f>IF(OR(IPC!FD13="",IPC!ER13=""),"",IPC!FD13/IPC!ER13-1)</f>
        <v>0.16968636854741459</v>
      </c>
      <c r="FE54" s="35">
        <f>IF(OR(IPC!FE13="",IPC!ES13=""),"",IPC!FE13/IPC!ES13-1)</f>
        <v>0.14682117385003379</v>
      </c>
      <c r="FF54" s="35">
        <f>IF(OR(IPC!FF13="",IPC!ET13=""),"",IPC!FF13/IPC!ET13-1)</f>
        <v>0.11701443072233131</v>
      </c>
      <c r="FG54" s="35">
        <f>IF(OR(IPC!FG13="",IPC!EU13=""),"",IPC!FG13/IPC!EU13-1)</f>
        <v>0.1242027195622708</v>
      </c>
      <c r="FH54" s="35">
        <f>IF(OR(IPC!FH13="",IPC!EV13=""),"",IPC!FH13/IPC!EV13-1)</f>
        <v>0.12593250641320708</v>
      </c>
      <c r="FI54" s="35">
        <f>IF(OR(IPC!FI13="",IPC!EW13=""),"",IPC!FI13/IPC!EW13-1)</f>
        <v>0.11187463724593272</v>
      </c>
      <c r="FJ54" s="35">
        <f>IF(OR(IPC!FJ13="",IPC!EX13=""),"",IPC!FJ13/IPC!EX13-1)</f>
        <v>0.10942734360361328</v>
      </c>
      <c r="FK54" s="35">
        <f>IF(OR(IPC!FK13="",IPC!EY13=""),"",IPC!FK13/IPC!EY13-1)</f>
        <v>0.10699897281612225</v>
      </c>
      <c r="FL54" s="35">
        <f>IF(OR(IPC!FL13="",IPC!EZ13=""),"",IPC!FL13/IPC!EZ13-1)</f>
        <v>0.11178885238911973</v>
      </c>
      <c r="FM54" s="35">
        <f>IF(OR(IPC!FM13="",IPC!FA13=""),"",IPC!FM13/IPC!FA13-1)</f>
        <v>0.11929657466095134</v>
      </c>
      <c r="FN54" s="35">
        <f>IF(OR(IPC!FN13="",IPC!FB13=""),"",IPC!FN13/IPC!FB13-1)</f>
        <v>0.1190123696023011</v>
      </c>
      <c r="FO54" s="35">
        <f>IF(OR(IPC!FO13="",IPC!FC13=""),"",IPC!FO13/IPC!FC13-1)</f>
        <v>0.11547512697241569</v>
      </c>
      <c r="FP54" s="35">
        <f>IF(OR(IPC!FP13="",IPC!FD13=""),"",IPC!FP13/IPC!FD13-1)</f>
        <v>0.11505922165820648</v>
      </c>
      <c r="FQ54" s="35">
        <f>IF(OR(IPC!FQ13="",IPC!FE13=""),"",IPC!FQ13/IPC!FE13-1)</f>
        <v>4.7694753577106619E-2</v>
      </c>
      <c r="FR54" s="35">
        <f>IF(OR(IPC!FR13="",IPC!FF13=""),"",IPC!FR13/IPC!FF13-1)</f>
        <v>2.8059236165237644E-2</v>
      </c>
    </row>
    <row r="55" spans="1:174" s="19" customFormat="1" ht="10.199999999999999" x14ac:dyDescent="0.2">
      <c r="A55" s="11" t="s">
        <v>23</v>
      </c>
      <c r="B55" s="1" t="s">
        <v>24</v>
      </c>
      <c r="C55" s="8">
        <v>1</v>
      </c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 t="str">
        <f>IF(OR(IPC!P14="",IPC!D14=""),"",IPC!P14/IPC!D14-1)</f>
        <v/>
      </c>
      <c r="Q55" s="35" t="str">
        <f>IF(OR(IPC!Q14="",IPC!E14=""),"",IPC!Q14/IPC!E14-1)</f>
        <v/>
      </c>
      <c r="R55" s="35" t="str">
        <f>IF(OR(IPC!R14="",IPC!F14=""),"",IPC!R14/IPC!F14-1)</f>
        <v/>
      </c>
      <c r="S55" s="35" t="str">
        <f>IF(OR(IPC!S14="",IPC!G14=""),"",IPC!S14/IPC!G14-1)</f>
        <v/>
      </c>
      <c r="T55" s="35" t="str">
        <f>IF(OR(IPC!T14="",IPC!H14=""),"",IPC!T14/IPC!H14-1)</f>
        <v/>
      </c>
      <c r="U55" s="35" t="str">
        <f>IF(OR(IPC!U14="",IPC!I14=""),"",IPC!U14/IPC!I14-1)</f>
        <v/>
      </c>
      <c r="V55" s="35" t="str">
        <f>IF(OR(IPC!V14="",IPC!J14=""),"",IPC!V14/IPC!J14-1)</f>
        <v/>
      </c>
      <c r="W55" s="35" t="str">
        <f>IF(OR(IPC!W14="",IPC!K14=""),"",IPC!W14/IPC!K14-1)</f>
        <v/>
      </c>
      <c r="X55" s="35" t="str">
        <f>IF(OR(IPC!X14="",IPC!L14=""),"",IPC!X14/IPC!L14-1)</f>
        <v/>
      </c>
      <c r="Y55" s="35" t="str">
        <f>IF(OR(IPC!Y14="",IPC!M14=""),"",IPC!Y14/IPC!M14-1)</f>
        <v/>
      </c>
      <c r="Z55" s="35" t="str">
        <f>IF(OR(IPC!Z14="",IPC!N14=""),"",IPC!Z14/IPC!N14-1)</f>
        <v/>
      </c>
      <c r="AA55" s="35" t="str">
        <f>IF(OR(IPC!AA14="",IPC!O14=""),"",IPC!AA14/IPC!O14-1)</f>
        <v/>
      </c>
      <c r="AB55" s="35">
        <f>IF(OR(IPC!AB14="",IPC!P14=""),"",IPC!AB14/IPC!P14-1)</f>
        <v>-2.6820867853353692E-2</v>
      </c>
      <c r="AC55" s="35">
        <f>IF(OR(IPC!AC14="",IPC!Q14=""),"",IPC!AC14/IPC!Q14-1)</f>
        <v>-2.4121071389973436E-2</v>
      </c>
      <c r="AD55" s="35">
        <f>IF(OR(IPC!AD14="",IPC!R14=""),"",IPC!AD14/IPC!R14-1)</f>
        <v>-2.810056483188339E-2</v>
      </c>
      <c r="AE55" s="35">
        <f>IF(OR(IPC!AE14="",IPC!S14=""),"",IPC!AE14/IPC!S14-1)</f>
        <v>-1.6978385527412598E-2</v>
      </c>
      <c r="AF55" s="35">
        <f>IF(OR(IPC!AF14="",IPC!T14=""),"",IPC!AF14/IPC!T14-1)</f>
        <v>-3.114826516028113E-2</v>
      </c>
      <c r="AG55" s="35">
        <f>IF(OR(IPC!AG14="",IPC!U14=""),"",IPC!AG14/IPC!U14-1)</f>
        <v>-3.2877444632266939E-2</v>
      </c>
      <c r="AH55" s="35">
        <f>IF(OR(IPC!AH14="",IPC!V14=""),"",IPC!AH14/IPC!V14-1)</f>
        <v>-3.0674638498120244E-2</v>
      </c>
      <c r="AI55" s="35">
        <f>IF(OR(IPC!AI14="",IPC!W14=""),"",IPC!AI14/IPC!W14-1)</f>
        <v>-3.1168200986679273E-2</v>
      </c>
      <c r="AJ55" s="35">
        <f>IF(OR(IPC!AJ14="",IPC!X14=""),"",IPC!AJ14/IPC!X14-1)</f>
        <v>-3.4410547047660001E-2</v>
      </c>
      <c r="AK55" s="35">
        <f>IF(OR(IPC!AK14="",IPC!Y14=""),"",IPC!AK14/IPC!Y14-1)</f>
        <v>-3.0354251274870236E-2</v>
      </c>
      <c r="AL55" s="35">
        <f>IF(OR(IPC!AL14="",IPC!Z14=""),"",IPC!AL14/IPC!Z14-1)</f>
        <v>-3.2443737070383505E-2</v>
      </c>
      <c r="AM55" s="35">
        <f>IF(OR(IPC!AM14="",IPC!AA14=""),"",IPC!AM14/IPC!AA14-1)</f>
        <v>-2.8607445758614736E-2</v>
      </c>
      <c r="AN55" s="35">
        <f>IF(OR(IPC!AN14="",IPC!AB14=""),"",IPC!AN14/IPC!AB14-1)</f>
        <v>-2.6187810364145192E-2</v>
      </c>
      <c r="AO55" s="35">
        <f>IF(OR(IPC!AO14="",IPC!AC14=""),"",IPC!AO14/IPC!AC14-1)</f>
        <v>-2.8443799063084585E-2</v>
      </c>
      <c r="AP55" s="35">
        <f>IF(OR(IPC!AP14="",IPC!AD14=""),"",IPC!AP14/IPC!AD14-1)</f>
        <v>-2.3579475612895862E-2</v>
      </c>
      <c r="AQ55" s="35">
        <f>IF(OR(IPC!AQ14="",IPC!AE14=""),"",IPC!AQ14/IPC!AE14-1)</f>
        <v>-4.1796650900853383E-2</v>
      </c>
      <c r="AR55" s="35">
        <f>IF(OR(IPC!AR14="",IPC!AF14=""),"",IPC!AR14/IPC!AF14-1)</f>
        <v>-3.1533485358848368E-2</v>
      </c>
      <c r="AS55" s="35">
        <f>IF(OR(IPC!AS14="",IPC!AG14=""),"",IPC!AS14/IPC!AG14-1)</f>
        <v>-1.5880427519150198E-2</v>
      </c>
      <c r="AT55" s="35">
        <f>IF(OR(IPC!AT14="",IPC!AH14=""),"",IPC!AT14/IPC!AH14-1)</f>
        <v>-1.4951623902287881E-2</v>
      </c>
      <c r="AU55" s="35">
        <f>IF(OR(IPC!AU14="",IPC!AI14=""),"",IPC!AU14/IPC!AI14-1)</f>
        <v>-2.5845888222404856E-2</v>
      </c>
      <c r="AV55" s="35">
        <f>IF(OR(IPC!AV14="",IPC!AJ14=""),"",IPC!AV14/IPC!AJ14-1)</f>
        <v>-1.6371484024008565E-2</v>
      </c>
      <c r="AW55" s="35">
        <f>IF(OR(IPC!AW14="",IPC!AK14=""),"",IPC!AW14/IPC!AK14-1)</f>
        <v>-2.4264862998189529E-2</v>
      </c>
      <c r="AX55" s="35">
        <f>IF(OR(IPC!AX14="",IPC!AL14=""),"",IPC!AX14/IPC!AL14-1)</f>
        <v>-2.1088121742252497E-2</v>
      </c>
      <c r="AY55" s="35">
        <f>IF(OR(IPC!AY14="",IPC!AM14=""),"",IPC!AY14/IPC!AM14-1)</f>
        <v>-2.8378555108783399E-2</v>
      </c>
      <c r="AZ55" s="35">
        <f>IF(OR(IPC!AZ14="",IPC!AN14=""),"",IPC!AZ14/IPC!AN14-1)</f>
        <v>-3.2594801352701874E-2</v>
      </c>
      <c r="BA55" s="35">
        <f>IF(OR(IPC!BA14="",IPC!AO14=""),"",IPC!BA14/IPC!AO14-1)</f>
        <v>-2.8160218860863395E-2</v>
      </c>
      <c r="BB55" s="35">
        <f>IF(OR(IPC!BB14="",IPC!AP14=""),"",IPC!BB14/IPC!AP14-1)</f>
        <v>-3.2171924036039856E-2</v>
      </c>
      <c r="BC55" s="35">
        <f>IF(OR(IPC!BC14="",IPC!AQ14=""),"",IPC!BC14/IPC!AQ14-1)</f>
        <v>-2.4750994272282778E-2</v>
      </c>
      <c r="BD55" s="35">
        <f>IF(OR(IPC!BD14="",IPC!AR14=""),"",IPC!BD14/IPC!AR14-1)</f>
        <v>-2.3455776076415469E-2</v>
      </c>
      <c r="BE55" s="35">
        <f>IF(OR(IPC!BE14="",IPC!AS14=""),"",IPC!BE14/IPC!AS14-1)</f>
        <v>-1.9254176939454748E-2</v>
      </c>
      <c r="BF55" s="35">
        <f>IF(OR(IPC!BF14="",IPC!AT14=""),"",IPC!BF14/IPC!AT14-1)</f>
        <v>-2.9488710057993917E-2</v>
      </c>
      <c r="BG55" s="35">
        <f>IF(OR(IPC!BG14="",IPC!AU14=""),"",IPC!BG14/IPC!AU14-1)</f>
        <v>-8.9153115537903282E-3</v>
      </c>
      <c r="BH55" s="35">
        <f>IF(OR(IPC!BH14="",IPC!AV14=""),"",IPC!BH14/IPC!AV14-1)</f>
        <v>-3.2714865749354116E-2</v>
      </c>
      <c r="BI55" s="35">
        <f>IF(OR(IPC!BI14="",IPC!AW14=""),"",IPC!BI14/IPC!AW14-1)</f>
        <v>-2.8815762976144743E-2</v>
      </c>
      <c r="BJ55" s="35">
        <f>IF(OR(IPC!BJ14="",IPC!AX14=""),"",IPC!BJ14/IPC!AX14-1)</f>
        <v>-3.7832893901803777E-2</v>
      </c>
      <c r="BK55" s="35">
        <f>IF(OR(IPC!BK14="",IPC!AY14=""),"",IPC!BK14/IPC!AY14-1)</f>
        <v>-2.913889019169269E-2</v>
      </c>
      <c r="BL55" s="35">
        <f>IF(OR(IPC!BL14="",IPC!AZ14=""),"",IPC!BL14/IPC!AZ14-1)</f>
        <v>-1.6587870526617476E-2</v>
      </c>
      <c r="BM55" s="35">
        <f>IF(OR(IPC!BM14="",IPC!BA14=""),"",IPC!BM14/IPC!BA14-1)</f>
        <v>-1.4116595022162337E-2</v>
      </c>
      <c r="BN55" s="35">
        <f>IF(OR(IPC!BN14="",IPC!BB14=""),"",IPC!BN14/IPC!BB14-1)</f>
        <v>-2.6191416542755697E-2</v>
      </c>
      <c r="BO55" s="35">
        <f>IF(OR(IPC!BO14="",IPC!BC14=""),"",IPC!BO14/IPC!BC14-1)</f>
        <v>-2.8854481654303377E-2</v>
      </c>
      <c r="BP55" s="35">
        <f>IF(OR(IPC!BP14="",IPC!BD14=""),"",IPC!BP14/IPC!BD14-1)</f>
        <v>-3.1380654727712454E-2</v>
      </c>
      <c r="BQ55" s="35">
        <f>IF(OR(IPC!BQ14="",IPC!BE14=""),"",IPC!BQ14/IPC!BE14-1)</f>
        <v>-4.0942508081496687E-2</v>
      </c>
      <c r="BR55" s="35">
        <f>IF(OR(IPC!BR14="",IPC!BF14=""),"",IPC!BR14/IPC!BF14-1)</f>
        <v>-2.9446466969472951E-2</v>
      </c>
      <c r="BS55" s="35">
        <f>IF(OR(IPC!BS14="",IPC!BG14=""),"",IPC!BS14/IPC!BG14-1)</f>
        <v>-3.2205342558854433E-2</v>
      </c>
      <c r="BT55" s="35">
        <f>IF(OR(IPC!BT14="",IPC!BH14=""),"",IPC!BT14/IPC!BH14-1)</f>
        <v>-1.9014626488300768E-2</v>
      </c>
      <c r="BU55" s="35">
        <f>IF(OR(IPC!BU14="",IPC!BI14=""),"",IPC!BU14/IPC!BI14-1)</f>
        <v>-1.8141313034353845E-2</v>
      </c>
      <c r="BV55" s="35">
        <f>IF(OR(IPC!BV14="",IPC!BJ14=""),"",IPC!BV14/IPC!BJ14-1)</f>
        <v>-2.847483839806042E-3</v>
      </c>
      <c r="BW55" s="35">
        <f>IF(OR(IPC!BW14="",IPC!BK14=""),"",IPC!BW14/IPC!BK14-1)</f>
        <v>-5.1222908656564092E-3</v>
      </c>
      <c r="BX55" s="35">
        <f>IF(OR(IPC!BX14="",IPC!BL14=""),"",IPC!BX14/IPC!BL14-1)</f>
        <v>-4.7679308330411674E-3</v>
      </c>
      <c r="BY55" s="35">
        <f>IF(OR(IPC!BY14="",IPC!BM14=""),"",IPC!BY14/IPC!BM14-1)</f>
        <v>-9.2341238053403885E-3</v>
      </c>
      <c r="BZ55" s="35">
        <f>IF(OR(IPC!BZ14="",IPC!BN14=""),"",IPC!BZ14/IPC!BN14-1)</f>
        <v>5.6061725411586938E-3</v>
      </c>
      <c r="CA55" s="35">
        <f>IF(OR(IPC!CA14="",IPC!BO14=""),"",IPC!CA14/IPC!BO14-1)</f>
        <v>1.1936075699702453E-2</v>
      </c>
      <c r="CB55" s="35">
        <f>IF(OR(IPC!CB14="",IPC!BP14=""),"",IPC!CB14/IPC!BP14-1)</f>
        <v>1.1578107778481339E-2</v>
      </c>
      <c r="CC55" s="35">
        <f>IF(OR(IPC!CC14="",IPC!BQ14=""),"",IPC!CC14/IPC!BQ14-1)</f>
        <v>9.0200738832884042E-3</v>
      </c>
      <c r="CD55" s="35">
        <f>IF(OR(IPC!CD14="",IPC!BR14=""),"",IPC!CD14/IPC!BR14-1)</f>
        <v>1.220881370967497E-2</v>
      </c>
      <c r="CE55" s="35">
        <f>IF(OR(IPC!CE14="",IPC!BS14=""),"",IPC!CE14/IPC!BS14-1)</f>
        <v>1.1749272011759571E-2</v>
      </c>
      <c r="CF55" s="35">
        <f>IF(OR(IPC!CF14="",IPC!BT14=""),"",IPC!CF14/IPC!BT14-1)</f>
        <v>1.1764143077804823E-2</v>
      </c>
      <c r="CG55" s="35">
        <f>IF(OR(IPC!CG14="",IPC!BU14=""),"",IPC!CG14/IPC!BU14-1)</f>
        <v>1.446234629489429E-2</v>
      </c>
      <c r="CH55" s="35">
        <f>IF(OR(IPC!CH14="",IPC!BV14=""),"",IPC!CH14/IPC!BV14-1)</f>
        <v>4.348169934969448E-3</v>
      </c>
      <c r="CI55" s="35">
        <f>IF(OR(IPC!CI14="",IPC!BW14=""),"",IPC!CI14/IPC!BW14-1)</f>
        <v>4.9707012098847425E-3</v>
      </c>
      <c r="CJ55" s="35">
        <f>IF(OR(IPC!CJ14="",IPC!BX14=""),"",IPC!CJ14/IPC!BX14-1)</f>
        <v>-1.3722744317117286E-3</v>
      </c>
      <c r="CK55" s="35">
        <f>IF(OR(IPC!CK14="",IPC!BY14=""),"",IPC!CK14/IPC!BY14-1)</f>
        <v>2.8566977362465273E-3</v>
      </c>
      <c r="CL55" s="35">
        <f>IF(OR(IPC!CL14="",IPC!BZ14=""),"",IPC!CL14/IPC!BZ14-1)</f>
        <v>3.3027634404123596E-3</v>
      </c>
      <c r="CM55" s="35">
        <f>IF(OR(IPC!CM14="",IPC!CA14=""),"",IPC!CM14/IPC!CA14-1)</f>
        <v>7.5391277905900722E-5</v>
      </c>
      <c r="CN55" s="35">
        <f>IF(OR(IPC!CN14="",IPC!CB14=""),"",IPC!CN14/IPC!CB14-1)</f>
        <v>3.1139454395612276E-3</v>
      </c>
      <c r="CO55" s="35">
        <f>IF(OR(IPC!CO14="",IPC!CC14=""),"",IPC!CO14/IPC!CC14-1)</f>
        <v>2.0129636079744273E-3</v>
      </c>
      <c r="CP55" s="35">
        <f>IF(OR(IPC!CP14="",IPC!CD14=""),"",IPC!CP14/IPC!CD14-1)</f>
        <v>2.0101645483803221E-3</v>
      </c>
      <c r="CQ55" s="35">
        <f>IF(OR(IPC!CQ14="",IPC!CE14=""),"",IPC!CQ14/IPC!CE14-1)</f>
        <v>1.6662262295783492E-3</v>
      </c>
      <c r="CR55" s="35">
        <f>IF(OR(IPC!CR14="",IPC!CF14=""),"",IPC!CR14/IPC!CF14-1)</f>
        <v>2.7129697699899147E-3</v>
      </c>
      <c r="CS55" s="35">
        <f>IF(OR(IPC!CS14="",IPC!CG14=""),"",IPC!CS14/IPC!CG14-1)</f>
        <v>2.1538750226275383E-3</v>
      </c>
      <c r="CT55" s="35">
        <f>IF(OR(IPC!CT14="",IPC!CH14=""),"",IPC!CT14/IPC!CH14-1)</f>
        <v>4.4880302693686147E-3</v>
      </c>
      <c r="CU55" s="35">
        <f>IF(OR(IPC!CU14="",IPC!CI14=""),"",IPC!CU14/IPC!CI14-1)</f>
        <v>4.1395703163169539E-3</v>
      </c>
      <c r="CV55" s="35">
        <f>IF(OR(IPC!CV14="",IPC!CJ14=""),"",IPC!CV14/IPC!CJ14-1)</f>
        <v>1.9693582953685951E-3</v>
      </c>
      <c r="CW55" s="35">
        <f>IF(OR(IPC!CW14="",IPC!CK14=""),"",IPC!CW14/IPC!CK14-1)</f>
        <v>3.7260828506859855E-3</v>
      </c>
      <c r="CX55" s="35">
        <f>IF(OR(IPC!CX14="",IPC!CL14=""),"",IPC!CX14/IPC!CL14-1)</f>
        <v>-9.0218485357174139E-5</v>
      </c>
      <c r="CY55" s="35">
        <f>IF(OR(IPC!CY14="",IPC!CM14=""),"",IPC!CY14/IPC!CM14-1)</f>
        <v>9.2760314867668114E-4</v>
      </c>
      <c r="CZ55" s="35">
        <f>IF(OR(IPC!CZ14="",IPC!CN14=""),"",IPC!CZ14/IPC!CN14-1)</f>
        <v>2.10108634678563E-3</v>
      </c>
      <c r="DA55" s="35">
        <f>IF(OR(IPC!DA14="",IPC!CO14=""),"",IPC!DA14/IPC!CO14-1)</f>
        <v>3.3124022965003164E-3</v>
      </c>
      <c r="DB55" s="35">
        <f>IF(OR(IPC!DB14="",IPC!CP14=""),"",IPC!DB14/IPC!CP14-1)</f>
        <v>2.3777467055223767E-3</v>
      </c>
      <c r="DC55" s="35">
        <f>IF(OR(IPC!DC14="",IPC!CQ14=""),"",IPC!DC14/IPC!CQ14-1)</f>
        <v>2.1585991984525155E-3</v>
      </c>
      <c r="DD55" s="35">
        <f>IF(OR(IPC!DD14="",IPC!CR14=""),"",IPC!DD14/IPC!CR14-1)</f>
        <v>2.7620537310397708E-3</v>
      </c>
      <c r="DE55" s="35">
        <f>IF(OR(IPC!DE14="",IPC!CS14=""),"",IPC!DE14/IPC!CS14-1)</f>
        <v>5.113864444545646E-3</v>
      </c>
      <c r="DF55" s="35">
        <f>IF(OR(IPC!DF14="",IPC!CT14=""),"",IPC!DF14/IPC!CT14-1)</f>
        <v>4.7326830330498559E-3</v>
      </c>
      <c r="DG55" s="35">
        <f>IF(OR(IPC!DG14="",IPC!CU14=""),"",IPC!DG14/IPC!CU14-1)</f>
        <v>5.6858660912249004E-3</v>
      </c>
      <c r="DH55" s="35">
        <f>IF(OR(IPC!DH14="",IPC!CV14=""),"",IPC!DH14/IPC!CV14-1)</f>
        <v>7.1923469302381804E-3</v>
      </c>
      <c r="DI55" s="35">
        <f>IF(OR(IPC!DI14="",IPC!CW14=""),"",IPC!DI14/IPC!CW14-1)</f>
        <v>6.6408155177855033E-3</v>
      </c>
      <c r="DJ55" s="35">
        <f>IF(OR(IPC!DJ14="",IPC!CX14=""),"",IPC!DJ14/IPC!CX14-1)</f>
        <v>7.0738643754986175E-3</v>
      </c>
      <c r="DK55" s="35">
        <f>IF(OR(IPC!DK14="",IPC!CY14=""),"",IPC!DK14/IPC!CY14-1)</f>
        <v>8.5545437417906545E-3</v>
      </c>
      <c r="DL55" s="35">
        <f>IF(OR(IPC!DL14="",IPC!CZ14=""),"",IPC!DL14/IPC!CZ14-1)</f>
        <v>5.6343000444798452E-3</v>
      </c>
      <c r="DM55" s="35">
        <f>IF(OR(IPC!DM14="",IPC!DA14=""),"",IPC!DM14/IPC!DA14-1)</f>
        <v>6.1881667061349788E-3</v>
      </c>
      <c r="DN55" s="35">
        <f>IF(OR(IPC!DN14="",IPC!DB14=""),"",IPC!DN14/IPC!DB14-1)</f>
        <v>6.2664941968133547E-3</v>
      </c>
      <c r="DO55" s="35">
        <f>IF(OR(IPC!DO14="",IPC!DC14=""),"",IPC!DO14/IPC!DC14-1)</f>
        <v>5.9692736468999197E-3</v>
      </c>
      <c r="DP55" s="35">
        <f>IF(OR(IPC!DP14="",IPC!DD14=""),"",IPC!DP14/IPC!DD14-1)</f>
        <v>7.7943606015702382E-3</v>
      </c>
      <c r="DQ55" s="35">
        <f>IF(OR(IPC!DQ14="",IPC!DE14=""),"",IPC!DQ14/IPC!DE14-1)</f>
        <v>4.5945684817361165E-3</v>
      </c>
      <c r="DR55" s="35">
        <f>IF(OR(IPC!DR14="",IPC!DF14=""),"",IPC!DR14/IPC!DF14-1)</f>
        <v>6.5016334778906781E-3</v>
      </c>
      <c r="DS55" s="35">
        <f>IF(OR(IPC!DS14="",IPC!DG14=""),"",IPC!DS14/IPC!DG14-1)</f>
        <v>5.3907972725428799E-3</v>
      </c>
      <c r="DT55" s="35">
        <f>IF(OR(IPC!DT14="",IPC!DH14=""),"",IPC!DT14/IPC!DH14-1)</f>
        <v>4.1826274846736844E-3</v>
      </c>
      <c r="DU55" s="35">
        <f>IF(OR(IPC!DU14="",IPC!DI14=""),"",IPC!DU14/IPC!DI14-1)</f>
        <v>5.4781864201658426E-3</v>
      </c>
      <c r="DV55" s="35">
        <f>IF(OR(IPC!DV14="",IPC!DJ14=""),"",IPC!DV14/IPC!DJ14-1)</f>
        <v>4.7887635521506322E-3</v>
      </c>
      <c r="DW55" s="35">
        <f>IF(OR(IPC!DW14="",IPC!DK14=""),"",IPC!DW14/IPC!DK14-1)</f>
        <v>2.91168147293841E-3</v>
      </c>
      <c r="DX55" s="35">
        <f>IF(OR(IPC!DX14="",IPC!DL14=""),"",IPC!DX14/IPC!DL14-1)</f>
        <v>5.1651047357177404E-3</v>
      </c>
      <c r="DY55" s="35">
        <f>IF(OR(IPC!DY14="",IPC!DM14=""),"",IPC!DY14/IPC!DM14-1)</f>
        <v>5.1073715416343202E-3</v>
      </c>
      <c r="DZ55" s="35">
        <f>IF(OR(IPC!DZ14="",IPC!DN14=""),"",IPC!DZ14/IPC!DN14-1)</f>
        <v>5.7648574813833342E-3</v>
      </c>
      <c r="EA55" s="35">
        <f>IF(OR(IPC!EA14="",IPC!DO14=""),"",IPC!EA14/IPC!DO14-1)</f>
        <v>5.896090382419894E-3</v>
      </c>
      <c r="EB55" s="35">
        <f>IF(OR(IPC!EB14="",IPC!DP14=""),"",IPC!EB14/IPC!DP14-1)</f>
        <v>3.3144115802330454E-3</v>
      </c>
      <c r="EC55" s="35">
        <f>IF(OR(IPC!EC14="",IPC!DQ14=""),"",IPC!EC14/IPC!DQ14-1)</f>
        <v>5.1690140544291552E-3</v>
      </c>
      <c r="ED55" s="35">
        <f>IF(OR(IPC!ED14="",IPC!DR14=""),"",IPC!ED14/IPC!DR14-1)</f>
        <v>2.3839679812571735E-3</v>
      </c>
      <c r="EE55" s="35">
        <f>IF(OR(IPC!EE14="",IPC!DS14=""),"",IPC!EE14/IPC!DS14-1)</f>
        <v>2.6661497918727406E-3</v>
      </c>
      <c r="EF55" s="35">
        <f>IF(OR(IPC!EF14="",IPC!DT14=""),"",IPC!EF14/IPC!DT14-1)</f>
        <v>3.6821888618827625E-3</v>
      </c>
      <c r="EG55" s="35">
        <f>IF(OR(IPC!EG14="",IPC!DU14=""),"",IPC!EG14/IPC!DU14-1)</f>
        <v>2.5918368325399399E-3</v>
      </c>
      <c r="EH55" s="35">
        <f>IF(OR(IPC!EH14="",IPC!DV14=""),"",IPC!EH14/IPC!DV14-1)</f>
        <v>3.3150245478490437E-3</v>
      </c>
      <c r="EI55" s="35">
        <f>IF(OR(IPC!EI14="",IPC!DW14=""),"",IPC!EI14/IPC!DW14-1)</f>
        <v>4.7728554289956371E-3</v>
      </c>
      <c r="EJ55" s="35">
        <f>IF(OR(IPC!EJ14="",IPC!DX14=""),"",IPC!EJ14/IPC!DX14-1)</f>
        <v>5.0747075588117863E-3</v>
      </c>
      <c r="EK55" s="35">
        <f>IF(OR(IPC!EK14="",IPC!DY14=""),"",IPC!EK14/IPC!DY14-1)</f>
        <v>8.3020220118792398E-3</v>
      </c>
      <c r="EL55" s="35">
        <f>IF(OR(IPC!EL14="",IPC!DZ14=""),"",IPC!EL14/IPC!DZ14-1)</f>
        <v>8.1059927559690159E-3</v>
      </c>
      <c r="EM55" s="35">
        <f>IF(OR(IPC!EM14="",IPC!EA14=""),"",IPC!EM14/IPC!EA14-1)</f>
        <v>1.210142229826805E-2</v>
      </c>
      <c r="EN55" s="35">
        <f>IF(OR(IPC!EN14="",IPC!EB14=""),"",IPC!EN14/IPC!EB14-1)</f>
        <v>1.0781544501604179E-2</v>
      </c>
      <c r="EO55" s="35">
        <f>IF(OR(IPC!EO14="",IPC!EC14=""),"",IPC!EO14/IPC!EC14-1)</f>
        <v>1.013684906244916E-2</v>
      </c>
      <c r="EP55" s="35">
        <f>IF(OR(IPC!EP14="",IPC!ED14=""),"",IPC!EP14/IPC!ED14-1)</f>
        <v>1.072851259102614E-2</v>
      </c>
      <c r="EQ55" s="35">
        <f>IF(OR(IPC!EQ14="",IPC!EE14=""),"",IPC!EQ14/IPC!EE14-1)</f>
        <v>1.0951374410654191E-2</v>
      </c>
      <c r="ER55" s="35">
        <f>IF(OR(IPC!ER14="",IPC!EF14=""),"",IPC!ER14/IPC!EF14-1)</f>
        <v>9.2929966768602323E-3</v>
      </c>
      <c r="ES55" s="35">
        <f>IF(OR(IPC!ES14="",IPC!EG14=""),"",IPC!ES14/IPC!EG14-1)</f>
        <v>9.7723794369821704E-3</v>
      </c>
      <c r="ET55" s="35">
        <f>IF(OR(IPC!ET14="",IPC!EH14=""),"",IPC!ET14/IPC!EH14-1)</f>
        <v>9.0005685829175341E-3</v>
      </c>
      <c r="EU55" s="35">
        <f>IF(OR(IPC!EU14="",IPC!EI14=""),"",IPC!EU14/IPC!EI14-1)</f>
        <v>7.4158075789632072E-3</v>
      </c>
      <c r="EV55" s="35">
        <f>IF(OR(IPC!EV14="",IPC!EJ14=""),"",IPC!EV14/IPC!EJ14-1)</f>
        <v>6.9261456022455814E-3</v>
      </c>
      <c r="EW55" s="35">
        <f>IF(OR(IPC!EW14="",IPC!EK14=""),"",IPC!EW14/IPC!EK14-1)</f>
        <v>3.231264030948422E-3</v>
      </c>
      <c r="EX55" s="35">
        <f>IF(OR(IPC!EX14="",IPC!EL14=""),"",IPC!EX14/IPC!EL14-1)</f>
        <v>2.3932872708938291E-3</v>
      </c>
      <c r="EY55" s="35">
        <f>IF(OR(IPC!EY14="",IPC!EM14=""),"",IPC!EY14/IPC!EM14-1)</f>
        <v>-1.3209814529175912E-3</v>
      </c>
      <c r="EZ55" s="35">
        <f>IF(OR(IPC!EZ14="",IPC!EN14=""),"",IPC!EZ14/IPC!EN14-1)</f>
        <v>1.2772411421280161E-4</v>
      </c>
      <c r="FA55" s="35">
        <f>IF(OR(IPC!FA14="",IPC!EO14=""),"",IPC!FA14/IPC!EO14-1)</f>
        <v>-1.0871058530925737E-4</v>
      </c>
      <c r="FB55" s="35">
        <f>IF(OR(IPC!FB14="",IPC!EP14=""),"",IPC!FB14/IPC!EP14-1)</f>
        <v>-4.908676027515213E-4</v>
      </c>
      <c r="FC55" s="35">
        <f>IF(OR(IPC!FC14="",IPC!EQ14=""),"",IPC!FC14/IPC!EQ14-1)</f>
        <v>-1.233400976076604E-3</v>
      </c>
      <c r="FD55" s="35">
        <f>IF(OR(IPC!FD14="",IPC!ER14=""),"",IPC!FD14/IPC!ER14-1)</f>
        <v>-1.4794980122556645E-4</v>
      </c>
      <c r="FE55" s="35">
        <f>IF(OR(IPC!FE14="",IPC!ES14=""),"",IPC!FE14/IPC!ES14-1)</f>
        <v>1.0790768627022551E-4</v>
      </c>
      <c r="FF55" s="35">
        <f>IF(OR(IPC!FF14="",IPC!ET14=""),"",IPC!FF14/IPC!ET14-1)</f>
        <v>9.9969276292077858E-4</v>
      </c>
      <c r="FG55" s="35">
        <f>IF(OR(IPC!FG14="",IPC!EU14=""),"",IPC!FG14/IPC!EU14-1)</f>
        <v>1.1737172393340156E-3</v>
      </c>
      <c r="FH55" s="35">
        <f>IF(OR(IPC!FH14="",IPC!EV14=""),"",IPC!FH14/IPC!EV14-1)</f>
        <v>9.004795453466663E-4</v>
      </c>
      <c r="FI55" s="35">
        <f>IF(OR(IPC!FI14="",IPC!EW14=""),"",IPC!FI14/IPC!EW14-1)</f>
        <v>7.0109742945456688E-4</v>
      </c>
      <c r="FJ55" s="35">
        <f>IF(OR(IPC!FJ14="",IPC!EX14=""),"",IPC!FJ14/IPC!EX14-1)</f>
        <v>1.230304536460114E-3</v>
      </c>
      <c r="FK55" s="35">
        <f>IF(OR(IPC!FK14="",IPC!EY14=""),"",IPC!FK14/IPC!EY14-1)</f>
        <v>1.2105842878815665E-3</v>
      </c>
      <c r="FL55" s="35">
        <f>IF(OR(IPC!FL14="",IPC!EZ14=""),"",IPC!FL14/IPC!EZ14-1)</f>
        <v>9.220962431359947E-4</v>
      </c>
      <c r="FM55" s="35">
        <f>IF(OR(IPC!FM14="",IPC!FA14=""),"",IPC!FM14/IPC!FA14-1)</f>
        <v>-1.9557441960538213E-4</v>
      </c>
      <c r="FN55" s="35">
        <f>IF(OR(IPC!FN14="",IPC!FB14=""),"",IPC!FN14/IPC!FB14-1)</f>
        <v>-1.648605204757625E-3</v>
      </c>
      <c r="FO55" s="35">
        <f>IF(OR(IPC!FO14="",IPC!FC14=""),"",IPC!FO14/IPC!FC14-1)</f>
        <v>-1.4177492777873724E-3</v>
      </c>
      <c r="FP55" s="35">
        <f>IF(OR(IPC!FP14="",IPC!FD14=""),"",IPC!FP14/IPC!FD14-1)</f>
        <v>-9.9700897308074854E-4</v>
      </c>
      <c r="FQ55" s="35">
        <f>IF(OR(IPC!FQ14="",IPC!FE14=""),"",IPC!FQ14/IPC!FE14-1)</f>
        <v>-1.9920318725099584E-3</v>
      </c>
      <c r="FR55" s="35">
        <f>IF(OR(IPC!FR14="",IPC!FF14=""),"",IPC!FR14/IPC!FF14-1)</f>
        <v>-3.9800995024875663E-3</v>
      </c>
    </row>
    <row r="56" spans="1:174" s="19" customFormat="1" ht="10.199999999999999" x14ac:dyDescent="0.2">
      <c r="A56" s="11" t="s">
        <v>25</v>
      </c>
      <c r="B56" s="1" t="s">
        <v>26</v>
      </c>
      <c r="C56" s="8">
        <v>7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 t="str">
        <f>IF(OR(IPC!P15="",IPC!D15=""),"",IPC!P15/IPC!D15-1)</f>
        <v/>
      </c>
      <c r="Q56" s="35" t="str">
        <f>IF(OR(IPC!Q15="",IPC!E15=""),"",IPC!Q15/IPC!E15-1)</f>
        <v/>
      </c>
      <c r="R56" s="35" t="str">
        <f>IF(OR(IPC!R15="",IPC!F15=""),"",IPC!R15/IPC!F15-1)</f>
        <v/>
      </c>
      <c r="S56" s="35" t="str">
        <f>IF(OR(IPC!S15="",IPC!G15=""),"",IPC!S15/IPC!G15-1)</f>
        <v/>
      </c>
      <c r="T56" s="35" t="str">
        <f>IF(OR(IPC!T15="",IPC!H15=""),"",IPC!T15/IPC!H15-1)</f>
        <v/>
      </c>
      <c r="U56" s="35" t="str">
        <f>IF(OR(IPC!U15="",IPC!I15=""),"",IPC!U15/IPC!I15-1)</f>
        <v/>
      </c>
      <c r="V56" s="35" t="str">
        <f>IF(OR(IPC!V15="",IPC!J15=""),"",IPC!V15/IPC!J15-1)</f>
        <v/>
      </c>
      <c r="W56" s="35" t="str">
        <f>IF(OR(IPC!W15="",IPC!K15=""),"",IPC!W15/IPC!K15-1)</f>
        <v/>
      </c>
      <c r="X56" s="35" t="str">
        <f>IF(OR(IPC!X15="",IPC!L15=""),"",IPC!X15/IPC!L15-1)</f>
        <v/>
      </c>
      <c r="Y56" s="35" t="str">
        <f>IF(OR(IPC!Y15="",IPC!M15=""),"",IPC!Y15/IPC!M15-1)</f>
        <v/>
      </c>
      <c r="Z56" s="35" t="str">
        <f>IF(OR(IPC!Z15="",IPC!N15=""),"",IPC!Z15/IPC!N15-1)</f>
        <v/>
      </c>
      <c r="AA56" s="35" t="str">
        <f>IF(OR(IPC!AA15="",IPC!O15=""),"",IPC!AA15/IPC!O15-1)</f>
        <v/>
      </c>
      <c r="AB56" s="35">
        <f>IF(OR(IPC!AB15="",IPC!P15=""),"",IPC!AB15/IPC!P15-1)</f>
        <v>3.7205431043738635E-3</v>
      </c>
      <c r="AC56" s="35">
        <f>IF(OR(IPC!AC15="",IPC!Q15=""),"",IPC!AC15/IPC!Q15-1)</f>
        <v>1.3007844932995116E-3</v>
      </c>
      <c r="AD56" s="35">
        <f>IF(OR(IPC!AD15="",IPC!R15=""),"",IPC!AD15/IPC!R15-1)</f>
        <v>4.6858039550010666E-3</v>
      </c>
      <c r="AE56" s="35">
        <f>IF(OR(IPC!AE15="",IPC!S15=""),"",IPC!AE15/IPC!S15-1)</f>
        <v>1.1049896204845755E-2</v>
      </c>
      <c r="AF56" s="35">
        <f>IF(OR(IPC!AF15="",IPC!T15=""),"",IPC!AF15/IPC!T15-1)</f>
        <v>3.7283403297816431E-3</v>
      </c>
      <c r="AG56" s="35">
        <f>IF(OR(IPC!AG15="",IPC!U15=""),"",IPC!AG15/IPC!U15-1)</f>
        <v>5.0327912390712992E-3</v>
      </c>
      <c r="AH56" s="35">
        <f>IF(OR(IPC!AH15="",IPC!V15=""),"",IPC!AH15/IPC!V15-1)</f>
        <v>-1.3632778910211973E-3</v>
      </c>
      <c r="AI56" s="35">
        <f>IF(OR(IPC!AI15="",IPC!W15=""),"",IPC!AI15/IPC!W15-1)</f>
        <v>4.4530074281652343E-3</v>
      </c>
      <c r="AJ56" s="35">
        <f>IF(OR(IPC!AJ15="",IPC!X15=""),"",IPC!AJ15/IPC!X15-1)</f>
        <v>-3.7951307781572963E-3</v>
      </c>
      <c r="AK56" s="35">
        <f>IF(OR(IPC!AK15="",IPC!Y15=""),"",IPC!AK15/IPC!Y15-1)</f>
        <v>-5.3508665617236773E-3</v>
      </c>
      <c r="AL56" s="35">
        <f>IF(OR(IPC!AL15="",IPC!Z15=""),"",IPC!AL15/IPC!Z15-1)</f>
        <v>2.0015489400679876E-3</v>
      </c>
      <c r="AM56" s="35">
        <f>IF(OR(IPC!AM15="",IPC!AA15=""),"",IPC!AM15/IPC!AA15-1)</f>
        <v>3.1933502828860316E-3</v>
      </c>
      <c r="AN56" s="35">
        <f>IF(OR(IPC!AN15="",IPC!AB15=""),"",IPC!AN15/IPC!AB15-1)</f>
        <v>-2.484950835341504E-3</v>
      </c>
      <c r="AO56" s="35">
        <f>IF(OR(IPC!AO15="",IPC!AC15=""),"",IPC!AO15/IPC!AC15-1)</f>
        <v>4.3134695189157579E-3</v>
      </c>
      <c r="AP56" s="35">
        <f>IF(OR(IPC!AP15="",IPC!AD15=""),"",IPC!AP15/IPC!AD15-1)</f>
        <v>5.8344396014293753E-3</v>
      </c>
      <c r="AQ56" s="35">
        <f>IF(OR(IPC!AQ15="",IPC!AE15=""),"",IPC!AQ15/IPC!AE15-1)</f>
        <v>4.8193834089846899E-3</v>
      </c>
      <c r="AR56" s="35">
        <f>IF(OR(IPC!AR15="",IPC!AF15=""),"",IPC!AR15/IPC!AF15-1)</f>
        <v>9.2716424144092535E-3</v>
      </c>
      <c r="AS56" s="35">
        <f>IF(OR(IPC!AS15="",IPC!AG15=""),"",IPC!AS15/IPC!AG15-1)</f>
        <v>1.1040693865524531E-2</v>
      </c>
      <c r="AT56" s="35">
        <f>IF(OR(IPC!AT15="",IPC!AH15=""),"",IPC!AT15/IPC!AH15-1)</f>
        <v>1.2106875357917435E-2</v>
      </c>
      <c r="AU56" s="35">
        <f>IF(OR(IPC!AU15="",IPC!AI15=""),"",IPC!AU15/IPC!AI15-1)</f>
        <v>7.9617400073139777E-3</v>
      </c>
      <c r="AV56" s="35">
        <f>IF(OR(IPC!AV15="",IPC!AJ15=""),"",IPC!AV15/IPC!AJ15-1)</f>
        <v>1.4904347262782114E-2</v>
      </c>
      <c r="AW56" s="35">
        <f>IF(OR(IPC!AW15="",IPC!AK15=""),"",IPC!AW15/IPC!AK15-1)</f>
        <v>8.8841279021907305E-3</v>
      </c>
      <c r="AX56" s="35">
        <f>IF(OR(IPC!AX15="",IPC!AL15=""),"",IPC!AX15/IPC!AL15-1)</f>
        <v>2.7142218367615101E-3</v>
      </c>
      <c r="AY56" s="35">
        <f>IF(OR(IPC!AY15="",IPC!AM15=""),"",IPC!AY15/IPC!AM15-1)</f>
        <v>6.15098314428697E-3</v>
      </c>
      <c r="AZ56" s="35">
        <f>IF(OR(IPC!AZ15="",IPC!AN15=""),"",IPC!AZ15/IPC!AN15-1)</f>
        <v>1.5438610757481097E-3</v>
      </c>
      <c r="BA56" s="35">
        <f>IF(OR(IPC!BA15="",IPC!AO15=""),"",IPC!BA15/IPC!AO15-1)</f>
        <v>1.5015117931536093E-3</v>
      </c>
      <c r="BB56" s="35">
        <f>IF(OR(IPC!BB15="",IPC!AP15=""),"",IPC!BB15/IPC!AP15-1)</f>
        <v>-1.6386952153801815E-3</v>
      </c>
      <c r="BC56" s="35">
        <f>IF(OR(IPC!BC15="",IPC!AQ15=""),"",IPC!BC15/IPC!AQ15-1)</f>
        <v>-5.8951694839773916E-3</v>
      </c>
      <c r="BD56" s="35">
        <f>IF(OR(IPC!BD15="",IPC!AR15=""),"",IPC!BD15/IPC!AR15-1)</f>
        <v>-5.2874084827762013E-3</v>
      </c>
      <c r="BE56" s="35">
        <f>IF(OR(IPC!BE15="",IPC!AS15=""),"",IPC!BE15/IPC!AS15-1)</f>
        <v>-4.2287233114357559E-3</v>
      </c>
      <c r="BF56" s="35">
        <f>IF(OR(IPC!BF15="",IPC!AT15=""),"",IPC!BF15/IPC!AT15-1)</f>
        <v>-3.6033614129485914E-3</v>
      </c>
      <c r="BG56" s="35">
        <f>IF(OR(IPC!BG15="",IPC!AU15=""),"",IPC!BG15/IPC!AU15-1)</f>
        <v>1.6290847751858628E-3</v>
      </c>
      <c r="BH56" s="35">
        <f>IF(OR(IPC!BH15="",IPC!AV15=""),"",IPC!BH15/IPC!AV15-1)</f>
        <v>2.1307827214911645E-2</v>
      </c>
      <c r="BI56" s="35">
        <f>IF(OR(IPC!BI15="",IPC!AW15=""),"",IPC!BI15/IPC!AW15-1)</f>
        <v>1.560911387563424E-2</v>
      </c>
      <c r="BJ56" s="35">
        <f>IF(OR(IPC!BJ15="",IPC!AX15=""),"",IPC!BJ15/IPC!AX15-1)</f>
        <v>1.5669030652399663E-2</v>
      </c>
      <c r="BK56" s="35">
        <f>IF(OR(IPC!BK15="",IPC!AY15=""),"",IPC!BK15/IPC!AY15-1)</f>
        <v>1.3915332295492577E-2</v>
      </c>
      <c r="BL56" s="35">
        <f>IF(OR(IPC!BL15="",IPC!AZ15=""),"",IPC!BL15/IPC!AZ15-1)</f>
        <v>2.1595369503313755E-2</v>
      </c>
      <c r="BM56" s="35">
        <f>IF(OR(IPC!BM15="",IPC!BA15=""),"",IPC!BM15/IPC!BA15-1)</f>
        <v>1.8963516637847677E-2</v>
      </c>
      <c r="BN56" s="35">
        <f>IF(OR(IPC!BN15="",IPC!BB15=""),"",IPC!BN15/IPC!BB15-1)</f>
        <v>2.1196101721288274E-2</v>
      </c>
      <c r="BO56" s="35">
        <f>IF(OR(IPC!BO15="",IPC!BC15=""),"",IPC!BO15/IPC!BC15-1)</f>
        <v>2.4732372721983031E-2</v>
      </c>
      <c r="BP56" s="35">
        <f>IF(OR(IPC!BP15="",IPC!BD15=""),"",IPC!BP15/IPC!BD15-1)</f>
        <v>2.243368497203746E-2</v>
      </c>
      <c r="BQ56" s="35">
        <f>IF(OR(IPC!BQ15="",IPC!BE15=""),"",IPC!BQ15/IPC!BE15-1)</f>
        <v>1.8191557015585058E-2</v>
      </c>
      <c r="BR56" s="35">
        <f>IF(OR(IPC!BR15="",IPC!BF15=""),"",IPC!BR15/IPC!BF15-1)</f>
        <v>1.837236787633767E-2</v>
      </c>
      <c r="BS56" s="35">
        <f>IF(OR(IPC!BS15="",IPC!BG15=""),"",IPC!BS15/IPC!BG15-1)</f>
        <v>1.4543760697491415E-2</v>
      </c>
      <c r="BT56" s="35">
        <f>IF(OR(IPC!BT15="",IPC!BH15=""),"",IPC!BT15/IPC!BH15-1)</f>
        <v>-1.2152135210201642E-3</v>
      </c>
      <c r="BU56" s="35">
        <f>IF(OR(IPC!BU15="",IPC!BI15=""),"",IPC!BU15/IPC!BI15-1)</f>
        <v>6.7950101556859543E-3</v>
      </c>
      <c r="BV56" s="35">
        <f>IF(OR(IPC!BV15="",IPC!BJ15=""),"",IPC!BV15/IPC!BJ15-1)</f>
        <v>3.7034975863023956E-3</v>
      </c>
      <c r="BW56" s="35">
        <f>IF(OR(IPC!BW15="",IPC!BK15=""),"",IPC!BW15/IPC!BK15-1)</f>
        <v>6.6392415038136754E-3</v>
      </c>
      <c r="BX56" s="35">
        <f>IF(OR(IPC!BX15="",IPC!BL15=""),"",IPC!BX15/IPC!BL15-1)</f>
        <v>6.6805724700771396E-3</v>
      </c>
      <c r="BY56" s="35">
        <f>IF(OR(IPC!BY15="",IPC!BM15=""),"",IPC!BY15/IPC!BM15-1)</f>
        <v>1.0451466346651506E-2</v>
      </c>
      <c r="BZ56" s="35">
        <f>IF(OR(IPC!BZ15="",IPC!BN15=""),"",IPC!BZ15/IPC!BN15-1)</f>
        <v>3.75790777585161E-3</v>
      </c>
      <c r="CA56" s="35">
        <f>IF(OR(IPC!CA15="",IPC!BO15=""),"",IPC!CA15/IPC!BO15-1)</f>
        <v>5.0191034943665169E-3</v>
      </c>
      <c r="CB56" s="35">
        <f>IF(OR(IPC!CB15="",IPC!BP15=""),"",IPC!CB15/IPC!BP15-1)</f>
        <v>6.3403467684042258E-3</v>
      </c>
      <c r="CC56" s="35">
        <f>IF(OR(IPC!CC15="",IPC!BQ15=""),"",IPC!CC15/IPC!BQ15-1)</f>
        <v>6.7927527073361471E-3</v>
      </c>
      <c r="CD56" s="35">
        <f>IF(OR(IPC!CD15="",IPC!BR15=""),"",IPC!CD15/IPC!BR15-1)</f>
        <v>7.5023153224200723E-3</v>
      </c>
      <c r="CE56" s="35">
        <f>IF(OR(IPC!CE15="",IPC!BS15=""),"",IPC!CE15/IPC!BS15-1)</f>
        <v>1.0156772900366207E-2</v>
      </c>
      <c r="CF56" s="35">
        <f>IF(OR(IPC!CF15="",IPC!BT15=""),"",IPC!CF15/IPC!BT15-1)</f>
        <v>4.3537638819555191E-3</v>
      </c>
      <c r="CG56" s="35">
        <f>IF(OR(IPC!CG15="",IPC!BU15=""),"",IPC!CG15/IPC!BU15-1)</f>
        <v>3.8999285682230767E-3</v>
      </c>
      <c r="CH56" s="35">
        <f>IF(OR(IPC!CH15="",IPC!BV15=""),"",IPC!CH15/IPC!BV15-1)</f>
        <v>6.9470060314873461E-3</v>
      </c>
      <c r="CI56" s="35">
        <f>IF(OR(IPC!CI15="",IPC!BW15=""),"",IPC!CI15/IPC!BW15-1)</f>
        <v>4.7402493424659742E-3</v>
      </c>
      <c r="CJ56" s="35">
        <f>IF(OR(IPC!CJ15="",IPC!BX15=""),"",IPC!CJ15/IPC!BX15-1)</f>
        <v>5.6038078955318316E-3</v>
      </c>
      <c r="CK56" s="35">
        <f>IF(OR(IPC!CK15="",IPC!BY15=""),"",IPC!CK15/IPC!BY15-1)</f>
        <v>3.8279012977369131E-3</v>
      </c>
      <c r="CL56" s="35">
        <f>IF(OR(IPC!CL15="",IPC!BZ15=""),"",IPC!CL15/IPC!BZ15-1)</f>
        <v>8.9001112263407123E-3</v>
      </c>
      <c r="CM56" s="35">
        <f>IF(OR(IPC!CM15="",IPC!CA15=""),"",IPC!CM15/IPC!CA15-1)</f>
        <v>6.3684105287284964E-3</v>
      </c>
      <c r="CN56" s="35">
        <f>IF(OR(IPC!CN15="",IPC!CB15=""),"",IPC!CN15/IPC!CB15-1)</f>
        <v>6.3763285654903079E-3</v>
      </c>
      <c r="CO56" s="35">
        <f>IF(OR(IPC!CO15="",IPC!CC15=""),"",IPC!CO15/IPC!CC15-1)</f>
        <v>1.1853154071985506E-2</v>
      </c>
      <c r="CP56" s="35">
        <f>IF(OR(IPC!CP15="",IPC!CD15=""),"",IPC!CP15/IPC!CD15-1)</f>
        <v>1.2634848201380722E-2</v>
      </c>
      <c r="CQ56" s="35">
        <f>IF(OR(IPC!CQ15="",IPC!CE15=""),"",IPC!CQ15/IPC!CE15-1)</f>
        <v>9.7498292801863062E-3</v>
      </c>
      <c r="CR56" s="35">
        <f>IF(OR(IPC!CR15="",IPC!CF15=""),"",IPC!CR15/IPC!CF15-1)</f>
        <v>9.7953195186013531E-3</v>
      </c>
      <c r="CS56" s="35">
        <f>IF(OR(IPC!CS15="",IPC!CG15=""),"",IPC!CS15/IPC!CG15-1)</f>
        <v>9.5374670307895038E-3</v>
      </c>
      <c r="CT56" s="35">
        <f>IF(OR(IPC!CT15="",IPC!CH15=""),"",IPC!CT15/IPC!CH15-1)</f>
        <v>8.0241081193905828E-3</v>
      </c>
      <c r="CU56" s="35">
        <f>IF(OR(IPC!CU15="",IPC!CI15=""),"",IPC!CU15/IPC!CI15-1)</f>
        <v>7.7376578739591917E-3</v>
      </c>
      <c r="CV56" s="35">
        <f>IF(OR(IPC!CV15="",IPC!CJ15=""),"",IPC!CV15/IPC!CJ15-1)</f>
        <v>8.2119822170383383E-3</v>
      </c>
      <c r="CW56" s="35">
        <f>IF(OR(IPC!CW15="",IPC!CK15=""),"",IPC!CW15/IPC!CK15-1)</f>
        <v>8.0102898682330448E-3</v>
      </c>
      <c r="CX56" s="35">
        <f>IF(OR(IPC!CX15="",IPC!CL15=""),"",IPC!CX15/IPC!CL15-1)</f>
        <v>1.2499427592865153E-2</v>
      </c>
      <c r="CY56" s="35">
        <f>IF(OR(IPC!CY15="",IPC!CM15=""),"",IPC!CY15/IPC!CM15-1)</f>
        <v>1.4666524542565673E-2</v>
      </c>
      <c r="CZ56" s="35">
        <f>IF(OR(IPC!CZ15="",IPC!CN15=""),"",IPC!CZ15/IPC!CN15-1)</f>
        <v>1.4366307343750551E-2</v>
      </c>
      <c r="DA56" s="35">
        <f>IF(OR(IPC!DA15="",IPC!CO15=""),"",IPC!DA15/IPC!CO15-1)</f>
        <v>1.2561334569125338E-2</v>
      </c>
      <c r="DB56" s="35">
        <f>IF(OR(IPC!DB15="",IPC!CP15=""),"",IPC!DB15/IPC!CP15-1)</f>
        <v>1.1517571655722092E-2</v>
      </c>
      <c r="DC56" s="35">
        <f>IF(OR(IPC!DC15="",IPC!CQ15=""),"",IPC!DC15/IPC!CQ15-1)</f>
        <v>1.2618193134141809E-2</v>
      </c>
      <c r="DD56" s="35">
        <f>IF(OR(IPC!DD15="",IPC!CR15=""),"",IPC!DD15/IPC!CR15-1)</f>
        <v>1.3830480715171678E-2</v>
      </c>
      <c r="DE56" s="35">
        <f>IF(OR(IPC!DE15="",IPC!CS15=""),"",IPC!DE15/IPC!CS15-1)</f>
        <v>1.5236907001535904E-2</v>
      </c>
      <c r="DF56" s="35">
        <f>IF(OR(IPC!DF15="",IPC!CT15=""),"",IPC!DF15/IPC!CT15-1)</f>
        <v>1.5627833248790024E-2</v>
      </c>
      <c r="DG56" s="35">
        <f>IF(OR(IPC!DG15="",IPC!CU15=""),"",IPC!DG15/IPC!CU15-1)</f>
        <v>1.5907016826246734E-2</v>
      </c>
      <c r="DH56" s="35">
        <f>IF(OR(IPC!DH15="",IPC!CV15=""),"",IPC!DH15/IPC!CV15-1)</f>
        <v>1.6582815056743749E-2</v>
      </c>
      <c r="DI56" s="35">
        <f>IF(OR(IPC!DI15="",IPC!CW15=""),"",IPC!DI15/IPC!CW15-1)</f>
        <v>1.6163447854069091E-2</v>
      </c>
      <c r="DJ56" s="35">
        <f>IF(OR(IPC!DJ15="",IPC!CX15=""),"",IPC!DJ15/IPC!CX15-1)</f>
        <v>1.2408596357553536E-2</v>
      </c>
      <c r="DK56" s="35">
        <f>IF(OR(IPC!DK15="",IPC!CY15=""),"",IPC!DK15/IPC!CY15-1)</f>
        <v>1.873584840383935E-2</v>
      </c>
      <c r="DL56" s="35">
        <f>IF(OR(IPC!DL15="",IPC!CZ15=""),"",IPC!DL15/IPC!CZ15-1)</f>
        <v>1.7756224005996302E-2</v>
      </c>
      <c r="DM56" s="35">
        <f>IF(OR(IPC!DM15="",IPC!DA15=""),"",IPC!DM15/IPC!DA15-1)</f>
        <v>1.6883815534882052E-2</v>
      </c>
      <c r="DN56" s="35">
        <f>IF(OR(IPC!DN15="",IPC!DB15=""),"",IPC!DN15/IPC!DB15-1)</f>
        <v>1.5685693262272871E-2</v>
      </c>
      <c r="DO56" s="35">
        <f>IF(OR(IPC!DO15="",IPC!DC15=""),"",IPC!DO15/IPC!DC15-1)</f>
        <v>1.3964144152078584E-2</v>
      </c>
      <c r="DP56" s="35">
        <f>IF(OR(IPC!DP15="",IPC!DD15=""),"",IPC!DP15/IPC!DD15-1)</f>
        <v>1.341874646072494E-2</v>
      </c>
      <c r="DQ56" s="35">
        <f>IF(OR(IPC!DQ15="",IPC!DE15=""),"",IPC!DQ15/IPC!DE15-1)</f>
        <v>1.3503305036351998E-2</v>
      </c>
      <c r="DR56" s="35">
        <f>IF(OR(IPC!DR15="",IPC!DF15=""),"",IPC!DR15/IPC!DF15-1)</f>
        <v>1.6064237215196675E-2</v>
      </c>
      <c r="DS56" s="35">
        <f>IF(OR(IPC!DS15="",IPC!DG15=""),"",IPC!DS15/IPC!DG15-1)</f>
        <v>1.5458760255568027E-2</v>
      </c>
      <c r="DT56" s="35">
        <f>IF(OR(IPC!DT15="",IPC!DH15=""),"",IPC!DT15/IPC!DH15-1)</f>
        <v>1.5393246611679956E-2</v>
      </c>
      <c r="DU56" s="35">
        <f>IF(OR(IPC!DU15="",IPC!DI15=""),"",IPC!DU15/IPC!DI15-1)</f>
        <v>1.5425661985927208E-2</v>
      </c>
      <c r="DV56" s="35">
        <f>IF(OR(IPC!DV15="",IPC!DJ15=""),"",IPC!DV15/IPC!DJ15-1)</f>
        <v>1.5525766450925849E-2</v>
      </c>
      <c r="DW56" s="35">
        <f>IF(OR(IPC!DW15="",IPC!DK15=""),"",IPC!DW15/IPC!DK15-1)</f>
        <v>6.1753698325948125E-3</v>
      </c>
      <c r="DX56" s="35">
        <f>IF(OR(IPC!DX15="",IPC!DL15=""),"",IPC!DX15/IPC!DL15-1)</f>
        <v>4.5551560405590052E-3</v>
      </c>
      <c r="DY56" s="35">
        <f>IF(OR(IPC!DY15="",IPC!DM15=""),"",IPC!DY15/IPC!DM15-1)</f>
        <v>3.57274833635568E-3</v>
      </c>
      <c r="DZ56" s="35">
        <f>IF(OR(IPC!DZ15="",IPC!DN15=""),"",IPC!DZ15/IPC!DN15-1)</f>
        <v>7.2912127242337199E-3</v>
      </c>
      <c r="EA56" s="35">
        <f>IF(OR(IPC!EA15="",IPC!DO15=""),"",IPC!EA15/IPC!DO15-1)</f>
        <v>9.4194854559419561E-3</v>
      </c>
      <c r="EB56" s="35">
        <f>IF(OR(IPC!EB15="",IPC!DP15=""),"",IPC!EB15/IPC!DP15-1)</f>
        <v>8.9422455570260517E-3</v>
      </c>
      <c r="EC56" s="35">
        <f>IF(OR(IPC!EC15="",IPC!DQ15=""),"",IPC!EC15/IPC!DQ15-1)</f>
        <v>8.1284323680133053E-3</v>
      </c>
      <c r="ED56" s="35">
        <f>IF(OR(IPC!ED15="",IPC!DR15=""),"",IPC!ED15/IPC!DR15-1)</f>
        <v>8.5821768938312282E-3</v>
      </c>
      <c r="EE56" s="35">
        <f>IF(OR(IPC!EE15="",IPC!DS15=""),"",IPC!EE15/IPC!DS15-1)</f>
        <v>1.2341980275821562E-2</v>
      </c>
      <c r="EF56" s="35">
        <f>IF(OR(IPC!EF15="",IPC!DT15=""),"",IPC!EF15/IPC!DT15-1)</f>
        <v>1.3211237314464386E-2</v>
      </c>
      <c r="EG56" s="35">
        <f>IF(OR(IPC!EG15="",IPC!DU15=""),"",IPC!EG15/IPC!DU15-1)</f>
        <v>1.369058712080462E-2</v>
      </c>
      <c r="EH56" s="35">
        <f>IF(OR(IPC!EH15="",IPC!DV15=""),"",IPC!EH15/IPC!DV15-1)</f>
        <v>1.4653192761947098E-2</v>
      </c>
      <c r="EI56" s="35">
        <f>IF(OR(IPC!EI15="",IPC!DW15=""),"",IPC!EI15/IPC!DW15-1)</f>
        <v>1.6706475752744643E-2</v>
      </c>
      <c r="EJ56" s="35">
        <f>IF(OR(IPC!EJ15="",IPC!DX15=""),"",IPC!EJ15/IPC!DX15-1)</f>
        <v>1.9677507794924276E-2</v>
      </c>
      <c r="EK56" s="35">
        <f>IF(OR(IPC!EK15="",IPC!DY15=""),"",IPC!EK15/IPC!DY15-1)</f>
        <v>2.0032712865171387E-2</v>
      </c>
      <c r="EL56" s="35">
        <f>IF(OR(IPC!EL15="",IPC!DZ15=""),"",IPC!EL15/IPC!DZ15-1)</f>
        <v>2.0379013019537595E-2</v>
      </c>
      <c r="EM56" s="35">
        <f>IF(OR(IPC!EM15="",IPC!EA15=""),"",IPC!EM15/IPC!EA15-1)</f>
        <v>1.55454438551903E-2</v>
      </c>
      <c r="EN56" s="35">
        <f>IF(OR(IPC!EN15="",IPC!EB15=""),"",IPC!EN15/IPC!EB15-1)</f>
        <v>1.7207232926020888E-2</v>
      </c>
      <c r="EO56" s="35">
        <f>IF(OR(IPC!EO15="",IPC!EC15=""),"",IPC!EO15/IPC!EC15-1)</f>
        <v>1.6430800833433512E-2</v>
      </c>
      <c r="EP56" s="35">
        <f>IF(OR(IPC!EP15="",IPC!ED15=""),"",IPC!EP15/IPC!ED15-1)</f>
        <v>1.7926533662468547E-2</v>
      </c>
      <c r="EQ56" s="35">
        <f>IF(OR(IPC!EQ15="",IPC!EE15=""),"",IPC!EQ15/IPC!EE15-1)</f>
        <v>1.8120524380306868E-2</v>
      </c>
      <c r="ER56" s="35">
        <f>IF(OR(IPC!ER15="",IPC!EF15=""),"",IPC!ER15/IPC!EF15-1)</f>
        <v>1.80825933544011E-2</v>
      </c>
      <c r="ES56" s="35">
        <f>IF(OR(IPC!ES15="",IPC!EG15=""),"",IPC!ES15/IPC!EG15-1)</f>
        <v>1.8769038994669307E-2</v>
      </c>
      <c r="ET56" s="35">
        <f>IF(OR(IPC!ET15="",IPC!EH15=""),"",IPC!ET15/IPC!EH15-1)</f>
        <v>1.9436041913345914E-2</v>
      </c>
      <c r="EU56" s="35">
        <f>IF(OR(IPC!EU15="",IPC!EI15=""),"",IPC!EU15/IPC!EI15-1)</f>
        <v>1.694698085913493E-2</v>
      </c>
      <c r="EV56" s="35">
        <f>IF(OR(IPC!EV15="",IPC!EJ15=""),"",IPC!EV15/IPC!EJ15-1)</f>
        <v>1.5771028078391147E-2</v>
      </c>
      <c r="EW56" s="35">
        <f>IF(OR(IPC!EW15="",IPC!EK15=""),"",IPC!EW15/IPC!EK15-1)</f>
        <v>1.5659334032555483E-2</v>
      </c>
      <c r="EX56" s="35">
        <f>IF(OR(IPC!EX15="",IPC!EL15=""),"",IPC!EX15/IPC!EL15-1)</f>
        <v>1.3822941340328354E-2</v>
      </c>
      <c r="EY56" s="35">
        <f>IF(OR(IPC!EY15="",IPC!EM15=""),"",IPC!EY15/IPC!EM15-1)</f>
        <v>2.312626060810552E-2</v>
      </c>
      <c r="EZ56" s="35">
        <f>IF(OR(IPC!EZ15="",IPC!EN15=""),"",IPC!EZ15/IPC!EN15-1)</f>
        <v>2.4004376759487744E-2</v>
      </c>
      <c r="FA56" s="35">
        <f>IF(OR(IPC!FA15="",IPC!EO15=""),"",IPC!FA15/IPC!EO15-1)</f>
        <v>2.3337158672716907E-2</v>
      </c>
      <c r="FB56" s="35">
        <f>IF(OR(IPC!FB15="",IPC!EP15=""),"",IPC!FB15/IPC!EP15-1)</f>
        <v>1.9403953552487696E-2</v>
      </c>
      <c r="FC56" s="35">
        <f>IF(OR(IPC!FC15="",IPC!EQ15=""),"",IPC!FC15/IPC!EQ15-1)</f>
        <v>1.6367943544318919E-2</v>
      </c>
      <c r="FD56" s="35">
        <f>IF(OR(IPC!FD15="",IPC!ER15=""),"",IPC!FD15/IPC!ER15-1)</f>
        <v>1.488169541791784E-2</v>
      </c>
      <c r="FE56" s="35">
        <f>IF(OR(IPC!FE15="",IPC!ES15=""),"",IPC!FE15/IPC!ES15-1)</f>
        <v>1.3783321434795548E-2</v>
      </c>
      <c r="FF56" s="35">
        <f>IF(OR(IPC!FF15="",IPC!ET15=""),"",IPC!FF15/IPC!ET15-1)</f>
        <v>1.2055320497551314E-2</v>
      </c>
      <c r="FG56" s="35">
        <f>IF(OR(IPC!FG15="",IPC!EU15=""),"",IPC!FG15/IPC!EU15-1)</f>
        <v>1.1413079911597013E-2</v>
      </c>
      <c r="FH56" s="35">
        <f>IF(OR(IPC!FH15="",IPC!EV15=""),"",IPC!FH15/IPC!EV15-1)</f>
        <v>1.089797823053007E-2</v>
      </c>
      <c r="FI56" s="35">
        <f>IF(OR(IPC!FI15="",IPC!EW15=""),"",IPC!FI15/IPC!EW15-1)</f>
        <v>8.7806587942373948E-3</v>
      </c>
      <c r="FJ56" s="35">
        <f>IF(OR(IPC!FJ15="",IPC!EX15=""),"",IPC!FJ15/IPC!EX15-1)</f>
        <v>6.4210671866891111E-3</v>
      </c>
      <c r="FK56" s="35">
        <f>IF(OR(IPC!FK15="",IPC!EY15=""),"",IPC!FK15/IPC!EY15-1)</f>
        <v>6.484534113818885E-3</v>
      </c>
      <c r="FL56" s="35">
        <f>IF(OR(IPC!FL15="",IPC!EZ15=""),"",IPC!FL15/IPC!EZ15-1)</f>
        <v>3.4472528596105612E-3</v>
      </c>
      <c r="FM56" s="35">
        <f>IF(OR(IPC!FM15="",IPC!FA15=""),"",IPC!FM15/IPC!FA15-1)</f>
        <v>4.0397039164297155E-3</v>
      </c>
      <c r="FN56" s="35">
        <f>IF(OR(IPC!FN15="",IPC!FB15=""),"",IPC!FN15/IPC!FB15-1)</f>
        <v>4.5838033986178583E-3</v>
      </c>
      <c r="FO56" s="35">
        <f>IF(OR(IPC!FO15="",IPC!FC15=""),"",IPC!FO15/IPC!FC15-1)</f>
        <v>4.1992763024187862E-3</v>
      </c>
      <c r="FP56" s="35">
        <f>IF(OR(IPC!FP15="",IPC!FD15=""),"",IPC!FP15/IPC!FD15-1)</f>
        <v>3.8986354775829568E-3</v>
      </c>
      <c r="FQ56" s="35">
        <f>IF(OR(IPC!FQ15="",IPC!FE15=""),"",IPC!FQ15/IPC!FE15-1)</f>
        <v>3.8986354775829568E-3</v>
      </c>
      <c r="FR56" s="35">
        <f>IF(OR(IPC!FR15="",IPC!FF15=""),"",IPC!FR15/IPC!FF15-1)</f>
        <v>3.8986354775829568E-3</v>
      </c>
    </row>
    <row r="57" spans="1:174" s="19" customFormat="1" ht="10.199999999999999" x14ac:dyDescent="0.2">
      <c r="A57" s="11">
        <v>10</v>
      </c>
      <c r="B57" s="1" t="s">
        <v>27</v>
      </c>
      <c r="C57" s="8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 t="str">
        <f>IF(OR(IPC!P16="",IPC!D16=""),"",IPC!P16/IPC!D16-1)</f>
        <v/>
      </c>
      <c r="Q57" s="35" t="str">
        <f>IF(OR(IPC!Q16="",IPC!E16=""),"",IPC!Q16/IPC!E16-1)</f>
        <v/>
      </c>
      <c r="R57" s="35" t="str">
        <f>IF(OR(IPC!R16="",IPC!F16=""),"",IPC!R16/IPC!F16-1)</f>
        <v/>
      </c>
      <c r="S57" s="35" t="str">
        <f>IF(OR(IPC!S16="",IPC!G16=""),"",IPC!S16/IPC!G16-1)</f>
        <v/>
      </c>
      <c r="T57" s="35" t="str">
        <f>IF(OR(IPC!T16="",IPC!H16=""),"",IPC!T16/IPC!H16-1)</f>
        <v/>
      </c>
      <c r="U57" s="35" t="str">
        <f>IF(OR(IPC!U16="",IPC!I16=""),"",IPC!U16/IPC!I16-1)</f>
        <v/>
      </c>
      <c r="V57" s="35" t="str">
        <f>IF(OR(IPC!V16="",IPC!J16=""),"",IPC!V16/IPC!J16-1)</f>
        <v/>
      </c>
      <c r="W57" s="35" t="str">
        <f>IF(OR(IPC!W16="",IPC!K16=""),"",IPC!W16/IPC!K16-1)</f>
        <v/>
      </c>
      <c r="X57" s="35" t="str">
        <f>IF(OR(IPC!X16="",IPC!L16=""),"",IPC!X16/IPC!L16-1)</f>
        <v/>
      </c>
      <c r="Y57" s="35" t="str">
        <f>IF(OR(IPC!Y16="",IPC!M16=""),"",IPC!Y16/IPC!M16-1)</f>
        <v/>
      </c>
      <c r="Z57" s="35" t="str">
        <f>IF(OR(IPC!Z16="",IPC!N16=""),"",IPC!Z16/IPC!N16-1)</f>
        <v/>
      </c>
      <c r="AA57" s="35" t="str">
        <f>IF(OR(IPC!AA16="",IPC!O16=""),"",IPC!AA16/IPC!O16-1)</f>
        <v/>
      </c>
      <c r="AB57" s="35">
        <f>IF(OR(IPC!AB16="",IPC!P16=""),"",IPC!AB16/IPC!P16-1)</f>
        <v>4.7506173761708848E-2</v>
      </c>
      <c r="AC57" s="35">
        <f>IF(OR(IPC!AC16="",IPC!Q16=""),"",IPC!AC16/IPC!Q16-1)</f>
        <v>4.7924949935949757E-2</v>
      </c>
      <c r="AD57" s="35">
        <f>IF(OR(IPC!AD16="",IPC!R16=""),"",IPC!AD16/IPC!R16-1)</f>
        <v>4.7542284374485266E-2</v>
      </c>
      <c r="AE57" s="35">
        <f>IF(OR(IPC!AE16="",IPC!S16=""),"",IPC!AE16/IPC!S16-1)</f>
        <v>4.7460897756171461E-2</v>
      </c>
      <c r="AF57" s="35">
        <f>IF(OR(IPC!AF16="",IPC!T16=""),"",IPC!AF16/IPC!T16-1)</f>
        <v>4.4177118770510893E-2</v>
      </c>
      <c r="AG57" s="35">
        <f>IF(OR(IPC!AG16="",IPC!U16=""),"",IPC!AG16/IPC!U16-1)</f>
        <v>4.4622540978441538E-2</v>
      </c>
      <c r="AH57" s="35">
        <f>IF(OR(IPC!AH16="",IPC!V16=""),"",IPC!AH16/IPC!V16-1)</f>
        <v>3.8735843427537997E-2</v>
      </c>
      <c r="AI57" s="35">
        <f>IF(OR(IPC!AI16="",IPC!W16=""),"",IPC!AI16/IPC!W16-1)</f>
        <v>1.5427971317388822E-2</v>
      </c>
      <c r="AJ57" s="35">
        <f>IF(OR(IPC!AJ16="",IPC!X16=""),"",IPC!AJ16/IPC!X16-1)</f>
        <v>1.0922092508184988E-2</v>
      </c>
      <c r="AK57" s="35">
        <f>IF(OR(IPC!AK16="",IPC!Y16=""),"",IPC!AK16/IPC!Y16-1)</f>
        <v>7.8472368132809223E-3</v>
      </c>
      <c r="AL57" s="35">
        <f>IF(OR(IPC!AL16="",IPC!Z16=""),"",IPC!AL16/IPC!Z16-1)</f>
        <v>7.5811689571714247E-3</v>
      </c>
      <c r="AM57" s="35">
        <f>IF(OR(IPC!AM16="",IPC!AA16=""),"",IPC!AM16/IPC!AA16-1)</f>
        <v>6.0481160766412412E-3</v>
      </c>
      <c r="AN57" s="35">
        <f>IF(OR(IPC!AN16="",IPC!AB16=""),"",IPC!AN16/IPC!AB16-1)</f>
        <v>7.1024708217872767E-3</v>
      </c>
      <c r="AO57" s="35">
        <f>IF(OR(IPC!AO16="",IPC!AC16=""),"",IPC!AO16/IPC!AC16-1)</f>
        <v>6.1188849264348644E-3</v>
      </c>
      <c r="AP57" s="35">
        <f>IF(OR(IPC!AP16="",IPC!AD16=""),"",IPC!AP16/IPC!AD16-1)</f>
        <v>6.1945428316132478E-3</v>
      </c>
      <c r="AQ57" s="35">
        <f>IF(OR(IPC!AQ16="",IPC!AE16=""),"",IPC!AQ16/IPC!AE16-1)</f>
        <v>6.8253804370297377E-3</v>
      </c>
      <c r="AR57" s="35">
        <f>IF(OR(IPC!AR16="",IPC!AF16=""),"",IPC!AR16/IPC!AF16-1)</f>
        <v>7.5507157130629832E-3</v>
      </c>
      <c r="AS57" s="35">
        <f>IF(OR(IPC!AS16="",IPC!AG16=""),"",IPC!AS16/IPC!AG16-1)</f>
        <v>7.023235926239213E-3</v>
      </c>
      <c r="AT57" s="35">
        <f>IF(OR(IPC!AT16="",IPC!AH16=""),"",IPC!AT16/IPC!AH16-1)</f>
        <v>1.1304938433628786E-2</v>
      </c>
      <c r="AU57" s="35">
        <f>IF(OR(IPC!AU16="",IPC!AI16=""),"",IPC!AU16/IPC!AI16-1)</f>
        <v>1.423651772561052E-2</v>
      </c>
      <c r="AV57" s="35">
        <f>IF(OR(IPC!AV16="",IPC!AJ16=""),"",IPC!AV16/IPC!AJ16-1)</f>
        <v>1.5053097236912727E-2</v>
      </c>
      <c r="AW57" s="35">
        <f>IF(OR(IPC!AW16="",IPC!AK16=""),"",IPC!AW16/IPC!AK16-1)</f>
        <v>1.3660428380096734E-2</v>
      </c>
      <c r="AX57" s="35">
        <f>IF(OR(IPC!AX16="",IPC!AL16=""),"",IPC!AX16/IPC!AL16-1)</f>
        <v>1.6783352103045157E-2</v>
      </c>
      <c r="AY57" s="35">
        <f>IF(OR(IPC!AY16="",IPC!AM16=""),"",IPC!AY16/IPC!AM16-1)</f>
        <v>1.5365477396051208E-2</v>
      </c>
      <c r="AZ57" s="35">
        <f>IF(OR(IPC!AZ16="",IPC!AN16=""),"",IPC!AZ16/IPC!AN16-1)</f>
        <v>1.6589749347713845E-2</v>
      </c>
      <c r="BA57" s="35">
        <f>IF(OR(IPC!BA16="",IPC!AO16=""),"",IPC!BA16/IPC!AO16-1)</f>
        <v>1.8038140041723771E-2</v>
      </c>
      <c r="BB57" s="35">
        <f>IF(OR(IPC!BB16="",IPC!AP16=""),"",IPC!BB16/IPC!AP16-1)</f>
        <v>1.7185302214354881E-2</v>
      </c>
      <c r="BC57" s="35">
        <f>IF(OR(IPC!BC16="",IPC!AQ16=""),"",IPC!BC16/IPC!AQ16-1)</f>
        <v>1.5678542862295641E-2</v>
      </c>
      <c r="BD57" s="35">
        <f>IF(OR(IPC!BD16="",IPC!AR16=""),"",IPC!BD16/IPC!AR16-1)</f>
        <v>1.523703200550619E-2</v>
      </c>
      <c r="BE57" s="35">
        <f>IF(OR(IPC!BE16="",IPC!AS16=""),"",IPC!BE16/IPC!AS16-1)</f>
        <v>1.8546571459241878E-2</v>
      </c>
      <c r="BF57" s="35">
        <f>IF(OR(IPC!BF16="",IPC!AT16=""),"",IPC!BF16/IPC!AT16-1)</f>
        <v>1.4812265504982269E-2</v>
      </c>
      <c r="BG57" s="35">
        <f>IF(OR(IPC!BG16="",IPC!AU16=""),"",IPC!BG16/IPC!AU16-1)</f>
        <v>2.0202449159155922E-2</v>
      </c>
      <c r="BH57" s="35">
        <f>IF(OR(IPC!BH16="",IPC!AV16=""),"",IPC!BH16/IPC!AV16-1)</f>
        <v>3.1052692305472362E-2</v>
      </c>
      <c r="BI57" s="35">
        <f>IF(OR(IPC!BI16="",IPC!AW16=""),"",IPC!BI16/IPC!AW16-1)</f>
        <v>3.5025255590868998E-2</v>
      </c>
      <c r="BJ57" s="35">
        <f>IF(OR(IPC!BJ16="",IPC!AX16=""),"",IPC!BJ16/IPC!AX16-1)</f>
        <v>3.060802125251505E-2</v>
      </c>
      <c r="BK57" s="35">
        <f>IF(OR(IPC!BK16="",IPC!AY16=""),"",IPC!BK16/IPC!AY16-1)</f>
        <v>3.2302908581975265E-2</v>
      </c>
      <c r="BL57" s="35">
        <f>IF(OR(IPC!BL16="",IPC!AZ16=""),"",IPC!BL16/IPC!AZ16-1)</f>
        <v>3.1597654269042375E-2</v>
      </c>
      <c r="BM57" s="35">
        <f>IF(OR(IPC!BM16="",IPC!BA16=""),"",IPC!BM16/IPC!BA16-1)</f>
        <v>3.1297784723020472E-2</v>
      </c>
      <c r="BN57" s="35">
        <f>IF(OR(IPC!BN16="",IPC!BB16=""),"",IPC!BN16/IPC!BB16-1)</f>
        <v>3.4968271753594848E-2</v>
      </c>
      <c r="BO57" s="35">
        <f>IF(OR(IPC!BO16="",IPC!BC16=""),"",IPC!BO16/IPC!BC16-1)</f>
        <v>3.5753093849688611E-2</v>
      </c>
      <c r="BP57" s="35">
        <f>IF(OR(IPC!BP16="",IPC!BD16=""),"",IPC!BP16/IPC!BD16-1)</f>
        <v>3.5546375670583608E-2</v>
      </c>
      <c r="BQ57" s="35">
        <f>IF(OR(IPC!BQ16="",IPC!BE16=""),"",IPC!BQ16/IPC!BE16-1)</f>
        <v>3.4719193899067857E-2</v>
      </c>
      <c r="BR57" s="35">
        <f>IF(OR(IPC!BR16="",IPC!BF16=""),"",IPC!BR16/IPC!BF16-1)</f>
        <v>3.9251690361239877E-2</v>
      </c>
      <c r="BS57" s="35">
        <f>IF(OR(IPC!BS16="",IPC!BG16=""),"",IPC!BS16/IPC!BG16-1)</f>
        <v>2.7345285211505477E-2</v>
      </c>
      <c r="BT57" s="35">
        <f>IF(OR(IPC!BT16="",IPC!BH16=""),"",IPC!BT16/IPC!BH16-1)</f>
        <v>1.8280104491853466E-2</v>
      </c>
      <c r="BU57" s="35">
        <f>IF(OR(IPC!BU16="",IPC!BI16=""),"",IPC!BU16/IPC!BI16-1)</f>
        <v>6.7024687787051729E-3</v>
      </c>
      <c r="BV57" s="35">
        <f>IF(OR(IPC!BV16="",IPC!BJ16=""),"",IPC!BV16/IPC!BJ16-1)</f>
        <v>9.0249242591844414E-3</v>
      </c>
      <c r="BW57" s="35">
        <f>IF(OR(IPC!BW16="",IPC!BK16=""),"",IPC!BW16/IPC!BK16-1)</f>
        <v>1.0063415896100825E-2</v>
      </c>
      <c r="BX57" s="35">
        <f>IF(OR(IPC!BX16="",IPC!BL16=""),"",IPC!BX16/IPC!BL16-1)</f>
        <v>1.2334341707560315E-2</v>
      </c>
      <c r="BY57" s="35">
        <f>IF(OR(IPC!BY16="",IPC!BM16=""),"",IPC!BY16/IPC!BM16-1)</f>
        <v>1.0866568322410064E-2</v>
      </c>
      <c r="BZ57" s="35">
        <f>IF(OR(IPC!BZ16="",IPC!BN16=""),"",IPC!BZ16/IPC!BN16-1)</f>
        <v>8.0966878121617736E-3</v>
      </c>
      <c r="CA57" s="35">
        <f>IF(OR(IPC!CA16="",IPC!BO16=""),"",IPC!CA16/IPC!BO16-1)</f>
        <v>1.0639693659214133E-2</v>
      </c>
      <c r="CB57" s="35">
        <f>IF(OR(IPC!CB16="",IPC!BP16=""),"",IPC!CB16/IPC!BP16-1)</f>
        <v>1.0791488797448734E-2</v>
      </c>
      <c r="CC57" s="35">
        <f>IF(OR(IPC!CC16="",IPC!BQ16=""),"",IPC!CC16/IPC!BQ16-1)</f>
        <v>8.9471460792061031E-3</v>
      </c>
      <c r="CD57" s="35">
        <f>IF(OR(IPC!CD16="",IPC!BR16=""),"",IPC!CD16/IPC!BR16-1)</f>
        <v>5.9637663341773894E-3</v>
      </c>
      <c r="CE57" s="35">
        <f>IF(OR(IPC!CE16="",IPC!BS16=""),"",IPC!CE16/IPC!BS16-1)</f>
        <v>6.8758576868319654E-3</v>
      </c>
      <c r="CF57" s="35">
        <f>IF(OR(IPC!CF16="",IPC!BT16=""),"",IPC!CF16/IPC!BT16-1)</f>
        <v>6.4425767522171551E-3</v>
      </c>
      <c r="CG57" s="35">
        <f>IF(OR(IPC!CG16="",IPC!BU16=""),"",IPC!CG16/IPC!BU16-1)</f>
        <v>1.4141225826265869E-2</v>
      </c>
      <c r="CH57" s="35">
        <f>IF(OR(IPC!CH16="",IPC!BV16=""),"",IPC!CH16/IPC!BV16-1)</f>
        <v>1.2536604787069194E-2</v>
      </c>
      <c r="CI57" s="35">
        <f>IF(OR(IPC!CI16="",IPC!BW16=""),"",IPC!CI16/IPC!BW16-1)</f>
        <v>1.1953953876845169E-2</v>
      </c>
      <c r="CJ57" s="35">
        <f>IF(OR(IPC!CJ16="",IPC!BX16=""),"",IPC!CJ16/IPC!BX16-1)</f>
        <v>1.017798140878301E-2</v>
      </c>
      <c r="CK57" s="35">
        <f>IF(OR(IPC!CK16="",IPC!BY16=""),"",IPC!CK16/IPC!BY16-1)</f>
        <v>1.2511819703794558E-2</v>
      </c>
      <c r="CL57" s="35">
        <f>IF(OR(IPC!CL16="",IPC!BZ16=""),"",IPC!CL16/IPC!BZ16-1)</f>
        <v>1.2123659209689608E-2</v>
      </c>
      <c r="CM57" s="35">
        <f>IF(OR(IPC!CM16="",IPC!CA16=""),"",IPC!CM16/IPC!CA16-1)</f>
        <v>9.7685395779767425E-3</v>
      </c>
      <c r="CN57" s="35">
        <f>IF(OR(IPC!CN16="",IPC!CB16=""),"",IPC!CN16/IPC!CB16-1)</f>
        <v>1.0522581112576423E-2</v>
      </c>
      <c r="CO57" s="35">
        <f>IF(OR(IPC!CO16="",IPC!CC16=""),"",IPC!CO16/IPC!CC16-1)</f>
        <v>1.0402781705482367E-2</v>
      </c>
      <c r="CP57" s="35">
        <f>IF(OR(IPC!CP16="",IPC!CD16=""),"",IPC!CP16/IPC!CD16-1)</f>
        <v>1.1117996557879817E-2</v>
      </c>
      <c r="CQ57" s="35">
        <f>IF(OR(IPC!CQ16="",IPC!CE16=""),"",IPC!CQ16/IPC!CE16-1)</f>
        <v>1.280262541448085E-2</v>
      </c>
      <c r="CR57" s="35">
        <f>IF(OR(IPC!CR16="",IPC!CF16=""),"",IPC!CR16/IPC!CF16-1)</f>
        <v>1.2338815645102752E-2</v>
      </c>
      <c r="CS57" s="35">
        <f>IF(OR(IPC!CS16="",IPC!CG16=""),"",IPC!CS16/IPC!CG16-1)</f>
        <v>1.3648920566842415E-2</v>
      </c>
      <c r="CT57" s="35">
        <f>IF(OR(IPC!CT16="",IPC!CH16=""),"",IPC!CT16/IPC!CH16-1)</f>
        <v>1.5873329231893107E-2</v>
      </c>
      <c r="CU57" s="35">
        <f>IF(OR(IPC!CU16="",IPC!CI16=""),"",IPC!CU16/IPC!CI16-1)</f>
        <v>1.5563589768906594E-2</v>
      </c>
      <c r="CV57" s="35">
        <f>IF(OR(IPC!CV16="",IPC!CJ16=""),"",IPC!CV16/IPC!CJ16-1)</f>
        <v>1.5737840047187479E-2</v>
      </c>
      <c r="CW57" s="35">
        <f>IF(OR(IPC!CW16="",IPC!CK16=""),"",IPC!CW16/IPC!CK16-1)</f>
        <v>1.5076600223505654E-2</v>
      </c>
      <c r="CX57" s="35">
        <f>IF(OR(IPC!CX16="",IPC!CL16=""),"",IPC!CX16/IPC!CL16-1)</f>
        <v>1.4881857213943972E-2</v>
      </c>
      <c r="CY57" s="35">
        <f>IF(OR(IPC!CY16="",IPC!CM16=""),"",IPC!CY16/IPC!CM16-1)</f>
        <v>1.5232937875128361E-2</v>
      </c>
      <c r="CZ57" s="35">
        <f>IF(OR(IPC!CZ16="",IPC!CN16=""),"",IPC!CZ16/IPC!CN16-1)</f>
        <v>1.5075458823706533E-2</v>
      </c>
      <c r="DA57" s="35">
        <f>IF(OR(IPC!DA16="",IPC!CO16=""),"",IPC!DA16/IPC!CO16-1)</f>
        <v>1.5074521580400457E-2</v>
      </c>
      <c r="DB57" s="35">
        <f>IF(OR(IPC!DB16="",IPC!CP16=""),"",IPC!DB16/IPC!CP16-1)</f>
        <v>1.4395790990362256E-2</v>
      </c>
      <c r="DC57" s="35">
        <f>IF(OR(IPC!DC16="",IPC!CQ16=""),"",IPC!DC16/IPC!CQ16-1)</f>
        <v>1.3030786986396814E-2</v>
      </c>
      <c r="DD57" s="35">
        <f>IF(OR(IPC!DD16="",IPC!CR16=""),"",IPC!DD16/IPC!CR16-1)</f>
        <v>8.1197261270387067E-3</v>
      </c>
      <c r="DE57" s="35">
        <f>IF(OR(IPC!DE16="",IPC!CS16=""),"",IPC!DE16/IPC!CS16-1)</f>
        <v>7.7850956351181999E-3</v>
      </c>
      <c r="DF57" s="35">
        <f>IF(OR(IPC!DF16="",IPC!CT16=""),"",IPC!DF16/IPC!CT16-1)</f>
        <v>5.5078035095779132E-3</v>
      </c>
      <c r="DG57" s="35">
        <f>IF(OR(IPC!DG16="",IPC!CU16=""),"",IPC!DG16/IPC!CU16-1)</f>
        <v>8.3610110577798658E-3</v>
      </c>
      <c r="DH57" s="35">
        <f>IF(OR(IPC!DH16="",IPC!CV16=""),"",IPC!DH16/IPC!CV16-1)</f>
        <v>5.5665780318994162E-3</v>
      </c>
      <c r="DI57" s="35">
        <f>IF(OR(IPC!DI16="",IPC!CW16=""),"",IPC!DI16/IPC!CW16-1)</f>
        <v>5.6200468725167152E-3</v>
      </c>
      <c r="DJ57" s="35">
        <f>IF(OR(IPC!DJ16="",IPC!CX16=""),"",IPC!DJ16/IPC!CX16-1)</f>
        <v>5.9870878012910911E-3</v>
      </c>
      <c r="DK57" s="35">
        <f>IF(OR(IPC!DK16="",IPC!CY16=""),"",IPC!DK16/IPC!CY16-1)</f>
        <v>6.1185321497012612E-3</v>
      </c>
      <c r="DL57" s="35">
        <f>IF(OR(IPC!DL16="",IPC!CZ16=""),"",IPC!DL16/IPC!CZ16-1)</f>
        <v>5.8468354065175365E-3</v>
      </c>
      <c r="DM57" s="35">
        <f>IF(OR(IPC!DM16="",IPC!DA16=""),"",IPC!DM16/IPC!DA16-1)</f>
        <v>5.8636735729835632E-3</v>
      </c>
      <c r="DN57" s="35">
        <f>IF(OR(IPC!DN16="",IPC!DB16=""),"",IPC!DN16/IPC!DB16-1)</f>
        <v>7.0363732749378904E-3</v>
      </c>
      <c r="DO57" s="35">
        <f>IF(OR(IPC!DO16="",IPC!DC16=""),"",IPC!DO16/IPC!DC16-1)</f>
        <v>4.6134383637590481E-3</v>
      </c>
      <c r="DP57" s="35">
        <f>IF(OR(IPC!DP16="",IPC!DD16=""),"",IPC!DP16/IPC!DD16-1)</f>
        <v>6.4974253285237094E-3</v>
      </c>
      <c r="DQ57" s="35">
        <f>IF(OR(IPC!DQ16="",IPC!DE16=""),"",IPC!DQ16/IPC!DE16-1)</f>
        <v>7.5988123496844029E-3</v>
      </c>
      <c r="DR57" s="35">
        <f>IF(OR(IPC!DR16="",IPC!DF16=""),"",IPC!DR16/IPC!DF16-1)</f>
        <v>1.0072160895940208E-2</v>
      </c>
      <c r="DS57" s="35">
        <f>IF(OR(IPC!DS16="",IPC!DG16=""),"",IPC!DS16/IPC!DG16-1)</f>
        <v>7.3370613409307062E-3</v>
      </c>
      <c r="DT57" s="35">
        <f>IF(OR(IPC!DT16="",IPC!DH16=""),"",IPC!DT16/IPC!DH16-1)</f>
        <v>1.0175044878316442E-2</v>
      </c>
      <c r="DU57" s="35">
        <f>IF(OR(IPC!DU16="",IPC!DI16=""),"",IPC!DU16/IPC!DI16-1)</f>
        <v>9.580073694570812E-3</v>
      </c>
      <c r="DV57" s="35">
        <f>IF(OR(IPC!DV16="",IPC!DJ16=""),"",IPC!DV16/IPC!DJ16-1)</f>
        <v>9.6471030610894015E-3</v>
      </c>
      <c r="DW57" s="35">
        <f>IF(OR(IPC!DW16="",IPC!DK16=""),"",IPC!DW16/IPC!DK16-1)</f>
        <v>8.9140949419972415E-3</v>
      </c>
      <c r="DX57" s="35">
        <f>IF(OR(IPC!DX16="",IPC!DL16=""),"",IPC!DX16/IPC!DL16-1)</f>
        <v>8.7621358668994453E-3</v>
      </c>
      <c r="DY57" s="35">
        <f>IF(OR(IPC!DY16="",IPC!DM16=""),"",IPC!DY16/IPC!DM16-1)</f>
        <v>8.9015023841068075E-3</v>
      </c>
      <c r="DZ57" s="35">
        <f>IF(OR(IPC!DZ16="",IPC!DN16=""),"",IPC!DZ16/IPC!DN16-1)</f>
        <v>1.1610177217372231E-2</v>
      </c>
      <c r="EA57" s="35">
        <f>IF(OR(IPC!EA16="",IPC!DO16=""),"",IPC!EA16/IPC!DO16-1)</f>
        <v>1.5431473581844157E-2</v>
      </c>
      <c r="EB57" s="35">
        <f>IF(OR(IPC!EB16="",IPC!DP16=""),"",IPC!EB16/IPC!DP16-1)</f>
        <v>1.3958751881531395E-2</v>
      </c>
      <c r="EC57" s="35">
        <f>IF(OR(IPC!EC16="",IPC!DQ16=""),"",IPC!EC16/IPC!DQ16-1)</f>
        <v>1.4532533430677397E-2</v>
      </c>
      <c r="ED57" s="35">
        <f>IF(OR(IPC!ED16="",IPC!DR16=""),"",IPC!ED16/IPC!DR16-1)</f>
        <v>1.5472310962890035E-2</v>
      </c>
      <c r="EE57" s="35">
        <f>IF(OR(IPC!EE16="",IPC!DS16=""),"",IPC!EE16/IPC!DS16-1)</f>
        <v>1.6222035158074855E-2</v>
      </c>
      <c r="EF57" s="35">
        <f>IF(OR(IPC!EF16="",IPC!DT16=""),"",IPC!EF16/IPC!DT16-1)</f>
        <v>1.5804946304121659E-2</v>
      </c>
      <c r="EG57" s="35">
        <f>IF(OR(IPC!EG16="",IPC!DU16=""),"",IPC!EG16/IPC!DU16-1)</f>
        <v>1.6451520297853905E-2</v>
      </c>
      <c r="EH57" s="35">
        <f>IF(OR(IPC!EH16="",IPC!DV16=""),"",IPC!EH16/IPC!DV16-1)</f>
        <v>1.6592590752235514E-2</v>
      </c>
      <c r="EI57" s="35">
        <f>IF(OR(IPC!EI16="",IPC!DW16=""),"",IPC!EI16/IPC!DW16-1)</f>
        <v>1.662451692076683E-2</v>
      </c>
      <c r="EJ57" s="35">
        <f>IF(OR(IPC!EJ16="",IPC!DX16=""),"",IPC!EJ16/IPC!DX16-1)</f>
        <v>1.712106546318326E-2</v>
      </c>
      <c r="EK57" s="35">
        <f>IF(OR(IPC!EK16="",IPC!DY16=""),"",IPC!EK16/IPC!DY16-1)</f>
        <v>1.6958854194581985E-2</v>
      </c>
      <c r="EL57" s="35">
        <f>IF(OR(IPC!EL16="",IPC!DZ16=""),"",IPC!EL16/IPC!DZ16-1)</f>
        <v>1.8462261684439873E-2</v>
      </c>
      <c r="EM57" s="35">
        <f>IF(OR(IPC!EM16="",IPC!EA16=""),"",IPC!EM16/IPC!EA16-1)</f>
        <v>3.2837194259497826E-2</v>
      </c>
      <c r="EN57" s="35">
        <f>IF(OR(IPC!EN16="",IPC!EB16=""),"",IPC!EN16/IPC!EB16-1)</f>
        <v>4.0807358923144355E-2</v>
      </c>
      <c r="EO57" s="35">
        <f>IF(OR(IPC!EO16="",IPC!EC16=""),"",IPC!EO16/IPC!EC16-1)</f>
        <v>3.9134321737565925E-2</v>
      </c>
      <c r="EP57" s="35">
        <f>IF(OR(IPC!EP16="",IPC!ED16=""),"",IPC!EP16/IPC!ED16-1)</f>
        <v>3.6077416407080287E-2</v>
      </c>
      <c r="EQ57" s="35">
        <f>IF(OR(IPC!EQ16="",IPC!EE16=""),"",IPC!EQ16/IPC!EE16-1)</f>
        <v>3.5305552145599384E-2</v>
      </c>
      <c r="ER57" s="35">
        <f>IF(OR(IPC!ER16="",IPC!EF16=""),"",IPC!ER16/IPC!EF16-1)</f>
        <v>3.7198133117382515E-2</v>
      </c>
      <c r="ES57" s="35">
        <f>IF(OR(IPC!ES16="",IPC!EG16=""),"",IPC!ES16/IPC!EG16-1)</f>
        <v>3.7326846197977881E-2</v>
      </c>
      <c r="ET57" s="35">
        <f>IF(OR(IPC!ET16="",IPC!EH16=""),"",IPC!ET16/IPC!EH16-1)</f>
        <v>3.7135995078331652E-2</v>
      </c>
      <c r="EU57" s="35">
        <f>IF(OR(IPC!EU16="",IPC!EI16=""),"",IPC!EU16/IPC!EI16-1)</f>
        <v>3.7093921334088842E-2</v>
      </c>
      <c r="EV57" s="35">
        <f>IF(OR(IPC!EV16="",IPC!EJ16=""),"",IPC!EV16/IPC!EJ16-1)</f>
        <v>3.6538451956106277E-2</v>
      </c>
      <c r="EW57" s="35">
        <f>IF(OR(IPC!EW16="",IPC!EK16=""),"",IPC!EW16/IPC!EK16-1)</f>
        <v>3.6981361462336659E-2</v>
      </c>
      <c r="EX57" s="35">
        <f>IF(OR(IPC!EX16="",IPC!EL16=""),"",IPC!EX16/IPC!EL16-1)</f>
        <v>3.3585926821569689E-2</v>
      </c>
      <c r="EY57" s="35">
        <f>IF(OR(IPC!EY16="",IPC!EM16=""),"",IPC!EY16/IPC!EM16-1)</f>
        <v>2.6969389396124921E-2</v>
      </c>
      <c r="EZ57" s="35">
        <f>IF(OR(IPC!EZ16="",IPC!EN16=""),"",IPC!EZ16/IPC!EN16-1)</f>
        <v>2.4871433468604431E-2</v>
      </c>
      <c r="FA57" s="35">
        <f>IF(OR(IPC!FA16="",IPC!EO16=""),"",IPC!FA16/IPC!EO16-1)</f>
        <v>2.4109574573824233E-2</v>
      </c>
      <c r="FB57" s="35">
        <f>IF(OR(IPC!FB16="",IPC!EP16=""),"",IPC!FB16/IPC!EP16-1)</f>
        <v>2.4204340367762311E-2</v>
      </c>
      <c r="FC57" s="35">
        <f>IF(OR(IPC!FC16="",IPC!EQ16=""),"",IPC!FC16/IPC!EQ16-1)</f>
        <v>2.4187488183316619E-2</v>
      </c>
      <c r="FD57" s="35">
        <f>IF(OR(IPC!FD16="",IPC!ER16=""),"",IPC!FD16/IPC!ER16-1)</f>
        <v>2.2277970103260047E-2</v>
      </c>
      <c r="FE57" s="35">
        <f>IF(OR(IPC!FE16="",IPC!ES16=""),"",IPC!FE16/IPC!ES16-1)</f>
        <v>2.1494337864143009E-2</v>
      </c>
      <c r="FF57" s="35">
        <f>IF(OR(IPC!FF16="",IPC!ET16=""),"",IPC!FF16/IPC!ET16-1)</f>
        <v>2.14685204850249E-2</v>
      </c>
      <c r="FG57" s="35">
        <f>IF(OR(IPC!FG16="",IPC!EU16=""),"",IPC!FG16/IPC!EU16-1)</f>
        <v>2.1469022387983872E-2</v>
      </c>
      <c r="FH57" s="35">
        <f>IF(OR(IPC!FH16="",IPC!EV16=""),"",IPC!FH16/IPC!EV16-1)</f>
        <v>2.1671358351300407E-2</v>
      </c>
      <c r="FI57" s="35">
        <f>IF(OR(IPC!FI16="",IPC!EW16=""),"",IPC!FI16/IPC!EW16-1)</f>
        <v>2.2230173859604241E-2</v>
      </c>
      <c r="FJ57" s="35">
        <f>IF(OR(IPC!FJ16="",IPC!EX16=""),"",IPC!FJ16/IPC!EX16-1)</f>
        <v>2.4886947858257846E-2</v>
      </c>
      <c r="FK57" s="35">
        <f>IF(OR(IPC!FK16="",IPC!EY16=""),"",IPC!FK16/IPC!EY16-1)</f>
        <v>1.7212125860039507E-2</v>
      </c>
      <c r="FL57" s="35">
        <f>IF(OR(IPC!FL16="",IPC!EZ16=""),"",IPC!FL16/IPC!EZ16-1)</f>
        <v>1.4523155230415696E-2</v>
      </c>
      <c r="FM57" s="35">
        <f>IF(OR(IPC!FM16="",IPC!FA16=""),"",IPC!FM16/IPC!FA16-1)</f>
        <v>1.538086642118297E-2</v>
      </c>
      <c r="FN57" s="35">
        <f>IF(OR(IPC!FN16="",IPC!FB16=""),"",IPC!FN16/IPC!FB16-1)</f>
        <v>1.5196472110434733E-2</v>
      </c>
      <c r="FO57" s="35">
        <f>IF(OR(IPC!FO16="",IPC!FC16=""),"",IPC!FO16/IPC!FC16-1)</f>
        <v>1.5164526593591354E-2</v>
      </c>
      <c r="FP57" s="35">
        <f>IF(OR(IPC!FP16="",IPC!FD16=""),"",IPC!FP16/IPC!FD16-1)</f>
        <v>1.5311004784688942E-2</v>
      </c>
      <c r="FQ57" s="35">
        <f>IF(OR(IPC!FQ16="",IPC!FE16=""),"",IPC!FQ16/IPC!FE16-1)</f>
        <v>1.6267942583731987E-2</v>
      </c>
      <c r="FR57" s="35">
        <f>IF(OR(IPC!FR16="",IPC!FF16=""),"",IPC!FR16/IPC!FF16-1)</f>
        <v>1.7224880382775032E-2</v>
      </c>
    </row>
    <row r="58" spans="1:174" s="19" customFormat="1" ht="10.199999999999999" x14ac:dyDescent="0.2">
      <c r="A58" s="11">
        <v>11</v>
      </c>
      <c r="B58" s="1" t="s">
        <v>28</v>
      </c>
      <c r="C58" s="8">
        <v>42</v>
      </c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 t="str">
        <f>IF(OR(IPC!P17="",IPC!D17=""),"",IPC!P17/IPC!D17-1)</f>
        <v/>
      </c>
      <c r="Q58" s="35" t="str">
        <f>IF(OR(IPC!Q17="",IPC!E17=""),"",IPC!Q17/IPC!E17-1)</f>
        <v/>
      </c>
      <c r="R58" s="35" t="str">
        <f>IF(OR(IPC!R17="",IPC!F17=""),"",IPC!R17/IPC!F17-1)</f>
        <v/>
      </c>
      <c r="S58" s="35" t="str">
        <f>IF(OR(IPC!S17="",IPC!G17=""),"",IPC!S17/IPC!G17-1)</f>
        <v/>
      </c>
      <c r="T58" s="35" t="str">
        <f>IF(OR(IPC!T17="",IPC!H17=""),"",IPC!T17/IPC!H17-1)</f>
        <v/>
      </c>
      <c r="U58" s="35" t="str">
        <f>IF(OR(IPC!U17="",IPC!I17=""),"",IPC!U17/IPC!I17-1)</f>
        <v/>
      </c>
      <c r="V58" s="35" t="str">
        <f>IF(OR(IPC!V17="",IPC!J17=""),"",IPC!V17/IPC!J17-1)</f>
        <v/>
      </c>
      <c r="W58" s="35" t="str">
        <f>IF(OR(IPC!W17="",IPC!K17=""),"",IPC!W17/IPC!K17-1)</f>
        <v/>
      </c>
      <c r="X58" s="35" t="str">
        <f>IF(OR(IPC!X17="",IPC!L17=""),"",IPC!X17/IPC!L17-1)</f>
        <v/>
      </c>
      <c r="Y58" s="35" t="str">
        <f>IF(OR(IPC!Y17="",IPC!M17=""),"",IPC!Y17/IPC!M17-1)</f>
        <v/>
      </c>
      <c r="Z58" s="35" t="str">
        <f>IF(OR(IPC!Z17="",IPC!N17=""),"",IPC!Z17/IPC!N17-1)</f>
        <v/>
      </c>
      <c r="AA58" s="35" t="str">
        <f>IF(OR(IPC!AA17="",IPC!O17=""),"",IPC!AA17/IPC!O17-1)</f>
        <v/>
      </c>
      <c r="AB58" s="35">
        <f>IF(OR(IPC!AB17="",IPC!P17=""),"",IPC!AB17/IPC!P17-1)</f>
        <v>1.7595508817993766E-2</v>
      </c>
      <c r="AC58" s="35">
        <f>IF(OR(IPC!AC17="",IPC!Q17=""),"",IPC!AC17/IPC!Q17-1)</f>
        <v>1.7447316742063679E-2</v>
      </c>
      <c r="AD58" s="35">
        <f>IF(OR(IPC!AD17="",IPC!R17=""),"",IPC!AD17/IPC!R17-1)</f>
        <v>1.5423916094011947E-2</v>
      </c>
      <c r="AE58" s="35">
        <f>IF(OR(IPC!AE17="",IPC!S17=""),"",IPC!AE17/IPC!S17-1)</f>
        <v>9.4976673993882876E-3</v>
      </c>
      <c r="AF58" s="35">
        <f>IF(OR(IPC!AF17="",IPC!T17=""),"",IPC!AF17/IPC!T17-1)</f>
        <v>7.6869559820704758E-3</v>
      </c>
      <c r="AG58" s="35">
        <f>IF(OR(IPC!AG17="",IPC!U17=""),"",IPC!AG17/IPC!U17-1)</f>
        <v>1.6182714628514505E-2</v>
      </c>
      <c r="AH58" s="35">
        <f>IF(OR(IPC!AH17="",IPC!V17=""),"",IPC!AH17/IPC!V17-1)</f>
        <v>1.8843879200364233E-2</v>
      </c>
      <c r="AI58" s="35">
        <f>IF(OR(IPC!AI17="",IPC!W17=""),"",IPC!AI17/IPC!W17-1)</f>
        <v>2.1742481682978543E-2</v>
      </c>
      <c r="AJ58" s="35">
        <f>IF(OR(IPC!AJ17="",IPC!X17=""),"",IPC!AJ17/IPC!X17-1)</f>
        <v>3.1761091225796623E-2</v>
      </c>
      <c r="AK58" s="35">
        <f>IF(OR(IPC!AK17="",IPC!Y17=""),"",IPC!AK17/IPC!Y17-1)</f>
        <v>2.6183538404840778E-2</v>
      </c>
      <c r="AL58" s="35">
        <f>IF(OR(IPC!AL17="",IPC!Z17=""),"",IPC!AL17/IPC!Z17-1)</f>
        <v>2.0262188783706225E-2</v>
      </c>
      <c r="AM58" s="35">
        <f>IF(OR(IPC!AM17="",IPC!AA17=""),"",IPC!AM17/IPC!AA17-1)</f>
        <v>2.4267223393528159E-2</v>
      </c>
      <c r="AN58" s="35">
        <f>IF(OR(IPC!AN17="",IPC!AB17=""),"",IPC!AN17/IPC!AB17-1)</f>
        <v>3.1821959525479615E-2</v>
      </c>
      <c r="AO58" s="35">
        <f>IF(OR(IPC!AO17="",IPC!AC17=""),"",IPC!AO17/IPC!AC17-1)</f>
        <v>2.8271352654949178E-2</v>
      </c>
      <c r="AP58" s="35">
        <f>IF(OR(IPC!AP17="",IPC!AD17=""),"",IPC!AP17/IPC!AD17-1)</f>
        <v>1.8512443981575588E-2</v>
      </c>
      <c r="AQ58" s="35">
        <f>IF(OR(IPC!AQ17="",IPC!AE17=""),"",IPC!AQ17/IPC!AE17-1)</f>
        <v>3.0241248350707961E-2</v>
      </c>
      <c r="AR58" s="35">
        <f>IF(OR(IPC!AR17="",IPC!AF17=""),"",IPC!AR17/IPC!AF17-1)</f>
        <v>3.6986136515343215E-2</v>
      </c>
      <c r="AS58" s="35">
        <f>IF(OR(IPC!AS17="",IPC!AG17=""),"",IPC!AS17/IPC!AG17-1)</f>
        <v>3.0016497632386008E-2</v>
      </c>
      <c r="AT58" s="35">
        <f>IF(OR(IPC!AT17="",IPC!AH17=""),"",IPC!AT17/IPC!AH17-1)</f>
        <v>4.1579429950413083E-2</v>
      </c>
      <c r="AU58" s="35">
        <f>IF(OR(IPC!AU17="",IPC!AI17=""),"",IPC!AU17/IPC!AI17-1)</f>
        <v>4.2073568045182697E-2</v>
      </c>
      <c r="AV58" s="35">
        <f>IF(OR(IPC!AV17="",IPC!AJ17=""),"",IPC!AV17/IPC!AJ17-1)</f>
        <v>3.9726444857431709E-2</v>
      </c>
      <c r="AW58" s="35">
        <f>IF(OR(IPC!AW17="",IPC!AK17=""),"",IPC!AW17/IPC!AK17-1)</f>
        <v>4.1336010225667685E-2</v>
      </c>
      <c r="AX58" s="35">
        <f>IF(OR(IPC!AX17="",IPC!AL17=""),"",IPC!AX17/IPC!AL17-1)</f>
        <v>4.1207810263128586E-2</v>
      </c>
      <c r="AY58" s="35">
        <f>IF(OR(IPC!AY17="",IPC!AM17=""),"",IPC!AY17/IPC!AM17-1)</f>
        <v>4.4001539225718034E-2</v>
      </c>
      <c r="AZ58" s="35">
        <f>IF(OR(IPC!AZ17="",IPC!AN17=""),"",IPC!AZ17/IPC!AN17-1)</f>
        <v>3.3729310182665451E-2</v>
      </c>
      <c r="BA58" s="35">
        <f>IF(OR(IPC!BA17="",IPC!AO17=""),"",IPC!BA17/IPC!AO17-1)</f>
        <v>5.1861229166942246E-2</v>
      </c>
      <c r="BB58" s="35">
        <f>IF(OR(IPC!BB17="",IPC!AP17=""),"",IPC!BB17/IPC!AP17-1)</f>
        <v>7.5062505721781081E-2</v>
      </c>
      <c r="BC58" s="35">
        <f>IF(OR(IPC!BC17="",IPC!AQ17=""),"",IPC!BC17/IPC!AQ17-1)</f>
        <v>7.6072112670742209E-2</v>
      </c>
      <c r="BD58" s="35">
        <f>IF(OR(IPC!BD17="",IPC!AR17=""),"",IPC!BD17/IPC!AR17-1)</f>
        <v>6.6574833887176998E-2</v>
      </c>
      <c r="BE58" s="35">
        <f>IF(OR(IPC!BE17="",IPC!AS17=""),"",IPC!BE17/IPC!AS17-1)</f>
        <v>6.983435655299508E-2</v>
      </c>
      <c r="BF58" s="35">
        <f>IF(OR(IPC!BF17="",IPC!AT17=""),"",IPC!BF17/IPC!AT17-1)</f>
        <v>6.4263656111355871E-2</v>
      </c>
      <c r="BG58" s="35">
        <f>IF(OR(IPC!BG17="",IPC!AU17=""),"",IPC!BG17/IPC!AU17-1)</f>
        <v>5.4226653345259779E-2</v>
      </c>
      <c r="BH58" s="35">
        <f>IF(OR(IPC!BH17="",IPC!AV17=""),"",IPC!BH17/IPC!AV17-1)</f>
        <v>5.3195948173688112E-2</v>
      </c>
      <c r="BI58" s="35">
        <f>IF(OR(IPC!BI17="",IPC!AW17=""),"",IPC!BI17/IPC!AW17-1)</f>
        <v>5.3124368395932375E-2</v>
      </c>
      <c r="BJ58" s="35">
        <f>IF(OR(IPC!BJ17="",IPC!AX17=""),"",IPC!BJ17/IPC!AX17-1)</f>
        <v>5.5756177803677698E-2</v>
      </c>
      <c r="BK58" s="35">
        <f>IF(OR(IPC!BK17="",IPC!AY17=""),"",IPC!BK17/IPC!AY17-1)</f>
        <v>4.9278060007066138E-2</v>
      </c>
      <c r="BL58" s="35">
        <f>IF(OR(IPC!BL17="",IPC!AZ17=""),"",IPC!BL17/IPC!AZ17-1)</f>
        <v>7.1779547371238817E-2</v>
      </c>
      <c r="BM58" s="35">
        <f>IF(OR(IPC!BM17="",IPC!BA17=""),"",IPC!BM17/IPC!BA17-1)</f>
        <v>5.8383557659266394E-2</v>
      </c>
      <c r="BN58" s="35">
        <f>IF(OR(IPC!BN17="",IPC!BB17=""),"",IPC!BN17/IPC!BB17-1)</f>
        <v>3.6499264943051113E-2</v>
      </c>
      <c r="BO58" s="35">
        <f>IF(OR(IPC!BO17="",IPC!BC17=""),"",IPC!BO17/IPC!BC17-1)</f>
        <v>3.3544981333676782E-2</v>
      </c>
      <c r="BP58" s="35">
        <f>IF(OR(IPC!BP17="",IPC!BD17=""),"",IPC!BP17/IPC!BD17-1)</f>
        <v>3.1001460302135797E-2</v>
      </c>
      <c r="BQ58" s="35">
        <f>IF(OR(IPC!BQ17="",IPC!BE17=""),"",IPC!BQ17/IPC!BE17-1)</f>
        <v>3.1407089752466755E-2</v>
      </c>
      <c r="BR58" s="35">
        <f>IF(OR(IPC!BR17="",IPC!BF17=""),"",IPC!BR17/IPC!BF17-1)</f>
        <v>2.1031426419364951E-2</v>
      </c>
      <c r="BS58" s="35">
        <f>IF(OR(IPC!BS17="",IPC!BG17=""),"",IPC!BS17/IPC!BG17-1)</f>
        <v>2.6929715647236563E-2</v>
      </c>
      <c r="BT58" s="35">
        <f>IF(OR(IPC!BT17="",IPC!BH17=""),"",IPC!BT17/IPC!BH17-1)</f>
        <v>2.9190192920425906E-2</v>
      </c>
      <c r="BU58" s="35">
        <f>IF(OR(IPC!BU17="",IPC!BI17=""),"",IPC!BU17/IPC!BI17-1)</f>
        <v>2.7522390116598849E-2</v>
      </c>
      <c r="BV58" s="35">
        <f>IF(OR(IPC!BV17="",IPC!BJ17=""),"",IPC!BV17/IPC!BJ17-1)</f>
        <v>2.5049054437000784E-2</v>
      </c>
      <c r="BW58" s="35">
        <f>IF(OR(IPC!BW17="",IPC!BK17=""),"",IPC!BW17/IPC!BK17-1)</f>
        <v>2.4586329501608217E-2</v>
      </c>
      <c r="BX58" s="35">
        <f>IF(OR(IPC!BX17="",IPC!BL17=""),"",IPC!BX17/IPC!BL17-1)</f>
        <v>1.6073955445942589E-2</v>
      </c>
      <c r="BY58" s="35">
        <f>IF(OR(IPC!BY17="",IPC!BM17=""),"",IPC!BY17/IPC!BM17-1)</f>
        <v>1.1905438359435916E-2</v>
      </c>
      <c r="BZ58" s="35">
        <f>IF(OR(IPC!BZ17="",IPC!BN17=""),"",IPC!BZ17/IPC!BN17-1)</f>
        <v>1.5023001677989756E-2</v>
      </c>
      <c r="CA58" s="35">
        <f>IF(OR(IPC!CA17="",IPC!BO17=""),"",IPC!CA17/IPC!BO17-1)</f>
        <v>1.4231856539076659E-2</v>
      </c>
      <c r="CB58" s="35">
        <f>IF(OR(IPC!CB17="",IPC!BP17=""),"",IPC!CB17/IPC!BP17-1)</f>
        <v>9.2348193841198523E-3</v>
      </c>
      <c r="CC58" s="35">
        <f>IF(OR(IPC!CC17="",IPC!BQ17=""),"",IPC!CC17/IPC!BQ17-1)</f>
        <v>9.338977156531314E-3</v>
      </c>
      <c r="CD58" s="35">
        <f>IF(OR(IPC!CD17="",IPC!BR17=""),"",IPC!CD17/IPC!BR17-1)</f>
        <v>1.228766222861899E-2</v>
      </c>
      <c r="CE58" s="35">
        <f>IF(OR(IPC!CE17="",IPC!BS17=""),"",IPC!CE17/IPC!BS17-1)</f>
        <v>8.273936444048946E-3</v>
      </c>
      <c r="CF58" s="35">
        <f>IF(OR(IPC!CF17="",IPC!BT17=""),"",IPC!CF17/IPC!BT17-1)</f>
        <v>1.9545308697950237E-3</v>
      </c>
      <c r="CG58" s="35">
        <f>IF(OR(IPC!CG17="",IPC!BU17=""),"",IPC!CG17/IPC!BU17-1)</f>
        <v>4.6736833845231196E-3</v>
      </c>
      <c r="CH58" s="35">
        <f>IF(OR(IPC!CH17="",IPC!BV17=""),"",IPC!CH17/IPC!BV17-1)</f>
        <v>4.8062155494277281E-3</v>
      </c>
      <c r="CI58" s="35">
        <f>IF(OR(IPC!CI17="",IPC!BW17=""),"",IPC!CI17/IPC!BW17-1)</f>
        <v>4.2994593956642291E-3</v>
      </c>
      <c r="CJ58" s="35">
        <f>IF(OR(IPC!CJ17="",IPC!BX17=""),"",IPC!CJ17/IPC!BX17-1)</f>
        <v>5.2370923846765116E-3</v>
      </c>
      <c r="CK58" s="35">
        <f>IF(OR(IPC!CK17="",IPC!BY17=""),"",IPC!CK17/IPC!BY17-1)</f>
        <v>4.6562261536611249E-3</v>
      </c>
      <c r="CL58" s="35">
        <f>IF(OR(IPC!CL17="",IPC!BZ17=""),"",IPC!CL17/IPC!BZ17-1)</f>
        <v>5.8430951324106584E-3</v>
      </c>
      <c r="CM58" s="35">
        <f>IF(OR(IPC!CM17="",IPC!CA17=""),"",IPC!CM17/IPC!CA17-1)</f>
        <v>3.0568842982425792E-4</v>
      </c>
      <c r="CN58" s="35">
        <f>IF(OR(IPC!CN17="",IPC!CB17=""),"",IPC!CN17/IPC!CB17-1)</f>
        <v>8.9674324410911055E-3</v>
      </c>
      <c r="CO58" s="35">
        <f>IF(OR(IPC!CO17="",IPC!CC17=""),"",IPC!CO17/IPC!CC17-1)</f>
        <v>1.1607359980258414E-2</v>
      </c>
      <c r="CP58" s="35">
        <f>IF(OR(IPC!CP17="",IPC!CD17=""),"",IPC!CP17/IPC!CD17-1)</f>
        <v>2.1075616442340683E-2</v>
      </c>
      <c r="CQ58" s="35">
        <f>IF(OR(IPC!CQ17="",IPC!CE17=""),"",IPC!CQ17/IPC!CE17-1)</f>
        <v>2.2856386884688717E-2</v>
      </c>
      <c r="CR58" s="35">
        <f>IF(OR(IPC!CR17="",IPC!CF17=""),"",IPC!CR17/IPC!CF17-1)</f>
        <v>2.7347474810043071E-2</v>
      </c>
      <c r="CS58" s="35">
        <f>IF(OR(IPC!CS17="",IPC!CG17=""),"",IPC!CS17/IPC!CG17-1)</f>
        <v>2.812839735074002E-2</v>
      </c>
      <c r="CT58" s="35">
        <f>IF(OR(IPC!CT17="",IPC!CH17=""),"",IPC!CT17/IPC!CH17-1)</f>
        <v>3.0515614302499827E-2</v>
      </c>
      <c r="CU58" s="35">
        <f>IF(OR(IPC!CU17="",IPC!CI17=""),"",IPC!CU17/IPC!CI17-1)</f>
        <v>4.335072096020598E-2</v>
      </c>
      <c r="CV58" s="35">
        <f>IF(OR(IPC!CV17="",IPC!CJ17=""),"",IPC!CV17/IPC!CJ17-1)</f>
        <v>4.2968292843372557E-2</v>
      </c>
      <c r="CW58" s="35">
        <f>IF(OR(IPC!CW17="",IPC!CK17=""),"",IPC!CW17/IPC!CK17-1)</f>
        <v>4.2949738712709129E-2</v>
      </c>
      <c r="CX58" s="35">
        <f>IF(OR(IPC!CX17="",IPC!CL17=""),"",IPC!CX17/IPC!CL17-1)</f>
        <v>6.2911015186753572E-2</v>
      </c>
      <c r="CY58" s="35">
        <f>IF(OR(IPC!CY17="",IPC!CM17=""),"",IPC!CY17/IPC!CM17-1)</f>
        <v>7.2509218756034333E-2</v>
      </c>
      <c r="CZ58" s="35">
        <f>IF(OR(IPC!CZ17="",IPC!CN17=""),"",IPC!CZ17/IPC!CN17-1)</f>
        <v>7.2785524155960513E-2</v>
      </c>
      <c r="DA58" s="35">
        <f>IF(OR(IPC!DA17="",IPC!CO17=""),"",IPC!DA17/IPC!CO17-1)</f>
        <v>6.7385981030218423E-2</v>
      </c>
      <c r="DB58" s="35">
        <f>IF(OR(IPC!DB17="",IPC!CP17=""),"",IPC!DB17/IPC!CP17-1)</f>
        <v>5.8801539783062795E-2</v>
      </c>
      <c r="DC58" s="35">
        <f>IF(OR(IPC!DC17="",IPC!CQ17=""),"",IPC!DC17/IPC!CQ17-1)</f>
        <v>5.6703144778449399E-2</v>
      </c>
      <c r="DD58" s="35">
        <f>IF(OR(IPC!DD17="",IPC!CR17=""),"",IPC!DD17/IPC!CR17-1)</f>
        <v>5.5984253362329373E-2</v>
      </c>
      <c r="DE58" s="35">
        <f>IF(OR(IPC!DE17="",IPC!CS17=""),"",IPC!DE17/IPC!CS17-1)</f>
        <v>5.7188532077773413E-2</v>
      </c>
      <c r="DF58" s="35">
        <f>IF(OR(IPC!DF17="",IPC!CT17=""),"",IPC!DF17/IPC!CT17-1)</f>
        <v>5.5006665539815591E-2</v>
      </c>
      <c r="DG58" s="35">
        <f>IF(OR(IPC!DG17="",IPC!CU17=""),"",IPC!DG17/IPC!CU17-1)</f>
        <v>4.3477216980340128E-2</v>
      </c>
      <c r="DH58" s="35">
        <f>IF(OR(IPC!DH17="",IPC!CV17=""),"",IPC!DH17/IPC!CV17-1)</f>
        <v>4.1658817389434555E-2</v>
      </c>
      <c r="DI58" s="35">
        <f>IF(OR(IPC!DI17="",IPC!CW17=""),"",IPC!DI17/IPC!CW17-1)</f>
        <v>4.2651417113848789E-2</v>
      </c>
      <c r="DJ58" s="35">
        <f>IF(OR(IPC!DJ17="",IPC!CX17=""),"",IPC!DJ17/IPC!CX17-1)</f>
        <v>2.4817454491283586E-2</v>
      </c>
      <c r="DK58" s="35">
        <f>IF(OR(IPC!DK17="",IPC!CY17=""),"",IPC!DK17/IPC!CY17-1)</f>
        <v>1.8828781522561178E-2</v>
      </c>
      <c r="DL58" s="35">
        <f>IF(OR(IPC!DL17="",IPC!CZ17=""),"",IPC!DL17/IPC!CZ17-1)</f>
        <v>1.545619460617953E-2</v>
      </c>
      <c r="DM58" s="35">
        <f>IF(OR(IPC!DM17="",IPC!DA17=""),"",IPC!DM17/IPC!DA17-1)</f>
        <v>1.5430517191348025E-2</v>
      </c>
      <c r="DN58" s="35">
        <f>IF(OR(IPC!DN17="",IPC!DB17=""),"",IPC!DN17/IPC!DB17-1)</f>
        <v>1.9671915841227294E-2</v>
      </c>
      <c r="DO58" s="35">
        <f>IF(OR(IPC!DO17="",IPC!DC17=""),"",IPC!DO17/IPC!DC17-1)</f>
        <v>2.0301093848672069E-2</v>
      </c>
      <c r="DP58" s="35">
        <f>IF(OR(IPC!DP17="",IPC!DD17=""),"",IPC!DP17/IPC!DD17-1)</f>
        <v>1.9854146950490481E-2</v>
      </c>
      <c r="DQ58" s="35">
        <f>IF(OR(IPC!DQ17="",IPC!DE17=""),"",IPC!DQ17/IPC!DE17-1)</f>
        <v>2.0162634171748239E-2</v>
      </c>
      <c r="DR58" s="35">
        <f>IF(OR(IPC!DR17="",IPC!DF17=""),"",IPC!DR17/IPC!DF17-1)</f>
        <v>1.990019540602761E-2</v>
      </c>
      <c r="DS58" s="35">
        <f>IF(OR(IPC!DS17="",IPC!DG17=""),"",IPC!DS17/IPC!DG17-1)</f>
        <v>1.8075727290027599E-2</v>
      </c>
      <c r="DT58" s="35">
        <f>IF(OR(IPC!DT17="",IPC!DH17=""),"",IPC!DT17/IPC!DH17-1)</f>
        <v>1.4521224739934224E-2</v>
      </c>
      <c r="DU58" s="35">
        <f>IF(OR(IPC!DU17="",IPC!DI17=""),"",IPC!DU17/IPC!DI17-1)</f>
        <v>1.4441040709368469E-2</v>
      </c>
      <c r="DV58" s="35">
        <f>IF(OR(IPC!DV17="",IPC!DJ17=""),"",IPC!DV17/IPC!DJ17-1)</f>
        <v>1.5476874412785113E-2</v>
      </c>
      <c r="DW58" s="35">
        <f>IF(OR(IPC!DW17="",IPC!DK17=""),"",IPC!DW17/IPC!DK17-1)</f>
        <v>1.5597252135232331E-2</v>
      </c>
      <c r="DX58" s="35">
        <f>IF(OR(IPC!DX17="",IPC!DL17=""),"",IPC!DX17/IPC!DL17-1)</f>
        <v>1.5707090634176746E-2</v>
      </c>
      <c r="DY58" s="35">
        <f>IF(OR(IPC!DY17="",IPC!DM17=""),"",IPC!DY17/IPC!DM17-1)</f>
        <v>1.597817150200731E-2</v>
      </c>
      <c r="DZ58" s="35">
        <f>IF(OR(IPC!DZ17="",IPC!DN17=""),"",IPC!DZ17/IPC!DN17-1)</f>
        <v>1.1360869422660791E-2</v>
      </c>
      <c r="EA58" s="35">
        <f>IF(OR(IPC!EA17="",IPC!DO17=""),"",IPC!EA17/IPC!DO17-1)</f>
        <v>1.2489631730499218E-2</v>
      </c>
      <c r="EB58" s="35">
        <f>IF(OR(IPC!EB17="",IPC!DP17=""),"",IPC!EB17/IPC!DP17-1)</f>
        <v>1.2837248139602409E-2</v>
      </c>
      <c r="EC58" s="35">
        <f>IF(OR(IPC!EC17="",IPC!DQ17=""),"",IPC!EC17/IPC!DQ17-1)</f>
        <v>1.4349801180137289E-2</v>
      </c>
      <c r="ED58" s="35">
        <f>IF(OR(IPC!ED17="",IPC!DR17=""),"",IPC!ED17/IPC!DR17-1)</f>
        <v>1.4951031842294071E-2</v>
      </c>
      <c r="EE58" s="35">
        <f>IF(OR(IPC!EE17="",IPC!DS17=""),"",IPC!EE17/IPC!DS17-1)</f>
        <v>2.8092785882511517E-2</v>
      </c>
      <c r="EF58" s="35">
        <f>IF(OR(IPC!EF17="",IPC!DT17=""),"",IPC!EF17/IPC!DT17-1)</f>
        <v>3.4453536859526013E-2</v>
      </c>
      <c r="EG58" s="35">
        <f>IF(OR(IPC!EG17="",IPC!DU17=""),"",IPC!EG17/IPC!DU17-1)</f>
        <v>3.3916405108965986E-2</v>
      </c>
      <c r="EH58" s="35">
        <f>IF(OR(IPC!EH17="",IPC!DV17=""),"",IPC!EH17/IPC!DV17-1)</f>
        <v>3.4816807804323169E-2</v>
      </c>
      <c r="EI58" s="35">
        <f>IF(OR(IPC!EI17="",IPC!DW17=""),"",IPC!EI17/IPC!DW17-1)</f>
        <v>4.6087826077939598E-2</v>
      </c>
      <c r="EJ58" s="35">
        <f>IF(OR(IPC!EJ17="",IPC!DX17=""),"",IPC!EJ17/IPC!DX17-1)</f>
        <v>6.1810626956784853E-2</v>
      </c>
      <c r="EK58" s="35">
        <f>IF(OR(IPC!EK17="",IPC!DY17=""),"",IPC!EK17/IPC!DY17-1)</f>
        <v>6.5695273229487761E-2</v>
      </c>
      <c r="EL58" s="35">
        <f>IF(OR(IPC!EL17="",IPC!DZ17=""),"",IPC!EL17/IPC!DZ17-1)</f>
        <v>7.3218187691576064E-2</v>
      </c>
      <c r="EM58" s="35">
        <f>IF(OR(IPC!EM17="",IPC!EA17=""),"",IPC!EM17/IPC!EA17-1)</f>
        <v>7.4375894134046883E-2</v>
      </c>
      <c r="EN58" s="35">
        <f>IF(OR(IPC!EN17="",IPC!EB17=""),"",IPC!EN17/IPC!EB17-1)</f>
        <v>8.9225623543670141E-2</v>
      </c>
      <c r="EO58" s="35">
        <f>IF(OR(IPC!EO17="",IPC!EC17=""),"",IPC!EO17/IPC!EC17-1)</f>
        <v>8.3852622051298731E-2</v>
      </c>
      <c r="EP58" s="35">
        <f>IF(OR(IPC!EP17="",IPC!ED17=""),"",IPC!EP17/IPC!ED17-1)</f>
        <v>8.5305720808454E-2</v>
      </c>
      <c r="EQ58" s="35">
        <f>IF(OR(IPC!EQ17="",IPC!EE17=""),"",IPC!EQ17/IPC!EE17-1)</f>
        <v>7.4706676951375339E-2</v>
      </c>
      <c r="ER58" s="35">
        <f>IF(OR(IPC!ER17="",IPC!EF17=""),"",IPC!ER17/IPC!EF17-1)</f>
        <v>7.160556862553924E-2</v>
      </c>
      <c r="ES58" s="35">
        <f>IF(OR(IPC!ES17="",IPC!EG17=""),"",IPC!ES17/IPC!EG17-1)</f>
        <v>7.6549362452544623E-2</v>
      </c>
      <c r="ET58" s="35">
        <f>IF(OR(IPC!ET17="",IPC!EH17=""),"",IPC!ET17/IPC!EH17-1)</f>
        <v>7.7327680762045325E-2</v>
      </c>
      <c r="EU58" s="35">
        <f>IF(OR(IPC!EU17="",IPC!EI17=""),"",IPC!EU17/IPC!EI17-1)</f>
        <v>6.7941704647117795E-2</v>
      </c>
      <c r="EV58" s="35">
        <f>IF(OR(IPC!EV17="",IPC!EJ17=""),"",IPC!EV17/IPC!EJ17-1)</f>
        <v>5.2765315326396278E-2</v>
      </c>
      <c r="EW58" s="35">
        <f>IF(OR(IPC!EW17="",IPC!EK17=""),"",IPC!EW17/IPC!EK17-1)</f>
        <v>5.0287205312643968E-2</v>
      </c>
      <c r="EX58" s="35">
        <f>IF(OR(IPC!EX17="",IPC!EL17=""),"",IPC!EX17/IPC!EL17-1)</f>
        <v>4.2318833970701686E-2</v>
      </c>
      <c r="EY58" s="35">
        <f>IF(OR(IPC!EY17="",IPC!EM17=""),"",IPC!EY17/IPC!EM17-1)</f>
        <v>4.1550588060906168E-2</v>
      </c>
      <c r="EZ58" s="35">
        <f>IF(OR(IPC!EZ17="",IPC!EN17=""),"",IPC!EZ17/IPC!EN17-1)</f>
        <v>2.9159874457841628E-2</v>
      </c>
      <c r="FA58" s="35">
        <f>IF(OR(IPC!FA17="",IPC!EO17=""),"",IPC!FA17/IPC!EO17-1)</f>
        <v>3.1847581938627245E-2</v>
      </c>
      <c r="FB58" s="35">
        <f>IF(OR(IPC!FB17="",IPC!EP17=""),"",IPC!FB17/IPC!EP17-1)</f>
        <v>3.0240089283230853E-2</v>
      </c>
      <c r="FC58" s="35">
        <f>IF(OR(IPC!FC17="",IPC!EQ17=""),"",IPC!FC17/IPC!EQ17-1)</f>
        <v>2.7729012796669839E-2</v>
      </c>
      <c r="FD58" s="35">
        <f>IF(OR(IPC!FD17="",IPC!ER17=""),"",IPC!FD17/IPC!ER17-1)</f>
        <v>2.509076248330766E-2</v>
      </c>
      <c r="FE58" s="35">
        <f>IF(OR(IPC!FE17="",IPC!ES17=""),"",IPC!FE17/IPC!ES17-1)</f>
        <v>2.3237777130261428E-2</v>
      </c>
      <c r="FF58" s="35">
        <f>IF(OR(IPC!FF17="",IPC!ET17=""),"",IPC!FF17/IPC!ET17-1)</f>
        <v>1.9660685460394678E-2</v>
      </c>
      <c r="FG58" s="35">
        <f>IF(OR(IPC!FG17="",IPC!EU17=""),"",IPC!FG17/IPC!EU17-1)</f>
        <v>1.6797237930751496E-2</v>
      </c>
      <c r="FH58" s="35">
        <f>IF(OR(IPC!FH17="",IPC!EV17=""),"",IPC!FH17/IPC!EV17-1)</f>
        <v>1.6867215679921665E-2</v>
      </c>
      <c r="FI58" s="35">
        <f>IF(OR(IPC!FI17="",IPC!EW17=""),"",IPC!FI17/IPC!EW17-1)</f>
        <v>1.789383567132119E-2</v>
      </c>
      <c r="FJ58" s="35">
        <f>IF(OR(IPC!FJ17="",IPC!EX17=""),"",IPC!FJ17/IPC!EX17-1)</f>
        <v>1.9066631985203086E-2</v>
      </c>
      <c r="FK58" s="35">
        <f>IF(OR(IPC!FK17="",IPC!EY17=""),"",IPC!FK17/IPC!EY17-1)</f>
        <v>1.7305208275798512E-2</v>
      </c>
      <c r="FL58" s="35">
        <f>IF(OR(IPC!FL17="",IPC!EZ17=""),"",IPC!FL17/IPC!EZ17-1)</f>
        <v>1.6443063819216786E-2</v>
      </c>
      <c r="FM58" s="35">
        <f>IF(OR(IPC!FM17="",IPC!FA17=""),"",IPC!FM17/IPC!FA17-1)</f>
        <v>1.6464697504257275E-2</v>
      </c>
      <c r="FN58" s="35">
        <f>IF(OR(IPC!FN17="",IPC!FB17=""),"",IPC!FN17/IPC!FB17-1)</f>
        <v>1.9252629389554743E-2</v>
      </c>
      <c r="FO58" s="35">
        <f>IF(OR(IPC!FO17="",IPC!FC17=""),"",IPC!FO17/IPC!FC17-1)</f>
        <v>2.1153304268862749E-2</v>
      </c>
      <c r="FP58" s="35">
        <f>IF(OR(IPC!FP17="",IPC!FD17=""),"",IPC!FP17/IPC!FD17-1)</f>
        <v>2.2641509433962259E-2</v>
      </c>
      <c r="FQ58" s="35">
        <f>IF(OR(IPC!FQ17="",IPC!FE17=""),"",IPC!FQ17/IPC!FE17-1)</f>
        <v>2.2577610536218318E-2</v>
      </c>
      <c r="FR58" s="35">
        <f>IF(OR(IPC!FR17="",IPC!FF17=""),"",IPC!FR17/IPC!FF17-1)</f>
        <v>2.2556390977443552E-2</v>
      </c>
    </row>
    <row r="59" spans="1:174" s="19" customFormat="1" ht="10.199999999999999" x14ac:dyDescent="0.2">
      <c r="A59" s="11">
        <v>12</v>
      </c>
      <c r="B59" s="1" t="s">
        <v>29</v>
      </c>
      <c r="C59" s="8">
        <v>18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 t="str">
        <f>IF(OR(IPC!P18="",IPC!D18=""),"",IPC!P18/IPC!D18-1)</f>
        <v/>
      </c>
      <c r="Q59" s="35" t="str">
        <f>IF(OR(IPC!Q18="",IPC!E18=""),"",IPC!Q18/IPC!E18-1)</f>
        <v/>
      </c>
      <c r="R59" s="35" t="str">
        <f>IF(OR(IPC!R18="",IPC!F18=""),"",IPC!R18/IPC!F18-1)</f>
        <v/>
      </c>
      <c r="S59" s="35" t="str">
        <f>IF(OR(IPC!S18="",IPC!G18=""),"",IPC!S18/IPC!G18-1)</f>
        <v/>
      </c>
      <c r="T59" s="35" t="str">
        <f>IF(OR(IPC!T18="",IPC!H18=""),"",IPC!T18/IPC!H18-1)</f>
        <v/>
      </c>
      <c r="U59" s="35" t="str">
        <f>IF(OR(IPC!U18="",IPC!I18=""),"",IPC!U18/IPC!I18-1)</f>
        <v/>
      </c>
      <c r="V59" s="35" t="str">
        <f>IF(OR(IPC!V18="",IPC!J18=""),"",IPC!V18/IPC!J18-1)</f>
        <v/>
      </c>
      <c r="W59" s="35" t="str">
        <f>IF(OR(IPC!W18="",IPC!K18=""),"",IPC!W18/IPC!K18-1)</f>
        <v/>
      </c>
      <c r="X59" s="35" t="str">
        <f>IF(OR(IPC!X18="",IPC!L18=""),"",IPC!X18/IPC!L18-1)</f>
        <v/>
      </c>
      <c r="Y59" s="35" t="str">
        <f>IF(OR(IPC!Y18="",IPC!M18=""),"",IPC!Y18/IPC!M18-1)</f>
        <v/>
      </c>
      <c r="Z59" s="35" t="str">
        <f>IF(OR(IPC!Z18="",IPC!N18=""),"",IPC!Z18/IPC!N18-1)</f>
        <v/>
      </c>
      <c r="AA59" s="35" t="str">
        <f>IF(OR(IPC!AA18="",IPC!O18=""),"",IPC!AA18/IPC!O18-1)</f>
        <v/>
      </c>
      <c r="AB59" s="35">
        <f>IF(OR(IPC!AB18="",IPC!P18=""),"",IPC!AB18/IPC!P18-1)</f>
        <v>1.8756876445771065E-2</v>
      </c>
      <c r="AC59" s="35">
        <f>IF(OR(IPC!AC18="",IPC!Q18=""),"",IPC!AC18/IPC!Q18-1)</f>
        <v>1.8832782998133846E-2</v>
      </c>
      <c r="AD59" s="35">
        <f>IF(OR(IPC!AD18="",IPC!R18=""),"",IPC!AD18/IPC!R18-1)</f>
        <v>1.678804158951519E-2</v>
      </c>
      <c r="AE59" s="35">
        <f>IF(OR(IPC!AE18="",IPC!S18=""),"",IPC!AE18/IPC!S18-1)</f>
        <v>1.4987382374338276E-2</v>
      </c>
      <c r="AF59" s="35">
        <f>IF(OR(IPC!AF18="",IPC!T18=""),"",IPC!AF18/IPC!T18-1)</f>
        <v>1.3340871451611447E-2</v>
      </c>
      <c r="AG59" s="35">
        <f>IF(OR(IPC!AG18="",IPC!U18=""),"",IPC!AG18/IPC!U18-1)</f>
        <v>1.6600384240840871E-2</v>
      </c>
      <c r="AH59" s="35">
        <f>IF(OR(IPC!AH18="",IPC!V18=""),"",IPC!AH18/IPC!V18-1)</f>
        <v>1.1243479703676451E-2</v>
      </c>
      <c r="AI59" s="35">
        <f>IF(OR(IPC!AI18="",IPC!W18=""),"",IPC!AI18/IPC!W18-1)</f>
        <v>1.653911600614677E-2</v>
      </c>
      <c r="AJ59" s="35">
        <f>IF(OR(IPC!AJ18="",IPC!X18=""),"",IPC!AJ18/IPC!X18-1)</f>
        <v>1.4406504634744799E-2</v>
      </c>
      <c r="AK59" s="35">
        <f>IF(OR(IPC!AK18="",IPC!Y18=""),"",IPC!AK18/IPC!Y18-1)</f>
        <v>6.6750190094242434E-3</v>
      </c>
      <c r="AL59" s="35">
        <f>IF(OR(IPC!AL18="",IPC!Z18=""),"",IPC!AL18/IPC!Z18-1)</f>
        <v>5.7670936862126432E-3</v>
      </c>
      <c r="AM59" s="35">
        <f>IF(OR(IPC!AM18="",IPC!AA18=""),"",IPC!AM18/IPC!AA18-1)</f>
        <v>1.5405545956193034E-2</v>
      </c>
      <c r="AN59" s="35">
        <f>IF(OR(IPC!AN18="",IPC!AB18=""),"",IPC!AN18/IPC!AB18-1)</f>
        <v>6.3219176828539503E-3</v>
      </c>
      <c r="AO59" s="35">
        <f>IF(OR(IPC!AO18="",IPC!AC18=""),"",IPC!AO18/IPC!AC18-1)</f>
        <v>5.537818331411648E-3</v>
      </c>
      <c r="AP59" s="35">
        <f>IF(OR(IPC!AP18="",IPC!AD18=""),"",IPC!AP18/IPC!AD18-1)</f>
        <v>8.7169455588582689E-3</v>
      </c>
      <c r="AQ59" s="35">
        <f>IF(OR(IPC!AQ18="",IPC!AE18=""),"",IPC!AQ18/IPC!AE18-1)</f>
        <v>1.050623826700936E-2</v>
      </c>
      <c r="AR59" s="35">
        <f>IF(OR(IPC!AR18="",IPC!AF18=""),"",IPC!AR18/IPC!AF18-1)</f>
        <v>8.9952743107684086E-3</v>
      </c>
      <c r="AS59" s="35">
        <f>IF(OR(IPC!AS18="",IPC!AG18=""),"",IPC!AS18/IPC!AG18-1)</f>
        <v>3.6833598549426139E-3</v>
      </c>
      <c r="AT59" s="35">
        <f>IF(OR(IPC!AT18="",IPC!AH18=""),"",IPC!AT18/IPC!AH18-1)</f>
        <v>8.0853065990997841E-3</v>
      </c>
      <c r="AU59" s="35">
        <f>IF(OR(IPC!AU18="",IPC!AI18=""),"",IPC!AU18/IPC!AI18-1)</f>
        <v>5.5416365897409392E-3</v>
      </c>
      <c r="AV59" s="35">
        <f>IF(OR(IPC!AV18="",IPC!AJ18=""),"",IPC!AV18/IPC!AJ18-1)</f>
        <v>1.0494683552046746E-2</v>
      </c>
      <c r="AW59" s="35">
        <f>IF(OR(IPC!AW18="",IPC!AK18=""),"",IPC!AW18/IPC!AK18-1)</f>
        <v>1.2154338923783259E-2</v>
      </c>
      <c r="AX59" s="35">
        <f>IF(OR(IPC!AX18="",IPC!AL18=""),"",IPC!AX18/IPC!AL18-1)</f>
        <v>1.259474435890362E-2</v>
      </c>
      <c r="AY59" s="35">
        <f>IF(OR(IPC!AY18="",IPC!AM18=""),"",IPC!AY18/IPC!AM18-1)</f>
        <v>1.7398102404297289E-2</v>
      </c>
      <c r="AZ59" s="35">
        <f>IF(OR(IPC!AZ18="",IPC!AN18=""),"",IPC!AZ18/IPC!AN18-1)</f>
        <v>2.7672909617169061E-2</v>
      </c>
      <c r="BA59" s="35">
        <f>IF(OR(IPC!BA18="",IPC!AO18=""),"",IPC!BA18/IPC!AO18-1)</f>
        <v>2.2202117127789744E-2</v>
      </c>
      <c r="BB59" s="35">
        <f>IF(OR(IPC!BB18="",IPC!AP18=""),"",IPC!BB18/IPC!AP18-1)</f>
        <v>2.1988212995665446E-2</v>
      </c>
      <c r="BC59" s="35">
        <f>IF(OR(IPC!BC18="",IPC!AQ18=""),"",IPC!BC18/IPC!AQ18-1)</f>
        <v>2.0492153089428644E-2</v>
      </c>
      <c r="BD59" s="35">
        <f>IF(OR(IPC!BD18="",IPC!AR18=""),"",IPC!BD18/IPC!AR18-1)</f>
        <v>2.5146136497215199E-2</v>
      </c>
      <c r="BE59" s="35">
        <f>IF(OR(IPC!BE18="",IPC!AS18=""),"",IPC!BE18/IPC!AS18-1)</f>
        <v>3.2487669958666254E-2</v>
      </c>
      <c r="BF59" s="35">
        <f>IF(OR(IPC!BF18="",IPC!AT18=""),"",IPC!BF18/IPC!AT18-1)</f>
        <v>2.7445484406281695E-2</v>
      </c>
      <c r="BG59" s="35">
        <f>IF(OR(IPC!BG18="",IPC!AU18=""),"",IPC!BG18/IPC!AU18-1)</f>
        <v>2.6424247978588999E-2</v>
      </c>
      <c r="BH59" s="35">
        <f>IF(OR(IPC!BH18="",IPC!AV18=""),"",IPC!BH18/IPC!AV18-1)</f>
        <v>2.6335182106556276E-2</v>
      </c>
      <c r="BI59" s="35">
        <f>IF(OR(IPC!BI18="",IPC!AW18=""),"",IPC!BI18/IPC!AW18-1)</f>
        <v>3.4594602677964881E-2</v>
      </c>
      <c r="BJ59" s="35">
        <f>IF(OR(IPC!BJ18="",IPC!AX18=""),"",IPC!BJ18/IPC!AX18-1)</f>
        <v>3.0993089222070669E-2</v>
      </c>
      <c r="BK59" s="35">
        <f>IF(OR(IPC!BK18="",IPC!AY18=""),"",IPC!BK18/IPC!AY18-1)</f>
        <v>2.3921178520600606E-2</v>
      </c>
      <c r="BL59" s="35">
        <f>IF(OR(IPC!BL18="",IPC!AZ18=""),"",IPC!BL18/IPC!AZ18-1)</f>
        <v>1.9909921150959908E-2</v>
      </c>
      <c r="BM59" s="35">
        <f>IF(OR(IPC!BM18="",IPC!BA18=""),"",IPC!BM18/IPC!BA18-1)</f>
        <v>1.9572334382361056E-2</v>
      </c>
      <c r="BN59" s="35">
        <f>IF(OR(IPC!BN18="",IPC!BB18=""),"",IPC!BN18/IPC!BB18-1)</f>
        <v>1.9342526416360029E-2</v>
      </c>
      <c r="BO59" s="35">
        <f>IF(OR(IPC!BO18="",IPC!BC18=""),"",IPC!BO18/IPC!BC18-1)</f>
        <v>2.2325515232814119E-2</v>
      </c>
      <c r="BP59" s="35">
        <f>IF(OR(IPC!BP18="",IPC!BD18=""),"",IPC!BP18/IPC!BD18-1)</f>
        <v>1.5315498280304984E-2</v>
      </c>
      <c r="BQ59" s="35">
        <f>IF(OR(IPC!BQ18="",IPC!BE18=""),"",IPC!BQ18/IPC!BE18-1)</f>
        <v>1.3550539764805025E-2</v>
      </c>
      <c r="BR59" s="35">
        <f>IF(OR(IPC!BR18="",IPC!BF18=""),"",IPC!BR18/IPC!BF18-1)</f>
        <v>2.0226947460974198E-2</v>
      </c>
      <c r="BS59" s="35">
        <f>IF(OR(IPC!BS18="",IPC!BG18=""),"",IPC!BS18/IPC!BG18-1)</f>
        <v>2.0528172840646564E-2</v>
      </c>
      <c r="BT59" s="35">
        <f>IF(OR(IPC!BT18="",IPC!BH18=""),"",IPC!BT18/IPC!BH18-1)</f>
        <v>1.8607065977224835E-2</v>
      </c>
      <c r="BU59" s="35">
        <f>IF(OR(IPC!BU18="",IPC!BI18=""),"",IPC!BU18/IPC!BI18-1)</f>
        <v>1.494239056161728E-2</v>
      </c>
      <c r="BV59" s="35">
        <f>IF(OR(IPC!BV18="",IPC!BJ18=""),"",IPC!BV18/IPC!BJ18-1)</f>
        <v>1.53986513038602E-2</v>
      </c>
      <c r="BW59" s="35">
        <f>IF(OR(IPC!BW18="",IPC!BK18=""),"",IPC!BW18/IPC!BK18-1)</f>
        <v>1.2535370869056983E-2</v>
      </c>
      <c r="BX59" s="35">
        <f>IF(OR(IPC!BX18="",IPC!BL18=""),"",IPC!BX18/IPC!BL18-1)</f>
        <v>1.6074590042491455E-2</v>
      </c>
      <c r="BY59" s="35">
        <f>IF(OR(IPC!BY18="",IPC!BM18=""),"",IPC!BY18/IPC!BM18-1)</f>
        <v>1.6667066065587433E-2</v>
      </c>
      <c r="BZ59" s="35">
        <f>IF(OR(IPC!BZ18="",IPC!BN18=""),"",IPC!BZ18/IPC!BN18-1)</f>
        <v>2.0847039158196301E-2</v>
      </c>
      <c r="CA59" s="35">
        <f>IF(OR(IPC!CA18="",IPC!BO18=""),"",IPC!CA18/IPC!BO18-1)</f>
        <v>1.9425071937770655E-2</v>
      </c>
      <c r="CB59" s="35">
        <f>IF(OR(IPC!CB18="",IPC!BP18=""),"",IPC!CB18/IPC!BP18-1)</f>
        <v>2.175462418427121E-2</v>
      </c>
      <c r="CC59" s="35">
        <f>IF(OR(IPC!CC18="",IPC!BQ18=""),"",IPC!CC18/IPC!BQ18-1)</f>
        <v>1.8805598375416066E-2</v>
      </c>
      <c r="CD59" s="35">
        <f>IF(OR(IPC!CD18="",IPC!BR18=""),"",IPC!CD18/IPC!BR18-1)</f>
        <v>2.0899448652453634E-2</v>
      </c>
      <c r="CE59" s="35">
        <f>IF(OR(IPC!CE18="",IPC!BS18=""),"",IPC!CE18/IPC!BS18-1)</f>
        <v>1.9100595544452093E-2</v>
      </c>
      <c r="CF59" s="35">
        <f>IF(OR(IPC!CF18="",IPC!BT18=""),"",IPC!CF18/IPC!BT18-1)</f>
        <v>2.1294153261409265E-2</v>
      </c>
      <c r="CG59" s="35">
        <f>IF(OR(IPC!CG18="",IPC!BU18=""),"",IPC!CG18/IPC!BU18-1)</f>
        <v>1.8185354238900553E-2</v>
      </c>
      <c r="CH59" s="35">
        <f>IF(OR(IPC!CH18="",IPC!BV18=""),"",IPC!CH18/IPC!BV18-1)</f>
        <v>1.71483986694283E-2</v>
      </c>
      <c r="CI59" s="35">
        <f>IF(OR(IPC!CI18="",IPC!BW18=""),"",IPC!CI18/IPC!BW18-1)</f>
        <v>1.5224340964653527E-2</v>
      </c>
      <c r="CJ59" s="35">
        <f>IF(OR(IPC!CJ18="",IPC!BX18=""),"",IPC!CJ18/IPC!BX18-1)</f>
        <v>1.4965074924896626E-2</v>
      </c>
      <c r="CK59" s="35">
        <f>IF(OR(IPC!CK18="",IPC!BY18=""),"",IPC!CK18/IPC!BY18-1)</f>
        <v>1.6352087387314196E-2</v>
      </c>
      <c r="CL59" s="35">
        <f>IF(OR(IPC!CL18="",IPC!BZ18=""),"",IPC!CL18/IPC!BZ18-1)</f>
        <v>1.2067176696348714E-2</v>
      </c>
      <c r="CM59" s="35">
        <f>IF(OR(IPC!CM18="",IPC!CA18=""),"",IPC!CM18/IPC!CA18-1)</f>
        <v>1.1196385342698179E-2</v>
      </c>
      <c r="CN59" s="35">
        <f>IF(OR(IPC!CN18="",IPC!CB18=""),"",IPC!CN18/IPC!CB18-1)</f>
        <v>1.4815484367440179E-2</v>
      </c>
      <c r="CO59" s="35">
        <f>IF(OR(IPC!CO18="",IPC!CC18=""),"",IPC!CO18/IPC!CC18-1)</f>
        <v>1.3759155011182855E-2</v>
      </c>
      <c r="CP59" s="35">
        <f>IF(OR(IPC!CP18="",IPC!CD18=""),"",IPC!CP18/IPC!CD18-1)</f>
        <v>1.1268942433772189E-2</v>
      </c>
      <c r="CQ59" s="35">
        <f>IF(OR(IPC!CQ18="",IPC!CE18=""),"",IPC!CQ18/IPC!CE18-1)</f>
        <v>1.5514223988963849E-2</v>
      </c>
      <c r="CR59" s="35">
        <f>IF(OR(IPC!CR18="",IPC!CF18=""),"",IPC!CR18/IPC!CF18-1)</f>
        <v>1.5112412025373168E-2</v>
      </c>
      <c r="CS59" s="35">
        <f>IF(OR(IPC!CS18="",IPC!CG18=""),"",IPC!CS18/IPC!CG18-1)</f>
        <v>1.653412202717397E-2</v>
      </c>
      <c r="CT59" s="35">
        <f>IF(OR(IPC!CT18="",IPC!CH18=""),"",IPC!CT18/IPC!CH18-1)</f>
        <v>1.8437607078399587E-2</v>
      </c>
      <c r="CU59" s="35">
        <f>IF(OR(IPC!CU18="",IPC!CI18=""),"",IPC!CU18/IPC!CI18-1)</f>
        <v>2.058336054937504E-2</v>
      </c>
      <c r="CV59" s="35">
        <f>IF(OR(IPC!CV18="",IPC!CJ18=""),"",IPC!CV18/IPC!CJ18-1)</f>
        <v>2.3079793961078288E-2</v>
      </c>
      <c r="CW59" s="35">
        <f>IF(OR(IPC!CW18="",IPC!CK18=""),"",IPC!CW18/IPC!CK18-1)</f>
        <v>2.5223976828615102E-2</v>
      </c>
      <c r="CX59" s="35">
        <f>IF(OR(IPC!CX18="",IPC!CL18=""),"",IPC!CX18/IPC!CL18-1)</f>
        <v>2.8555004155545793E-2</v>
      </c>
      <c r="CY59" s="35">
        <f>IF(OR(IPC!CY18="",IPC!CM18=""),"",IPC!CY18/IPC!CM18-1)</f>
        <v>2.9115367489044308E-2</v>
      </c>
      <c r="CZ59" s="35">
        <f>IF(OR(IPC!CZ18="",IPC!CN18=""),"",IPC!CZ18/IPC!CN18-1)</f>
        <v>2.673210868944853E-2</v>
      </c>
      <c r="DA59" s="35">
        <f>IF(OR(IPC!DA18="",IPC!CO18=""),"",IPC!DA18/IPC!CO18-1)</f>
        <v>2.9238838236799625E-2</v>
      </c>
      <c r="DB59" s="35">
        <f>IF(OR(IPC!DB18="",IPC!CP18=""),"",IPC!DB18/IPC!CP18-1)</f>
        <v>2.8499065529703049E-2</v>
      </c>
      <c r="DC59" s="35">
        <f>IF(OR(IPC!DC18="",IPC!CQ18=""),"",IPC!DC18/IPC!CQ18-1)</f>
        <v>2.612333431940117E-2</v>
      </c>
      <c r="DD59" s="35">
        <f>IF(OR(IPC!DD18="",IPC!CR18=""),"",IPC!DD18/IPC!CR18-1)</f>
        <v>2.2885908269969724E-2</v>
      </c>
      <c r="DE59" s="35">
        <f>IF(OR(IPC!DE18="",IPC!CS18=""),"",IPC!DE18/IPC!CS18-1)</f>
        <v>2.2518545840056969E-2</v>
      </c>
      <c r="DF59" s="35">
        <f>IF(OR(IPC!DF18="",IPC!CT18=""),"",IPC!DF18/IPC!CT18-1)</f>
        <v>2.2626925447551516E-2</v>
      </c>
      <c r="DG59" s="35">
        <f>IF(OR(IPC!DG18="",IPC!CU18=""),"",IPC!DG18/IPC!CU18-1)</f>
        <v>2.1758508171055624E-2</v>
      </c>
      <c r="DH59" s="35">
        <f>IF(OR(IPC!DH18="",IPC!CV18=""),"",IPC!DH18/IPC!CV18-1)</f>
        <v>1.771348632227876E-2</v>
      </c>
      <c r="DI59" s="35">
        <f>IF(OR(IPC!DI18="",IPC!CW18=""),"",IPC!DI18/IPC!CW18-1)</f>
        <v>1.7802695238475996E-2</v>
      </c>
      <c r="DJ59" s="35">
        <f>IF(OR(IPC!DJ18="",IPC!CX18=""),"",IPC!DJ18/IPC!CX18-1)</f>
        <v>1.301879587877397E-2</v>
      </c>
      <c r="DK59" s="35">
        <f>IF(OR(IPC!DK18="",IPC!CY18=""),"",IPC!DK18/IPC!CY18-1)</f>
        <v>1.3807410721536018E-2</v>
      </c>
      <c r="DL59" s="35">
        <f>IF(OR(IPC!DL18="",IPC!CZ18=""),"",IPC!DL18/IPC!CZ18-1)</f>
        <v>1.1411506262930526E-2</v>
      </c>
      <c r="DM59" s="35">
        <f>IF(OR(IPC!DM18="",IPC!DA18=""),"",IPC!DM18/IPC!DA18-1)</f>
        <v>1.1063084991683292E-2</v>
      </c>
      <c r="DN59" s="35">
        <f>IF(OR(IPC!DN18="",IPC!DB18=""),"",IPC!DN18/IPC!DB18-1)</f>
        <v>1.1385075473705708E-2</v>
      </c>
      <c r="DO59" s="35">
        <f>IF(OR(IPC!DO18="",IPC!DC18=""),"",IPC!DO18/IPC!DC18-1)</f>
        <v>1.0766543290507968E-2</v>
      </c>
      <c r="DP59" s="35">
        <f>IF(OR(IPC!DP18="",IPC!DD18=""),"",IPC!DP18/IPC!DD18-1)</f>
        <v>1.4343603304040276E-2</v>
      </c>
      <c r="DQ59" s="35">
        <f>IF(OR(IPC!DQ18="",IPC!DE18=""),"",IPC!DQ18/IPC!DE18-1)</f>
        <v>1.4244299607286903E-2</v>
      </c>
      <c r="DR59" s="35">
        <f>IF(OR(IPC!DR18="",IPC!DF18=""),"",IPC!DR18/IPC!DF18-1)</f>
        <v>1.3770668842331357E-2</v>
      </c>
      <c r="DS59" s="35">
        <f>IF(OR(IPC!DS18="",IPC!DG18=""),"",IPC!DS18/IPC!DG18-1)</f>
        <v>1.1964778222794736E-2</v>
      </c>
      <c r="DT59" s="35">
        <f>IF(OR(IPC!DT18="",IPC!DH18=""),"",IPC!DT18/IPC!DH18-1)</f>
        <v>1.3511717317208571E-2</v>
      </c>
      <c r="DU59" s="35">
        <f>IF(OR(IPC!DU18="",IPC!DI18=""),"",IPC!DU18/IPC!DI18-1)</f>
        <v>1.2636175788322435E-2</v>
      </c>
      <c r="DV59" s="35">
        <f>IF(OR(IPC!DV18="",IPC!DJ18=""),"",IPC!DV18/IPC!DJ18-1)</f>
        <v>1.4303406056418E-2</v>
      </c>
      <c r="DW59" s="35">
        <f>IF(OR(IPC!DW18="",IPC!DK18=""),"",IPC!DW18/IPC!DK18-1)</f>
        <v>1.1528152617525489E-2</v>
      </c>
      <c r="DX59" s="35">
        <f>IF(OR(IPC!DX18="",IPC!DL18=""),"",IPC!DX18/IPC!DL18-1)</f>
        <v>1.1880836042502674E-2</v>
      </c>
      <c r="DY59" s="35">
        <f>IF(OR(IPC!DY18="",IPC!DM18=""),"",IPC!DY18/IPC!DM18-1)</f>
        <v>1.0493094477935339E-2</v>
      </c>
      <c r="DZ59" s="35">
        <f>IF(OR(IPC!DZ18="",IPC!DN18=""),"",IPC!DZ18/IPC!DN18-1)</f>
        <v>1.0697437063477588E-2</v>
      </c>
      <c r="EA59" s="35">
        <f>IF(OR(IPC!EA18="",IPC!DO18=""),"",IPC!EA18/IPC!DO18-1)</f>
        <v>1.0286373216522593E-2</v>
      </c>
      <c r="EB59" s="35">
        <f>IF(OR(IPC!EB18="",IPC!DP18=""),"",IPC!EB18/IPC!DP18-1)</f>
        <v>7.3511730041728729E-3</v>
      </c>
      <c r="EC59" s="35">
        <f>IF(OR(IPC!EC18="",IPC!DQ18=""),"",IPC!EC18/IPC!DQ18-1)</f>
        <v>8.0778160202321647E-3</v>
      </c>
      <c r="ED59" s="35">
        <f>IF(OR(IPC!ED18="",IPC!DR18=""),"",IPC!ED18/IPC!DR18-1)</f>
        <v>8.5053801577383847E-3</v>
      </c>
      <c r="EE59" s="35">
        <f>IF(OR(IPC!EE18="",IPC!DS18=""),"",IPC!EE18/IPC!DS18-1)</f>
        <v>1.0134891923647027E-2</v>
      </c>
      <c r="EF59" s="35">
        <f>IF(OR(IPC!EF18="",IPC!DT18=""),"",IPC!EF18/IPC!DT18-1)</f>
        <v>1.3738031908709036E-2</v>
      </c>
      <c r="EG59" s="35">
        <f>IF(OR(IPC!EG18="",IPC!DU18=""),"",IPC!EG18/IPC!DU18-1)</f>
        <v>1.6826792046079397E-2</v>
      </c>
      <c r="EH59" s="35">
        <f>IF(OR(IPC!EH18="",IPC!DV18=""),"",IPC!EH18/IPC!DV18-1)</f>
        <v>2.2081854309425886E-2</v>
      </c>
      <c r="EI59" s="35">
        <f>IF(OR(IPC!EI18="",IPC!DW18=""),"",IPC!EI18/IPC!DW18-1)</f>
        <v>2.8282162523295851E-2</v>
      </c>
      <c r="EJ59" s="35">
        <f>IF(OR(IPC!EJ18="",IPC!DX18=""),"",IPC!EJ18/IPC!DX18-1)</f>
        <v>3.4136694891608643E-2</v>
      </c>
      <c r="EK59" s="35">
        <f>IF(OR(IPC!EK18="",IPC!DY18=""),"",IPC!EK18/IPC!DY18-1)</f>
        <v>3.6652191695302205E-2</v>
      </c>
      <c r="EL59" s="35">
        <f>IF(OR(IPC!EL18="",IPC!DZ18=""),"",IPC!EL18/IPC!DZ18-1)</f>
        <v>4.3232348664438813E-2</v>
      </c>
      <c r="EM59" s="35">
        <f>IF(OR(IPC!EM18="",IPC!EA18=""),"",IPC!EM18/IPC!EA18-1)</f>
        <v>5.0053080981509845E-2</v>
      </c>
      <c r="EN59" s="35">
        <f>IF(OR(IPC!EN18="",IPC!EB18=""),"",IPC!EN18/IPC!EB18-1)</f>
        <v>5.3818408785853311E-2</v>
      </c>
      <c r="EO59" s="35">
        <f>IF(OR(IPC!EO18="",IPC!EC18=""),"",IPC!EO18/IPC!EC18-1)</f>
        <v>5.939078214543736E-2</v>
      </c>
      <c r="EP59" s="35">
        <f>IF(OR(IPC!EP18="",IPC!ED18=""),"",IPC!EP18/IPC!ED18-1)</f>
        <v>6.0436684673737417E-2</v>
      </c>
      <c r="EQ59" s="35">
        <f>IF(OR(IPC!EQ18="",IPC!EE18=""),"",IPC!EQ18/IPC!EE18-1)</f>
        <v>6.3516913288566013E-2</v>
      </c>
      <c r="ER59" s="35">
        <f>IF(OR(IPC!ER18="",IPC!EF18=""),"",IPC!ER18/IPC!EF18-1)</f>
        <v>6.7186999469558639E-2</v>
      </c>
      <c r="ES59" s="35">
        <f>IF(OR(IPC!ES18="",IPC!EG18=""),"",IPC!ES18/IPC!EG18-1)</f>
        <v>6.964736164095342E-2</v>
      </c>
      <c r="ET59" s="35">
        <f>IF(OR(IPC!ET18="",IPC!EH18=""),"",IPC!ET18/IPC!EH18-1)</f>
        <v>6.4411487087058683E-2</v>
      </c>
      <c r="EU59" s="35">
        <f>IF(OR(IPC!EU18="",IPC!EI18=""),"",IPC!EU18/IPC!EI18-1)</f>
        <v>6.2811325336208146E-2</v>
      </c>
      <c r="EV59" s="35">
        <f>IF(OR(IPC!EV18="",IPC!EJ18=""),"",IPC!EV18/IPC!EJ18-1)</f>
        <v>5.9442950611665824E-2</v>
      </c>
      <c r="EW59" s="35">
        <f>IF(OR(IPC!EW18="",IPC!EK18=""),"",IPC!EW18/IPC!EK18-1)</f>
        <v>5.9834217438859749E-2</v>
      </c>
      <c r="EX59" s="35">
        <f>IF(OR(IPC!EX18="",IPC!EL18=""),"",IPC!EX18/IPC!EL18-1)</f>
        <v>5.1369660948865636E-2</v>
      </c>
      <c r="EY59" s="35">
        <f>IF(OR(IPC!EY18="",IPC!EM18=""),"",IPC!EY18/IPC!EM18-1)</f>
        <v>4.4683929241711384E-2</v>
      </c>
      <c r="EZ59" s="35">
        <f>IF(OR(IPC!EZ18="",IPC!EN18=""),"",IPC!EZ18/IPC!EN18-1)</f>
        <v>4.4226423959644601E-2</v>
      </c>
      <c r="FA59" s="35">
        <f>IF(OR(IPC!FA18="",IPC!EO18=""),"",IPC!FA18/IPC!EO18-1)</f>
        <v>3.9621938460416839E-2</v>
      </c>
      <c r="FB59" s="35">
        <f>IF(OR(IPC!FB18="",IPC!EP18=""),"",IPC!FB18/IPC!EP18-1)</f>
        <v>3.8716203717003905E-2</v>
      </c>
      <c r="FC59" s="35">
        <f>IF(OR(IPC!FC18="",IPC!EQ18=""),"",IPC!FC18/IPC!EQ18-1)</f>
        <v>3.5552615693249079E-2</v>
      </c>
      <c r="FD59" s="35">
        <f>IF(OR(IPC!FD18="",IPC!ER18=""),"",IPC!FD18/IPC!ER18-1)</f>
        <v>2.9078229757080187E-2</v>
      </c>
      <c r="FE59" s="35">
        <f>IF(OR(IPC!FE18="",IPC!ES18=""),"",IPC!FE18/IPC!ES18-1)</f>
        <v>2.7010899625528273E-2</v>
      </c>
      <c r="FF59" s="35">
        <f>IF(OR(IPC!FF18="",IPC!ET18=""),"",IPC!FF18/IPC!ET18-1)</f>
        <v>2.7518070235586167E-2</v>
      </c>
      <c r="FG59" s="35">
        <f>IF(OR(IPC!FG18="",IPC!EU18=""),"",IPC!FG18/IPC!EU18-1)</f>
        <v>2.4695855813269718E-2</v>
      </c>
      <c r="FH59" s="35">
        <f>IF(OR(IPC!FH18="",IPC!EV18=""),"",IPC!FH18/IPC!EV18-1)</f>
        <v>2.1655276382911426E-2</v>
      </c>
      <c r="FI59" s="35">
        <f>IF(OR(IPC!FI18="",IPC!EW18=""),"",IPC!FI18/IPC!EW18-1)</f>
        <v>2.1955147191788038E-2</v>
      </c>
      <c r="FJ59" s="35">
        <f>IF(OR(IPC!FJ18="",IPC!EX18=""),"",IPC!FJ18/IPC!EX18-1)</f>
        <v>2.2246715629290037E-2</v>
      </c>
      <c r="FK59" s="35">
        <f>IF(OR(IPC!FK18="",IPC!EY18=""),"",IPC!FK18/IPC!EY18-1)</f>
        <v>2.2537637012900902E-2</v>
      </c>
      <c r="FL59" s="35">
        <f>IF(OR(IPC!FL18="",IPC!EZ18=""),"",IPC!FL18/IPC!EZ18-1)</f>
        <v>2.0325141591177598E-2</v>
      </c>
      <c r="FM59" s="35">
        <f>IF(OR(IPC!FM18="",IPC!FA18=""),"",IPC!FM18/IPC!FA18-1)</f>
        <v>1.9914343241858923E-2</v>
      </c>
      <c r="FN59" s="35">
        <f>IF(OR(IPC!FN18="",IPC!FB18=""),"",IPC!FN18/IPC!FB18-1)</f>
        <v>2.1509433905861242E-2</v>
      </c>
      <c r="FO59" s="35">
        <f>IF(OR(IPC!FO18="",IPC!FC18=""),"",IPC!FO18/IPC!FC18-1)</f>
        <v>2.0255731102449603E-2</v>
      </c>
      <c r="FP59" s="35">
        <f>IF(OR(IPC!FP18="",IPC!FD18=""),"",IPC!FP18/IPC!FD18-1)</f>
        <v>1.9699812382739212E-2</v>
      </c>
      <c r="FQ59" s="35">
        <f>IF(OR(IPC!FQ18="",IPC!FE18=""),"",IPC!FQ18/IPC!FE18-1)</f>
        <v>1.7757009345794383E-2</v>
      </c>
      <c r="FR59" s="35">
        <f>IF(OR(IPC!FR18="",IPC!FF18=""),"",IPC!FR18/IPC!FF18-1)</f>
        <v>1.585820895522394E-2</v>
      </c>
    </row>
    <row r="60" spans="1:174" s="90" customFormat="1" ht="10.199999999999999" x14ac:dyDescent="0.2">
      <c r="A60" s="85"/>
      <c r="B60" s="86" t="s">
        <v>2</v>
      </c>
      <c r="C60" s="87">
        <f>SUM(C49:C59)+C46</f>
        <v>1000</v>
      </c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>
        <f>IF(OR(IPC!AB19="",IPC!P19=""),"",IPC!AB19/IPC!P19-1)</f>
        <v>2.747574117927587E-2</v>
      </c>
      <c r="AC60" s="89">
        <f>IF(OR(IPC!AC19="",IPC!Q19=""),"",IPC!AC19/IPC!Q19-1)</f>
        <v>2.671944867519005E-2</v>
      </c>
      <c r="AD60" s="89">
        <f>IF(OR(IPC!AD19="",IPC!R19=""),"",IPC!AD19/IPC!R19-1)</f>
        <v>2.3764115914413741E-2</v>
      </c>
      <c r="AE60" s="89">
        <f>IF(OR(IPC!AE19="",IPC!S19=""),"",IPC!AE19/IPC!S19-1)</f>
        <v>2.0473511233096708E-2</v>
      </c>
      <c r="AF60" s="89">
        <f>IF(OR(IPC!AF19="",IPC!T19=""),"",IPC!AF19/IPC!T19-1)</f>
        <v>1.7721608547440093E-2</v>
      </c>
      <c r="AG60" s="89">
        <f>IF(OR(IPC!AG19="",IPC!U19=""),"",IPC!AG19/IPC!U19-1)</f>
        <v>1.9450851625945065E-2</v>
      </c>
      <c r="AH60" s="89">
        <f>IF(OR(IPC!AH19="",IPC!V19=""),"",IPC!AH19/IPC!V19-1)</f>
        <v>1.6448701595826787E-2</v>
      </c>
      <c r="AI60" s="89">
        <f>IF(OR(IPC!AI19="",IPC!W19=""),"",IPC!AI19/IPC!W19-1)</f>
        <v>1.6060522589900206E-2</v>
      </c>
      <c r="AJ60" s="89">
        <f>IF(OR(IPC!AJ19="",IPC!X19=""),"",IPC!AJ19/IPC!X19-1)</f>
        <v>1.9534200829490533E-2</v>
      </c>
      <c r="AK60" s="89">
        <f>IF(OR(IPC!AK19="",IPC!Y19=""),"",IPC!AK19/IPC!Y19-1)</f>
        <v>2.0098208659173444E-2</v>
      </c>
      <c r="AL60" s="89">
        <f>IF(OR(IPC!AL19="",IPC!Z19=""),"",IPC!AL19/IPC!Z19-1)</f>
        <v>2.2131787477418952E-2</v>
      </c>
      <c r="AM60" s="89">
        <f>IF(OR(IPC!AM19="",IPC!AA19=""),"",IPC!AM19/IPC!AA19-1)</f>
        <v>1.6458960919585763E-2</v>
      </c>
      <c r="AN60" s="89">
        <f>IF(OR(IPC!AN19="",IPC!AB19=""),"",IPC!AN19/IPC!AB19-1)</f>
        <v>1.3301002224075376E-2</v>
      </c>
      <c r="AO60" s="89">
        <f>IF(OR(IPC!AO19="",IPC!AC19=""),"",IPC!AO19/IPC!AC19-1)</f>
        <v>1.4013722524600869E-2</v>
      </c>
      <c r="AP60" s="89">
        <f>IF(OR(IPC!AP19="",IPC!AD19=""),"",IPC!AP19/IPC!AD19-1)</f>
        <v>1.139043470098966E-2</v>
      </c>
      <c r="AQ60" s="89">
        <f>IF(OR(IPC!AQ19="",IPC!AE19=""),"",IPC!AQ19/IPC!AE19-1)</f>
        <v>9.3248713860347721E-3</v>
      </c>
      <c r="AR60" s="89">
        <f>IF(OR(IPC!AR19="",IPC!AF19=""),"",IPC!AR19/IPC!AF19-1)</f>
        <v>1.2367230523269601E-2</v>
      </c>
      <c r="AS60" s="89">
        <f>IF(OR(IPC!AS19="",IPC!AG19=""),"",IPC!AS19/IPC!AG19-1)</f>
        <v>7.8832255062801782E-3</v>
      </c>
      <c r="AT60" s="89">
        <f>IF(OR(IPC!AT19="",IPC!AH19=""),"",IPC!AT19/IPC!AH19-1)</f>
        <v>2.9456203332276054E-2</v>
      </c>
      <c r="AU60" s="89">
        <f>IF(OR(IPC!AU19="",IPC!AI19=""),"",IPC!AU19/IPC!AI19-1)</f>
        <v>2.635078708784544E-2</v>
      </c>
      <c r="AV60" s="89">
        <f>IF(OR(IPC!AV19="",IPC!AJ19=""),"",IPC!AV19/IPC!AJ19-1)</f>
        <v>2.6153850881503571E-2</v>
      </c>
      <c r="AW60" s="89">
        <f>IF(OR(IPC!AW19="",IPC!AK19=""),"",IPC!AW19/IPC!AK19-1)</f>
        <v>2.0257292167778163E-2</v>
      </c>
      <c r="AX60" s="89">
        <f>IF(OR(IPC!AX19="",IPC!AL19=""),"",IPC!AX19/IPC!AL19-1)</f>
        <v>2.5430815791080974E-2</v>
      </c>
      <c r="AY60" s="89">
        <f>IF(OR(IPC!AY19="",IPC!AM19=""),"",IPC!AY19/IPC!AM19-1)</f>
        <v>2.6205051452555361E-2</v>
      </c>
      <c r="AZ60" s="89">
        <f>IF(OR(IPC!AZ19="",IPC!AN19=""),"",IPC!AZ19/IPC!AN19-1)</f>
        <v>2.579822475950766E-2</v>
      </c>
      <c r="BA60" s="89">
        <f>IF(OR(IPC!BA19="",IPC!AO19=""),"",IPC!BA19/IPC!AO19-1)</f>
        <v>2.9977374047936323E-2</v>
      </c>
      <c r="BB60" s="89">
        <f>IF(OR(IPC!BB19="",IPC!AP19=""),"",IPC!BB19/IPC!AP19-1)</f>
        <v>3.1680257657490607E-2</v>
      </c>
      <c r="BC60" s="89">
        <f>IF(OR(IPC!BC19="",IPC!AQ19=""),"",IPC!BC19/IPC!AQ19-1)</f>
        <v>3.8720080392903089E-2</v>
      </c>
      <c r="BD60" s="89">
        <f>IF(OR(IPC!BD19="",IPC!AR19=""),"",IPC!BD19/IPC!AR19-1)</f>
        <v>3.6226204341202939E-2</v>
      </c>
      <c r="BE60" s="89">
        <f>IF(OR(IPC!BE19="",IPC!AS19=""),"",IPC!BE19/IPC!AS19-1)</f>
        <v>4.2728882575406413E-2</v>
      </c>
      <c r="BF60" s="89">
        <f>IF(OR(IPC!BF19="",IPC!AT19=""),"",IPC!BF19/IPC!AT19-1)</f>
        <v>2.33126864027422E-2</v>
      </c>
      <c r="BG60" s="89">
        <f>IF(OR(IPC!BG19="",IPC!AU19=""),"",IPC!BG19/IPC!AU19-1)</f>
        <v>2.1143262896138548E-2</v>
      </c>
      <c r="BH60" s="89">
        <f>IF(OR(IPC!BH19="",IPC!AV19=""),"",IPC!BH19/IPC!AV19-1)</f>
        <v>2.1464103814544888E-2</v>
      </c>
      <c r="BI60" s="89">
        <f>IF(OR(IPC!BI19="",IPC!AW19=""),"",IPC!BI19/IPC!AW19-1)</f>
        <v>2.2555383805340057E-2</v>
      </c>
      <c r="BJ60" s="89">
        <f>IF(OR(IPC!BJ19="",IPC!AX19=""),"",IPC!BJ19/IPC!AX19-1)</f>
        <v>1.4608808597642353E-2</v>
      </c>
      <c r="BK60" s="89">
        <f>IF(OR(IPC!BK19="",IPC!AY19=""),"",IPC!BK19/IPC!AY19-1)</f>
        <v>1.4462410967416517E-2</v>
      </c>
      <c r="BL60" s="89">
        <f>IF(OR(IPC!BL19="",IPC!AZ19=""),"",IPC!BL19/IPC!AZ19-1)</f>
        <v>1.7033584184282136E-2</v>
      </c>
      <c r="BM60" s="89">
        <f>IF(OR(IPC!BM19="",IPC!BA19=""),"",IPC!BM19/IPC!BA19-1)</f>
        <v>1.3021826601636421E-2</v>
      </c>
      <c r="BN60" s="89">
        <f>IF(OR(IPC!BN19="",IPC!BB19=""),"",IPC!BN19/IPC!BB19-1)</f>
        <v>1.4405466781653997E-2</v>
      </c>
      <c r="BO60" s="89">
        <f>IF(OR(IPC!BO19="",IPC!BC19=""),"",IPC!BO19/IPC!BC19-1)</f>
        <v>1.1016000692325889E-2</v>
      </c>
      <c r="BP60" s="89">
        <f>IF(OR(IPC!BP19="",IPC!BD19=""),"",IPC!BP19/IPC!BD19-1)</f>
        <v>1.3667232059983991E-2</v>
      </c>
      <c r="BQ60" s="89">
        <f>IF(OR(IPC!BQ19="",IPC!BE19=""),"",IPC!BQ19/IPC!BE19-1)</f>
        <v>6.6953206715028024E-3</v>
      </c>
      <c r="BR60" s="89">
        <f>IF(OR(IPC!BR19="",IPC!BF19=""),"",IPC!BR19/IPC!BF19-1)</f>
        <v>4.5123450522570607E-3</v>
      </c>
      <c r="BS60" s="89">
        <f>IF(OR(IPC!BS19="",IPC!BG19=""),"",IPC!BS19/IPC!BG19-1)</f>
        <v>8.830832735301497E-3</v>
      </c>
      <c r="BT60" s="89">
        <f>IF(OR(IPC!BT19="",IPC!BH19=""),"",IPC!BT19/IPC!BH19-1)</f>
        <v>5.5512188355810732E-3</v>
      </c>
      <c r="BU60" s="89">
        <f>IF(OR(IPC!BU19="",IPC!BI19=""),"",IPC!BU19/IPC!BI19-1)</f>
        <v>2.9531225838990149E-3</v>
      </c>
      <c r="BV60" s="89">
        <f>IF(OR(IPC!BV19="",IPC!BJ19=""),"",IPC!BV19/IPC!BJ19-1)</f>
        <v>4.5040373617983853E-3</v>
      </c>
      <c r="BW60" s="89">
        <f>IF(OR(IPC!BW19="",IPC!BK19=""),"",IPC!BW19/IPC!BK19-1)</f>
        <v>2.9154791068275454E-3</v>
      </c>
      <c r="BX60" s="89">
        <f>IF(OR(IPC!BX19="",IPC!BL19=""),"",IPC!BX19/IPC!BL19-1)</f>
        <v>4.2681384671134914E-3</v>
      </c>
      <c r="BY60" s="89">
        <f>IF(OR(IPC!BY19="",IPC!BM19=""),"",IPC!BY19/IPC!BM19-1)</f>
        <v>4.6956494729364362E-3</v>
      </c>
      <c r="BZ60" s="89">
        <f>IF(OR(IPC!BZ19="",IPC!BN19=""),"",IPC!BZ19/IPC!BN19-1)</f>
        <v>4.4188317169848723E-3</v>
      </c>
      <c r="CA60" s="89">
        <f>IF(OR(IPC!CA19="",IPC!BO19=""),"",IPC!CA19/IPC!BO19-1)</f>
        <v>7.7796867701702688E-3</v>
      </c>
      <c r="CB60" s="89">
        <f>IF(OR(IPC!CB19="",IPC!BP19=""),"",IPC!CB19/IPC!BP19-1)</f>
        <v>3.3358429644907428E-3</v>
      </c>
      <c r="CC60" s="89">
        <f>IF(OR(IPC!CC19="",IPC!BQ19=""),"",IPC!CC19/IPC!BQ19-1)</f>
        <v>5.8286728171188518E-3</v>
      </c>
      <c r="CD60" s="89">
        <f>IF(OR(IPC!CD19="",IPC!BR19=""),"",IPC!CD19/IPC!BR19-1)</f>
        <v>6.0300680363090109E-3</v>
      </c>
      <c r="CE60" s="89">
        <f>IF(OR(IPC!CE19="",IPC!BS19=""),"",IPC!CE19/IPC!BS19-1)</f>
        <v>6.3869423545348525E-3</v>
      </c>
      <c r="CF60" s="89">
        <f>IF(OR(IPC!CF19="",IPC!BT19=""),"",IPC!CF19/IPC!BT19-1)</f>
        <v>8.1360471032481119E-3</v>
      </c>
      <c r="CG60" s="89">
        <f>IF(OR(IPC!CG19="",IPC!BU19=""),"",IPC!CG19/IPC!BU19-1)</f>
        <v>9.3248281039530756E-3</v>
      </c>
      <c r="CH60" s="89">
        <f>IF(OR(IPC!CH19="",IPC!BV19=""),"",IPC!CH19/IPC!BV19-1)</f>
        <v>9.0325264983293074E-3</v>
      </c>
      <c r="CI60" s="89">
        <f>IF(OR(IPC!CI19="",IPC!BW19=""),"",IPC!CI19/IPC!BW19-1)</f>
        <v>7.6207951852085287E-3</v>
      </c>
      <c r="CJ60" s="89">
        <f>IF(OR(IPC!CJ19="",IPC!BX19=""),"",IPC!CJ19/IPC!BX19-1)</f>
        <v>8.7305603537013443E-3</v>
      </c>
      <c r="CK60" s="89">
        <f>IF(OR(IPC!CK19="",IPC!BY19=""),"",IPC!CK19/IPC!BY19-1)</f>
        <v>8.3469058532537055E-3</v>
      </c>
      <c r="CL60" s="89">
        <f>IF(OR(IPC!CL19="",IPC!BZ19=""),"",IPC!CL19/IPC!BZ19-1)</f>
        <v>7.5426206898574488E-3</v>
      </c>
      <c r="CM60" s="89">
        <f>IF(OR(IPC!CM19="",IPC!CA19=""),"",IPC!CM19/IPC!CA19-1)</f>
        <v>6.6139860475546985E-3</v>
      </c>
      <c r="CN60" s="89">
        <f>IF(OR(IPC!CN19="",IPC!CB19=""),"",IPC!CN19/IPC!CB19-1)</f>
        <v>8.7493194499339566E-3</v>
      </c>
      <c r="CO60" s="89">
        <f>IF(OR(IPC!CO19="",IPC!CC19=""),"",IPC!CO19/IPC!CC19-1)</f>
        <v>8.9371412225192071E-3</v>
      </c>
      <c r="CP60" s="89">
        <f>IF(OR(IPC!CP19="",IPC!CD19=""),"",IPC!CP19/IPC!CD19-1)</f>
        <v>9.2757251187434164E-3</v>
      </c>
      <c r="CQ60" s="89">
        <f>IF(OR(IPC!CQ19="",IPC!CE19=""),"",IPC!CQ19/IPC!CE19-1)</f>
        <v>7.0735735528879573E-3</v>
      </c>
      <c r="CR60" s="89">
        <f>IF(OR(IPC!CR19="",IPC!CF19=""),"",IPC!CR19/IPC!CF19-1)</f>
        <v>9.4585613538198388E-3</v>
      </c>
      <c r="CS60" s="89">
        <f>IF(OR(IPC!CS19="",IPC!CG19=""),"",IPC!CS19/IPC!CG19-1)</f>
        <v>1.5726275567223169E-2</v>
      </c>
      <c r="CT60" s="89">
        <f>IF(OR(IPC!CT19="",IPC!CH19=""),"",IPC!CT19/IPC!CH19-1)</f>
        <v>1.7353938902409993E-2</v>
      </c>
      <c r="CU60" s="89">
        <f>IF(OR(IPC!CU19="",IPC!CI19=""),"",IPC!CU19/IPC!CI19-1)</f>
        <v>1.9736457510479699E-2</v>
      </c>
      <c r="CV60" s="89">
        <f>IF(OR(IPC!CV19="",IPC!CJ19=""),"",IPC!CV19/IPC!CJ19-1)</f>
        <v>1.8904108856008239E-2</v>
      </c>
      <c r="CW60" s="89">
        <f>IF(OR(IPC!CW19="",IPC!CK19=""),"",IPC!CW19/IPC!CK19-1)</f>
        <v>2.2334225797552509E-2</v>
      </c>
      <c r="CX60" s="89">
        <f>IF(OR(IPC!CX19="",IPC!CL19=""),"",IPC!CX19/IPC!CL19-1)</f>
        <v>2.6311826752848377E-2</v>
      </c>
      <c r="CY60" s="89">
        <f>IF(OR(IPC!CY19="",IPC!CM19=""),"",IPC!CY19/IPC!CM19-1)</f>
        <v>2.5871952965443645E-2</v>
      </c>
      <c r="CZ60" s="89">
        <f>IF(OR(IPC!CZ19="",IPC!CN19=""),"",IPC!CZ19/IPC!CN19-1)</f>
        <v>2.3963055243812592E-2</v>
      </c>
      <c r="DA60" s="89">
        <f>IF(OR(IPC!DA19="",IPC!CO19=""),"",IPC!DA19/IPC!CO19-1)</f>
        <v>2.5542781861157104E-2</v>
      </c>
      <c r="DB60" s="89">
        <f>IF(OR(IPC!DB19="",IPC!CP19=""),"",IPC!DB19/IPC!CP19-1)</f>
        <v>2.6966702258945263E-2</v>
      </c>
      <c r="DC60" s="89">
        <f>IF(OR(IPC!DC19="",IPC!CQ19=""),"",IPC!DC19/IPC!CQ19-1)</f>
        <v>2.7131738511966486E-2</v>
      </c>
      <c r="DD60" s="89">
        <f>IF(OR(IPC!DD19="",IPC!CR19=""),"",IPC!DD19/IPC!CR19-1)</f>
        <v>2.4615164537570511E-2</v>
      </c>
      <c r="DE60" s="89">
        <f>IF(OR(IPC!DE19="",IPC!CS19=""),"",IPC!DE19/IPC!CS19-1)</f>
        <v>2.3529491272348046E-2</v>
      </c>
      <c r="DF60" s="89">
        <f>IF(OR(IPC!DF19="",IPC!CT19=""),"",IPC!DF19/IPC!CT19-1)</f>
        <v>2.5277337138753131E-2</v>
      </c>
      <c r="DG60" s="89">
        <f>IF(OR(IPC!DG19="",IPC!CU19=""),"",IPC!DG19/IPC!CU19-1)</f>
        <v>2.4274745020240296E-2</v>
      </c>
      <c r="DH60" s="89">
        <f>IF(OR(IPC!DH19="",IPC!CV19=""),"",IPC!DH19/IPC!CV19-1)</f>
        <v>2.7594619232494955E-2</v>
      </c>
      <c r="DI60" s="89">
        <f>IF(OR(IPC!DI19="",IPC!CW19=""),"",IPC!DI19/IPC!CW19-1)</f>
        <v>2.5910607393824447E-2</v>
      </c>
      <c r="DJ60" s="89">
        <f>IF(OR(IPC!DJ19="",IPC!CX19=""),"",IPC!DJ19/IPC!CX19-1)</f>
        <v>2.5020863928777448E-2</v>
      </c>
      <c r="DK60" s="89">
        <f>IF(OR(IPC!DK19="",IPC!CY19=""),"",IPC!DK19/IPC!CY19-1)</f>
        <v>2.6781304071629153E-2</v>
      </c>
      <c r="DL60" s="89">
        <f>IF(OR(IPC!DL19="",IPC!CZ19=""),"",IPC!DL19/IPC!CZ19-1)</f>
        <v>2.3610140210370778E-2</v>
      </c>
      <c r="DM60" s="89">
        <f>IF(OR(IPC!DM19="",IPC!DA19=""),"",IPC!DM19/IPC!DA19-1)</f>
        <v>2.3452468869172183E-2</v>
      </c>
      <c r="DN60" s="89">
        <f>IF(OR(IPC!DN19="",IPC!DB19=""),"",IPC!DN19/IPC!DB19-1)</f>
        <v>2.5503213254453039E-2</v>
      </c>
      <c r="DO60" s="89">
        <f>IF(OR(IPC!DO19="",IPC!DC19=""),"",IPC!DO19/IPC!DC19-1)</f>
        <v>2.55439534342361E-2</v>
      </c>
      <c r="DP60" s="89">
        <f>IF(OR(IPC!DP19="",IPC!DD19=""),"",IPC!DP19/IPC!DD19-1)</f>
        <v>2.3790372716809172E-2</v>
      </c>
      <c r="DQ60" s="89">
        <f>IF(OR(IPC!DQ19="",IPC!DE19=""),"",IPC!DQ19/IPC!DE19-1)</f>
        <v>2.4591600337922737E-2</v>
      </c>
      <c r="DR60" s="89">
        <f>IF(OR(IPC!DR19="",IPC!DF19=""),"",IPC!DR19/IPC!DF19-1)</f>
        <v>2.1212248894317387E-2</v>
      </c>
      <c r="DS60" s="89">
        <f>IF(OR(IPC!DS19="",IPC!DG19=""),"",IPC!DS19/IPC!DG19-1)</f>
        <v>2.1193203384297199E-2</v>
      </c>
      <c r="DT60" s="89">
        <f>IF(OR(IPC!DT19="",IPC!DH19=""),"",IPC!DT19/IPC!DH19-1)</f>
        <v>1.8900474905213738E-2</v>
      </c>
      <c r="DU60" s="89">
        <f>IF(OR(IPC!DU19="",IPC!DI19=""),"",IPC!DU19/IPC!DI19-1)</f>
        <v>1.8755092815244678E-2</v>
      </c>
      <c r="DV60" s="89">
        <f>IF(OR(IPC!DV19="",IPC!DJ19=""),"",IPC!DV19/IPC!DJ19-1)</f>
        <v>1.8876083723129877E-2</v>
      </c>
      <c r="DW60" s="89">
        <f>IF(OR(IPC!DW19="",IPC!DK19=""),"",IPC!DW19/IPC!DK19-1)</f>
        <v>1.679560304755201E-2</v>
      </c>
      <c r="DX60" s="89">
        <f>IF(OR(IPC!DX19="",IPC!DL19=""),"",IPC!DX19/IPC!DL19-1)</f>
        <v>2.2287731663223509E-2</v>
      </c>
      <c r="DY60" s="89">
        <f>IF(OR(IPC!DY19="",IPC!DM19=""),"",IPC!DY19/IPC!DM19-1)</f>
        <v>2.3899672815504314E-2</v>
      </c>
      <c r="DZ60" s="89">
        <f>IF(OR(IPC!DZ19="",IPC!DN19=""),"",IPC!DZ19/IPC!DN19-1)</f>
        <v>2.5002828848551539E-2</v>
      </c>
      <c r="EA60" s="89">
        <f>IF(OR(IPC!EA19="",IPC!DO19=""),"",IPC!EA19/IPC!DO19-1)</f>
        <v>2.2843622758515814E-2</v>
      </c>
      <c r="EB60" s="89">
        <f>IF(OR(IPC!EB19="",IPC!DP19=""),"",IPC!EB19/IPC!DP19-1)</f>
        <v>2.4045257719570001E-2</v>
      </c>
      <c r="EC60" s="89">
        <f>IF(OR(IPC!EC19="",IPC!DQ19=""),"",IPC!EC19/IPC!DQ19-1)</f>
        <v>2.164135944411294E-2</v>
      </c>
      <c r="ED60" s="89">
        <f>IF(OR(IPC!ED19="",IPC!DR19=""),"",IPC!ED19/IPC!DR19-1)</f>
        <v>2.3586109799982768E-2</v>
      </c>
      <c r="EE60" s="89">
        <f>IF(OR(IPC!EE19="",IPC!DS19=""),"",IPC!EE19/IPC!DS19-1)</f>
        <v>3.4571423942522772E-2</v>
      </c>
      <c r="EF60" s="89">
        <f>IF(OR(IPC!EF19="",IPC!DT19=""),"",IPC!EF19/IPC!DT19-1)</f>
        <v>4.089875587488212E-2</v>
      </c>
      <c r="EG60" s="89">
        <f>IF(OR(IPC!EG19="",IPC!DU19=""),"",IPC!EG19/IPC!DU19-1)</f>
        <v>4.44153736459727E-2</v>
      </c>
      <c r="EH60" s="89">
        <f>IF(OR(IPC!EH19="",IPC!DV19=""),"",IPC!EH19/IPC!DV19-1)</f>
        <v>4.6741447059279961E-2</v>
      </c>
      <c r="EI60" s="89">
        <f>IF(OR(IPC!EI19="",IPC!DW19=""),"",IPC!EI19/IPC!DW19-1)</f>
        <v>5.5584690777525481E-2</v>
      </c>
      <c r="EJ60" s="89">
        <f>IF(OR(IPC!EJ19="",IPC!DX19=""),"",IPC!EJ19/IPC!DX19-1)</f>
        <v>5.9313327374650004E-2</v>
      </c>
      <c r="EK60" s="89">
        <f>IF(OR(IPC!EK19="",IPC!DY19=""),"",IPC!EK19/IPC!DY19-1)</f>
        <v>6.0114475028770764E-2</v>
      </c>
      <c r="EL60" s="89">
        <f>IF(OR(IPC!EL19="",IPC!DZ19=""),"",IPC!EL19/IPC!DZ19-1)</f>
        <v>6.1451519613426653E-2</v>
      </c>
      <c r="EM60" s="89">
        <f>IF(OR(IPC!EM19="",IPC!EA19=""),"",IPC!EM19/IPC!EA19-1)</f>
        <v>7.0746790197427467E-2</v>
      </c>
      <c r="EN60" s="89">
        <f>IF(OR(IPC!EN19="",IPC!EB19=""),"",IPC!EN19/IPC!EB19-1)</f>
        <v>7.6541362695469184E-2</v>
      </c>
      <c r="EO60" s="89">
        <f>IF(OR(IPC!EO19="",IPC!EC19=""),"",IPC!EO19/IPC!EC19-1)</f>
        <v>7.7703476813928862E-2</v>
      </c>
      <c r="EP60" s="89">
        <f>IF(OR(IPC!EP19="",IPC!ED19=""),"",IPC!EP19/IPC!ED19-1)</f>
        <v>8.2116323178105022E-2</v>
      </c>
      <c r="EQ60" s="89">
        <f>IF(OR(IPC!EQ19="",IPC!EE19=""),"",IPC!EQ19/IPC!EE19-1)</f>
        <v>7.3153687006621171E-2</v>
      </c>
      <c r="ER60" s="89">
        <f>IF(OR(IPC!ER19="",IPC!EF19=""),"",IPC!ER19/IPC!EF19-1)</f>
        <v>7.14159619844279E-2</v>
      </c>
      <c r="ES60" s="89">
        <f>IF(OR(IPC!ES19="",IPC!EG19=""),"",IPC!ES19/IPC!EG19-1)</f>
        <v>8.224996553395636E-2</v>
      </c>
      <c r="ET60" s="89">
        <f>IF(OR(IPC!ET19="",IPC!EH19=""),"",IPC!ET19/IPC!EH19-1)</f>
        <v>8.5151161771732653E-2</v>
      </c>
      <c r="EU60" s="89">
        <f>IF(OR(IPC!EU19="",IPC!EI19=""),"",IPC!EU19/IPC!EI19-1)</f>
        <v>8.0108908068659224E-2</v>
      </c>
      <c r="EV60" s="89">
        <f>IF(OR(IPC!EV19="",IPC!EJ19=""),"",IPC!EV19/IPC!EJ19-1)</f>
        <v>7.7913859440823741E-2</v>
      </c>
      <c r="EW60" s="89">
        <f>IF(OR(IPC!EW19="",IPC!EK19=""),"",IPC!EW19/IPC!EK19-1)</f>
        <v>8.0390858571991464E-2</v>
      </c>
      <c r="EX60" s="89">
        <f>IF(OR(IPC!EX19="",IPC!EL19=""),"",IPC!EX19/IPC!EL19-1)</f>
        <v>7.7244372586469545E-2</v>
      </c>
      <c r="EY60" s="89">
        <f>IF(OR(IPC!EY19="",IPC!EM19=""),"",IPC!EY19/IPC!EM19-1)</f>
        <v>7.411297350178625E-2</v>
      </c>
      <c r="EZ60" s="89">
        <f>IF(OR(IPC!EZ19="",IPC!EN19=""),"",IPC!EZ19/IPC!EN19-1)</f>
        <v>6.9292679269495672E-2</v>
      </c>
      <c r="FA60" s="89">
        <f>IF(OR(IPC!FA19="",IPC!EO19=""),"",IPC!FA19/IPC!EO19-1)</f>
        <v>6.7569006986611058E-2</v>
      </c>
      <c r="FB60" s="89">
        <f>IF(OR(IPC!FB19="",IPC!EP19=""),"",IPC!FB19/IPC!EP19-1)</f>
        <v>6.179749110910393E-2</v>
      </c>
      <c r="FC60" s="89">
        <f>IF(OR(IPC!FC19="",IPC!EQ19=""),"",IPC!FC19/IPC!EQ19-1)</f>
        <v>5.7966990508653504E-2</v>
      </c>
      <c r="FD60" s="89">
        <f>IF(OR(IPC!FD19="",IPC!ER19=""),"",IPC!FD19/IPC!ER19-1)</f>
        <v>5.1683098620765033E-2</v>
      </c>
      <c r="FE60" s="89">
        <f>IF(OR(IPC!FE19="",IPC!ES19=""),"",IPC!FE19/IPC!ES19-1)</f>
        <v>4.9967645116060222E-2</v>
      </c>
      <c r="FF60" s="89">
        <f>IF(OR(IPC!FF19="",IPC!ET19=""),"",IPC!FF19/IPC!ET19-1)</f>
        <v>4.7758860340033626E-2</v>
      </c>
      <c r="FG60" s="89">
        <f>IF(OR(IPC!FG19="",IPC!EU19=""),"",IPC!FG19/IPC!EU19-1)</f>
        <v>4.6376135142581543E-2</v>
      </c>
      <c r="FH60" s="89">
        <f>IF(OR(IPC!FH19="",IPC!EV19=""),"",IPC!FH19/IPC!EV19-1)</f>
        <v>4.4743394093409439E-2</v>
      </c>
      <c r="FI60" s="89">
        <f>IF(OR(IPC!FI19="",IPC!EW19=""),"",IPC!FI19/IPC!EW19-1)</f>
        <v>4.226309216474089E-2</v>
      </c>
      <c r="FJ60" s="89">
        <f>IF(OR(IPC!FJ19="",IPC!EX19=""),"",IPC!FJ19/IPC!EX19-1)</f>
        <v>3.9197833915970426E-2</v>
      </c>
      <c r="FK60" s="89">
        <f>IF(OR(IPC!FK19="",IPC!EY19=""),"",IPC!FK19/IPC!EY19-1)</f>
        <v>3.7882925064556039E-2</v>
      </c>
      <c r="FL60" s="89">
        <f>IF(OR(IPC!FL19="",IPC!EZ19=""),"",IPC!FL19/IPC!EZ19-1)</f>
        <v>4.3848354300476622E-2</v>
      </c>
      <c r="FM60" s="89">
        <f>IF(OR(IPC!FM19="",IPC!FA19=""),"",IPC!FM19/IPC!FA19-1)</f>
        <v>4.4669916696466583E-2</v>
      </c>
      <c r="FN60" s="89">
        <f>IF(OR(IPC!FN19="",IPC!FB19=""),"",IPC!FN19/IPC!FB19-1)</f>
        <v>4.5214261822131174E-2</v>
      </c>
      <c r="FO60" s="89">
        <f>IF(OR(IPC!FO19="",IPC!FC19=""),"",IPC!FO19/IPC!FC19-1)</f>
        <v>5.11425499908984E-2</v>
      </c>
      <c r="FP60" s="89">
        <f>IF(OR(IPC!FP19="",IPC!FD19=""),"",IPC!FP19/IPC!FD19-1)</f>
        <v>5.2389705882353033E-2</v>
      </c>
      <c r="FQ60" s="89">
        <f>IF(OR(IPC!FQ19="",IPC!FE19=""),"",IPC!FQ19/IPC!FE19-1)</f>
        <v>3.9927404718693271E-2</v>
      </c>
      <c r="FR60" s="89">
        <f>IF(OR(IPC!FR19="",IPC!FF19=""),"",IPC!FR19/IPC!FF19-1)</f>
        <v>3.6970243462578933E-2</v>
      </c>
    </row>
    <row r="61" spans="1:174" s="74" customFormat="1" ht="10.199999999999999" x14ac:dyDescent="0.2">
      <c r="B61" s="3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75"/>
      <c r="CG61" s="75"/>
      <c r="CH61" s="75"/>
      <c r="CI61" s="75"/>
      <c r="CJ61" s="75"/>
      <c r="CK61" s="75"/>
      <c r="CL61" s="75"/>
      <c r="CM61" s="75"/>
      <c r="CN61" s="75"/>
      <c r="CO61" s="75"/>
      <c r="CP61" s="75"/>
      <c r="CQ61" s="75"/>
      <c r="CR61" s="75"/>
      <c r="CS61" s="75"/>
      <c r="CT61" s="75"/>
      <c r="CU61" s="75"/>
      <c r="CV61" s="75"/>
      <c r="CW61" s="75"/>
      <c r="CX61" s="75"/>
      <c r="CY61" s="75"/>
      <c r="CZ61" s="75"/>
      <c r="DA61" s="75"/>
      <c r="DB61" s="75"/>
      <c r="DC61" s="75"/>
      <c r="DD61" s="75"/>
      <c r="DE61" s="75"/>
      <c r="DF61" s="75"/>
      <c r="DG61" s="75"/>
      <c r="DH61" s="75"/>
      <c r="DI61" s="75"/>
      <c r="DJ61" s="75"/>
      <c r="DK61" s="75"/>
      <c r="DL61" s="75"/>
      <c r="DM61" s="75"/>
      <c r="DN61" s="75"/>
      <c r="DO61" s="75"/>
      <c r="DP61" s="75"/>
      <c r="DQ61" s="75"/>
      <c r="DR61" s="75"/>
      <c r="DS61" s="75"/>
      <c r="DT61" s="75"/>
      <c r="DU61" s="75"/>
      <c r="DV61" s="75"/>
      <c r="DW61" s="75"/>
      <c r="DX61" s="75"/>
      <c r="DY61" s="75"/>
      <c r="DZ61" s="75"/>
      <c r="EA61" s="75"/>
      <c r="EB61" s="75"/>
      <c r="EC61" s="75"/>
      <c r="ED61" s="75"/>
      <c r="EE61" s="75"/>
      <c r="EF61" s="75"/>
      <c r="EG61" s="75"/>
      <c r="EH61" s="75"/>
      <c r="EI61" s="75"/>
      <c r="EJ61" s="75"/>
      <c r="EK61" s="75"/>
      <c r="EL61" s="75"/>
      <c r="EM61" s="75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75"/>
      <c r="FF61" s="75"/>
      <c r="FG61" s="75"/>
      <c r="FH61" s="75"/>
      <c r="FI61" s="75"/>
    </row>
    <row r="62" spans="1:174" s="74" customFormat="1" ht="10.199999999999999" x14ac:dyDescent="0.2">
      <c r="B62" s="74" t="s">
        <v>3</v>
      </c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 t="str">
        <f>IF(OR(IPC!P21="",IPC!D21=""),"",IPC!P21/IPC!D21-1)</f>
        <v/>
      </c>
      <c r="Q62" s="75" t="str">
        <f>IF(OR(IPC!Q21="",IPC!E21=""),"",IPC!Q21/IPC!E21-1)</f>
        <v/>
      </c>
      <c r="R62" s="75" t="str">
        <f>IF(OR(IPC!R21="",IPC!F21=""),"",IPC!R21/IPC!F21-1)</f>
        <v/>
      </c>
      <c r="S62" s="75" t="str">
        <f>IF(OR(IPC!S21="",IPC!G21=""),"",IPC!S21/IPC!G21-1)</f>
        <v/>
      </c>
      <c r="T62" s="75" t="str">
        <f>IF(OR(IPC!T21="",IPC!H21=""),"",IPC!T21/IPC!H21-1)</f>
        <v/>
      </c>
      <c r="U62" s="75" t="str">
        <f>IF(OR(IPC!U21="",IPC!I21=""),"",IPC!U21/IPC!I21-1)</f>
        <v/>
      </c>
      <c r="V62" s="75" t="str">
        <f>IF(OR(IPC!V21="",IPC!J21=""),"",IPC!V21/IPC!J21-1)</f>
        <v/>
      </c>
      <c r="W62" s="75" t="str">
        <f>IF(OR(IPC!W21="",IPC!K21=""),"",IPC!W21/IPC!K21-1)</f>
        <v/>
      </c>
      <c r="X62" s="75" t="str">
        <f>IF(OR(IPC!X21="",IPC!L21=""),"",IPC!X21/IPC!L21-1)</f>
        <v/>
      </c>
      <c r="Y62" s="75" t="str">
        <f>IF(OR(IPC!Y21="",IPC!M21=""),"",IPC!Y21/IPC!M21-1)</f>
        <v/>
      </c>
      <c r="Z62" s="75" t="str">
        <f>IF(OR(IPC!Z21="",IPC!N21=""),"",IPC!Z21/IPC!N21-1)</f>
        <v/>
      </c>
      <c r="AA62" s="75" t="str">
        <f>IF(OR(IPC!AA21="",IPC!O21=""),"",IPC!AA21/IPC!O21-1)</f>
        <v/>
      </c>
      <c r="AB62" s="75">
        <f>IF(OR(IPC!AB21="",IPC!P21=""),"",IPC!AB21/IPC!P21-1)</f>
        <v>3.3058946920523358E-2</v>
      </c>
      <c r="AC62" s="75">
        <f>IF(OR(IPC!AC21="",IPC!Q21=""),"",IPC!AC21/IPC!Q21-1)</f>
        <v>3.1551820853593648E-2</v>
      </c>
      <c r="AD62" s="75">
        <f>IF(OR(IPC!AD21="",IPC!R21=""),"",IPC!AD21/IPC!R21-1)</f>
        <v>2.7565383846874791E-2</v>
      </c>
      <c r="AE62" s="75">
        <f>IF(OR(IPC!AE21="",IPC!S21=""),"",IPC!AE21/IPC!S21-1)</f>
        <v>2.0799464042676963E-2</v>
      </c>
      <c r="AF62" s="75">
        <f>IF(OR(IPC!AF21="",IPC!T21=""),"",IPC!AF21/IPC!T21-1)</f>
        <v>1.8143303975760361E-2</v>
      </c>
      <c r="AG62" s="75">
        <f>IF(OR(IPC!AG21="",IPC!U21=""),"",IPC!AG21/IPC!U21-1)</f>
        <v>2.1807439740836543E-2</v>
      </c>
      <c r="AH62" s="75">
        <f>IF(OR(IPC!AH21="",IPC!V21=""),"",IPC!AH21/IPC!V21-1)</f>
        <v>1.6043997370575935E-2</v>
      </c>
      <c r="AI62" s="75">
        <f>IF(OR(IPC!AI21="",IPC!W21=""),"",IPC!AI21/IPC!W21-1)</f>
        <v>1.4491293367634439E-2</v>
      </c>
      <c r="AJ62" s="75">
        <f>IF(OR(IPC!AJ21="",IPC!X21=""),"",IPC!AJ21/IPC!X21-1)</f>
        <v>1.7564404352462537E-2</v>
      </c>
      <c r="AK62" s="75">
        <f>IF(OR(IPC!AK21="",IPC!Y21=""),"",IPC!AK21/IPC!Y21-1)</f>
        <v>2.010694140980096E-2</v>
      </c>
      <c r="AL62" s="75">
        <f>IF(OR(IPC!AL21="",IPC!Z21=""),"",IPC!AL21/IPC!Z21-1)</f>
        <v>2.0996833381252689E-2</v>
      </c>
      <c r="AM62" s="75">
        <f>IF(OR(IPC!AM21="",IPC!AA21=""),"",IPC!AM21/IPC!AA21-1)</f>
        <v>1.4755119090892999E-2</v>
      </c>
      <c r="AN62" s="75">
        <f>IF(OR(IPC!AN21="",IPC!AB21=""),"",IPC!AN21/IPC!AB21-1)</f>
        <v>1.1521289641760024E-2</v>
      </c>
      <c r="AO62" s="75">
        <f>IF(OR(IPC!AO21="",IPC!AC21=""),"",IPC!AO21/IPC!AC21-1)</f>
        <v>1.4134023771352977E-2</v>
      </c>
      <c r="AP62" s="75">
        <f>IF(OR(IPC!AP21="",IPC!AD21=""),"",IPC!AP21/IPC!AD21-1)</f>
        <v>1.2463488456600169E-2</v>
      </c>
      <c r="AQ62" s="75">
        <f>IF(OR(IPC!AQ21="",IPC!AE21=""),"",IPC!AQ21/IPC!AE21-1)</f>
        <v>1.0793786296519059E-2</v>
      </c>
      <c r="AR62" s="75">
        <f>IF(OR(IPC!AR21="",IPC!AF21=""),"",IPC!AR21/IPC!AF21-1)</f>
        <v>1.425292422382296E-2</v>
      </c>
      <c r="AS62" s="75">
        <f>IF(OR(IPC!AS21="",IPC!AG21=""),"",IPC!AS21/IPC!AG21-1)</f>
        <v>8.487493751079711E-3</v>
      </c>
      <c r="AT62" s="75">
        <f>IF(OR(IPC!AT21="",IPC!AH21=""),"",IPC!AT21/IPC!AH21-1)</f>
        <v>3.1146909797641564E-2</v>
      </c>
      <c r="AU62" s="75">
        <f>IF(OR(IPC!AU21="",IPC!AI21=""),"",IPC!AU21/IPC!AI21-1)</f>
        <v>2.8401308947745063E-2</v>
      </c>
      <c r="AV62" s="75">
        <f>IF(OR(IPC!AV21="",IPC!AJ21=""),"",IPC!AV21/IPC!AJ21-1)</f>
        <v>2.8481723164466066E-2</v>
      </c>
      <c r="AW62" s="75">
        <f>IF(OR(IPC!AW21="",IPC!AK21=""),"",IPC!AW21/IPC!AK21-1)</f>
        <v>2.317351713098903E-2</v>
      </c>
      <c r="AX62" s="75">
        <f>IF(OR(IPC!AX21="",IPC!AL21=""),"",IPC!AX21/IPC!AL21-1)</f>
        <v>2.9375135716519063E-2</v>
      </c>
      <c r="AY62" s="75">
        <f>IF(OR(IPC!AY21="",IPC!AM21=""),"",IPC!AY21/IPC!AM21-1)</f>
        <v>3.3513497187737773E-2</v>
      </c>
      <c r="AZ62" s="75">
        <f>IF(OR(IPC!AZ21="",IPC!AN21=""),"",IPC!AZ21/IPC!AN21-1)</f>
        <v>2.9515559114290157E-2</v>
      </c>
      <c r="BA62" s="75">
        <f>IF(OR(IPC!BA21="",IPC!AO21=""),"",IPC!BA21/IPC!AO21-1)</f>
        <v>3.3945501948870582E-2</v>
      </c>
      <c r="BB62" s="75">
        <f>IF(OR(IPC!BB21="",IPC!AP21=""),"",IPC!BB21/IPC!AP21-1)</f>
        <v>3.5554364455727905E-2</v>
      </c>
      <c r="BC62" s="75">
        <f>IF(OR(IPC!BC21="",IPC!AQ21=""),"",IPC!BC21/IPC!AQ21-1)</f>
        <v>4.4324760630006343E-2</v>
      </c>
      <c r="BD62" s="75">
        <f>IF(OR(IPC!BD21="",IPC!AR21=""),"",IPC!BD21/IPC!AR21-1)</f>
        <v>4.1821835138261765E-2</v>
      </c>
      <c r="BE62" s="75">
        <f>IF(OR(IPC!BE21="",IPC!AS21=""),"",IPC!BE21/IPC!AS21-1)</f>
        <v>4.9614026396514799E-2</v>
      </c>
      <c r="BF62" s="75">
        <f>IF(OR(IPC!BF21="",IPC!AT21=""),"",IPC!BF21/IPC!AT21-1)</f>
        <v>3.129026134182622E-2</v>
      </c>
      <c r="BG62" s="75">
        <f>IF(OR(IPC!BG21="",IPC!AU21=""),"",IPC!BG21/IPC!AU21-1)</f>
        <v>2.6861353965100587E-2</v>
      </c>
      <c r="BH62" s="75">
        <f>IF(OR(IPC!BH21="",IPC!AV21=""),"",IPC!BH21/IPC!AV21-1)</f>
        <v>2.944806523236676E-2</v>
      </c>
      <c r="BI62" s="75">
        <f>IF(OR(IPC!BI21="",IPC!AW21=""),"",IPC!BI21/IPC!AW21-1)</f>
        <v>2.9316046211857572E-2</v>
      </c>
      <c r="BJ62" s="75">
        <f>IF(OR(IPC!BJ21="",IPC!AX21=""),"",IPC!BJ21/IPC!AX21-1)</f>
        <v>2.079916009284255E-2</v>
      </c>
      <c r="BK62" s="75">
        <f>IF(OR(IPC!BK21="",IPC!AY21=""),"",IPC!BK21/IPC!AY21-1)</f>
        <v>1.9866782513656478E-2</v>
      </c>
      <c r="BL62" s="75">
        <f>IF(OR(IPC!BL21="",IPC!AZ21=""),"",IPC!BL21/IPC!AZ21-1)</f>
        <v>2.4040250453496004E-2</v>
      </c>
      <c r="BM62" s="75">
        <f>IF(OR(IPC!BM21="",IPC!BA21=""),"",IPC!BM21/IPC!BA21-1)</f>
        <v>1.9544158924445831E-2</v>
      </c>
      <c r="BN62" s="75">
        <f>IF(OR(IPC!BN21="",IPC!BB21=""),"",IPC!BN21/IPC!BB21-1)</f>
        <v>2.0100376383555218E-2</v>
      </c>
      <c r="BO62" s="75">
        <f>IF(OR(IPC!BO21="",IPC!BC21=""),"",IPC!BO21/IPC!BC21-1)</f>
        <v>1.7095662362257347E-2</v>
      </c>
      <c r="BP62" s="75">
        <f>IF(OR(IPC!BP21="",IPC!BD21=""),"",IPC!BP21/IPC!BD21-1)</f>
        <v>2.2176543573161789E-2</v>
      </c>
      <c r="BQ62" s="75">
        <f>IF(OR(IPC!BQ21="",IPC!BE21=""),"",IPC!BQ21/IPC!BE21-1)</f>
        <v>1.3165680243921063E-2</v>
      </c>
      <c r="BR62" s="75">
        <f>IF(OR(IPC!BR21="",IPC!BF21=""),"",IPC!BR21/IPC!BF21-1)</f>
        <v>7.0461703452844304E-3</v>
      </c>
      <c r="BS62" s="75">
        <f>IF(OR(IPC!BS21="",IPC!BG21=""),"",IPC!BS21/IPC!BG21-1)</f>
        <v>1.4805595507801472E-2</v>
      </c>
      <c r="BT62" s="75">
        <f>IF(OR(IPC!BT21="",IPC!BH21=""),"",IPC!BT21/IPC!BH21-1)</f>
        <v>7.181457645338396E-3</v>
      </c>
      <c r="BU62" s="75">
        <f>IF(OR(IPC!BU21="",IPC!BI21=""),"",IPC!BU21/IPC!BI21-1)</f>
        <v>4.8538257852988043E-3</v>
      </c>
      <c r="BV62" s="75">
        <f>IF(OR(IPC!BV21="",IPC!BJ21=""),"",IPC!BV21/IPC!BJ21-1)</f>
        <v>4.0535073064531524E-3</v>
      </c>
      <c r="BW62" s="75">
        <f>IF(OR(IPC!BW21="",IPC!BK21=""),"",IPC!BW21/IPC!BK21-1)</f>
        <v>1.7837735941141908E-3</v>
      </c>
      <c r="BX62" s="75">
        <f>IF(OR(IPC!BX21="",IPC!BL21=""),"",IPC!BX21/IPC!BL21-1)</f>
        <v>4.3867180207020073E-3</v>
      </c>
      <c r="BY62" s="75">
        <f>IF(OR(IPC!BY21="",IPC!BM21=""),"",IPC!BY21/IPC!BM21-1)</f>
        <v>5.730772561827413E-3</v>
      </c>
      <c r="BZ62" s="75">
        <f>IF(OR(IPC!BZ21="",IPC!BN21=""),"",IPC!BZ21/IPC!BN21-1)</f>
        <v>7.154536527623323E-3</v>
      </c>
      <c r="CA62" s="75">
        <f>IF(OR(IPC!CA21="",IPC!BO21=""),"",IPC!CA21/IPC!BO21-1)</f>
        <v>9.1184354173390325E-3</v>
      </c>
      <c r="CB62" s="75">
        <f>IF(OR(IPC!CB21="",IPC!BP21=""),"",IPC!CB21/IPC!BP21-1)</f>
        <v>1.4716772463030381E-4</v>
      </c>
      <c r="CC62" s="75">
        <f>IF(OR(IPC!CC21="",IPC!BQ21=""),"",IPC!CC21/IPC!BQ21-1)</f>
        <v>4.0474449227623222E-3</v>
      </c>
      <c r="CD62" s="75">
        <f>IF(OR(IPC!CD21="",IPC!BR21=""),"",IPC!CD21/IPC!BR21-1)</f>
        <v>5.1414187812768297E-3</v>
      </c>
      <c r="CE62" s="75">
        <f>IF(OR(IPC!CE21="",IPC!BS21=""),"",IPC!CE21/IPC!BS21-1)</f>
        <v>4.5950345417182792E-3</v>
      </c>
      <c r="CF62" s="75">
        <f>IF(OR(IPC!CF21="",IPC!BT21=""),"",IPC!CF21/IPC!BT21-1)</f>
        <v>9.1068894383574683E-3</v>
      </c>
      <c r="CG62" s="75">
        <f>IF(OR(IPC!CG21="",IPC!BU21=""),"",IPC!CG21/IPC!BU21-1)</f>
        <v>7.1785120941179059E-3</v>
      </c>
      <c r="CH62" s="75">
        <f>IF(OR(IPC!CH21="",IPC!BV21=""),"",IPC!CH21/IPC!BV21-1)</f>
        <v>8.3008902673220586E-3</v>
      </c>
      <c r="CI62" s="75">
        <f>IF(OR(IPC!CI21="",IPC!BW21=""),"",IPC!CI21/IPC!BW21-1)</f>
        <v>6.1991142261643706E-3</v>
      </c>
      <c r="CJ62" s="75">
        <f>IF(OR(IPC!CJ21="",IPC!BX21=""),"",IPC!CJ21/IPC!BX21-1)</f>
        <v>6.0380551446348463E-3</v>
      </c>
      <c r="CK62" s="75">
        <f>IF(OR(IPC!CK21="",IPC!BY21=""),"",IPC!CK21/IPC!BY21-1)</f>
        <v>4.7256111757465469E-3</v>
      </c>
      <c r="CL62" s="75">
        <f>IF(OR(IPC!CL21="",IPC!BZ21=""),"",IPC!CL21/IPC!BZ21-1)</f>
        <v>3.1396694182874718E-3</v>
      </c>
      <c r="CM62" s="75">
        <f>IF(OR(IPC!CM21="",IPC!CA21=""),"",IPC!CM21/IPC!CA21-1)</f>
        <v>1.4087328081227035E-3</v>
      </c>
      <c r="CN62" s="75">
        <f>IF(OR(IPC!CN21="",IPC!CB21=""),"",IPC!CN21/IPC!CB21-1)</f>
        <v>3.1286052989334401E-3</v>
      </c>
      <c r="CO62" s="75">
        <f>IF(OR(IPC!CO21="",IPC!CC21=""),"",IPC!CO21/IPC!CC21-1)</f>
        <v>2.8652137914113585E-3</v>
      </c>
      <c r="CP62" s="75">
        <f>IF(OR(IPC!CP21="",IPC!CD21=""),"",IPC!CP21/IPC!CD21-1)</f>
        <v>4.6369084986650488E-3</v>
      </c>
      <c r="CQ62" s="75">
        <f>IF(OR(IPC!CQ21="",IPC!CE21=""),"",IPC!CQ21/IPC!CE21-1)</f>
        <v>1.2822154536105135E-3</v>
      </c>
      <c r="CR62" s="75">
        <f>IF(OR(IPC!CR21="",IPC!CF21=""),"",IPC!CR21/IPC!CF21-1)</f>
        <v>3.671690752846235E-3</v>
      </c>
      <c r="CS62" s="75">
        <f>IF(OR(IPC!CS21="",IPC!CG21=""),"",IPC!CS21/IPC!CG21-1)</f>
        <v>1.4753701555585641E-2</v>
      </c>
      <c r="CT62" s="75">
        <f>IF(OR(IPC!CT21="",IPC!CH21=""),"",IPC!CT21/IPC!CH21-1)</f>
        <v>1.5969292014943681E-2</v>
      </c>
      <c r="CU62" s="75">
        <f>IF(OR(IPC!CU21="",IPC!CI21=""),"",IPC!CU21/IPC!CI21-1)</f>
        <v>1.9606195569004337E-2</v>
      </c>
      <c r="CV62" s="75">
        <f>IF(OR(IPC!CV21="",IPC!CJ21=""),"",IPC!CV21/IPC!CJ21-1)</f>
        <v>1.9388401637875141E-2</v>
      </c>
      <c r="CW62" s="75">
        <f>IF(OR(IPC!CW21="",IPC!CK21=""),"",IPC!CW21/IPC!CK21-1)</f>
        <v>2.264203934036213E-2</v>
      </c>
      <c r="CX62" s="75">
        <f>IF(OR(IPC!CX21="",IPC!CL21=""),"",IPC!CX21/IPC!CL21-1)</f>
        <v>2.6737484201122541E-2</v>
      </c>
      <c r="CY62" s="75">
        <f>IF(OR(IPC!CY21="",IPC!CM21=""),"",IPC!CY21/IPC!CM21-1)</f>
        <v>2.823210302456336E-2</v>
      </c>
      <c r="CZ62" s="75">
        <f>IF(OR(IPC!CZ21="",IPC!CN21=""),"",IPC!CZ21/IPC!CN21-1)</f>
        <v>2.6366331585274239E-2</v>
      </c>
      <c r="DA62" s="75">
        <f>IF(OR(IPC!DA21="",IPC!CO21=""),"",IPC!DA21/IPC!CO21-1)</f>
        <v>2.7522646020989416E-2</v>
      </c>
      <c r="DB62" s="75">
        <f>IF(OR(IPC!DB21="",IPC!CP21=""),"",IPC!DB21/IPC!CP21-1)</f>
        <v>2.9088851417448991E-2</v>
      </c>
      <c r="DC62" s="75">
        <f>IF(OR(IPC!DC21="",IPC!CQ21=""),"",IPC!DC21/IPC!CQ21-1)</f>
        <v>2.8745626141171376E-2</v>
      </c>
      <c r="DD62" s="75">
        <f>IF(OR(IPC!DD21="",IPC!CR21=""),"",IPC!DD21/IPC!CR21-1)</f>
        <v>2.4916210095569102E-2</v>
      </c>
      <c r="DE62" s="75">
        <f>IF(OR(IPC!DE21="",IPC!CS21=""),"",IPC!DE21/IPC!CS21-1)</f>
        <v>2.2083102442081781E-2</v>
      </c>
      <c r="DF62" s="75">
        <f>IF(OR(IPC!DF21="",IPC!CT21=""),"",IPC!DF21/IPC!CT21-1)</f>
        <v>2.6283416794163461E-2</v>
      </c>
      <c r="DG62" s="75">
        <f>IF(OR(IPC!DG21="",IPC!CU21=""),"",IPC!DG21/IPC!CU21-1)</f>
        <v>2.4924132947546918E-2</v>
      </c>
      <c r="DH62" s="75">
        <f>IF(OR(IPC!DH21="",IPC!CV21=""),"",IPC!DH21/IPC!CV21-1)</f>
        <v>2.8470611321365302E-2</v>
      </c>
      <c r="DI62" s="75">
        <f>IF(OR(IPC!DI21="",IPC!CW21=""),"",IPC!DI21/IPC!CW21-1)</f>
        <v>2.7724661065062106E-2</v>
      </c>
      <c r="DJ62" s="75">
        <f>IF(OR(IPC!DJ21="",IPC!CX21=""),"",IPC!DJ21/IPC!CX21-1)</f>
        <v>2.8095822613785071E-2</v>
      </c>
      <c r="DK62" s="75">
        <f>IF(OR(IPC!DK21="",IPC!CY21=""),"",IPC!DK21/IPC!CY21-1)</f>
        <v>2.9674839574481249E-2</v>
      </c>
      <c r="DL62" s="75">
        <f>IF(OR(IPC!DL21="",IPC!CZ21=""),"",IPC!DL21/IPC!CZ21-1)</f>
        <v>2.5725029021300694E-2</v>
      </c>
      <c r="DM62" s="75">
        <f>IF(OR(IPC!DM21="",IPC!DA21=""),"",IPC!DM21/IPC!DA21-1)</f>
        <v>2.5369043505843125E-2</v>
      </c>
      <c r="DN62" s="75">
        <f>IF(OR(IPC!DN21="",IPC!DB21=""),"",IPC!DN21/IPC!DB21-1)</f>
        <v>2.7535870187764599E-2</v>
      </c>
      <c r="DO62" s="75">
        <f>IF(OR(IPC!DO21="",IPC!DC21=""),"",IPC!DO21/IPC!DC21-1)</f>
        <v>2.7836661302470089E-2</v>
      </c>
      <c r="DP62" s="75">
        <f>IF(OR(IPC!DP21="",IPC!DD21=""),"",IPC!DP21/IPC!DD21-1)</f>
        <v>2.5706393502192615E-2</v>
      </c>
      <c r="DQ62" s="75">
        <f>IF(OR(IPC!DQ21="",IPC!DE21=""),"",IPC!DQ21/IPC!DE21-1)</f>
        <v>2.6800746694936484E-2</v>
      </c>
      <c r="DR62" s="75">
        <f>IF(OR(IPC!DR21="",IPC!DF21=""),"",IPC!DR21/IPC!DF21-1)</f>
        <v>2.1820531945184518E-2</v>
      </c>
      <c r="DS62" s="75">
        <f>IF(OR(IPC!DS21="",IPC!DG21=""),"",IPC!DS21/IPC!DG21-1)</f>
        <v>2.2023962087175164E-2</v>
      </c>
      <c r="DT62" s="75">
        <f>IF(OR(IPC!DT21="",IPC!DH21=""),"",IPC!DT21/IPC!DH21-1)</f>
        <v>1.964923526114859E-2</v>
      </c>
      <c r="DU62" s="75">
        <f>IF(OR(IPC!DU21="",IPC!DI21=""),"",IPC!DU21/IPC!DI21-1)</f>
        <v>1.8699640986395094E-2</v>
      </c>
      <c r="DV62" s="75">
        <f>IF(OR(IPC!DV21="",IPC!DJ21=""),"",IPC!DV21/IPC!DJ21-1)</f>
        <v>1.7339118835105305E-2</v>
      </c>
      <c r="DW62" s="75">
        <f>IF(OR(IPC!DW21="",IPC!DK21=""),"",IPC!DW21/IPC!DK21-1)</f>
        <v>1.5761697084137882E-2</v>
      </c>
      <c r="DX62" s="75">
        <f>IF(OR(IPC!DX21="",IPC!DL21=""),"",IPC!DX21/IPC!DL21-1)</f>
        <v>2.3700852296300257E-2</v>
      </c>
      <c r="DY62" s="75">
        <f>IF(OR(IPC!DY21="",IPC!DM21=""),"",IPC!DY21/IPC!DM21-1)</f>
        <v>2.6555199896459492E-2</v>
      </c>
      <c r="DZ62" s="75">
        <f>IF(OR(IPC!DZ21="",IPC!DN21=""),"",IPC!DZ21/IPC!DN21-1)</f>
        <v>2.7397223945282656E-2</v>
      </c>
      <c r="EA62" s="75">
        <f>IF(OR(IPC!EA21="",IPC!DO21=""),"",IPC!EA21/IPC!DO21-1)</f>
        <v>2.3522982779512702E-2</v>
      </c>
      <c r="EB62" s="75">
        <f>IF(OR(IPC!EB21="",IPC!DP21=""),"",IPC!EB21/IPC!DP21-1)</f>
        <v>2.4470765540369532E-2</v>
      </c>
      <c r="EC62" s="75">
        <f>IF(OR(IPC!EC21="",IPC!DQ21=""),"",IPC!EC21/IPC!DQ21-1)</f>
        <v>1.851869488356428E-2</v>
      </c>
      <c r="ED62" s="75">
        <f>IF(OR(IPC!ED21="",IPC!DR21=""),"",IPC!ED21/IPC!DR21-1)</f>
        <v>1.9675249453459775E-2</v>
      </c>
      <c r="EE62" s="75">
        <f>IF(OR(IPC!EE21="",IPC!DS21=""),"",IPC!EE21/IPC!DS21-1)</f>
        <v>3.2650111650302849E-2</v>
      </c>
      <c r="EF62" s="75">
        <f>IF(OR(IPC!EF21="",IPC!DT21=""),"",IPC!EF21/IPC!DT21-1)</f>
        <v>4.021801345793774E-2</v>
      </c>
      <c r="EG62" s="75">
        <f>IF(OR(IPC!EG21="",IPC!DU21=""),"",IPC!EG21/IPC!DU21-1)</f>
        <v>4.3142687953271031E-2</v>
      </c>
      <c r="EH62" s="75">
        <f>IF(OR(IPC!EH21="",IPC!DV21=""),"",IPC!EH21/IPC!DV21-1)</f>
        <v>4.611954534392626E-2</v>
      </c>
      <c r="EI62" s="75">
        <f>IF(OR(IPC!EI21="",IPC!DW21=""),"",IPC!EI21/IPC!DW21-1)</f>
        <v>5.5016083784577896E-2</v>
      </c>
      <c r="EJ62" s="75">
        <f>IF(OR(IPC!EJ21="",IPC!DX21=""),"",IPC!EJ21/IPC!DX21-1)</f>
        <v>5.7989984221270774E-2</v>
      </c>
      <c r="EK62" s="75">
        <f>IF(OR(IPC!EK21="",IPC!DY21=""),"",IPC!EK21/IPC!DY21-1)</f>
        <v>5.8329628925579913E-2</v>
      </c>
      <c r="EL62" s="75">
        <f>IF(OR(IPC!EL21="",IPC!DZ21=""),"",IPC!EL21/IPC!DZ21-1)</f>
        <v>6.1322029518265042E-2</v>
      </c>
      <c r="EM62" s="75">
        <f>IF(OR(IPC!EM21="",IPC!EA21=""),"",IPC!EM21/IPC!EA21-1)</f>
        <v>7.1623848737765394E-2</v>
      </c>
      <c r="EN62" s="75">
        <f>IF(OR(IPC!EN21="",IPC!EB21=""),"",IPC!EN21/IPC!EB21-1)</f>
        <v>7.8433750952102699E-2</v>
      </c>
      <c r="EO62" s="75">
        <f>IF(OR(IPC!EO21="",IPC!EC21=""),"",IPC!EO21/IPC!EC21-1)</f>
        <v>8.2243893065064633E-2</v>
      </c>
      <c r="EP62" s="75">
        <f>IF(OR(IPC!EP21="",IPC!ED21=""),"",IPC!EP21/IPC!ED21-1)</f>
        <v>8.9630618356407066E-2</v>
      </c>
      <c r="EQ62" s="75">
        <f>IF(OR(IPC!EQ21="",IPC!EE21=""),"",IPC!EQ21/IPC!EE21-1)</f>
        <v>7.7477277849998805E-2</v>
      </c>
      <c r="ER62" s="75">
        <f>IF(OR(IPC!ER21="",IPC!EF21=""),"",IPC!ER21/IPC!EF21-1)</f>
        <v>7.7619820912735005E-2</v>
      </c>
      <c r="ES62" s="75">
        <f>IF(OR(IPC!ES21="",IPC!EG21=""),"",IPC!ES21/IPC!EG21-1)</f>
        <v>8.9221440656820361E-2</v>
      </c>
      <c r="ET62" s="75">
        <f>IF(OR(IPC!ET21="",IPC!EH21=""),"",IPC!ET21/IPC!EH21-1)</f>
        <v>9.4078697209650786E-2</v>
      </c>
      <c r="EU62" s="75">
        <f>IF(OR(IPC!EU21="",IPC!EI21=""),"",IPC!EU21/IPC!EI21-1)</f>
        <v>8.8913942990876738E-2</v>
      </c>
      <c r="EV62" s="75">
        <f>IF(OR(IPC!EV21="",IPC!EJ21=""),"",IPC!EV21/IPC!EJ21-1)</f>
        <v>8.7445208997140478E-2</v>
      </c>
      <c r="EW62" s="75">
        <f>IF(OR(IPC!EW21="",IPC!EK21=""),"",IPC!EW21/IPC!EK21-1)</f>
        <v>9.0982532270609706E-2</v>
      </c>
      <c r="EX62" s="75">
        <f>IF(OR(IPC!EX21="",IPC!EL21=""),"",IPC!EX21/IPC!EL21-1)</f>
        <v>8.4055472644882112E-2</v>
      </c>
      <c r="EY62" s="75">
        <f>IF(OR(IPC!EY21="",IPC!EM21=""),"",IPC!EY21/IPC!EM21-1)</f>
        <v>8.209769290639457E-2</v>
      </c>
      <c r="EZ62" s="75">
        <f>IF(OR(IPC!EZ21="",IPC!EN21=""),"",IPC!EZ21/IPC!EN21-1)</f>
        <v>7.6575134111701582E-2</v>
      </c>
      <c r="FA62" s="75">
        <f>IF(OR(IPC!FA21="",IPC!EO21=""),"",IPC!FA21/IPC!EO21-1)</f>
        <v>7.5231282228756413E-2</v>
      </c>
      <c r="FB62" s="75">
        <f>IF(OR(IPC!FB21="",IPC!EP21=""),"",IPC!FB21/IPC!EP21-1)</f>
        <v>6.8047193851077381E-2</v>
      </c>
      <c r="FC62" s="75">
        <f>IF(OR(IPC!FC21="",IPC!EQ21=""),"",IPC!FC21/IPC!EQ21-1)</f>
        <v>6.5544951047689537E-2</v>
      </c>
      <c r="FD62" s="75">
        <f>IF(OR(IPC!FD21="",IPC!ER21=""),"",IPC!FD21/IPC!ER21-1)</f>
        <v>5.3897978825794057E-2</v>
      </c>
      <c r="FE62" s="75">
        <f>IF(OR(IPC!FE21="",IPC!ES21=""),"",IPC!FE21/IPC!ES21-1)</f>
        <v>5.2182163187855846E-2</v>
      </c>
      <c r="FF62" s="75">
        <f>IF(OR(IPC!FF21="",IPC!ET21=""),"",IPC!FF21/IPC!ET21-1)</f>
        <v>4.7887323943661908E-2</v>
      </c>
      <c r="FG62" s="75">
        <f>IF(OR(IPC!FG21="",IPC!EU21=""),"",IPC!FG21/IPC!EU21-1)</f>
        <v>4.6598322460391417E-2</v>
      </c>
      <c r="FH62" s="75">
        <f>IF(OR(IPC!FH21="",IPC!EV21=""),"",IPC!FH21/IPC!EV21-1)</f>
        <v>4.5454545454545414E-2</v>
      </c>
      <c r="FI62" s="75">
        <f>IF(OR(IPC!FI21="",IPC!EW21=""),"",IPC!FI21/IPC!EW21-1)</f>
        <v>4.4239631336405516E-2</v>
      </c>
      <c r="FJ62" s="75">
        <f>IF(OR(IPC!FJ21="",IPC!EX21=""),"",IPC!FJ21/IPC!EX21-1)</f>
        <v>4.040404040404022E-2</v>
      </c>
      <c r="FK62" s="75">
        <f>IF(OR(IPC!FK21="",IPC!EY21=""),"",IPC!FK21/IPC!EY21-1)</f>
        <v>3.9233576642335954E-2</v>
      </c>
      <c r="FL62" s="75">
        <f>IF(OR(IPC!FL21="",IPC!EZ21=""),"",IPC!FL21/IPC!EZ21-1)</f>
        <v>4.4626593806921688E-2</v>
      </c>
      <c r="FM62" s="75">
        <f>IF(OR(IPC!FM21="",IPC!FA21=""),"",IPC!FM21/IPC!FA21-1)</f>
        <v>4.5454545454545414E-2</v>
      </c>
      <c r="FN62" s="75">
        <f>IF(OR(IPC!FN21="",IPC!FB21=""),"",IPC!FN21/IPC!FB21-1)</f>
        <v>4.5454545454545414E-2</v>
      </c>
      <c r="FO62" s="75">
        <f>IF(OR(IPC!FO21="",IPC!FC21=""),"",IPC!FO21/IPC!FC21-1)</f>
        <v>5.2679382379654971E-2</v>
      </c>
      <c r="FP62" s="75">
        <f>IF(OR(IPC!FP21="",IPC!FD21=""),"",IPC!FP21/IPC!FD21-1)</f>
        <v>5.5707762557077656E-2</v>
      </c>
      <c r="FQ62" s="75">
        <f>IF(OR(IPC!FQ21="",IPC!FE21=""),"",IPC!FQ21/IPC!FE21-1)</f>
        <v>4.4183949504057685E-2</v>
      </c>
      <c r="FR62" s="75">
        <f>IF(OR(IPC!FR21="",IPC!FF21=""),"",IPC!FR21/IPC!FF21-1)</f>
        <v>4.1218637992831653E-2</v>
      </c>
    </row>
    <row r="63" spans="1:174" s="81" customFormat="1" ht="10.199999999999999" x14ac:dyDescent="0.2">
      <c r="B63" s="81" t="s">
        <v>4</v>
      </c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 t="str">
        <f>IF(OR(IPC!P22="",IPC!D22=""),"",IPC!P22/IPC!D22-1)</f>
        <v/>
      </c>
      <c r="Q63" s="84" t="str">
        <f>IF(OR(IPC!Q22="",IPC!E22=""),"",IPC!Q22/IPC!E22-1)</f>
        <v/>
      </c>
      <c r="R63" s="84" t="str">
        <f>IF(OR(IPC!R22="",IPC!F22=""),"",IPC!R22/IPC!F22-1)</f>
        <v/>
      </c>
      <c r="S63" s="84" t="str">
        <f>IF(OR(IPC!S22="",IPC!G22=""),"",IPC!S22/IPC!G22-1)</f>
        <v/>
      </c>
      <c r="T63" s="84" t="str">
        <f>IF(OR(IPC!T22="",IPC!H22=""),"",IPC!T22/IPC!H22-1)</f>
        <v/>
      </c>
      <c r="U63" s="84" t="str">
        <f>IF(OR(IPC!U22="",IPC!I22=""),"",IPC!U22/IPC!I22-1)</f>
        <v/>
      </c>
      <c r="V63" s="84" t="str">
        <f>IF(OR(IPC!V22="",IPC!J22=""),"",IPC!V22/IPC!J22-1)</f>
        <v/>
      </c>
      <c r="W63" s="84" t="str">
        <f>IF(OR(IPC!W22="",IPC!K22=""),"",IPC!W22/IPC!K22-1)</f>
        <v/>
      </c>
      <c r="X63" s="84" t="str">
        <f>IF(OR(IPC!X22="",IPC!L22=""),"",IPC!X22/IPC!L22-1)</f>
        <v/>
      </c>
      <c r="Y63" s="84" t="str">
        <f>IF(OR(IPC!Y22="",IPC!M22=""),"",IPC!Y22/IPC!M22-1)</f>
        <v/>
      </c>
      <c r="Z63" s="84" t="str">
        <f>IF(OR(IPC!Z22="",IPC!N22=""),"",IPC!Z22/IPC!N22-1)</f>
        <v/>
      </c>
      <c r="AA63" s="84" t="str">
        <f>IF(OR(IPC!AA22="",IPC!O22=""),"",IPC!AA22/IPC!O22-1)</f>
        <v/>
      </c>
      <c r="AB63" s="84">
        <f>IF(OR(IPC!AB22="",IPC!P22=""),"",IPC!AB22/IPC!P22-1)</f>
        <v>2.2899110434454473E-2</v>
      </c>
      <c r="AC63" s="84">
        <f>IF(OR(IPC!AC22="",IPC!Q22=""),"",IPC!AC22/IPC!Q22-1)</f>
        <v>2.1348879603992899E-2</v>
      </c>
      <c r="AD63" s="84">
        <f>IF(OR(IPC!AD22="",IPC!R22=""),"",IPC!AD22/IPC!R22-1)</f>
        <v>1.7390334285861675E-2</v>
      </c>
      <c r="AE63" s="84">
        <f>IF(OR(IPC!AE22="",IPC!S22=""),"",IPC!AE22/IPC!S22-1)</f>
        <v>1.9862412014079123E-2</v>
      </c>
      <c r="AF63" s="84">
        <f>IF(OR(IPC!AF22="",IPC!T22=""),"",IPC!AF22/IPC!T22-1)</f>
        <v>1.7242016118441006E-2</v>
      </c>
      <c r="AG63" s="84">
        <f>IF(OR(IPC!AG22="",IPC!U22=""),"",IPC!AG22/IPC!U22-1)</f>
        <v>1.3703497479954585E-2</v>
      </c>
      <c r="AH63" s="84">
        <f>IF(OR(IPC!AH22="",IPC!V22=""),"",IPC!AH22/IPC!V22-1)</f>
        <v>1.6194242902067835E-2</v>
      </c>
      <c r="AI63" s="84">
        <f>IF(OR(IPC!AI22="",IPC!W22=""),"",IPC!AI22/IPC!W22-1)</f>
        <v>1.5319423336189963E-2</v>
      </c>
      <c r="AJ63" s="84">
        <f>IF(OR(IPC!AJ22="",IPC!X22=""),"",IPC!AJ22/IPC!X22-1)</f>
        <v>1.8096723792370151E-2</v>
      </c>
      <c r="AK63" s="84">
        <f>IF(OR(IPC!AK22="",IPC!Y22=""),"",IPC!AK22/IPC!Y22-1)</f>
        <v>2.0028772985559051E-2</v>
      </c>
      <c r="AL63" s="84">
        <f>IF(OR(IPC!AL22="",IPC!Z22=""),"",IPC!AL22/IPC!Z22-1)</f>
        <v>2.1704683818072779E-2</v>
      </c>
      <c r="AM63" s="84">
        <f>IF(OR(IPC!AM22="",IPC!AA22=""),"",IPC!AM22/IPC!AA22-1)</f>
        <v>1.0175211835449227E-2</v>
      </c>
      <c r="AN63" s="84">
        <f>IF(OR(IPC!AN22="",IPC!AB22=""),"",IPC!AN22/IPC!AB22-1)</f>
        <v>1.0420189767828436E-2</v>
      </c>
      <c r="AO63" s="84">
        <f>IF(OR(IPC!AO22="",IPC!AC22=""),"",IPC!AO22/IPC!AC22-1)</f>
        <v>9.6368771074062387E-3</v>
      </c>
      <c r="AP63" s="84">
        <f>IF(OR(IPC!AP22="",IPC!AD22=""),"",IPC!AP22/IPC!AD22-1)</f>
        <v>6.8133625461201941E-3</v>
      </c>
      <c r="AQ63" s="84">
        <f>IF(OR(IPC!AQ22="",IPC!AE22=""),"",IPC!AQ22/IPC!AE22-1)</f>
        <v>4.4662863901716587E-3</v>
      </c>
      <c r="AR63" s="84">
        <f>IF(OR(IPC!AR22="",IPC!AF22=""),"",IPC!AR22/IPC!AF22-1)</f>
        <v>7.4313337618325814E-3</v>
      </c>
      <c r="AS63" s="84">
        <f>IF(OR(IPC!AS22="",IPC!AG22=""),"",IPC!AS22/IPC!AG22-1)</f>
        <v>9.4339352604491111E-3</v>
      </c>
      <c r="AT63" s="84">
        <f>IF(OR(IPC!AT22="",IPC!AH22=""),"",IPC!AT22/IPC!AH22-1)</f>
        <v>2.2555277107065175E-2</v>
      </c>
      <c r="AU63" s="84">
        <f>IF(OR(IPC!AU22="",IPC!AI22=""),"",IPC!AU22/IPC!AI22-1)</f>
        <v>2.1529484865578485E-2</v>
      </c>
      <c r="AV63" s="84">
        <f>IF(OR(IPC!AV22="",IPC!AJ22=""),"",IPC!AV22/IPC!AJ22-1)</f>
        <v>1.9173898624317953E-2</v>
      </c>
      <c r="AW63" s="84">
        <f>IF(OR(IPC!AW22="",IPC!AK22=""),"",IPC!AW22/IPC!AK22-1)</f>
        <v>1.301118972353299E-2</v>
      </c>
      <c r="AX63" s="84">
        <f>IF(OR(IPC!AX22="",IPC!AL22=""),"",IPC!AX22/IPC!AL22-1)</f>
        <v>1.6398830598140623E-2</v>
      </c>
      <c r="AY63" s="84">
        <f>IF(OR(IPC!AY22="",IPC!AM22=""),"",IPC!AY22/IPC!AM22-1)</f>
        <v>1.3235474713165774E-2</v>
      </c>
      <c r="AZ63" s="84">
        <f>IF(OR(IPC!AZ22="",IPC!AN22=""),"",IPC!AZ22/IPC!AN22-1)</f>
        <v>1.1652806187371301E-2</v>
      </c>
      <c r="BA63" s="84">
        <f>IF(OR(IPC!BA22="",IPC!AO22=""),"",IPC!BA22/IPC!AO22-1)</f>
        <v>1.2461796955353543E-2</v>
      </c>
      <c r="BB63" s="84">
        <f>IF(OR(IPC!BB22="",IPC!AP22=""),"",IPC!BB22/IPC!AP22-1)</f>
        <v>1.3770774049483459E-2</v>
      </c>
      <c r="BC63" s="84">
        <f>IF(OR(IPC!BC22="",IPC!AQ22=""),"",IPC!BC22/IPC!AQ22-1)</f>
        <v>1.5600834761991589E-2</v>
      </c>
      <c r="BD63" s="84">
        <f>IF(OR(IPC!BD22="",IPC!AR22=""),"",IPC!BD22/IPC!AR22-1)</f>
        <v>1.6210017947780875E-2</v>
      </c>
      <c r="BE63" s="84">
        <f>IF(OR(IPC!BE22="",IPC!AS22=""),"",IPC!BE22/IPC!AS22-1)</f>
        <v>1.6784064166544432E-2</v>
      </c>
      <c r="BF63" s="84">
        <f>IF(OR(IPC!BF22="",IPC!AT22=""),"",IPC!BF22/IPC!AT22-1)</f>
        <v>-3.9470694663434891E-4</v>
      </c>
      <c r="BG63" s="84">
        <f>IF(OR(IPC!BG22="",IPC!AU22=""),"",IPC!BG22/IPC!AU22-1)</f>
        <v>1.334803219095626E-3</v>
      </c>
      <c r="BH63" s="84">
        <f>IF(OR(IPC!BH22="",IPC!AV22=""),"",IPC!BH22/IPC!AV22-1)</f>
        <v>1.6766131497527592E-3</v>
      </c>
      <c r="BI63" s="84">
        <f>IF(OR(IPC!BI22="",IPC!AW22=""),"",IPC!BI22/IPC!AW22-1)</f>
        <v>5.6887473049347381E-3</v>
      </c>
      <c r="BJ63" s="84">
        <f>IF(OR(IPC!BJ22="",IPC!AX22=""),"",IPC!BJ22/IPC!AX22-1)</f>
        <v>5.3033673832016959E-3</v>
      </c>
      <c r="BK63" s="84">
        <f>IF(OR(IPC!BK22="",IPC!AY22=""),"",IPC!BK22/IPC!AY22-1)</f>
        <v>1.5414206932107266E-3</v>
      </c>
      <c r="BL63" s="84">
        <f>IF(OR(IPC!BL22="",IPC!AZ22=""),"",IPC!BL22/IPC!AZ22-1)</f>
        <v>-8.3763290506411181E-5</v>
      </c>
      <c r="BM63" s="84">
        <f>IF(OR(IPC!BM22="",IPC!BA22=""),"",IPC!BM22/IPC!BA22-1)</f>
        <v>-2.7406927600263087E-3</v>
      </c>
      <c r="BN63" s="84">
        <f>IF(OR(IPC!BN22="",IPC!BB22=""),"",IPC!BN22/IPC!BB22-1)</f>
        <v>2.9497821067536734E-5</v>
      </c>
      <c r="BO63" s="84">
        <f>IF(OR(IPC!BO22="",IPC!BC22=""),"",IPC!BO22/IPC!BC22-1)</f>
        <v>-6.0806695582688031E-3</v>
      </c>
      <c r="BP63" s="84">
        <f>IF(OR(IPC!BP22="",IPC!BD22=""),"",IPC!BP22/IPC!BD22-1)</f>
        <v>-7.9341338436587083E-3</v>
      </c>
      <c r="BQ63" s="84">
        <f>IF(OR(IPC!BQ22="",IPC!BE22=""),"",IPC!BQ22/IPC!BE22-1)</f>
        <v>-8.5937624095874243E-3</v>
      </c>
      <c r="BR63" s="84">
        <f>IF(OR(IPC!BR22="",IPC!BF22=""),"",IPC!BR22/IPC!BF22-1)</f>
        <v>-3.8383959921702848E-3</v>
      </c>
      <c r="BS63" s="84">
        <f>IF(OR(IPC!BS22="",IPC!BG22=""),"",IPC!BS22/IPC!BG22-1)</f>
        <v>-9.4013055223415298E-3</v>
      </c>
      <c r="BT63" s="84">
        <f>IF(OR(IPC!BT22="",IPC!BH22=""),"",IPC!BT22/IPC!BH22-1)</f>
        <v>-9.4836532010963426E-3</v>
      </c>
      <c r="BU63" s="84">
        <f>IF(OR(IPC!BU22="",IPC!BI22=""),"",IPC!BU22/IPC!BI22-1)</f>
        <v>-9.4051711485941825E-3</v>
      </c>
      <c r="BV63" s="84">
        <f>IF(OR(IPC!BV22="",IPC!BJ22=""),"",IPC!BV22/IPC!BJ22-1)</f>
        <v>-1.1115404939085693E-2</v>
      </c>
      <c r="BW63" s="84">
        <f>IF(OR(IPC!BW22="",IPC!BK22=""),"",IPC!BW22/IPC!BK22-1)</f>
        <v>-3.1318147238627025E-3</v>
      </c>
      <c r="BX63" s="84">
        <f>IF(OR(IPC!BX22="",IPC!BL22=""),"",IPC!BX22/IPC!BL22-1)</f>
        <v>-3.2429850412444283E-3</v>
      </c>
      <c r="BY63" s="84">
        <f>IF(OR(IPC!BY22="",IPC!BM22=""),"",IPC!BY22/IPC!BM22-1)</f>
        <v>-1.7349908580632789E-3</v>
      </c>
      <c r="BZ63" s="84">
        <f>IF(OR(IPC!BZ22="",IPC!BN22=""),"",IPC!BZ22/IPC!BN22-1)</f>
        <v>-5.7645993924917427E-3</v>
      </c>
      <c r="CA63" s="84">
        <f>IF(OR(IPC!CA22="",IPC!BO22=""),"",IPC!CA22/IPC!BO22-1)</f>
        <v>1.8277609491748059E-3</v>
      </c>
      <c r="CB63" s="84">
        <f>IF(OR(IPC!CB22="",IPC!BP22=""),"",IPC!CB22/IPC!BP22-1)</f>
        <v>9.5645437592173366E-4</v>
      </c>
      <c r="CC63" s="84">
        <f>IF(OR(IPC!CC22="",IPC!BQ22=""),"",IPC!CC22/IPC!BQ22-1)</f>
        <v>2.8152770453879761E-3</v>
      </c>
      <c r="CD63" s="84">
        <f>IF(OR(IPC!CD22="",IPC!BR22=""),"",IPC!CD22/IPC!BR22-1)</f>
        <v>2.6666543625992745E-3</v>
      </c>
      <c r="CE63" s="84">
        <f>IF(OR(IPC!CE22="",IPC!BS22=""),"",IPC!CE22/IPC!BS22-1)</f>
        <v>1.0889606297080023E-2</v>
      </c>
      <c r="CF63" s="84">
        <f>IF(OR(IPC!CF22="",IPC!BT22=""),"",IPC!CF22/IPC!BT22-1)</f>
        <v>1.0547636293349205E-2</v>
      </c>
      <c r="CG63" s="84">
        <f>IF(OR(IPC!CG22="",IPC!BU22=""),"",IPC!CG22/IPC!BU22-1)</f>
        <v>1.3106571112400323E-2</v>
      </c>
      <c r="CH63" s="84">
        <f>IF(OR(IPC!CH22="",IPC!BV22=""),"",IPC!CH22/IPC!BV22-1)</f>
        <v>1.0873519381727093E-2</v>
      </c>
      <c r="CI63" s="84">
        <f>IF(OR(IPC!CI22="",IPC!BW22=""),"",IPC!CI22/IPC!BW22-1)</f>
        <v>7.3630516184117756E-3</v>
      </c>
      <c r="CJ63" s="84">
        <f>IF(OR(IPC!CJ22="",IPC!BX22=""),"",IPC!CJ22/IPC!BX22-1)</f>
        <v>1.4486102809370349E-2</v>
      </c>
      <c r="CK63" s="84">
        <f>IF(OR(IPC!CK22="",IPC!BY22=""),"",IPC!CK22/IPC!BY22-1)</f>
        <v>1.3532107593068332E-2</v>
      </c>
      <c r="CL63" s="84">
        <f>IF(OR(IPC!CL22="",IPC!BZ22=""),"",IPC!CL22/IPC!BZ22-1)</f>
        <v>1.6754170387503819E-2</v>
      </c>
      <c r="CM63" s="84">
        <f>IF(OR(IPC!CM22="",IPC!CA22=""),"",IPC!CM22/IPC!CA22-1)</f>
        <v>1.75279433341613E-2</v>
      </c>
      <c r="CN63" s="84">
        <f>IF(OR(IPC!CN22="",IPC!CB22=""),"",IPC!CN22/IPC!CB22-1)</f>
        <v>2.1830666545962663E-2</v>
      </c>
      <c r="CO63" s="84">
        <f>IF(OR(IPC!CO22="",IPC!CC22=""),"",IPC!CO22/IPC!CC22-1)</f>
        <v>2.076379574589482E-2</v>
      </c>
      <c r="CP63" s="84">
        <f>IF(OR(IPC!CP22="",IPC!CD22=""),"",IPC!CP22/IPC!CD22-1)</f>
        <v>2.1754972414229856E-2</v>
      </c>
      <c r="CQ63" s="84">
        <f>IF(OR(IPC!CQ22="",IPC!CE22=""),"",IPC!CQ22/IPC!CE22-1)</f>
        <v>1.956794671325035E-2</v>
      </c>
      <c r="CR63" s="84">
        <f>IF(OR(IPC!CR22="",IPC!CF22=""),"",IPC!CR22/IPC!CF22-1)</f>
        <v>2.4004350222660564E-2</v>
      </c>
      <c r="CS63" s="84">
        <f>IF(OR(IPC!CS22="",IPC!CG22=""),"",IPC!CS22/IPC!CG22-1)</f>
        <v>2.1441164390491707E-2</v>
      </c>
      <c r="CT63" s="84">
        <f>IF(OR(IPC!CT22="",IPC!CH22=""),"",IPC!CT22/IPC!CH22-1)</f>
        <v>2.4935800669578123E-2</v>
      </c>
      <c r="CU63" s="84">
        <f>IF(OR(IPC!CU22="",IPC!CI22=""),"",IPC!CU22/IPC!CI22-1)</f>
        <v>2.3882909548162745E-2</v>
      </c>
      <c r="CV63" s="84">
        <f>IF(OR(IPC!CV22="",IPC!CJ22=""),"",IPC!CV22/IPC!CJ22-1)</f>
        <v>2.3529476583059816E-2</v>
      </c>
      <c r="CW63" s="84">
        <f>IF(OR(IPC!CW22="",IPC!CK22=""),"",IPC!CW22/IPC!CK22-1)</f>
        <v>2.5681118822117321E-2</v>
      </c>
      <c r="CX63" s="84">
        <f>IF(OR(IPC!CX22="",IPC!CL22=""),"",IPC!CX22/IPC!CL22-1)</f>
        <v>2.9756798428856035E-2</v>
      </c>
      <c r="CY63" s="84">
        <f>IF(OR(IPC!CY22="",IPC!CM22=""),"",IPC!CY22/IPC!CM22-1)</f>
        <v>2.6536716602437727E-2</v>
      </c>
      <c r="CZ63" s="84">
        <f>IF(OR(IPC!CZ22="",IPC!CN22=""),"",IPC!CZ22/IPC!CN22-1)</f>
        <v>2.2888938482293897E-2</v>
      </c>
      <c r="DA63" s="84">
        <f>IF(OR(IPC!DA22="",IPC!CO22=""),"",IPC!DA22/IPC!CO22-1)</f>
        <v>2.2438843282409193E-2</v>
      </c>
      <c r="DB63" s="84">
        <f>IF(OR(IPC!DB22="",IPC!CP22=""),"",IPC!DB22/IPC!CP22-1)</f>
        <v>1.8530041427427424E-2</v>
      </c>
      <c r="DC63" s="84">
        <f>IF(OR(IPC!DC22="",IPC!CQ22=""),"",IPC!DC22/IPC!CQ22-1)</f>
        <v>1.8620478031576848E-2</v>
      </c>
      <c r="DD63" s="84">
        <f>IF(OR(IPC!DD22="",IPC!CR22=""),"",IPC!DD22/IPC!CR22-1)</f>
        <v>1.6318749738409188E-2</v>
      </c>
      <c r="DE63" s="84">
        <f>IF(OR(IPC!DE22="",IPC!CS22=""),"",IPC!DE22/IPC!CS22-1)</f>
        <v>1.8906757294355092E-2</v>
      </c>
      <c r="DF63" s="84">
        <f>IF(OR(IPC!DF22="",IPC!CT22=""),"",IPC!DF22/IPC!CT22-1)</f>
        <v>1.8946104671235808E-2</v>
      </c>
      <c r="DG63" s="84">
        <f>IF(OR(IPC!DG22="",IPC!CU22=""),"",IPC!DG22/IPC!CU22-1)</f>
        <v>1.9786663947120475E-2</v>
      </c>
      <c r="DH63" s="84">
        <f>IF(OR(IPC!DH22="",IPC!CV22=""),"",IPC!DH22/IPC!CV22-1)</f>
        <v>1.7970334495205131E-2</v>
      </c>
      <c r="DI63" s="84">
        <f>IF(OR(IPC!DI22="",IPC!CW22=""),"",IPC!DI22/IPC!CW22-1)</f>
        <v>1.7831082951365707E-2</v>
      </c>
      <c r="DJ63" s="84">
        <f>IF(OR(IPC!DJ22="",IPC!CX22=""),"",IPC!DJ22/IPC!CX22-1)</f>
        <v>1.4506576026657836E-2</v>
      </c>
      <c r="DK63" s="84">
        <f>IF(OR(IPC!DK22="",IPC!CY22=""),"",IPC!DK22/IPC!CY22-1)</f>
        <v>2.11201307343587E-2</v>
      </c>
      <c r="DL63" s="84">
        <f>IF(OR(IPC!DL22="",IPC!CZ22=""),"",IPC!DL22/IPC!CZ22-1)</f>
        <v>2.1078847020298941E-2</v>
      </c>
      <c r="DM63" s="84">
        <f>IF(OR(IPC!DM22="",IPC!DA22=""),"",IPC!DM22/IPC!DA22-1)</f>
        <v>2.5331765854324395E-2</v>
      </c>
      <c r="DN63" s="84">
        <f>IF(OR(IPC!DN22="",IPC!DB22=""),"",IPC!DN22/IPC!DB22-1)</f>
        <v>2.5725293104005509E-2</v>
      </c>
      <c r="DO63" s="84">
        <f>IF(OR(IPC!DO22="",IPC!DC22=""),"",IPC!DO22/IPC!DC22-1)</f>
        <v>2.5968053422400272E-2</v>
      </c>
      <c r="DP63" s="84">
        <f>IF(OR(IPC!DP22="",IPC!DD22=""),"",IPC!DP22/IPC!DD22-1)</f>
        <v>2.7985098375183926E-2</v>
      </c>
      <c r="DQ63" s="84">
        <f>IF(OR(IPC!DQ22="",IPC!DE22=""),"",IPC!DQ22/IPC!DE22-1)</f>
        <v>2.8369278578178392E-2</v>
      </c>
      <c r="DR63" s="84">
        <f>IF(OR(IPC!DR22="",IPC!DF22=""),"",IPC!DR22/IPC!DF22-1)</f>
        <v>2.8135625718894719E-2</v>
      </c>
      <c r="DS63" s="84">
        <f>IF(OR(IPC!DS22="",IPC!DG22=""),"",IPC!DS22/IPC!DG22-1)</f>
        <v>2.9034502175545374E-2</v>
      </c>
      <c r="DT63" s="84">
        <f>IF(OR(IPC!DT22="",IPC!DH22=""),"",IPC!DT22/IPC!DH22-1)</f>
        <v>3.2111785138374538E-2</v>
      </c>
      <c r="DU63" s="84">
        <f>IF(OR(IPC!DU22="",IPC!DI22=""),"",IPC!DU22/IPC!DI22-1)</f>
        <v>3.2429914160495343E-2</v>
      </c>
      <c r="DV63" s="84">
        <f>IF(OR(IPC!DV22="",IPC!DJ22=""),"",IPC!DV22/IPC!DJ22-1)</f>
        <v>3.6976404213966862E-2</v>
      </c>
      <c r="DW63" s="84">
        <f>IF(OR(IPC!DW22="",IPC!DK22=""),"",IPC!DW22/IPC!DK22-1)</f>
        <v>3.0886956465653537E-2</v>
      </c>
      <c r="DX63" s="84">
        <f>IF(OR(IPC!DX22="",IPC!DL22=""),"",IPC!DX22/IPC!DL22-1)</f>
        <v>3.0426603586475531E-2</v>
      </c>
      <c r="DY63" s="84">
        <f>IF(OR(IPC!DY22="",IPC!DM22=""),"",IPC!DY22/IPC!DM22-1)</f>
        <v>2.7152485432479168E-2</v>
      </c>
      <c r="DZ63" s="84">
        <f>IF(OR(IPC!DZ22="",IPC!DN22=""),"",IPC!DZ22/IPC!DN22-1)</f>
        <v>3.0789290909746692E-2</v>
      </c>
      <c r="EA63" s="84">
        <f>IF(OR(IPC!EA22="",IPC!DO22=""),"",IPC!EA22/IPC!DO22-1)</f>
        <v>2.9096936042242172E-2</v>
      </c>
      <c r="EB63" s="84">
        <f>IF(OR(IPC!EB22="",IPC!DP22=""),"",IPC!EB22/IPC!DP22-1)</f>
        <v>2.7697517964609286E-2</v>
      </c>
      <c r="EC63" s="84">
        <f>IF(OR(IPC!EC22="",IPC!DQ22=""),"",IPC!EC22/IPC!DQ22-1)</f>
        <v>2.5300109414381433E-2</v>
      </c>
      <c r="ED63" s="84">
        <f>IF(OR(IPC!ED22="",IPC!DR22=""),"",IPC!ED22/IPC!DR22-1)</f>
        <v>2.9885002633286195E-2</v>
      </c>
      <c r="EE63" s="84">
        <f>IF(OR(IPC!EE22="",IPC!DS22=""),"",IPC!EE22/IPC!DS22-1)</f>
        <v>3.2657751408824209E-2</v>
      </c>
      <c r="EF63" s="84">
        <f>IF(OR(IPC!EF22="",IPC!DT22=""),"",IPC!EF22/IPC!DT22-1)</f>
        <v>3.1915019828103075E-2</v>
      </c>
      <c r="EG63" s="84">
        <f>IF(OR(IPC!EG22="",IPC!DU22=""),"",IPC!EG22/IPC!DU22-1)</f>
        <v>3.6731467729375522E-2</v>
      </c>
      <c r="EH63" s="84">
        <f>IF(OR(IPC!EH22="",IPC!DV22=""),"",IPC!EH22/IPC!DV22-1)</f>
        <v>3.555908312721856E-2</v>
      </c>
      <c r="EI63" s="84">
        <f>IF(OR(IPC!EI22="",IPC!DW22=""),"",IPC!EI22/IPC!DW22-1)</f>
        <v>4.2762625790386144E-2</v>
      </c>
      <c r="EJ63" s="84">
        <f>IF(OR(IPC!EJ22="",IPC!DX22=""),"",IPC!EJ22/IPC!DX22-1)</f>
        <v>5.0212276815602142E-2</v>
      </c>
      <c r="EK63" s="84">
        <f>IF(OR(IPC!EK22="",IPC!DY22=""),"",IPC!EK22/IPC!DY22-1)</f>
        <v>5.3744854864337999E-2</v>
      </c>
      <c r="EL63" s="84">
        <f>IF(OR(IPC!EL22="",IPC!DZ22=""),"",IPC!EL22/IPC!DZ22-1)</f>
        <v>4.8812784047426394E-2</v>
      </c>
      <c r="EM63" s="84">
        <f>IF(OR(IPC!EM22="",IPC!EA22=""),"",IPC!EM22/IPC!EA22-1)</f>
        <v>5.7579506892948107E-2</v>
      </c>
      <c r="EN63" s="84">
        <f>IF(OR(IPC!EN22="",IPC!EB22=""),"",IPC!EN22/IPC!EB22-1)</f>
        <v>6.0777055001740798E-2</v>
      </c>
      <c r="EO63" s="84">
        <f>IF(OR(IPC!EO22="",IPC!EC22=""),"",IPC!EO22/IPC!EC22-1)</f>
        <v>6.3858571456725022E-2</v>
      </c>
      <c r="EP63" s="84">
        <f>IF(OR(IPC!EP22="",IPC!ED22=""),"",IPC!EP22/IPC!ED22-1)</f>
        <v>5.939477134804072E-2</v>
      </c>
      <c r="EQ63" s="84">
        <f>IF(OR(IPC!EQ22="",IPC!EE22=""),"",IPC!EQ22/IPC!EE22-1)</f>
        <v>6.0011608879838141E-2</v>
      </c>
      <c r="ER63" s="84">
        <f>IF(OR(IPC!ER22="",IPC!EF22=""),"",IPC!ER22/IPC!EF22-1)</f>
        <v>5.7787819931326423E-2</v>
      </c>
      <c r="ES63" s="84">
        <f>IF(OR(IPC!ES22="",IPC!EG22=""),"",IPC!ES22/IPC!EG22-1)</f>
        <v>6.7298824849451711E-2</v>
      </c>
      <c r="ET63" s="84">
        <f>IF(OR(IPC!ET22="",IPC!EH22=""),"",IPC!ET22/IPC!EH22-1)</f>
        <v>6.4628993525240208E-2</v>
      </c>
      <c r="EU63" s="84">
        <f>IF(OR(IPC!EU22="",IPC!EI22=""),"",IPC!EU22/IPC!EI22-1)</f>
        <v>6.1384200846429149E-2</v>
      </c>
      <c r="EV63" s="84">
        <f>IF(OR(IPC!EV22="",IPC!EJ22=""),"",IPC!EV22/IPC!EJ22-1)</f>
        <v>5.7821027572448669E-2</v>
      </c>
      <c r="EW63" s="84">
        <f>IF(OR(IPC!EW22="",IPC!EK22=""),"",IPC!EW22/IPC!EK22-1)</f>
        <v>5.7630743524308414E-2</v>
      </c>
      <c r="EX63" s="84">
        <f>IF(OR(IPC!EX22="",IPC!EL22=""),"",IPC!EX22/IPC!EL22-1)</f>
        <v>6.1374428243502921E-2</v>
      </c>
      <c r="EY63" s="84">
        <f>IF(OR(IPC!EY22="",IPC!EM22=""),"",IPC!EY22/IPC!EM22-1)</f>
        <v>5.4294953625876774E-2</v>
      </c>
      <c r="EZ63" s="84">
        <f>IF(OR(IPC!EZ22="",IPC!EN22=""),"",IPC!EZ22/IPC!EN22-1)</f>
        <v>5.1536564319501599E-2</v>
      </c>
      <c r="FA63" s="84">
        <f>IF(OR(IPC!FA22="",IPC!EO22=""),"",IPC!FA22/IPC!EO22-1)</f>
        <v>4.8178189932492899E-2</v>
      </c>
      <c r="FB63" s="84">
        <f>IF(OR(IPC!FB22="",IPC!EP22=""),"",IPC!FB22/IPC!EP22-1)</f>
        <v>4.7391833736275535E-2</v>
      </c>
      <c r="FC63" s="84">
        <f>IF(OR(IPC!FC22="",IPC!EQ22=""),"",IPC!FC22/IPC!EQ22-1)</f>
        <v>4.1939385779968363E-2</v>
      </c>
      <c r="FD63" s="84">
        <f>IF(OR(IPC!FD22="",IPC!ER22=""),"",IPC!FD22/IPC!ER22-1)</f>
        <v>4.1910331384015675E-2</v>
      </c>
      <c r="FE63" s="84">
        <f>IF(OR(IPC!FE22="",IPC!ES22=""),"",IPC!FE22/IPC!ES22-1)</f>
        <v>4.0307101727447225E-2</v>
      </c>
      <c r="FF63" s="84">
        <f>IF(OR(IPC!FF22="",IPC!ET22=""),"",IPC!FF22/IPC!ET22-1)</f>
        <v>4.1148325358851601E-2</v>
      </c>
      <c r="FG63" s="84">
        <f>IF(OR(IPC!FG22="",IPC!EU22=""),"",IPC!FG22/IPC!EU22-1)</f>
        <v>4.0913415794481489E-2</v>
      </c>
      <c r="FH63" s="84">
        <f>IF(OR(IPC!FH22="",IPC!EV22=""),"",IPC!FH22/IPC!EV22-1)</f>
        <v>3.8862559241706007E-2</v>
      </c>
      <c r="FI63" s="84">
        <f>IF(OR(IPC!FI22="",IPC!EW22=""),"",IPC!FI22/IPC!EW22-1)</f>
        <v>3.3962264150943389E-2</v>
      </c>
      <c r="FJ63" s="84">
        <f>IF(OR(IPC!FJ22="",IPC!EX22=""),"",IPC!FJ22/IPC!EX22-1)</f>
        <v>3.5815268614514784E-2</v>
      </c>
      <c r="FK63" s="84">
        <f>IF(OR(IPC!FK22="",IPC!EY22=""),"",IPC!FK22/IPC!EY22-1)</f>
        <v>3.4807149576669749E-2</v>
      </c>
      <c r="FL63" s="84">
        <f>IF(OR(IPC!FL22="",IPC!EZ22=""),"",IPC!FL22/IPC!EZ22-1)</f>
        <v>4.1314553990610348E-2</v>
      </c>
      <c r="FM63" s="84">
        <f>IF(OR(IPC!FM22="",IPC!FA22=""),"",IPC!FM22/IPC!FA22-1)</f>
        <v>4.2213883677298281E-2</v>
      </c>
      <c r="FN63" s="84">
        <f>IF(OR(IPC!FN22="",IPC!FB22=""),"",IPC!FN22/IPC!FB22-1)</f>
        <v>4.4048734770384179E-2</v>
      </c>
      <c r="FO63" s="84">
        <f>IF(OR(IPC!FO22="",IPC!FC22=""),"",IPC!FO22/IPC!FC22-1)</f>
        <v>4.4901777362020612E-2</v>
      </c>
      <c r="FP63" s="84">
        <f>IF(OR(IPC!FP22="",IPC!FD22=""),"",IPC!FP22/IPC!FD22-1)</f>
        <v>4.396632366697828E-2</v>
      </c>
      <c r="FQ63" s="84">
        <f>IF(OR(IPC!FQ22="",IPC!FE22=""),"",IPC!FQ22/IPC!FE22-1)</f>
        <v>3.0442804428044257E-2</v>
      </c>
      <c r="FR63" s="84">
        <f>IF(OR(IPC!FR22="",IPC!FF22=""),"",IPC!FR22/IPC!FF22-1)</f>
        <v>2.7573529411764719E-2</v>
      </c>
    </row>
    <row r="64" spans="1:174" s="74" customFormat="1" ht="10.199999999999999" x14ac:dyDescent="0.2"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/>
      <c r="BU64" s="75"/>
      <c r="BV64" s="75"/>
      <c r="BW64" s="75"/>
      <c r="BX64" s="75"/>
      <c r="BY64" s="75"/>
      <c r="BZ64" s="75"/>
      <c r="CA64" s="75"/>
      <c r="CB64" s="75"/>
      <c r="CC64" s="75"/>
      <c r="CD64" s="75"/>
      <c r="CE64" s="75"/>
      <c r="CF64" s="75"/>
      <c r="CG64" s="75"/>
      <c r="CH64" s="75"/>
      <c r="CI64" s="75"/>
      <c r="CJ64" s="75"/>
      <c r="CK64" s="75"/>
      <c r="CL64" s="75"/>
      <c r="CM64" s="75"/>
      <c r="CN64" s="75"/>
      <c r="CO64" s="75"/>
      <c r="CP64" s="75"/>
      <c r="CQ64" s="75"/>
      <c r="CR64" s="75"/>
      <c r="CS64" s="75"/>
      <c r="CT64" s="75"/>
      <c r="CU64" s="75"/>
      <c r="CV64" s="75"/>
      <c r="CW64" s="75"/>
      <c r="CX64" s="75"/>
      <c r="CY64" s="75"/>
      <c r="CZ64" s="75"/>
      <c r="DA64" s="75"/>
      <c r="DB64" s="75"/>
      <c r="DC64" s="75"/>
      <c r="DD64" s="75"/>
      <c r="DE64" s="75"/>
      <c r="DF64" s="75"/>
      <c r="DG64" s="75"/>
      <c r="DH64" s="75"/>
      <c r="DI64" s="75"/>
      <c r="DJ64" s="75"/>
      <c r="DK64" s="75"/>
      <c r="DL64" s="75"/>
      <c r="DM64" s="75"/>
      <c r="DN64" s="75"/>
      <c r="DO64" s="75"/>
      <c r="DP64" s="75"/>
      <c r="DQ64" s="75"/>
      <c r="DR64" s="75"/>
      <c r="DS64" s="75"/>
      <c r="DT64" s="75"/>
      <c r="DU64" s="75"/>
      <c r="DV64" s="75"/>
      <c r="DW64" s="75"/>
      <c r="DX64" s="75"/>
      <c r="DY64" s="75"/>
      <c r="DZ64" s="75"/>
      <c r="EA64" s="75"/>
      <c r="EB64" s="75"/>
      <c r="EC64" s="75"/>
      <c r="ED64" s="75"/>
      <c r="EE64" s="75"/>
      <c r="EF64" s="75"/>
      <c r="EG64" s="75"/>
      <c r="EH64" s="75"/>
      <c r="EI64" s="75"/>
      <c r="EJ64" s="75"/>
      <c r="EK64" s="75"/>
      <c r="EL64" s="75"/>
      <c r="EM64" s="75"/>
      <c r="EN64" s="75"/>
      <c r="EO64" s="75"/>
      <c r="EP64" s="75"/>
      <c r="EQ64" s="75"/>
      <c r="ER64" s="75"/>
      <c r="ES64" s="75"/>
      <c r="ET64" s="75"/>
      <c r="EU64" s="75"/>
      <c r="EV64" s="75"/>
      <c r="EW64" s="75"/>
      <c r="EX64" s="75"/>
      <c r="EY64" s="75"/>
      <c r="EZ64" s="75"/>
      <c r="FA64" s="75"/>
      <c r="FB64" s="75"/>
      <c r="FC64" s="75"/>
      <c r="FD64" s="75"/>
      <c r="FE64" s="75"/>
      <c r="FF64" s="75"/>
      <c r="FG64" s="75"/>
      <c r="FH64" s="75"/>
      <c r="FI64" s="75"/>
      <c r="FJ64" s="75"/>
      <c r="FK64" s="75"/>
      <c r="FL64" s="75"/>
      <c r="FM64" s="75"/>
      <c r="FN64" s="75"/>
      <c r="FO64" s="75"/>
      <c r="FP64" s="75"/>
      <c r="FQ64" s="75"/>
      <c r="FR64" s="75"/>
    </row>
    <row r="65" spans="1:174" s="74" customFormat="1" ht="10.199999999999999" x14ac:dyDescent="0.2">
      <c r="B65" s="3" t="s">
        <v>104</v>
      </c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>
        <f>IF(OR(IPC!AB24="",IPC!P24=""),"",IPC!AB24/IPC!P24-1)</f>
        <v>3.0850990698103153E-2</v>
      </c>
      <c r="AC65" s="75">
        <f>IF(OR(IPC!AC24="",IPC!Q24=""),"",IPC!AC24/IPC!Q24-1)</f>
        <v>2.9112554315803951E-2</v>
      </c>
      <c r="AD65" s="75">
        <f>IF(OR(IPC!AD24="",IPC!R24=""),"",IPC!AD24/IPC!R24-1)</f>
        <v>3.4233278228448238E-2</v>
      </c>
      <c r="AE65" s="75">
        <f>IF(OR(IPC!AE24="",IPC!S24=""),"",IPC!AE24/IPC!S24-1)</f>
        <v>3.6366401251603619E-2</v>
      </c>
      <c r="AF65" s="75">
        <f>IF(OR(IPC!AF24="",IPC!T24=""),"",IPC!AF24/IPC!T24-1)</f>
        <v>3.5611674820031469E-2</v>
      </c>
      <c r="AG65" s="75">
        <f>IF(OR(IPC!AG24="",IPC!U24=""),"",IPC!AG24/IPC!U24-1)</f>
        <v>1.0056143985268218E-2</v>
      </c>
      <c r="AH65" s="75">
        <f>IF(OR(IPC!AH24="",IPC!V24=""),"",IPC!AH24/IPC!V24-1)</f>
        <v>8.5445553414276176E-3</v>
      </c>
      <c r="AI65" s="75">
        <f>IF(OR(IPC!AI24="",IPC!W24=""),"",IPC!AI24/IPC!W24-1)</f>
        <v>1.2186881723039722E-2</v>
      </c>
      <c r="AJ65" s="75">
        <f>IF(OR(IPC!AJ24="",IPC!X24=""),"",IPC!AJ24/IPC!X24-1)</f>
        <v>1.2894713306940142E-2</v>
      </c>
      <c r="AK65" s="75">
        <f>IF(OR(IPC!AK24="",IPC!Y24=""),"",IPC!AK24/IPC!Y24-1)</f>
        <v>-5.2444366659795127E-3</v>
      </c>
      <c r="AL65" s="75">
        <f>IF(OR(IPC!AL24="",IPC!Z24=""),"",IPC!AL24/IPC!Z24-1)</f>
        <v>-2.1479604119465368E-3</v>
      </c>
      <c r="AM65" s="75">
        <f>IF(OR(IPC!AM24="",IPC!AA24=""),"",IPC!AM24/IPC!AA24-1)</f>
        <v>-5.0418420760472982E-3</v>
      </c>
      <c r="AN65" s="75">
        <f>IF(OR(IPC!AN24="",IPC!AB24=""),"",IPC!AN24/IPC!AB24-1)</f>
        <v>-1.4175506011868677E-3</v>
      </c>
      <c r="AO65" s="75">
        <f>IF(OR(IPC!AO24="",IPC!AC24=""),"",IPC!AO24/IPC!AC24-1)</f>
        <v>-4.7573369616049632E-4</v>
      </c>
      <c r="AP65" s="75">
        <f>IF(OR(IPC!AP24="",IPC!AD24=""),"",IPC!AP24/IPC!AD24-1)</f>
        <v>-4.1620643057507234E-3</v>
      </c>
      <c r="AQ65" s="75">
        <f>IF(OR(IPC!AQ24="",IPC!AE24=""),"",IPC!AQ24/IPC!AE24-1)</f>
        <v>-7.4414724558097278E-3</v>
      </c>
      <c r="AR65" s="75">
        <f>IF(OR(IPC!AR24="",IPC!AF24=""),"",IPC!AR24/IPC!AF24-1)</f>
        <v>-6.0535926373860294E-3</v>
      </c>
      <c r="AS65" s="75">
        <f>IF(OR(IPC!AS24="",IPC!AG24=""),"",IPC!AS24/IPC!AG24-1)</f>
        <v>-6.1506756799737383E-3</v>
      </c>
      <c r="AT65" s="75">
        <f>IF(OR(IPC!AT24="",IPC!AH24=""),"",IPC!AT24/IPC!AH24-1)</f>
        <v>5.0513700676629858E-2</v>
      </c>
      <c r="AU65" s="75">
        <f>IF(OR(IPC!AU24="",IPC!AI24=""),"",IPC!AU24/IPC!AI24-1)</f>
        <v>4.9101368848678106E-2</v>
      </c>
      <c r="AV65" s="75">
        <f>IF(OR(IPC!AV24="",IPC!AJ24=""),"",IPC!AV24/IPC!AJ24-1)</f>
        <v>4.5784733271965639E-2</v>
      </c>
      <c r="AW65" s="75">
        <f>IF(OR(IPC!AW24="",IPC!AK24=""),"",IPC!AW24/IPC!AK24-1)</f>
        <v>5.3495285741492316E-2</v>
      </c>
      <c r="AX65" s="75">
        <f>IF(OR(IPC!AX24="",IPC!AL24=""),"",IPC!AX24/IPC!AL24-1)</f>
        <v>5.4920128544190927E-2</v>
      </c>
      <c r="AY65" s="75">
        <f>IF(OR(IPC!AY24="",IPC!AM24=""),"",IPC!AY24/IPC!AM24-1)</f>
        <v>5.3255429196275239E-2</v>
      </c>
      <c r="AZ65" s="75">
        <f>IF(OR(IPC!AZ24="",IPC!AN24=""),"",IPC!AZ24/IPC!AN24-1)</f>
        <v>5.16438509578383E-2</v>
      </c>
      <c r="BA65" s="75">
        <f>IF(OR(IPC!BA24="",IPC!AO24=""),"",IPC!BA24/IPC!AO24-1)</f>
        <v>5.3250820186641956E-2</v>
      </c>
      <c r="BB65" s="75">
        <f>IF(OR(IPC!BB24="",IPC!AP24=""),"",IPC!BB24/IPC!AP24-1)</f>
        <v>5.3045517027132227E-2</v>
      </c>
      <c r="BC65" s="75">
        <f>IF(OR(IPC!BC24="",IPC!AQ24=""),"",IPC!BC24/IPC!AQ24-1)</f>
        <v>5.546941444611786E-2</v>
      </c>
      <c r="BD65" s="75">
        <f>IF(OR(IPC!BD24="",IPC!AR24=""),"",IPC!BD24/IPC!AR24-1)</f>
        <v>5.2247637455665741E-2</v>
      </c>
      <c r="BE65" s="75">
        <f>IF(OR(IPC!BE24="",IPC!AS24=""),"",IPC!BE24/IPC!AS24-1)</f>
        <v>5.2272530391435978E-2</v>
      </c>
      <c r="BF65" s="75">
        <f>IF(OR(IPC!BF24="",IPC!AT24=""),"",IPC!BF24/IPC!AT24-1)</f>
        <v>-1.0965351264571321E-3</v>
      </c>
      <c r="BG65" s="75">
        <f>IF(OR(IPC!BG24="",IPC!AU24=""),"",IPC!BG24/IPC!AU24-1)</f>
        <v>9.3165034744568942E-4</v>
      </c>
      <c r="BH65" s="75">
        <f>IF(OR(IPC!BH24="",IPC!AV24=""),"",IPC!BH24/IPC!AV24-1)</f>
        <v>5.8100758909307437E-4</v>
      </c>
      <c r="BI65" s="75">
        <f>IF(OR(IPC!BI24="",IPC!AW24=""),"",IPC!BI24/IPC!AW24-1)</f>
        <v>6.5983712279793494E-4</v>
      </c>
      <c r="BJ65" s="75">
        <f>IF(OR(IPC!BJ24="",IPC!AX24=""),"",IPC!BJ24/IPC!AX24-1)</f>
        <v>1.6215012748583835E-3</v>
      </c>
      <c r="BK65" s="75">
        <f>IF(OR(IPC!BK24="",IPC!AY24=""),"",IPC!BK24/IPC!AY24-1)</f>
        <v>1.1816504091581859E-3</v>
      </c>
      <c r="BL65" s="75">
        <f>IF(OR(IPC!BL24="",IPC!AZ24=""),"",IPC!BL24/IPC!AZ24-1)</f>
        <v>-8.879112277483836E-3</v>
      </c>
      <c r="BM65" s="75">
        <f>IF(OR(IPC!BM24="",IPC!BA24=""),"",IPC!BM24/IPC!BA24-1)</f>
        <v>-7.2831176593329827E-3</v>
      </c>
      <c r="BN65" s="75">
        <f>IF(OR(IPC!BN24="",IPC!BB24=""),"",IPC!BN24/IPC!BB24-1)</f>
        <v>-9.039862956492728E-3</v>
      </c>
      <c r="BO65" s="75">
        <f>IF(OR(IPC!BO24="",IPC!BC24=""),"",IPC!BO24/IPC!BC24-1)</f>
        <v>-9.8816812211576233E-3</v>
      </c>
      <c r="BP65" s="75">
        <f>IF(OR(IPC!BP24="",IPC!BD24=""),"",IPC!BP24/IPC!BD24-1)</f>
        <v>-8.1832993990382796E-3</v>
      </c>
      <c r="BQ65" s="75">
        <f>IF(OR(IPC!BQ24="",IPC!BE24=""),"",IPC!BQ24/IPC!BE24-1)</f>
        <v>-1.0545682867623585E-2</v>
      </c>
      <c r="BR65" s="75">
        <f>IF(OR(IPC!BR24="",IPC!BF24=""),"",IPC!BR24/IPC!BF24-1)</f>
        <v>-8.1572300758265825E-3</v>
      </c>
      <c r="BS65" s="75">
        <f>IF(OR(IPC!BS24="",IPC!BG24=""),"",IPC!BS24/IPC!BG24-1)</f>
        <v>-1.0059189021818793E-2</v>
      </c>
      <c r="BT65" s="75">
        <f>IF(OR(IPC!BT24="",IPC!BH24=""),"",IPC!BT24/IPC!BH24-1)</f>
        <v>-8.3396480430690811E-3</v>
      </c>
      <c r="BU65" s="75">
        <f>IF(OR(IPC!BU24="",IPC!BI24=""),"",IPC!BU24/IPC!BI24-1)</f>
        <v>-9.4203068010054736E-3</v>
      </c>
      <c r="BV65" s="75">
        <f>IF(OR(IPC!BV24="",IPC!BJ24=""),"",IPC!BV24/IPC!BJ24-1)</f>
        <v>-1.1805082323126936E-2</v>
      </c>
      <c r="BW65" s="75">
        <f>IF(OR(IPC!BW24="",IPC!BK24=""),"",IPC!BW24/IPC!BK24-1)</f>
        <v>-7.2645948987135611E-3</v>
      </c>
      <c r="BX65" s="75">
        <f>IF(OR(IPC!BX24="",IPC!BL24=""),"",IPC!BX24/IPC!BL24-1)</f>
        <v>1.8805299644375495E-3</v>
      </c>
      <c r="BY65" s="75">
        <f>IF(OR(IPC!BY24="",IPC!BM24=""),"",IPC!BY24/IPC!BM24-1)</f>
        <v>5.2916148169601662E-4</v>
      </c>
      <c r="BZ65" s="75">
        <f>IF(OR(IPC!BZ24="",IPC!BN24=""),"",IPC!BZ24/IPC!BN24-1)</f>
        <v>6.7810994492578658E-4</v>
      </c>
      <c r="CA65" s="75">
        <f>IF(OR(IPC!CA24="",IPC!BO24=""),"",IPC!CA24/IPC!BO24-1)</f>
        <v>9.2071410118665931E-4</v>
      </c>
      <c r="CB65" s="75">
        <f>IF(OR(IPC!CB24="",IPC!BP24=""),"",IPC!CB24/IPC!BP24-1)</f>
        <v>1.2726492969243886E-3</v>
      </c>
      <c r="CC65" s="75">
        <f>IF(OR(IPC!CC24="",IPC!BQ24=""),"",IPC!CC24/IPC!BQ24-1)</f>
        <v>2.6241780214022459E-3</v>
      </c>
      <c r="CD65" s="75">
        <f>IF(OR(IPC!CD24="",IPC!BR24=""),"",IPC!CD24/IPC!BR24-1)</f>
        <v>1.9642257457084256E-3</v>
      </c>
      <c r="CE65" s="75">
        <f>IF(OR(IPC!CE24="",IPC!BS24=""),"",IPC!CE24/IPC!BS24-1)</f>
        <v>2.9625870782552521E-3</v>
      </c>
      <c r="CF65" s="75">
        <f>IF(OR(IPC!CF24="",IPC!BT24=""),"",IPC!CF24/IPC!BT24-1)</f>
        <v>1.3928460308605395E-3</v>
      </c>
      <c r="CG65" s="75">
        <f>IF(OR(IPC!CG24="",IPC!BU24=""),"",IPC!CG24/IPC!BU24-1)</f>
        <v>1.1348562207971202E-3</v>
      </c>
      <c r="CH65" s="75">
        <f>IF(OR(IPC!CH24="",IPC!BV24=""),"",IPC!CH24/IPC!BV24-1)</f>
        <v>1.6200206630352376E-3</v>
      </c>
      <c r="CI65" s="75">
        <f>IF(OR(IPC!CI24="",IPC!BW24=""),"",IPC!CI24/IPC!BW24-1)</f>
        <v>-7.0173490759228851E-4</v>
      </c>
      <c r="CJ65" s="75">
        <f>IF(OR(IPC!CJ24="",IPC!BX24=""),"",IPC!CJ24/IPC!BX24-1)</f>
        <v>-6.9779518978241306E-5</v>
      </c>
      <c r="CK65" s="75">
        <f>IF(OR(IPC!CK24="",IPC!BY24=""),"",IPC!CK24/IPC!BY24-1)</f>
        <v>-2.1572364473099181E-4</v>
      </c>
      <c r="CL65" s="75">
        <f>IF(OR(IPC!CL24="",IPC!BZ24=""),"",IPC!CL24/IPC!BZ24-1)</f>
        <v>1.1197338272985746E-3</v>
      </c>
      <c r="CM65" s="75">
        <f>IF(OR(IPC!CM24="",IPC!CA24=""),"",IPC!CM24/IPC!CA24-1)</f>
        <v>2.5506167471625041E-3</v>
      </c>
      <c r="CN65" s="75">
        <f>IF(OR(IPC!CN24="",IPC!CB24=""),"",IPC!CN24/IPC!CB24-1)</f>
        <v>3.529153709358912E-3</v>
      </c>
      <c r="CO65" s="75">
        <f>IF(OR(IPC!CO24="",IPC!CC24=""),"",IPC!CO24/IPC!CC24-1)</f>
        <v>2.3212101855381029E-3</v>
      </c>
      <c r="CP65" s="75">
        <f>IF(OR(IPC!CP24="",IPC!CD24=""),"",IPC!CP24/IPC!CD24-1)</f>
        <v>2.3169724575278217E-3</v>
      </c>
      <c r="CQ65" s="75">
        <f>IF(OR(IPC!CQ24="",IPC!CE24=""),"",IPC!CQ24/IPC!CE24-1)</f>
        <v>2.4663594262046562E-3</v>
      </c>
      <c r="CR65" s="75">
        <f>IF(OR(IPC!CR24="",IPC!CF24=""),"",IPC!CR24/IPC!CF24-1)</f>
        <v>2.4214409319247565E-3</v>
      </c>
      <c r="CS65" s="75">
        <f>IF(OR(IPC!CS24="",IPC!CG24=""),"",IPC!CS24/IPC!CG24-1)</f>
        <v>3.5669681910475148E-3</v>
      </c>
      <c r="CT65" s="75">
        <f>IF(OR(IPC!CT24="",IPC!CH24=""),"",IPC!CT24/IPC!CH24-1)</f>
        <v>3.360613332829443E-3</v>
      </c>
      <c r="CU65" s="75">
        <f>IF(OR(IPC!CU24="",IPC!CI24=""),"",IPC!CU24/IPC!CI24-1)</f>
        <v>3.374873866316408E-3</v>
      </c>
      <c r="CV65" s="75">
        <f>IF(OR(IPC!CV24="",IPC!CJ24=""),"",IPC!CV24/IPC!CJ24-1)</f>
        <v>3.3439391711260757E-3</v>
      </c>
      <c r="CW65" s="75">
        <f>IF(OR(IPC!CW24="",IPC!CK24=""),"",IPC!CW24/IPC!CK24-1)</f>
        <v>-1.2513120549321299E-2</v>
      </c>
      <c r="CX65" s="75">
        <f>IF(OR(IPC!CX24="",IPC!CL24=""),"",IPC!CX24/IPC!CL24-1)</f>
        <v>-1.2655569418375423E-2</v>
      </c>
      <c r="CY65" s="75">
        <f>IF(OR(IPC!CY24="",IPC!CM24=""),"",IPC!CY24/IPC!CM24-1)</f>
        <v>-2.8758795100259138E-2</v>
      </c>
      <c r="CZ65" s="75">
        <f>IF(OR(IPC!CZ24="",IPC!CN24=""),"",IPC!CZ24/IPC!CN24-1)</f>
        <v>-2.9865403065197471E-2</v>
      </c>
      <c r="DA65" s="75">
        <f>IF(OR(IPC!DA24="",IPC!CO24=""),"",IPC!DA24/IPC!CO24-1)</f>
        <v>-3.0013595387201719E-2</v>
      </c>
      <c r="DB65" s="75">
        <f>IF(OR(IPC!DB24="",IPC!CP24=""),"",IPC!DB24/IPC!CP24-1)</f>
        <v>-3.0118921172320068E-2</v>
      </c>
      <c r="DC65" s="75">
        <f>IF(OR(IPC!DC24="",IPC!CQ24=""),"",IPC!DC24/IPC!CQ24-1)</f>
        <v>-3.0199810019475248E-2</v>
      </c>
      <c r="DD65" s="75">
        <f>IF(OR(IPC!DD24="",IPC!CR24=""),"",IPC!DD24/IPC!CR24-1)</f>
        <v>-3.007327388240788E-2</v>
      </c>
      <c r="DE65" s="75">
        <f>IF(OR(IPC!DE24="",IPC!CS24=""),"",IPC!DE24/IPC!CS24-1)</f>
        <v>-3.089022686972509E-2</v>
      </c>
      <c r="DF65" s="75">
        <f>IF(OR(IPC!DF24="",IPC!CT24=""),"",IPC!DF24/IPC!CT24-1)</f>
        <v>-3.106679033253168E-2</v>
      </c>
      <c r="DG65" s="75">
        <f>IF(OR(IPC!DG24="",IPC!CU24=""),"",IPC!DG24/IPC!CU24-1)</f>
        <v>-3.0659991926300312E-2</v>
      </c>
      <c r="DH65" s="75">
        <f>IF(OR(IPC!DH24="",IPC!CV24=""),"",IPC!DH24/IPC!CV24-1)</f>
        <v>-3.0857685430031867E-2</v>
      </c>
      <c r="DI65" s="75">
        <f>IF(OR(IPC!DI24="",IPC!CW24=""),"",IPC!DI24/IPC!CW24-1)</f>
        <v>-1.4483662713651646E-2</v>
      </c>
      <c r="DJ65" s="75">
        <f>IF(OR(IPC!DJ24="",IPC!CX24=""),"",IPC!DJ24/IPC!CX24-1)</f>
        <v>-1.4348392736506232E-2</v>
      </c>
      <c r="DK65" s="75">
        <f>IF(OR(IPC!DK24="",IPC!CY24=""),"",IPC!DK24/IPC!CY24-1)</f>
        <v>2.4039451879096507E-3</v>
      </c>
      <c r="DL65" s="75">
        <f>IF(OR(IPC!DL24="",IPC!CZ24=""),"",IPC!DL24/IPC!CZ24-1)</f>
        <v>5.2192362136957993E-3</v>
      </c>
      <c r="DM65" s="75">
        <f>IF(OR(IPC!DM24="",IPC!DA24=""),"",IPC!DM24/IPC!DA24-1)</f>
        <v>5.7705622016896996E-3</v>
      </c>
      <c r="DN65" s="75">
        <f>IF(OR(IPC!DN24="",IPC!DB24=""),"",IPC!DN24/IPC!DB24-1)</f>
        <v>6.5397543101295419E-3</v>
      </c>
      <c r="DO65" s="75">
        <f>IF(OR(IPC!DO24="",IPC!DC24=""),"",IPC!DO24/IPC!DC24-1)</f>
        <v>6.6682931593615713E-3</v>
      </c>
      <c r="DP65" s="75">
        <f>IF(OR(IPC!DP24="",IPC!DD24=""),"",IPC!DP24/IPC!DD24-1)</f>
        <v>6.5173511750797886E-3</v>
      </c>
      <c r="DQ65" s="75">
        <f>IF(OR(IPC!DQ24="",IPC!DE24=""),"",IPC!DQ24/IPC!DE24-1)</f>
        <v>6.9974252569204864E-3</v>
      </c>
      <c r="DR65" s="75">
        <f>IF(OR(IPC!DR24="",IPC!DF24=""),"",IPC!DR24/IPC!DF24-1)</f>
        <v>6.6264833726443761E-3</v>
      </c>
      <c r="DS65" s="75">
        <f>IF(OR(IPC!DS24="",IPC!DG24=""),"",IPC!DS24/IPC!DG24-1)</f>
        <v>6.1353516459405899E-3</v>
      </c>
      <c r="DT65" s="75">
        <f>IF(OR(IPC!DT24="",IPC!DH24=""),"",IPC!DT24/IPC!DH24-1)</f>
        <v>6.2286728099623101E-3</v>
      </c>
      <c r="DU65" s="75">
        <f>IF(OR(IPC!DU24="",IPC!DI24=""),"",IPC!DU24/IPC!DI24-1)</f>
        <v>5.8833034754697255E-3</v>
      </c>
      <c r="DV65" s="75">
        <f>IF(OR(IPC!DV24="",IPC!DJ24=""),"",IPC!DV24/IPC!DJ24-1)</f>
        <v>5.9046779770186575E-3</v>
      </c>
      <c r="DW65" s="75">
        <f>IF(OR(IPC!DW24="",IPC!DK24=""),"",IPC!DW24/IPC!DK24-1)</f>
        <v>3.6878710542489479E-3</v>
      </c>
      <c r="DX65" s="75">
        <f>IF(OR(IPC!DX24="",IPC!DL24=""),"",IPC!DX24/IPC!DL24-1)</f>
        <v>1.2038843252690778E-3</v>
      </c>
      <c r="DY65" s="75">
        <f>IF(OR(IPC!DY24="",IPC!DM24=""),"",IPC!DY24/IPC!DM24-1)</f>
        <v>8.0799234088613225E-4</v>
      </c>
      <c r="DZ65" s="75">
        <f>IF(OR(IPC!DZ24="",IPC!DN24=""),"",IPC!DZ24/IPC!DN24-1)</f>
        <v>2.3447101729079378E-4</v>
      </c>
      <c r="EA65" s="75">
        <f>IF(OR(IPC!EA24="",IPC!DO24=""),"",IPC!EA24/IPC!DO24-1)</f>
        <v>3.0326124261526033E-4</v>
      </c>
      <c r="EB65" s="75">
        <f>IF(OR(IPC!EB24="",IPC!DP24=""),"",IPC!EB24/IPC!DP24-1)</f>
        <v>3.0698654746408316E-4</v>
      </c>
      <c r="EC65" s="75">
        <f>IF(OR(IPC!EC24="",IPC!DQ24=""),"",IPC!EC24/IPC!DQ24-1)</f>
        <v>-1.4635359502568335E-4</v>
      </c>
      <c r="ED65" s="75">
        <f>IF(OR(IPC!ED24="",IPC!DR24=""),"",IPC!ED24/IPC!DR24-1)</f>
        <v>3.8859992127027176E-4</v>
      </c>
      <c r="EE65" s="75">
        <f>IF(OR(IPC!EE24="",IPC!DS24=""),"",IPC!EE24/IPC!DS24-1)</f>
        <v>8.6087764652753584E-4</v>
      </c>
      <c r="EF65" s="75">
        <f>IF(OR(IPC!EF24="",IPC!DT24=""),"",IPC!EF24/IPC!DT24-1)</f>
        <v>1.4703023028246331E-3</v>
      </c>
      <c r="EG65" s="75">
        <f>IF(OR(IPC!EG24="",IPC!DU24=""),"",IPC!EG24/IPC!DU24-1)</f>
        <v>1.4570113756744441E-3</v>
      </c>
      <c r="EH65" s="75">
        <f>IF(OR(IPC!EH24="",IPC!DV24=""),"",IPC!EH24/IPC!DV24-1)</f>
        <v>2.2883624623488696E-3</v>
      </c>
      <c r="EI65" s="75">
        <f>IF(OR(IPC!EI24="",IPC!DW24=""),"",IPC!EI24/IPC!DW24-1)</f>
        <v>2.7193879891658224E-3</v>
      </c>
      <c r="EJ65" s="75">
        <f>IF(OR(IPC!EJ24="",IPC!DX24=""),"",IPC!EJ24/IPC!DX24-1)</f>
        <v>3.5144442529508879E-3</v>
      </c>
      <c r="EK65" s="75">
        <f>IF(OR(IPC!EK24="",IPC!DY24=""),"",IPC!EK24/IPC!DY24-1)</f>
        <v>3.7181874033687112E-3</v>
      </c>
      <c r="EL65" s="75">
        <f>IF(OR(IPC!EL24="",IPC!DZ24=""),"",IPC!EL24/IPC!DZ24-1)</f>
        <v>3.3073224532638168E-3</v>
      </c>
      <c r="EM65" s="75">
        <f>IF(OR(IPC!EM24="",IPC!EA24=""),"",IPC!EM24/IPC!EA24-1)</f>
        <v>3.4293218382734914E-3</v>
      </c>
      <c r="EN65" s="75">
        <f>IF(OR(IPC!EN24="",IPC!EB24=""),"",IPC!EN24/IPC!EB24-1)</f>
        <v>3.396158855703213E-3</v>
      </c>
      <c r="EO65" s="75">
        <f>IF(OR(IPC!EO24="",IPC!EC24=""),"",IPC!EO24/IPC!EC24-1)</f>
        <v>1.4156967142405108E-2</v>
      </c>
      <c r="EP65" s="75">
        <f>IF(OR(IPC!EP24="",IPC!ED24=""),"",IPC!EP24/IPC!ED24-1)</f>
        <v>1.4823888908155558E-2</v>
      </c>
      <c r="EQ65" s="75">
        <f>IF(OR(IPC!EQ24="",IPC!EE24=""),"",IPC!EQ24/IPC!EE24-1)</f>
        <v>1.5185831764145785E-2</v>
      </c>
      <c r="ER65" s="75">
        <f>IF(OR(IPC!ER24="",IPC!EF24=""),"",IPC!ER24/IPC!EF24-1)</f>
        <v>2.4564366179630426E-2</v>
      </c>
      <c r="ES65" s="75">
        <f>IF(OR(IPC!ES24="",IPC!EG24=""),"",IPC!ES24/IPC!EG24-1)</f>
        <v>7.2775770483650248E-2</v>
      </c>
      <c r="ET65" s="75">
        <f>IF(OR(IPC!ET24="",IPC!EH24=""),"",IPC!ET24/IPC!EH24-1)</f>
        <v>7.594345921750234E-2</v>
      </c>
      <c r="EU65" s="75">
        <f>IF(OR(IPC!EU24="",IPC!EI24=""),"",IPC!EU24/IPC!EI24-1)</f>
        <v>7.8479018686170576E-2</v>
      </c>
      <c r="EV65" s="75">
        <f>IF(OR(IPC!EV24="",IPC!EJ24=""),"",IPC!EV24/IPC!EJ24-1)</f>
        <v>8.1792151154770343E-2</v>
      </c>
      <c r="EW65" s="75">
        <f>IF(OR(IPC!EW24="",IPC!EK24=""),"",IPC!EW24/IPC!EK24-1)</f>
        <v>9.860766502777274E-2</v>
      </c>
      <c r="EX65" s="75">
        <f>IF(OR(IPC!EX24="",IPC!EL24=""),"",IPC!EX24/IPC!EL24-1)</f>
        <v>0.1057382899012711</v>
      </c>
      <c r="EY65" s="75">
        <f>IF(OR(IPC!EY24="",IPC!EM24=""),"",IPC!EY24/IPC!EM24-1)</f>
        <v>9.9402983620331176E-2</v>
      </c>
      <c r="EZ65" s="75">
        <f>IF(OR(IPC!EZ24="",IPC!EN24=""),"",IPC!EZ24/IPC!EN24-1)</f>
        <v>9.8437096071416263E-2</v>
      </c>
      <c r="FA65" s="75">
        <f>IF(OR(IPC!FA24="",IPC!EO24=""),"",IPC!FA24/IPC!EO24-1)</f>
        <v>8.7748531318420309E-2</v>
      </c>
      <c r="FB65" s="75">
        <f>IF(OR(IPC!FB24="",IPC!EP24=""),"",IPC!FB24/IPC!EP24-1)</f>
        <v>9.495507631598521E-2</v>
      </c>
      <c r="FC65" s="75">
        <f>IF(OR(IPC!FC24="",IPC!EQ24=""),"",IPC!FC24/IPC!EQ24-1)</f>
        <v>9.2128713401578688E-2</v>
      </c>
      <c r="FD65" s="75">
        <f>IF(OR(IPC!FD24="",IPC!ER24=""),"",IPC!FD24/IPC!ER24-1)</f>
        <v>7.6470588235294068E-2</v>
      </c>
      <c r="FE65" s="75">
        <f>IF(OR(IPC!FE24="",IPC!ES24=""),"",IPC!FE24/IPC!ES24-1)</f>
        <v>7.4906367041198463E-2</v>
      </c>
      <c r="FF65" s="75">
        <f>IF(OR(IPC!FF24="",IPC!ET24=""),"",IPC!FF24/IPC!ET24-1)</f>
        <v>6.996268656716409E-2</v>
      </c>
      <c r="FG65" s="75">
        <f>IF(OR(IPC!FG24="",IPC!EU24=""),"",IPC!FG24/IPC!EU24-1)</f>
        <v>7.9069767441860561E-2</v>
      </c>
      <c r="FH65" s="75">
        <f>IF(OR(IPC!FH24="",IPC!EV24=""),"",IPC!FH24/IPC!EV24-1)</f>
        <v>8.8971269694161137E-2</v>
      </c>
      <c r="FI65" s="75">
        <f>IF(OR(IPC!FI24="",IPC!EW24=""),"",IPC!FI24/IPC!EW24-1)</f>
        <v>7.3905109489051268E-2</v>
      </c>
      <c r="FJ65" s="75">
        <f>IF(OR(IPC!FJ24="",IPC!EX24=""),"",IPC!FJ24/IPC!EX24-1)</f>
        <v>6.618313689936528E-2</v>
      </c>
      <c r="FK65" s="75">
        <f>IF(OR(IPC!FK24="",IPC!EY24=""),"",IPC!FK24/IPC!EY24-1)</f>
        <v>6.7456700091157673E-2</v>
      </c>
      <c r="FL65" s="75">
        <f>IF(OR(IPC!FL24="",IPC!EZ24=""),"",IPC!FL24/IPC!EZ24-1)</f>
        <v>7.8467153284671687E-2</v>
      </c>
      <c r="FM65" s="75">
        <f>IF(OR(IPC!FM24="",IPC!FA24=""),"",IPC!FM24/IPC!FA24-1)</f>
        <v>8.3865086599817618E-2</v>
      </c>
      <c r="FN65" s="75">
        <f>IF(OR(IPC!FN24="",IPC!FB24=""),"",IPC!FN24/IPC!FB24-1)</f>
        <v>7.8733031674208087E-2</v>
      </c>
      <c r="FO65" s="75">
        <f>IF(OR(IPC!FO24="",IPC!FC24=""),"",IPC!FO24/IPC!FC24-1)</f>
        <v>8.7035358114234018E-2</v>
      </c>
      <c r="FP65" s="75">
        <f>IF(OR(IPC!FP24="",IPC!FD24=""),"",IPC!FP24/IPC!FD24-1)</f>
        <v>9.1074681238615618E-2</v>
      </c>
      <c r="FQ65" s="75">
        <f>IF(OR(IPC!FQ24="",IPC!FE24=""),"",IPC!FQ24/IPC!FE24-1)</f>
        <v>4.1811846689895349E-2</v>
      </c>
      <c r="FR65" s="75">
        <f>IF(OR(IPC!FR24="",IPC!FF24=""),"",IPC!FR24/IPC!FF24-1)</f>
        <v>4.6207497820401011E-2</v>
      </c>
    </row>
    <row r="66" spans="1:174" s="74" customFormat="1" ht="10.199999999999999" x14ac:dyDescent="0.2">
      <c r="B66" s="83" t="s">
        <v>105</v>
      </c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>
        <f>IF(OR(IPC!AB25="",IPC!P25=""),"",IPC!AB25/IPC!P25-1)</f>
        <v>9.0757271974584164E-4</v>
      </c>
      <c r="AC66" s="75">
        <f>IF(OR(IPC!AC25="",IPC!Q25=""),"",IPC!AC25/IPC!Q25-1)</f>
        <v>-1.6554495254980095E-3</v>
      </c>
      <c r="AD66" s="75">
        <f>IF(OR(IPC!AD25="",IPC!R25=""),"",IPC!AD25/IPC!R25-1)</f>
        <v>6.0238021286245225E-3</v>
      </c>
      <c r="AE66" s="75">
        <f>IF(OR(IPC!AE25="",IPC!S25=""),"",IPC!AE25/IPC!S25-1)</f>
        <v>7.2789696715513941E-3</v>
      </c>
      <c r="AF66" s="75">
        <f>IF(OR(IPC!AF25="",IPC!T25=""),"",IPC!AF25/IPC!T25-1)</f>
        <v>6.0996458355768723E-3</v>
      </c>
      <c r="AG66" s="75">
        <f>IF(OR(IPC!AG25="",IPC!U25=""),"",IPC!AG25/IPC!U25-1)</f>
        <v>5.3249923606952798E-3</v>
      </c>
      <c r="AH66" s="75">
        <f>IF(OR(IPC!AH25="",IPC!V25=""),"",IPC!AH25/IPC!V25-1)</f>
        <v>6.9132304943526623E-3</v>
      </c>
      <c r="AI66" s="75">
        <f>IF(OR(IPC!AI25="",IPC!W25=""),"",IPC!AI25/IPC!W25-1)</f>
        <v>6.3932251890002068E-3</v>
      </c>
      <c r="AJ66" s="75">
        <f>IF(OR(IPC!AJ25="",IPC!X25=""),"",IPC!AJ25/IPC!X25-1)</f>
        <v>7.7962567640315061E-3</v>
      </c>
      <c r="AK66" s="75">
        <f>IF(OR(IPC!AK25="",IPC!Y25=""),"",IPC!AK25/IPC!Y25-1)</f>
        <v>-2.6593997973767269E-4</v>
      </c>
      <c r="AL66" s="75">
        <f>IF(OR(IPC!AL25="",IPC!Z25=""),"",IPC!AL25/IPC!Z25-1)</f>
        <v>4.5078159781906102E-3</v>
      </c>
      <c r="AM66" s="75">
        <f>IF(OR(IPC!AM25="",IPC!AA25=""),"",IPC!AM25/IPC!AA25-1)</f>
        <v>-1.1024147251437189E-4</v>
      </c>
      <c r="AN66" s="75">
        <f>IF(OR(IPC!AN25="",IPC!AB25=""),"",IPC!AN25/IPC!AB25-1)</f>
        <v>3.0033737906565161E-3</v>
      </c>
      <c r="AO66" s="75">
        <f>IF(OR(IPC!AO25="",IPC!AC25=""),"",IPC!AO25/IPC!AC25-1)</f>
        <v>4.3567570345215412E-3</v>
      </c>
      <c r="AP66" s="75">
        <f>IF(OR(IPC!AP25="",IPC!AD25=""),"",IPC!AP25/IPC!AD25-1)</f>
        <v>-5.0080567220189831E-4</v>
      </c>
      <c r="AQ66" s="75">
        <f>IF(OR(IPC!AQ25="",IPC!AE25=""),"",IPC!AQ25/IPC!AE25-1)</f>
        <v>-4.7011746893583783E-3</v>
      </c>
      <c r="AR66" s="75">
        <f>IF(OR(IPC!AR25="",IPC!AF25=""),"",IPC!AR25/IPC!AF25-1)</f>
        <v>-2.5589588176443412E-3</v>
      </c>
      <c r="AS66" s="75">
        <f>IF(OR(IPC!AS25="",IPC!AG25=""),"",IPC!AS25/IPC!AG25-1)</f>
        <v>1.71447190565166E-3</v>
      </c>
      <c r="AT66" s="75">
        <f>IF(OR(IPC!AT25="",IPC!AH25=""),"",IPC!AT25/IPC!AH25-1)</f>
        <v>8.4998063035356175E-2</v>
      </c>
      <c r="AU66" s="75">
        <f>IF(OR(IPC!AU25="",IPC!AI25=""),"",IPC!AU25/IPC!AI25-1)</f>
        <v>8.3279782026263405E-2</v>
      </c>
      <c r="AV66" s="75">
        <f>IF(OR(IPC!AV25="",IPC!AJ25=""),"",IPC!AV25/IPC!AJ25-1)</f>
        <v>7.7697332294130117E-2</v>
      </c>
      <c r="AW66" s="75">
        <f>IF(OR(IPC!AW25="",IPC!AK25=""),"",IPC!AW25/IPC!AK25-1)</f>
        <v>8.5184612734927834E-2</v>
      </c>
      <c r="AX66" s="75">
        <f>IF(OR(IPC!AX25="",IPC!AL25=""),"",IPC!AX25/IPC!AL25-1)</f>
        <v>8.7551007382324242E-2</v>
      </c>
      <c r="AY66" s="75">
        <f>IF(OR(IPC!AY25="",IPC!AM25=""),"",IPC!AY25/IPC!AM25-1)</f>
        <v>8.5238468609819984E-2</v>
      </c>
      <c r="AZ66" s="75">
        <f>IF(OR(IPC!AZ25="",IPC!AN25=""),"",IPC!AZ25/IPC!AN25-1)</f>
        <v>8.2158847172653093E-2</v>
      </c>
      <c r="BA66" s="75">
        <f>IF(OR(IPC!BA25="",IPC!AO25=""),"",IPC!BA25/IPC!AO25-1)</f>
        <v>8.4756567669081795E-2</v>
      </c>
      <c r="BB66" s="75">
        <f>IF(OR(IPC!BB25="",IPC!AP25=""),"",IPC!BB25/IPC!AP25-1)</f>
        <v>8.3404750648188308E-2</v>
      </c>
      <c r="BC66" s="75">
        <f>IF(OR(IPC!BC25="",IPC!AQ25=""),"",IPC!BC25/IPC!AQ25-1)</f>
        <v>8.8314588983051889E-2</v>
      </c>
      <c r="BD66" s="75">
        <f>IF(OR(IPC!BD25="",IPC!AR25=""),"",IPC!BD25/IPC!AR25-1)</f>
        <v>8.3684218362998664E-2</v>
      </c>
      <c r="BE66" s="75">
        <f>IF(OR(IPC!BE25="",IPC!AS25=""),"",IPC!BE25/IPC!AS25-1)</f>
        <v>8.3143390554327512E-2</v>
      </c>
      <c r="BF66" s="75">
        <f>IF(OR(IPC!BF25="",IPC!AT25=""),"",IPC!BF25/IPC!AT25-1)</f>
        <v>-2.3111431219247081E-5</v>
      </c>
      <c r="BG66" s="75">
        <f>IF(OR(IPC!BG25="",IPC!AU25=""),"",IPC!BG25/IPC!AU25-1)</f>
        <v>2.3495632430652336E-3</v>
      </c>
      <c r="BH66" s="75">
        <f>IF(OR(IPC!BH25="",IPC!AV25=""),"",IPC!BH25/IPC!AV25-1)</f>
        <v>1.5176638258387332E-3</v>
      </c>
      <c r="BI66" s="75">
        <f>IF(OR(IPC!BI25="",IPC!AW25=""),"",IPC!BI25/IPC!AW25-1)</f>
        <v>1.0031187932275643E-3</v>
      </c>
      <c r="BJ66" s="75">
        <f>IF(OR(IPC!BJ25="",IPC!AX25=""),"",IPC!BJ25/IPC!AX25-1)</f>
        <v>2.478474026670785E-3</v>
      </c>
      <c r="BK66" s="75">
        <f>IF(OR(IPC!BK25="",IPC!AY25=""),"",IPC!BK25/IPC!AY25-1)</f>
        <v>1.772430368329303E-3</v>
      </c>
      <c r="BL66" s="75">
        <f>IF(OR(IPC!BL25="",IPC!AZ25=""),"",IPC!BL25/IPC!AZ25-1)</f>
        <v>-1.4124230233553914E-2</v>
      </c>
      <c r="BM66" s="75">
        <f>IF(OR(IPC!BM25="",IPC!BA25=""),"",IPC!BM25/IPC!BA25-1)</f>
        <v>-1.1793047759172559E-2</v>
      </c>
      <c r="BN66" s="75">
        <f>IF(OR(IPC!BN25="",IPC!BB25=""),"",IPC!BN25/IPC!BB25-1)</f>
        <v>-1.4355476464607109E-2</v>
      </c>
      <c r="BO66" s="75">
        <f>IF(OR(IPC!BO25="",IPC!BC25=""),"",IPC!BO25/IPC!BC25-1)</f>
        <v>-1.5959283927076795E-2</v>
      </c>
      <c r="BP66" s="75">
        <f>IF(OR(IPC!BP25="",IPC!BD25=""),"",IPC!BP25/IPC!BD25-1)</f>
        <v>-1.3690017569640611E-2</v>
      </c>
      <c r="BQ66" s="75">
        <f>IF(OR(IPC!BQ25="",IPC!BE25=""),"",IPC!BQ25/IPC!BE25-1)</f>
        <v>-1.6777547180571006E-2</v>
      </c>
      <c r="BR66" s="75">
        <f>IF(OR(IPC!BR25="",IPC!BF25=""),"",IPC!BR25/IPC!BF25-1)</f>
        <v>-1.4044102027465533E-2</v>
      </c>
      <c r="BS66" s="75">
        <f>IF(OR(IPC!BS25="",IPC!BG25=""),"",IPC!BS25/IPC!BG25-1)</f>
        <v>-1.6160359286716219E-2</v>
      </c>
      <c r="BT66" s="75">
        <f>IF(OR(IPC!BT25="",IPC!BH25=""),"",IPC!BT25/IPC!BH25-1)</f>
        <v>-1.3394084106351345E-2</v>
      </c>
      <c r="BU66" s="75">
        <f>IF(OR(IPC!BU25="",IPC!BI25=""),"",IPC!BU25/IPC!BI25-1)</f>
        <v>-1.4938727496808801E-2</v>
      </c>
      <c r="BV66" s="75">
        <f>IF(OR(IPC!BV25="",IPC!BJ25=""),"",IPC!BV25/IPC!BJ25-1)</f>
        <v>-1.8545365871585062E-2</v>
      </c>
      <c r="BW66" s="75">
        <f>IF(OR(IPC!BW25="",IPC!BK25=""),"",IPC!BW25/IPC!BK25-1)</f>
        <v>-1.1863877439598935E-2</v>
      </c>
      <c r="BX66" s="75">
        <f>IF(OR(IPC!BX25="",IPC!BL25=""),"",IPC!BX25/IPC!BL25-1)</f>
        <v>2.7742515444273419E-3</v>
      </c>
      <c r="BY66" s="75">
        <f>IF(OR(IPC!BY25="",IPC!BM25=""),"",IPC!BY25/IPC!BM25-1)</f>
        <v>7.8631819288976779E-4</v>
      </c>
      <c r="BZ66" s="75">
        <f>IF(OR(IPC!BZ25="",IPC!BN25=""),"",IPC!BZ25/IPC!BN25-1)</f>
        <v>1.0715079270595673E-3</v>
      </c>
      <c r="CA66" s="75">
        <f>IF(OR(IPC!CA25="",IPC!BO25=""),"",IPC!CA25/IPC!BO25-1)</f>
        <v>1.649487082874268E-3</v>
      </c>
      <c r="CB66" s="75">
        <f>IF(OR(IPC!CB25="",IPC!BP25=""),"",IPC!CB25/IPC!BP25-1)</f>
        <v>2.1008267350939303E-3</v>
      </c>
      <c r="CC66" s="75">
        <f>IF(OR(IPC!CC25="",IPC!BQ25=""),"",IPC!CC25/IPC!BQ25-1)</f>
        <v>4.1411735952037176E-3</v>
      </c>
      <c r="CD66" s="75">
        <f>IF(OR(IPC!CD25="",IPC!BR25=""),"",IPC!CD25/IPC!BR25-1)</f>
        <v>3.1248569349859867E-3</v>
      </c>
      <c r="CE66" s="75">
        <f>IF(OR(IPC!CE25="",IPC!BS25=""),"",IPC!CE25/IPC!BS25-1)</f>
        <v>4.599065526039503E-3</v>
      </c>
      <c r="CF66" s="75">
        <f>IF(OR(IPC!CF25="",IPC!BT25=""),"",IPC!CF25/IPC!BT25-1)</f>
        <v>2.2381510910731706E-3</v>
      </c>
      <c r="CG66" s="75">
        <f>IF(OR(IPC!CG25="",IPC!BU25=""),"",IPC!CG25/IPC!BU25-1)</f>
        <v>3.1489160467530475E-3</v>
      </c>
      <c r="CH66" s="75">
        <f>IF(OR(IPC!CH25="",IPC!BV25=""),"",IPC!CH25/IPC!BV25-1)</f>
        <v>3.8570075039623397E-3</v>
      </c>
      <c r="CI66" s="75">
        <f>IF(OR(IPC!CI25="",IPC!BW25=""),"",IPC!CI25/IPC!BW25-1)</f>
        <v>3.9914120359374472E-4</v>
      </c>
      <c r="CJ66" s="75">
        <f>IF(OR(IPC!CJ25="",IPC!BX25=""),"",IPC!CJ25/IPC!BX25-1)</f>
        <v>1.3723756379144803E-3</v>
      </c>
      <c r="CK66" s="75">
        <f>IF(OR(IPC!CK25="",IPC!BY25=""),"",IPC!CK25/IPC!BY25-1)</f>
        <v>1.1234008627531988E-3</v>
      </c>
      <c r="CL66" s="75">
        <f>IF(OR(IPC!CL25="",IPC!BZ25=""),"",IPC!CL25/IPC!BZ25-1)</f>
        <v>3.0230437104232788E-3</v>
      </c>
      <c r="CM66" s="75">
        <f>IF(OR(IPC!CM25="",IPC!CA25=""),"",IPC!CM25/IPC!CA25-1)</f>
        <v>4.9257982365649156E-3</v>
      </c>
      <c r="CN66" s="75">
        <f>IF(OR(IPC!CN25="",IPC!CB25=""),"",IPC!CN25/IPC!CB25-1)</f>
        <v>6.4122130525803289E-3</v>
      </c>
      <c r="CO66" s="75">
        <f>IF(OR(IPC!CO25="",IPC!CC25=""),"",IPC!CO25/IPC!CC25-1)</f>
        <v>4.6187265309662884E-3</v>
      </c>
      <c r="CP66" s="75">
        <f>IF(OR(IPC!CP25="",IPC!CD25=""),"",IPC!CP25/IPC!CD25-1)</f>
        <v>4.5959728623716778E-3</v>
      </c>
      <c r="CQ66" s="75">
        <f>IF(OR(IPC!CQ25="",IPC!CE25=""),"",IPC!CQ25/IPC!CE25-1)</f>
        <v>4.7509746195093516E-3</v>
      </c>
      <c r="CR66" s="75">
        <f>IF(OR(IPC!CR25="",IPC!CF25=""),"",IPC!CR25/IPC!CF25-1)</f>
        <v>4.6882359165676402E-3</v>
      </c>
      <c r="CS66" s="75">
        <f>IF(OR(IPC!CS25="",IPC!CG25=""),"",IPC!CS25/IPC!CG25-1)</f>
        <v>5.1222750807480288E-3</v>
      </c>
      <c r="CT66" s="75">
        <f>IF(OR(IPC!CT25="",IPC!CH25=""),"",IPC!CT25/IPC!CH25-1)</f>
        <v>4.8123353770199717E-3</v>
      </c>
      <c r="CU66" s="75">
        <f>IF(OR(IPC!CU25="",IPC!CI25=""),"",IPC!CU25/IPC!CI25-1)</f>
        <v>4.8336649767435347E-3</v>
      </c>
      <c r="CV66" s="75">
        <f>IF(OR(IPC!CV25="",IPC!CJ25=""),"",IPC!CV25/IPC!CJ25-1)</f>
        <v>4.2509841241105129E-3</v>
      </c>
      <c r="CW66" s="75">
        <f>IF(OR(IPC!CW25="",IPC!CK25=""),"",IPC!CW25/IPC!CK25-1)</f>
        <v>5.0101777328510622E-3</v>
      </c>
      <c r="CX66" s="75">
        <f>IF(OR(IPC!CX25="",IPC!CL25=""),"",IPC!CX25/IPC!CL25-1)</f>
        <v>5.0517789143360581E-3</v>
      </c>
      <c r="CY66" s="75">
        <f>IF(OR(IPC!CY25="",IPC!CM25=""),"",IPC!CY25/IPC!CM25-1)</f>
        <v>2.6581811405981259E-3</v>
      </c>
      <c r="CZ66" s="75">
        <f>IF(OR(IPC!CZ25="",IPC!CN25=""),"",IPC!CZ25/IPC!CN25-1)</f>
        <v>1.4621937183181277E-3</v>
      </c>
      <c r="DA66" s="75">
        <f>IF(OR(IPC!DA25="",IPC!CO25=""),"",IPC!DA25/IPC!CO25-1)</f>
        <v>1.2976168669456278E-3</v>
      </c>
      <c r="DB66" s="75">
        <f>IF(OR(IPC!DB25="",IPC!CP25=""),"",IPC!DB25/IPC!CP25-1)</f>
        <v>1.1463535614544273E-3</v>
      </c>
      <c r="DC66" s="75">
        <f>IF(OR(IPC!DC25="",IPC!CQ25=""),"",IPC!DC25/IPC!CQ25-1)</f>
        <v>1.0207692082717656E-3</v>
      </c>
      <c r="DD66" s="75">
        <f>IF(OR(IPC!DD25="",IPC!CR25=""),"",IPC!DD25/IPC!CR25-1)</f>
        <v>1.2099469207202951E-3</v>
      </c>
      <c r="DE66" s="75">
        <f>IF(OR(IPC!DE25="",IPC!CS25=""),"",IPC!DE25/IPC!CS25-1)</f>
        <v>-1.2749063320283138E-4</v>
      </c>
      <c r="DF66" s="75">
        <f>IF(OR(IPC!DF25="",IPC!CT25=""),"",IPC!DF25/IPC!CT25-1)</f>
        <v>-3.930834957605045E-4</v>
      </c>
      <c r="DG66" s="75">
        <f>IF(OR(IPC!DG25="",IPC!CU25=""),"",IPC!DG25/IPC!CU25-1)</f>
        <v>1.2442428583203657E-4</v>
      </c>
      <c r="DH66" s="75">
        <f>IF(OR(IPC!DH25="",IPC!CV25=""),"",IPC!DH25/IPC!CV25-1)</f>
        <v>2.8545225424991827E-4</v>
      </c>
      <c r="DI66" s="75">
        <f>IF(OR(IPC!DI25="",IPC!CW25=""),"",IPC!DI25/IPC!CW25-1)</f>
        <v>7.534345203679127E-4</v>
      </c>
      <c r="DJ66" s="75">
        <f>IF(OR(IPC!DJ25="",IPC!CX25=""),"",IPC!DJ25/IPC!CX25-1)</f>
        <v>7.2589664705380308E-4</v>
      </c>
      <c r="DK66" s="75">
        <f>IF(OR(IPC!DK25="",IPC!CY25=""),"",IPC!DK25/IPC!CY25-1)</f>
        <v>3.5892573213205381E-3</v>
      </c>
      <c r="DL66" s="75">
        <f>IF(OR(IPC!DL25="",IPC!CZ25=""),"",IPC!DL25/IPC!CZ25-1)</f>
        <v>7.5743182208152238E-3</v>
      </c>
      <c r="DM66" s="75">
        <f>IF(OR(IPC!DM25="",IPC!DA25=""),"",IPC!DM25/IPC!DA25-1)</f>
        <v>8.2773685941797126E-3</v>
      </c>
      <c r="DN66" s="75">
        <f>IF(OR(IPC!DN25="",IPC!DB25=""),"",IPC!DN25/IPC!DB25-1)</f>
        <v>8.7927619138055135E-3</v>
      </c>
      <c r="DO66" s="75">
        <f>IF(OR(IPC!DO25="",IPC!DC25=""),"",IPC!DO25/IPC!DC25-1)</f>
        <v>8.7757218558490724E-3</v>
      </c>
      <c r="DP66" s="75">
        <f>IF(OR(IPC!DP25="",IPC!DD25=""),"",IPC!DP25/IPC!DD25-1)</f>
        <v>8.5589153487863889E-3</v>
      </c>
      <c r="DQ66" s="75">
        <f>IF(OR(IPC!DQ25="",IPC!DE25=""),"",IPC!DQ25/IPC!DE25-1)</f>
        <v>9.3104447928129552E-3</v>
      </c>
      <c r="DR66" s="75">
        <f>IF(OR(IPC!DR25="",IPC!DF25=""),"",IPC!DR25/IPC!DF25-1)</f>
        <v>8.7951987810255261E-3</v>
      </c>
      <c r="DS66" s="75">
        <f>IF(OR(IPC!DS25="",IPC!DG25=""),"",IPC!DS25/IPC!DG25-1)</f>
        <v>8.1709220596681842E-3</v>
      </c>
      <c r="DT66" s="75">
        <f>IF(OR(IPC!DT25="",IPC!DH25=""),"",IPC!DT25/IPC!DH25-1)</f>
        <v>8.3435525940962485E-3</v>
      </c>
      <c r="DU66" s="75">
        <f>IF(OR(IPC!DU25="",IPC!DI25=""),"",IPC!DU25/IPC!DI25-1)</f>
        <v>7.8434072115638465E-3</v>
      </c>
      <c r="DV66" s="75">
        <f>IF(OR(IPC!DV25="",IPC!DJ25=""),"",IPC!DV25/IPC!DJ25-1)</f>
        <v>7.8759181371326203E-3</v>
      </c>
      <c r="DW66" s="75">
        <f>IF(OR(IPC!DW25="",IPC!DK25=""),"",IPC!DW25/IPC!DK25-1)</f>
        <v>4.9354973240256506E-3</v>
      </c>
      <c r="DX66" s="75">
        <f>IF(OR(IPC!DX25="",IPC!DL25=""),"",IPC!DX25/IPC!DL25-1)</f>
        <v>9.2523207415262654E-4</v>
      </c>
      <c r="DY66" s="75">
        <f>IF(OR(IPC!DY25="",IPC!DM25=""),"",IPC!DY25/IPC!DM25-1)</f>
        <v>3.8750251150587722E-4</v>
      </c>
      <c r="DZ66" s="75">
        <f>IF(OR(IPC!DZ25="",IPC!DN25=""),"",IPC!DZ25/IPC!DN25-1)</f>
        <v>1.4176108419672317E-4</v>
      </c>
      <c r="EA66" s="75">
        <f>IF(OR(IPC!EA25="",IPC!DO25=""),"",IPC!EA25/IPC!DO25-1)</f>
        <v>4.4710721432528189E-4</v>
      </c>
      <c r="EB66" s="75">
        <f>IF(OR(IPC!EB25="",IPC!DP25=""),"",IPC!EB25/IPC!DP25-1)</f>
        <v>4.5024021011697002E-4</v>
      </c>
      <c r="EC66" s="75">
        <f>IF(OR(IPC!EC25="",IPC!DQ25=""),"",IPC!EC25/IPC!DQ25-1)</f>
        <v>-2.0549570526262606E-4</v>
      </c>
      <c r="ED66" s="75">
        <f>IF(OR(IPC!ED25="",IPC!DR25=""),"",IPC!ED25/IPC!DR25-1)</f>
        <v>5.6431472925755344E-4</v>
      </c>
      <c r="EE66" s="75">
        <f>IF(OR(IPC!EE25="",IPC!DS25=""),"",IPC!EE25/IPC!DS25-1)</f>
        <v>1.2556348541665763E-3</v>
      </c>
      <c r="EF66" s="75">
        <f>IF(OR(IPC!EF25="",IPC!DT25=""),"",IPC!EF25/IPC!DT25-1)</f>
        <v>2.1428213554703923E-3</v>
      </c>
      <c r="EG66" s="75">
        <f>IF(OR(IPC!EG25="",IPC!DU25=""),"",IPC!EG25/IPC!DU25-1)</f>
        <v>2.1244781434017757E-3</v>
      </c>
      <c r="EH66" s="75">
        <f>IF(OR(IPC!EH25="",IPC!DV25=""),"",IPC!EH25/IPC!DV25-1)</f>
        <v>3.3225966887786562E-3</v>
      </c>
      <c r="EI66" s="75">
        <f>IF(OR(IPC!EI25="",IPC!DW25=""),"",IPC!EI25/IPC!DW25-1)</f>
        <v>4.0450702773369152E-3</v>
      </c>
      <c r="EJ66" s="75">
        <f>IF(OR(IPC!EJ25="",IPC!DX25=""),"",IPC!EJ25/IPC!DX25-1)</f>
        <v>5.258600546437453E-3</v>
      </c>
      <c r="EK66" s="75">
        <f>IF(OR(IPC!EK25="",IPC!DY25=""),"",IPC!EK25/IPC!DY25-1)</f>
        <v>5.3835392888359479E-3</v>
      </c>
      <c r="EL66" s="75">
        <f>IF(OR(IPC!EL25="",IPC!DZ25=""),"",IPC!EL25/IPC!DZ25-1)</f>
        <v>4.8915786693366492E-3</v>
      </c>
      <c r="EM66" s="75">
        <f>IF(OR(IPC!EM25="",IPC!EA25=""),"",IPC!EM25/IPC!EA25-1)</f>
        <v>4.8737155938167742E-3</v>
      </c>
      <c r="EN66" s="75">
        <f>IF(OR(IPC!EN25="",IPC!EB25=""),"",IPC!EN25/IPC!EB25-1)</f>
        <v>4.8901186417611431E-3</v>
      </c>
      <c r="EO66" s="75">
        <f>IF(OR(IPC!EO25="",IPC!EC25=""),"",IPC!EO25/IPC!EC25-1)</f>
        <v>1.9436860073263507E-2</v>
      </c>
      <c r="EP66" s="75">
        <f>IF(OR(IPC!EP25="",IPC!ED25=""),"",IPC!EP25/IPC!ED25-1)</f>
        <v>1.9493855057910459E-2</v>
      </c>
      <c r="EQ66" s="75">
        <f>IF(OR(IPC!EQ25="",IPC!EE25=""),"",IPC!EQ25/IPC!EE25-1)</f>
        <v>2.0163613956220017E-2</v>
      </c>
      <c r="ER66" s="75" t="str">
        <f>IF(OR(IPC!ER25="",IPC!EF25=""),"",IPC!ER25/IPC!EF25-1)</f>
        <v/>
      </c>
      <c r="ES66" s="75" t="str">
        <f>IF(OR(IPC!ES25="",IPC!EG25=""),"",IPC!ES25/IPC!EG25-1)</f>
        <v/>
      </c>
      <c r="ET66" s="75" t="str">
        <f>IF(OR(IPC!ET25="",IPC!EH25=""),"",IPC!ET25/IPC!EH25-1)</f>
        <v/>
      </c>
      <c r="EU66" s="75" t="str">
        <f>IF(OR(IPC!EU25="",IPC!EI25=""),"",IPC!EU25/IPC!EI25-1)</f>
        <v/>
      </c>
      <c r="EV66" s="75" t="str">
        <f>IF(OR(IPC!EV25="",IPC!EJ25=""),"",IPC!EV25/IPC!EJ25-1)</f>
        <v/>
      </c>
      <c r="EW66" s="75" t="str">
        <f>IF(OR(IPC!EW25="",IPC!EK25=""),"",IPC!EW25/IPC!EK25-1)</f>
        <v/>
      </c>
      <c r="EX66" s="75" t="str">
        <f>IF(OR(IPC!EX25="",IPC!EL25=""),"",IPC!EX25/IPC!EL25-1)</f>
        <v/>
      </c>
      <c r="EY66" s="75" t="str">
        <f>IF(OR(IPC!EY25="",IPC!EM25=""),"",IPC!EY25/IPC!EM25-1)</f>
        <v/>
      </c>
      <c r="EZ66" s="75" t="str">
        <f>IF(OR(IPC!EZ25="",IPC!EN25=""),"",IPC!EZ25/IPC!EN25-1)</f>
        <v/>
      </c>
      <c r="FA66" s="75" t="str">
        <f>IF(OR(IPC!FA25="",IPC!EO25=""),"",IPC!FA25/IPC!EO25-1)</f>
        <v/>
      </c>
      <c r="FB66" s="75" t="str">
        <f>IF(OR(IPC!FB25="",IPC!EP25=""),"",IPC!FB25/IPC!EP25-1)</f>
        <v/>
      </c>
      <c r="FC66" s="75" t="str">
        <f>IF(OR(IPC!FC25="",IPC!EQ25=""),"",IPC!FC25/IPC!EQ25-1)</f>
        <v/>
      </c>
      <c r="FD66" s="75" t="str">
        <f>IF(OR(IPC!FD25="",IPC!ER25=""),"",IPC!FD25/IPC!ER25-1)</f>
        <v/>
      </c>
      <c r="FE66" s="75" t="str">
        <f>IF(OR(IPC!FE25="",IPC!ES25=""),"",IPC!FE25/IPC!ES25-1)</f>
        <v/>
      </c>
      <c r="FF66" s="75" t="str">
        <f>IF(OR(IPC!FF25="",IPC!ET25=""),"",IPC!FF25/IPC!ET25-1)</f>
        <v/>
      </c>
      <c r="FG66" s="75" t="str">
        <f>IF(OR(IPC!FG25="",IPC!EU25=""),"",IPC!FG25/IPC!EU25-1)</f>
        <v/>
      </c>
      <c r="FH66" s="75" t="str">
        <f>IF(OR(IPC!FH25="",IPC!EV25=""),"",IPC!FH25/IPC!EV25-1)</f>
        <v/>
      </c>
      <c r="FI66" s="75" t="str">
        <f>IF(OR(IPC!FI25="",IPC!EW25=""),"",IPC!FI25/IPC!EW25-1)</f>
        <v/>
      </c>
      <c r="FJ66" s="75" t="str">
        <f>IF(OR(IPC!FJ25="",IPC!EX25=""),"",IPC!FJ25/IPC!EX25-1)</f>
        <v/>
      </c>
      <c r="FK66" s="75" t="str">
        <f>IF(OR(IPC!FK25="",IPC!EY25=""),"",IPC!FK25/IPC!EY25-1)</f>
        <v/>
      </c>
      <c r="FL66" s="75" t="str">
        <f>IF(OR(IPC!FL25="",IPC!EZ25=""),"",IPC!FL25/IPC!EZ25-1)</f>
        <v/>
      </c>
      <c r="FM66" s="75" t="str">
        <f>IF(OR(IPC!FM25="",IPC!FA25=""),"",IPC!FM25/IPC!FA25-1)</f>
        <v/>
      </c>
      <c r="FN66" s="75" t="str">
        <f>IF(OR(IPC!FN25="",IPC!FB25=""),"",IPC!FN25/IPC!FB25-1)</f>
        <v/>
      </c>
      <c r="FO66" s="75" t="str">
        <f>IF(OR(IPC!FO25="",IPC!FC25=""),"",IPC!FO25/IPC!FC25-1)</f>
        <v/>
      </c>
      <c r="FP66" s="75" t="str">
        <f>IF(OR(IPC!FP25="",IPC!FD25=""),"",IPC!FP25/IPC!FD25-1)</f>
        <v/>
      </c>
      <c r="FQ66" s="75" t="str">
        <f>IF(OR(IPC!FQ25="",IPC!FE25=""),"",IPC!FQ25/IPC!FE25-1)</f>
        <v/>
      </c>
      <c r="FR66" s="75" t="str">
        <f>IF(OR(IPC!FR25="",IPC!FF25=""),"",IPC!FR25/IPC!FF25-1)</f>
        <v/>
      </c>
    </row>
    <row r="67" spans="1:174" s="74" customFormat="1" ht="10.199999999999999" x14ac:dyDescent="0.2">
      <c r="B67" s="3" t="s">
        <v>106</v>
      </c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>
        <f>IF(OR(IPC!AB26="",IPC!P26=""),"",IPC!AB26/IPC!P26-1)</f>
        <v>4.6113801293184098E-2</v>
      </c>
      <c r="AC67" s="75">
        <f>IF(OR(IPC!AC26="",IPC!Q26=""),"",IPC!AC26/IPC!Q26-1)</f>
        <v>4.438342092324743E-2</v>
      </c>
      <c r="AD67" s="75">
        <f>IF(OR(IPC!AD26="",IPC!R26=""),"",IPC!AD26/IPC!R26-1)</f>
        <v>4.355986145099533E-2</v>
      </c>
      <c r="AE67" s="75">
        <f>IF(OR(IPC!AE26="",IPC!S26=""),"",IPC!AE26/IPC!S26-1)</f>
        <v>2.9890662829530346E-2</v>
      </c>
      <c r="AF67" s="75">
        <f>IF(OR(IPC!AF26="",IPC!T26=""),"",IPC!AF26/IPC!T26-1)</f>
        <v>2.5487369356357314E-2</v>
      </c>
      <c r="AG67" s="75">
        <f>IF(OR(IPC!AG26="",IPC!U26=""),"",IPC!AG26/IPC!U26-1)</f>
        <v>3.2217321682301403E-2</v>
      </c>
      <c r="AH67" s="75">
        <f>IF(OR(IPC!AH26="",IPC!V26=""),"",IPC!AH26/IPC!V26-1)</f>
        <v>2.8292807778736107E-2</v>
      </c>
      <c r="AI67" s="75">
        <f>IF(OR(IPC!AI26="",IPC!W26=""),"",IPC!AI26/IPC!W26-1)</f>
        <v>3.8471645776972485E-2</v>
      </c>
      <c r="AJ67" s="75">
        <f>IF(OR(IPC!AJ26="",IPC!X26=""),"",IPC!AJ26/IPC!X26-1)</f>
        <v>4.4195036976024227E-2</v>
      </c>
      <c r="AK67" s="75">
        <f>IF(OR(IPC!AK26="",IPC!Y26=""),"",IPC!AK26/IPC!Y26-1)</f>
        <v>5.8491424898437172E-2</v>
      </c>
      <c r="AL67" s="75">
        <f>IF(OR(IPC!AL26="",IPC!Z26=""),"",IPC!AL26/IPC!Z26-1)</f>
        <v>6.4431296193030674E-2</v>
      </c>
      <c r="AM67" s="75">
        <f>IF(OR(IPC!AM26="",IPC!AA26=""),"",IPC!AM26/IPC!AA26-1)</f>
        <v>3.881152643604513E-2</v>
      </c>
      <c r="AN67" s="75">
        <f>IF(OR(IPC!AN26="",IPC!AB26=""),"",IPC!AN26/IPC!AB26-1)</f>
        <v>2.6497918632160111E-2</v>
      </c>
      <c r="AO67" s="75">
        <f>IF(OR(IPC!AO26="",IPC!AC26=""),"",IPC!AO26/IPC!AC26-1)</f>
        <v>3.3449399840488336E-2</v>
      </c>
      <c r="AP67" s="75">
        <f>IF(OR(IPC!AP26="",IPC!AD26=""),"",IPC!AP26/IPC!AD26-1)</f>
        <v>2.4957085591402528E-2</v>
      </c>
      <c r="AQ67" s="75">
        <f>IF(OR(IPC!AQ26="",IPC!AE26=""),"",IPC!AQ26/IPC!AE26-1)</f>
        <v>2.5354022682005928E-2</v>
      </c>
      <c r="AR67" s="75">
        <f>IF(OR(IPC!AR26="",IPC!AF26=""),"",IPC!AR26/IPC!AF26-1)</f>
        <v>3.1001701705031692E-2</v>
      </c>
      <c r="AS67" s="75">
        <f>IF(OR(IPC!AS26="",IPC!AG26=""),"",IPC!AS26/IPC!AG26-1)</f>
        <v>1.6740403055987674E-2</v>
      </c>
      <c r="AT67" s="75">
        <f>IF(OR(IPC!AT26="",IPC!AH26=""),"",IPC!AT26/IPC!AH26-1)</f>
        <v>3.0790680531425751E-2</v>
      </c>
      <c r="AU67" s="75">
        <f>IF(OR(IPC!AU26="",IPC!AI26=""),"",IPC!AU26/IPC!AI26-1)</f>
        <v>1.7737227916740927E-2</v>
      </c>
      <c r="AV67" s="75">
        <f>IF(OR(IPC!AV26="",IPC!AJ26=""),"",IPC!AV26/IPC!AJ26-1)</f>
        <v>1.2990539783045874E-2</v>
      </c>
      <c r="AW67" s="75">
        <f>IF(OR(IPC!AW26="",IPC!AK26=""),"",IPC!AW26/IPC!AK26-1)</f>
        <v>5.3982555880658367E-3</v>
      </c>
      <c r="AX67" s="75">
        <f>IF(OR(IPC!AX26="",IPC!AL26=""),"",IPC!AX26/IPC!AL26-1)</f>
        <v>1.9354205222873011E-2</v>
      </c>
      <c r="AY67" s="75">
        <f>IF(OR(IPC!AY26="",IPC!AM26=""),"",IPC!AY26/IPC!AM26-1)</f>
        <v>2.261817088582041E-2</v>
      </c>
      <c r="AZ67" s="75">
        <f>IF(OR(IPC!AZ26="",IPC!AN26=""),"",IPC!AZ26/IPC!AN26-1)</f>
        <v>2.0853313997969858E-2</v>
      </c>
      <c r="BA67" s="75">
        <f>IF(OR(IPC!BA26="",IPC!AO26=""),"",IPC!BA26/IPC!AO26-1)</f>
        <v>2.2170389176231486E-2</v>
      </c>
      <c r="BB67" s="75">
        <f>IF(OR(IPC!BB26="",IPC!AP26=""),"",IPC!BB26/IPC!AP26-1)</f>
        <v>2.3395921768805117E-2</v>
      </c>
      <c r="BC67" s="75">
        <f>IF(OR(IPC!BC26="",IPC!AQ26=""),"",IPC!BC26/IPC!AQ26-1)</f>
        <v>3.9204064920444592E-2</v>
      </c>
      <c r="BD67" s="75">
        <f>IF(OR(IPC!BD26="",IPC!AR26=""),"",IPC!BD26/IPC!AR26-1)</f>
        <v>3.4167456952509889E-2</v>
      </c>
      <c r="BE67" s="75">
        <f>IF(OR(IPC!BE26="",IPC!AS26=""),"",IPC!BE26/IPC!AS26-1)</f>
        <v>4.8072988969042996E-2</v>
      </c>
      <c r="BF67" s="75">
        <f>IF(OR(IPC!BF26="",IPC!AT26=""),"",IPC!BF26/IPC!AT26-1)</f>
        <v>5.1915133378710454E-2</v>
      </c>
      <c r="BG67" s="75">
        <f>IF(OR(IPC!BG26="",IPC!AU26=""),"",IPC!BG26/IPC!AU26-1)</f>
        <v>3.9861409044281038E-2</v>
      </c>
      <c r="BH67" s="75">
        <f>IF(OR(IPC!BH26="",IPC!AV26=""),"",IPC!BH26/IPC!AV26-1)</f>
        <v>4.7629245109727325E-2</v>
      </c>
      <c r="BI67" s="75">
        <f>IF(OR(IPC!BI26="",IPC!AW26=""),"",IPC!BI26/IPC!AW26-1)</f>
        <v>4.5433434620349544E-2</v>
      </c>
      <c r="BJ67" s="75">
        <f>IF(OR(IPC!BJ26="",IPC!AX26=""),"",IPC!BJ26/IPC!AX26-1)</f>
        <v>2.4400741112241109E-2</v>
      </c>
      <c r="BK67" s="75">
        <f>IF(OR(IPC!BK26="",IPC!AY26=""),"",IPC!BK26/IPC!AY26-1)</f>
        <v>2.5057703587915148E-2</v>
      </c>
      <c r="BL67" s="75">
        <f>IF(OR(IPC!BL26="",IPC!AZ26=""),"",IPC!BL26/IPC!AZ26-1)</f>
        <v>3.6205130097587634E-2</v>
      </c>
      <c r="BM67" s="75">
        <f>IF(OR(IPC!BM26="",IPC!BA26=""),"",IPC!BM26/IPC!BA26-1)</f>
        <v>3.9890680683301039E-2</v>
      </c>
      <c r="BN67" s="75">
        <f>IF(OR(IPC!BN26="",IPC!BB26=""),"",IPC!BN26/IPC!BB26-1)</f>
        <v>4.5670322009564002E-2</v>
      </c>
      <c r="BO67" s="75">
        <f>IF(OR(IPC!BO26="",IPC!BC26=""),"",IPC!BO26/IPC!BC26-1)</f>
        <v>4.1993055842512561E-2</v>
      </c>
      <c r="BP67" s="75">
        <f>IF(OR(IPC!BP26="",IPC!BD26=""),"",IPC!BP26/IPC!BD26-1)</f>
        <v>5.2428049824365663E-2</v>
      </c>
      <c r="BQ67" s="75">
        <f>IF(OR(IPC!BQ26="",IPC!BE26=""),"",IPC!BQ26/IPC!BE26-1)</f>
        <v>3.6664792010890679E-2</v>
      </c>
      <c r="BR67" s="75">
        <f>IF(OR(IPC!BR26="",IPC!BF26=""),"",IPC!BR26/IPC!BF26-1)</f>
        <v>1.9060654525968168E-2</v>
      </c>
      <c r="BS67" s="75">
        <f>IF(OR(IPC!BS26="",IPC!BG26=""),"",IPC!BS26/IPC!BG26-1)</f>
        <v>2.6999232713542209E-2</v>
      </c>
      <c r="BT67" s="75">
        <f>IF(OR(IPC!BT26="",IPC!BH26=""),"",IPC!BT26/IPC!BH26-1)</f>
        <v>1.4411617826187051E-2</v>
      </c>
      <c r="BU67" s="75">
        <f>IF(OR(IPC!BU26="",IPC!BI26=""),"",IPC!BU26/IPC!BI26-1)</f>
        <v>-9.0914278855037667E-3</v>
      </c>
      <c r="BV67" s="75">
        <f>IF(OR(IPC!BV26="",IPC!BJ26=""),"",IPC!BV26/IPC!BJ26-1)</f>
        <v>-8.4428956972892877E-4</v>
      </c>
      <c r="BW67" s="75">
        <f>IF(OR(IPC!BW26="",IPC!BK26=""),"",IPC!BW26/IPC!BK26-1)</f>
        <v>-1.4033434453201044E-2</v>
      </c>
      <c r="BX67" s="75">
        <f>IF(OR(IPC!BX26="",IPC!BL26=""),"",IPC!BX26/IPC!BL26-1)</f>
        <v>-1.1756121120529928E-2</v>
      </c>
      <c r="BY67" s="75">
        <f>IF(OR(IPC!BY26="",IPC!BM26=""),"",IPC!BY26/IPC!BM26-1)</f>
        <v>-1.2096485475646568E-2</v>
      </c>
      <c r="BZ67" s="75">
        <f>IF(OR(IPC!BZ26="",IPC!BN26=""),"",IPC!BZ26/IPC!BN26-1)</f>
        <v>-8.630816734487845E-3</v>
      </c>
      <c r="CA67" s="75">
        <f>IF(OR(IPC!CA26="",IPC!BO26=""),"",IPC!CA26/IPC!BO26-1)</f>
        <v>7.7683729091091447E-3</v>
      </c>
      <c r="CB67" s="75">
        <f>IF(OR(IPC!CB26="",IPC!BP26=""),"",IPC!CB26/IPC!BP26-1)</f>
        <v>-1.5412551164576183E-2</v>
      </c>
      <c r="CC67" s="75">
        <f>IF(OR(IPC!CC26="",IPC!BQ26=""),"",IPC!CC26/IPC!BQ26-1)</f>
        <v>-1.0027405482877172E-2</v>
      </c>
      <c r="CD67" s="75">
        <f>IF(OR(IPC!CD26="",IPC!BR26=""),"",IPC!CD26/IPC!BR26-1)</f>
        <v>-5.6947980429977729E-3</v>
      </c>
      <c r="CE67" s="75">
        <f>IF(OR(IPC!CE26="",IPC!BS26=""),"",IPC!CE26/IPC!BS26-1)</f>
        <v>3.2927122947232768E-3</v>
      </c>
      <c r="CF67" s="75">
        <f>IF(OR(IPC!CF26="",IPC!BT26=""),"",IPC!CF26/IPC!BT26-1)</f>
        <v>1.2968610806326275E-2</v>
      </c>
      <c r="CG67" s="75">
        <f>IF(OR(IPC!CG26="",IPC!BU26=""),"",IPC!CG26/IPC!BU26-1)</f>
        <v>1.8718630547319925E-2</v>
      </c>
      <c r="CH67" s="75">
        <f>IF(OR(IPC!CH26="",IPC!BV26=""),"",IPC!CH26/IPC!BV26-1)</f>
        <v>1.7010504811213911E-2</v>
      </c>
      <c r="CI67" s="75">
        <f>IF(OR(IPC!CI26="",IPC!BW26=""),"",IPC!CI26/IPC!BW26-1)</f>
        <v>3.0362935434485872E-2</v>
      </c>
      <c r="CJ67" s="75">
        <f>IF(OR(IPC!CJ26="",IPC!BX26=""),"",IPC!CJ26/IPC!BX26-1)</f>
        <v>3.3646508841325584E-2</v>
      </c>
      <c r="CK67" s="75">
        <f>IF(OR(IPC!CK26="",IPC!BY26=""),"",IPC!CK26/IPC!BY26-1)</f>
        <v>2.5755115836924469E-2</v>
      </c>
      <c r="CL67" s="75">
        <f>IF(OR(IPC!CL26="",IPC!BZ26=""),"",IPC!CL26/IPC!BZ26-1)</f>
        <v>2.1940516778203634E-2</v>
      </c>
      <c r="CM67" s="75">
        <f>IF(OR(IPC!CM26="",IPC!CA26=""),"",IPC!CM26/IPC!CA26-1)</f>
        <v>1.0844180203122278E-3</v>
      </c>
      <c r="CN67" s="75">
        <f>IF(OR(IPC!CN26="",IPC!CB26=""),"",IPC!CN26/IPC!CB26-1)</f>
        <v>8.8391876183648854E-3</v>
      </c>
      <c r="CO67" s="75">
        <f>IF(OR(IPC!CO26="",IPC!CC26=""),"",IPC!CO26/IPC!CC26-1)</f>
        <v>7.2960765072509481E-3</v>
      </c>
      <c r="CP67" s="75">
        <f>IF(OR(IPC!CP26="",IPC!CD26=""),"",IPC!CP26/IPC!CD26-1)</f>
        <v>-2.7572638872405131E-3</v>
      </c>
      <c r="CQ67" s="75">
        <f>IF(OR(IPC!CQ26="",IPC!CE26=""),"",IPC!CQ26/IPC!CE26-1)</f>
        <v>-9.0424044045005481E-3</v>
      </c>
      <c r="CR67" s="75">
        <f>IF(OR(IPC!CR26="",IPC!CF26=""),"",IPC!CR26/IPC!CF26-1)</f>
        <v>-2.3625907905968635E-3</v>
      </c>
      <c r="CS67" s="75">
        <f>IF(OR(IPC!CS26="",IPC!CG26=""),"",IPC!CS26/IPC!CG26-1)</f>
        <v>2.8117100895185487E-2</v>
      </c>
      <c r="CT67" s="75">
        <f>IF(OR(IPC!CT26="",IPC!CH26=""),"",IPC!CT26/IPC!CH26-1)</f>
        <v>3.610482281995675E-2</v>
      </c>
      <c r="CU67" s="75">
        <f>IF(OR(IPC!CU26="",IPC!CI26=""),"",IPC!CU26/IPC!CI26-1)</f>
        <v>3.9166157110787081E-2</v>
      </c>
      <c r="CV67" s="75">
        <f>IF(OR(IPC!CV26="",IPC!CJ26=""),"",IPC!CV26/IPC!CJ26-1)</f>
        <v>2.8897667735028776E-2</v>
      </c>
      <c r="CW67" s="75">
        <f>IF(OR(IPC!CW26="",IPC!CK26=""),"",IPC!CW26/IPC!CK26-1)</f>
        <v>4.0820690699993722E-2</v>
      </c>
      <c r="CX67" s="75">
        <f>IF(OR(IPC!CX26="",IPC!CL26=""),"",IPC!CX26/IPC!CL26-1)</f>
        <v>4.7890790019006424E-2</v>
      </c>
      <c r="CY67" s="75">
        <f>IF(OR(IPC!CY26="",IPC!CM26=""),"",IPC!CY26/IPC!CM26-1)</f>
        <v>5.0418086145629371E-2</v>
      </c>
      <c r="CZ67" s="75">
        <f>IF(OR(IPC!CZ26="",IPC!CN26=""),"",IPC!CZ26/IPC!CN26-1)</f>
        <v>4.4121686557077044E-2</v>
      </c>
      <c r="DA67" s="75">
        <f>IF(OR(IPC!DA26="",IPC!CO26=""),"",IPC!DA26/IPC!CO26-1)</f>
        <v>5.8880378686213986E-2</v>
      </c>
      <c r="DB67" s="75">
        <f>IF(OR(IPC!DB26="",IPC!CP26=""),"",IPC!DB26/IPC!CP26-1)</f>
        <v>6.7314396507595298E-2</v>
      </c>
      <c r="DC67" s="75">
        <f>IF(OR(IPC!DC26="",IPC!CQ26=""),"",IPC!DC26/IPC!CQ26-1)</f>
        <v>6.4642153318222428E-2</v>
      </c>
      <c r="DD67" s="75">
        <f>IF(OR(IPC!DD26="",IPC!CR26=""),"",IPC!DD26/IPC!CR26-1)</f>
        <v>5.6593158008271471E-2</v>
      </c>
      <c r="DE67" s="75">
        <f>IF(OR(IPC!DE26="",IPC!CS26=""),"",IPC!DE26/IPC!CS26-1)</f>
        <v>3.3890163125909423E-2</v>
      </c>
      <c r="DF67" s="75">
        <f>IF(OR(IPC!DF26="",IPC!CT26=""),"",IPC!DF26/IPC!CT26-1)</f>
        <v>3.2795279119989029E-2</v>
      </c>
      <c r="DG67" s="75">
        <f>IF(OR(IPC!DG26="",IPC!CU26=""),"",IPC!DG26/IPC!CU26-1)</f>
        <v>3.0618514882190473E-2</v>
      </c>
      <c r="DH67" s="75">
        <f>IF(OR(IPC!DH26="",IPC!CV26=""),"",IPC!DH26/IPC!CV26-1)</f>
        <v>5.2769166474156748E-2</v>
      </c>
      <c r="DI67" s="75">
        <f>IF(OR(IPC!DI26="",IPC!CW26=""),"",IPC!DI26/IPC!CW26-1)</f>
        <v>4.1427298363387655E-2</v>
      </c>
      <c r="DJ67" s="75">
        <f>IF(OR(IPC!DJ26="",IPC!CX26=""),"",IPC!DJ26/IPC!CX26-1)</f>
        <v>4.1335804194409853E-2</v>
      </c>
      <c r="DK67" s="75">
        <f>IF(OR(IPC!DK26="",IPC!CY26=""),"",IPC!DK26/IPC!CY26-1)</f>
        <v>3.1549910897342937E-2</v>
      </c>
      <c r="DL67" s="75">
        <f>IF(OR(IPC!DL26="",IPC!CZ26=""),"",IPC!DL26/IPC!CZ26-1)</f>
        <v>3.8859275800811277E-2</v>
      </c>
      <c r="DM67" s="75">
        <f>IF(OR(IPC!DM26="",IPC!DA26=""),"",IPC!DM26/IPC!DA26-1)</f>
        <v>4.3876733211469787E-2</v>
      </c>
      <c r="DN67" s="75">
        <f>IF(OR(IPC!DN26="",IPC!DB26=""),"",IPC!DN26/IPC!DB26-1)</f>
        <v>6.2388440678011303E-2</v>
      </c>
      <c r="DO67" s="75">
        <f>IF(OR(IPC!DO26="",IPC!DC26=""),"",IPC!DO26/IPC!DC26-1)</f>
        <v>6.0780773775864105E-2</v>
      </c>
      <c r="DP67" s="75">
        <f>IF(OR(IPC!DP26="",IPC!DD26=""),"",IPC!DP26/IPC!DD26-1)</f>
        <v>5.5876636177869088E-2</v>
      </c>
      <c r="DQ67" s="75">
        <f>IF(OR(IPC!DQ26="",IPC!DE26=""),"",IPC!DQ26/IPC!DE26-1)</f>
        <v>6.5292232461096722E-2</v>
      </c>
      <c r="DR67" s="75">
        <f>IF(OR(IPC!DR26="",IPC!DF26=""),"",IPC!DR26/IPC!DF26-1)</f>
        <v>5.345123991314682E-2</v>
      </c>
      <c r="DS67" s="75">
        <f>IF(OR(IPC!DS26="",IPC!DG26=""),"",IPC!DS26/IPC!DG26-1)</f>
        <v>5.0657846722262478E-2</v>
      </c>
      <c r="DT67" s="75">
        <f>IF(OR(IPC!DT26="",IPC!DH26=""),"",IPC!DT26/IPC!DH26-1)</f>
        <v>3.1433337839117392E-2</v>
      </c>
      <c r="DU67" s="75">
        <f>IF(OR(IPC!DU26="",IPC!DI26=""),"",IPC!DU26/IPC!DI26-1)</f>
        <v>3.513251307474996E-2</v>
      </c>
      <c r="DV67" s="75">
        <f>IF(OR(IPC!DV26="",IPC!DJ26=""),"",IPC!DV26/IPC!DJ26-1)</f>
        <v>3.6321918412201892E-2</v>
      </c>
      <c r="DW67" s="75">
        <f>IF(OR(IPC!DW26="",IPC!DK26=""),"",IPC!DW26/IPC!DK26-1)</f>
        <v>4.7452191098709129E-2</v>
      </c>
      <c r="DX67" s="75">
        <f>IF(OR(IPC!DX26="",IPC!DL26=""),"",IPC!DX26/IPC!DL26-1)</f>
        <v>5.4200014194210056E-2</v>
      </c>
      <c r="DY67" s="75">
        <f>IF(OR(IPC!DY26="",IPC!DM26=""),"",IPC!DY26/IPC!DM26-1)</f>
        <v>5.2400053074682651E-2</v>
      </c>
      <c r="DZ67" s="75">
        <f>IF(OR(IPC!DZ26="",IPC!DN26=""),"",IPC!DZ26/IPC!DN26-1)</f>
        <v>5.0324583178555038E-2</v>
      </c>
      <c r="EA67" s="75">
        <f>IF(OR(IPC!EA26="",IPC!DO26=""),"",IPC!EA26/IPC!DO26-1)</f>
        <v>5.0318482790838726E-2</v>
      </c>
      <c r="EB67" s="75">
        <f>IF(OR(IPC!EB26="",IPC!DP26=""),"",IPC!EB26/IPC!DP26-1)</f>
        <v>4.9743012335435655E-2</v>
      </c>
      <c r="EC67" s="75">
        <f>IF(OR(IPC!EC26="",IPC!DQ26=""),"",IPC!EC26/IPC!DQ26-1)</f>
        <v>3.4926834048847333E-2</v>
      </c>
      <c r="ED67" s="75">
        <f>IF(OR(IPC!ED26="",IPC!DR26=""),"",IPC!ED26/IPC!DR26-1)</f>
        <v>4.5578929859078077E-2</v>
      </c>
      <c r="EE67" s="75">
        <f>IF(OR(IPC!EE26="",IPC!DS26=""),"",IPC!EE26/IPC!DS26-1)</f>
        <v>7.4857093310578104E-2</v>
      </c>
      <c r="EF67" s="75">
        <f>IF(OR(IPC!EF26="",IPC!DT26=""),"",IPC!EF26/IPC!DT26-1)</f>
        <v>9.5932157841155385E-2</v>
      </c>
      <c r="EG67" s="75">
        <f>IF(OR(IPC!EG26="",IPC!DU26=""),"",IPC!EG26/IPC!DU26-1)</f>
        <v>0.10511883583109327</v>
      </c>
      <c r="EH67" s="75">
        <f>IF(OR(IPC!EH26="",IPC!DV26=""),"",IPC!EH26/IPC!DV26-1)</f>
        <v>9.6790942844263927E-2</v>
      </c>
      <c r="EI67" s="75">
        <f>IF(OR(IPC!EI26="",IPC!DW26=""),"",IPC!EI26/IPC!DW26-1)</f>
        <v>0.10201183235517441</v>
      </c>
      <c r="EJ67" s="75">
        <f>IF(OR(IPC!EJ26="",IPC!DX26=""),"",IPC!EJ26/IPC!DX26-1)</f>
        <v>8.9323318504315408E-2</v>
      </c>
      <c r="EK67" s="75">
        <f>IF(OR(IPC!EK26="",IPC!DY26=""),"",IPC!EK26/IPC!DY26-1)</f>
        <v>8.3888481974691897E-2</v>
      </c>
      <c r="EL67" s="75">
        <f>IF(OR(IPC!EL26="",IPC!DZ26=""),"",IPC!EL26/IPC!DZ26-1)</f>
        <v>7.2886624974022984E-2</v>
      </c>
      <c r="EM67" s="75">
        <f>IF(OR(IPC!EM26="",IPC!EA26=""),"",IPC!EM26/IPC!EA26-1)</f>
        <v>0.10113150142762994</v>
      </c>
      <c r="EN67" s="75">
        <f>IF(OR(IPC!EN26="",IPC!EB26=""),"",IPC!EN26/IPC!EB26-1)</f>
        <v>0.10977092560516777</v>
      </c>
      <c r="EO67" s="75">
        <f>IF(OR(IPC!EO26="",IPC!EC26=""),"",IPC!EO26/IPC!EC26-1)</f>
        <v>0.11677112544244972</v>
      </c>
      <c r="EP67" s="75">
        <f>IF(OR(IPC!EP26="",IPC!ED26=""),"",IPC!EP26/IPC!ED26-1)</f>
        <v>0.13263065660026863</v>
      </c>
      <c r="EQ67" s="75">
        <f>IF(OR(IPC!EQ26="",IPC!EE26=""),"",IPC!EQ26/IPC!EE26-1)</f>
        <v>0.11116989719043513</v>
      </c>
      <c r="ER67" s="75">
        <f>IF(OR(IPC!ER26="",IPC!EF26=""),"",IPC!ER26/IPC!EF26-1)</f>
        <v>0.13112613147487084</v>
      </c>
      <c r="ES67" s="75">
        <f>IF(OR(IPC!ES26="",IPC!EG26=""),"",IPC!ES26/IPC!EG26-1)</f>
        <v>0.12201480893786965</v>
      </c>
      <c r="ET67" s="75">
        <f>IF(OR(IPC!ET26="",IPC!EH26=""),"",IPC!ET26/IPC!EH26-1)</f>
        <v>0.12500378160300452</v>
      </c>
      <c r="EU67" s="75">
        <f>IF(OR(IPC!EU26="",IPC!EI26=""),"",IPC!EU26/IPC!EI26-1)</f>
        <v>0.13353518545102117</v>
      </c>
      <c r="EV67" s="75">
        <f>IF(OR(IPC!EV26="",IPC!EJ26=""),"",IPC!EV26/IPC!EJ26-1)</f>
        <v>0.16178449583833698</v>
      </c>
      <c r="EW67" s="75">
        <f>IF(OR(IPC!EW26="",IPC!EK26=""),"",IPC!EW26/IPC!EK26-1)</f>
        <v>0.17285889217949113</v>
      </c>
      <c r="EX67" s="75">
        <f>IF(OR(IPC!EX26="",IPC!EL26=""),"",IPC!EX26/IPC!EL26-1)</f>
        <v>0.16918719648204683</v>
      </c>
      <c r="EY67" s="75">
        <f>IF(OR(IPC!EY26="",IPC!EM26=""),"",IPC!EY26/IPC!EM26-1)</f>
        <v>0.17027156174714486</v>
      </c>
      <c r="EZ67" s="75">
        <f>IF(OR(IPC!EZ26="",IPC!EN26=""),"",IPC!EZ26/IPC!EN26-1)</f>
        <v>0.15798344101714568</v>
      </c>
      <c r="FA67" s="75">
        <f>IF(OR(IPC!FA26="",IPC!EO26=""),"",IPC!FA26/IPC!EO26-1)</f>
        <v>0.1738668829843657</v>
      </c>
      <c r="FB67" s="75">
        <f>IF(OR(IPC!FB26="",IPC!EP26=""),"",IPC!FB26/IPC!EP26-1)</f>
        <v>0.15191015730807922</v>
      </c>
      <c r="FC67" s="75">
        <f>IF(OR(IPC!FC26="",IPC!EQ26=""),"",IPC!FC26/IPC!EQ26-1)</f>
        <v>0.14306078521979937</v>
      </c>
      <c r="FD67" s="75">
        <f>IF(OR(IPC!FD26="",IPC!ER26=""),"",IPC!FD26/IPC!ER26-1)</f>
        <v>9.2764378478664256E-2</v>
      </c>
      <c r="FE67" s="75">
        <f>IF(OR(IPC!FE26="",IPC!ES26=""),"",IPC!FE26/IPC!ES26-1)</f>
        <v>0.10258780036968562</v>
      </c>
      <c r="FF67" s="75">
        <f>IF(OR(IPC!FF26="",IPC!ET26=""),"",IPC!FF26/IPC!ET26-1)</f>
        <v>8.7396504139834352E-2</v>
      </c>
      <c r="FG67" s="75">
        <f>IF(OR(IPC!FG26="",IPC!EU26=""),"",IPC!FG26/IPC!EU26-1)</f>
        <v>8.5354896675651437E-2</v>
      </c>
      <c r="FH67" s="75">
        <f>IF(OR(IPC!FH26="",IPC!EV26=""),"",IPC!FH26/IPC!EV26-1)</f>
        <v>6.8421052631578938E-2</v>
      </c>
      <c r="FI67" s="75">
        <f>IF(OR(IPC!FI26="",IPC!EW26=""),"",IPC!FI26/IPC!EW26-1)</f>
        <v>7.0872947277441645E-2</v>
      </c>
      <c r="FJ67" s="75">
        <f>IF(OR(IPC!FJ26="",IPC!EX26=""),"",IPC!FJ26/IPC!EX26-1)</f>
        <v>8.3261802575107291E-2</v>
      </c>
      <c r="FK67" s="75">
        <f>IF(OR(IPC!FK26="",IPC!EY26=""),"",IPC!FK26/IPC!EY26-1)</f>
        <v>7.8792958927074608E-2</v>
      </c>
      <c r="FL67" s="75">
        <f>IF(OR(IPC!FL26="",IPC!EZ26=""),"",IPC!FL26/IPC!EZ26-1)</f>
        <v>0.11344537815126055</v>
      </c>
      <c r="FM67" s="75">
        <f>IF(OR(IPC!FM26="",IPC!FA26=""),"",IPC!FM26/IPC!FA26-1)</f>
        <v>0.10373443983402497</v>
      </c>
      <c r="FN67" s="75">
        <f>IF(OR(IPC!FN26="",IPC!FB26=""),"",IPC!FN26/IPC!FB26-1)</f>
        <v>9.9750623441396735E-2</v>
      </c>
      <c r="FO67" s="75">
        <f>IF(OR(IPC!FO26="",IPC!FC26=""),"",IPC!FO26/IPC!FC26-1)</f>
        <v>0.11803823773898592</v>
      </c>
      <c r="FP67" s="75">
        <f>IF(OR(IPC!FP26="",IPC!FD26=""),"",IPC!FP26/IPC!FD26-1)</f>
        <v>0.12733446519524638</v>
      </c>
      <c r="FQ67" s="75">
        <f>IF(OR(IPC!FQ26="",IPC!FE26=""),"",IPC!FQ26/IPC!FE26-1)</f>
        <v>0.11483654652137476</v>
      </c>
      <c r="FR67" s="75">
        <f>IF(OR(IPC!FR26="",IPC!FF26=""),"",IPC!FR26/IPC!FF26-1)</f>
        <v>0.13620981387478848</v>
      </c>
    </row>
    <row r="68" spans="1:174" s="81" customFormat="1" ht="10.199999999999999" x14ac:dyDescent="0.2">
      <c r="B68" s="81" t="s">
        <v>107</v>
      </c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>
        <f>IF(OR(IPC!AB27="",IPC!P27=""),"",IPC!AB27/IPC!P27-1)</f>
        <v>2.3051199395955457E-2</v>
      </c>
      <c r="AC68" s="84">
        <f>IF(OR(IPC!AC27="",IPC!Q27=""),"",IPC!AC27/IPC!Q27-1)</f>
        <v>2.2642987141931359E-2</v>
      </c>
      <c r="AD68" s="84">
        <f>IF(OR(IPC!AD27="",IPC!R27=""),"",IPC!AD27/IPC!R27-1)</f>
        <v>1.8606592756008844E-2</v>
      </c>
      <c r="AE68" s="84">
        <f>IF(OR(IPC!AE27="",IPC!S27=""),"",IPC!AE27/IPC!S27-1)</f>
        <v>1.7239411792794312E-2</v>
      </c>
      <c r="AF68" s="84">
        <f>IF(OR(IPC!AF27="",IPC!T27=""),"",IPC!AF27/IPC!T27-1)</f>
        <v>1.4708030250135895E-2</v>
      </c>
      <c r="AG68" s="84">
        <f>IF(OR(IPC!AG27="",IPC!U27=""),"",IPC!AG27/IPC!U27-1)</f>
        <v>1.7249513568968089E-2</v>
      </c>
      <c r="AH68" s="84">
        <f>IF(OR(IPC!AH27="",IPC!V27=""),"",IPC!AH27/IPC!V27-1)</f>
        <v>1.4235361832799054E-2</v>
      </c>
      <c r="AI68" s="84">
        <f>IF(OR(IPC!AI27="",IPC!W27=""),"",IPC!AI27/IPC!W27-1)</f>
        <v>1.1250304316161364E-2</v>
      </c>
      <c r="AJ68" s="84">
        <f>IF(OR(IPC!AJ27="",IPC!X27=""),"",IPC!AJ27/IPC!X27-1)</f>
        <v>1.4360148100269976E-2</v>
      </c>
      <c r="AK68" s="84">
        <f>IF(OR(IPC!AK27="",IPC!Y27=""),"",IPC!AK27/IPC!Y27-1)</f>
        <v>1.3125467874550711E-2</v>
      </c>
      <c r="AL68" s="84">
        <f>IF(OR(IPC!AL27="",IPC!Z27=""),"",IPC!AL27/IPC!Z27-1)</f>
        <v>1.4330700524103568E-2</v>
      </c>
      <c r="AM68" s="84">
        <f>IF(OR(IPC!AM27="",IPC!AA27=""),"",IPC!AM27/IPC!AA27-1)</f>
        <v>1.2850938767091202E-2</v>
      </c>
      <c r="AN68" s="84">
        <f>IF(OR(IPC!AN27="",IPC!AB27=""),"",IPC!AN27/IPC!AB27-1)</f>
        <v>1.1359487168664417E-2</v>
      </c>
      <c r="AO68" s="84">
        <f>IF(OR(IPC!AO27="",IPC!AC27=""),"",IPC!AO27/IPC!AC27-1)</f>
        <v>1.0676238930185988E-2</v>
      </c>
      <c r="AP68" s="84">
        <f>IF(OR(IPC!AP27="",IPC!AD27=""),"",IPC!AP27/IPC!AD27-1)</f>
        <v>9.4155864733380668E-3</v>
      </c>
      <c r="AQ68" s="84">
        <f>IF(OR(IPC!AQ27="",IPC!AE27=""),"",IPC!AQ27/IPC!AE27-1)</f>
        <v>6.8808781542000208E-3</v>
      </c>
      <c r="AR68" s="84">
        <f>IF(OR(IPC!AR27="",IPC!AF27=""),"",IPC!AR27/IPC!AF27-1)</f>
        <v>9.4258482397764354E-3</v>
      </c>
      <c r="AS68" s="84">
        <f>IF(OR(IPC!AS27="",IPC!AG27=""),"",IPC!AS27/IPC!AG27-1)</f>
        <v>6.8720146912757407E-3</v>
      </c>
      <c r="AT68" s="84">
        <f>IF(OR(IPC!AT27="",IPC!AH27=""),"",IPC!AT27/IPC!AH27-1)</f>
        <v>2.7635758157130041E-2</v>
      </c>
      <c r="AU68" s="84">
        <f>IF(OR(IPC!AU27="",IPC!AI27=""),"",IPC!AU27/IPC!AI27-1)</f>
        <v>2.6780390526087494E-2</v>
      </c>
      <c r="AV68" s="84">
        <f>IF(OR(IPC!AV27="",IPC!AJ27=""),"",IPC!AV27/IPC!AJ27-1)</f>
        <v>2.7842824781646902E-2</v>
      </c>
      <c r="AW68" s="84">
        <f>IF(OR(IPC!AW27="",IPC!AK27=""),"",IPC!AW27/IPC!AK27-1)</f>
        <v>2.1517542800778333E-2</v>
      </c>
      <c r="AX68" s="84">
        <f>IF(OR(IPC!AX27="",IPC!AL27=""),"",IPC!AX27/IPC!AL27-1)</f>
        <v>2.4888846663162267E-2</v>
      </c>
      <c r="AY68" s="84">
        <f>IF(OR(IPC!AY27="",IPC!AM27=""),"",IPC!AY27/IPC!AM27-1)</f>
        <v>2.5263100386593518E-2</v>
      </c>
      <c r="AZ68" s="84">
        <f>IF(OR(IPC!AZ27="",IPC!AN27=""),"",IPC!AZ27/IPC!AN27-1)</f>
        <v>2.5207110986657177E-2</v>
      </c>
      <c r="BA68" s="84">
        <f>IF(OR(IPC!BA27="",IPC!AO27=""),"",IPC!BA27/IPC!AO27-1)</f>
        <v>3.0236840795421882E-2</v>
      </c>
      <c r="BB68" s="84">
        <f>IF(OR(IPC!BB27="",IPC!AP27=""),"",IPC!BB27/IPC!AP27-1)</f>
        <v>3.2150571119532456E-2</v>
      </c>
      <c r="BC68" s="84">
        <f>IF(OR(IPC!BC27="",IPC!AQ27=""),"",IPC!BC27/IPC!AQ27-1)</f>
        <v>3.7510606015922265E-2</v>
      </c>
      <c r="BD68" s="84">
        <f>IF(OR(IPC!BD27="",IPC!AR27=""),"",IPC!BD27/IPC!AR27-1)</f>
        <v>3.5715098312025795E-2</v>
      </c>
      <c r="BE68" s="84">
        <f>IF(OR(IPC!BE27="",IPC!AS27=""),"",IPC!BE27/IPC!AS27-1)</f>
        <v>4.0968057188746076E-2</v>
      </c>
      <c r="BF68" s="84">
        <f>IF(OR(IPC!BF27="",IPC!AT27=""),"",IPC!BF27/IPC!AT27-1)</f>
        <v>1.8716751396967712E-2</v>
      </c>
      <c r="BG68" s="84">
        <f>IF(OR(IPC!BG27="",IPC!AU27=""),"",IPC!BG27/IPC!AU27-1)</f>
        <v>1.8440325778470434E-2</v>
      </c>
      <c r="BH68" s="84">
        <f>IF(OR(IPC!BH27="",IPC!AV27=""),"",IPC!BH27/IPC!AV27-1)</f>
        <v>1.7122965003150803E-2</v>
      </c>
      <c r="BI68" s="84">
        <f>IF(OR(IPC!BI27="",IPC!AW27=""),"",IPC!BI27/IPC!AW27-1)</f>
        <v>1.8964853202965148E-2</v>
      </c>
      <c r="BJ68" s="84">
        <f>IF(OR(IPC!BJ27="",IPC!AX27=""),"",IPC!BJ27/IPC!AX27-1)</f>
        <v>1.3344095068406059E-2</v>
      </c>
      <c r="BK68" s="84">
        <f>IF(OR(IPC!BK27="",IPC!AY27=""),"",IPC!BK27/IPC!AY27-1)</f>
        <v>1.3048585695365267E-2</v>
      </c>
      <c r="BL68" s="84">
        <f>IF(OR(IPC!BL27="",IPC!AZ27=""),"",IPC!BL27/IPC!AZ27-1)</f>
        <v>1.4596358743658167E-2</v>
      </c>
      <c r="BM68" s="84">
        <f>IF(OR(IPC!BM27="",IPC!BA27=""),"",IPC!BM27/IPC!BA27-1)</f>
        <v>8.4191963101094558E-3</v>
      </c>
      <c r="BN68" s="84">
        <f>IF(OR(IPC!BN27="",IPC!BB27=""),"",IPC!BN27/IPC!BB27-1)</f>
        <v>9.0270660182802942E-3</v>
      </c>
      <c r="BO68" s="84">
        <f>IF(OR(IPC!BO27="",IPC!BC27=""),"",IPC!BO27/IPC!BC27-1)</f>
        <v>5.3860397421265915E-3</v>
      </c>
      <c r="BP68" s="84">
        <f>IF(OR(IPC!BP27="",IPC!BD27=""),"",IPC!BP27/IPC!BD27-1)</f>
        <v>6.2128496030233737E-3</v>
      </c>
      <c r="BQ68" s="84">
        <f>IF(OR(IPC!BQ27="",IPC!BE27=""),"",IPC!BQ27/IPC!BE27-1)</f>
        <v>9.1879595062849262E-4</v>
      </c>
      <c r="BR68" s="84">
        <f>IF(OR(IPC!BR27="",IPC!BF27=""),"",IPC!BR27/IPC!BF27-1)</f>
        <v>1.9699128426244883E-3</v>
      </c>
      <c r="BS68" s="84">
        <f>IF(OR(IPC!BS27="",IPC!BG27=""),"",IPC!BS27/IPC!BG27-1)</f>
        <v>5.9335112096279286E-3</v>
      </c>
      <c r="BT68" s="84">
        <f>IF(OR(IPC!BT27="",IPC!BH27=""),"",IPC!BT27/IPC!BH27-1)</f>
        <v>4.4661374102339391E-3</v>
      </c>
      <c r="BU68" s="84">
        <f>IF(OR(IPC!BU27="",IPC!BI27=""),"",IPC!BU27/IPC!BI27-1)</f>
        <v>6.7002114047842731E-3</v>
      </c>
      <c r="BV68" s="84">
        <f>IF(OR(IPC!BV27="",IPC!BJ27=""),"",IPC!BV27/IPC!BJ27-1)</f>
        <v>6.9422781388071009E-3</v>
      </c>
      <c r="BW68" s="84">
        <f>IF(OR(IPC!BW27="",IPC!BK27=""),"",IPC!BW27/IPC!BK27-1)</f>
        <v>7.6441680546588398E-3</v>
      </c>
      <c r="BX68" s="84">
        <f>IF(OR(IPC!BX27="",IPC!BL27=""),"",IPC!BX27/IPC!BL27-1)</f>
        <v>8.1427871624639714E-3</v>
      </c>
      <c r="BY68" s="84">
        <f>IF(OR(IPC!BY27="",IPC!BM27=""),"",IPC!BY27/IPC!BM27-1)</f>
        <v>8.8711891853763269E-3</v>
      </c>
      <c r="BZ68" s="84">
        <f>IF(OR(IPC!BZ27="",IPC!BN27=""),"",IPC!BZ27/IPC!BN27-1)</f>
        <v>7.7148113445619781E-3</v>
      </c>
      <c r="CA68" s="84">
        <f>IF(OR(IPC!CA27="",IPC!BO27=""),"",IPC!CA27/IPC!BO27-1)</f>
        <v>8.2403959387180592E-3</v>
      </c>
      <c r="CB68" s="84">
        <f>IF(OR(IPC!CB27="",IPC!BP27=""),"",IPC!CB27/IPC!BP27-1)</f>
        <v>7.9852155343722586E-3</v>
      </c>
      <c r="CC68" s="84">
        <f>IF(OR(IPC!CC27="",IPC!BQ27=""),"",IPC!CC27/IPC!BQ27-1)</f>
        <v>9.8306752189945001E-3</v>
      </c>
      <c r="CD68" s="84">
        <f>IF(OR(IPC!CD27="",IPC!BR27=""),"",IPC!CD27/IPC!BR27-1)</f>
        <v>9.0883904229539514E-3</v>
      </c>
      <c r="CE68" s="84">
        <f>IF(OR(IPC!CE27="",IPC!BS27=""),"",IPC!CE27/IPC!BS27-1)</f>
        <v>7.322405664139664E-3</v>
      </c>
      <c r="CF68" s="84">
        <f>IF(OR(IPC!CF27="",IPC!BT27=""),"",IPC!CF27/IPC!BT27-1)</f>
        <v>7.4631581477080378E-3</v>
      </c>
      <c r="CG68" s="84">
        <f>IF(OR(IPC!CG27="",IPC!BU27=""),"",IPC!CG27/IPC!BU27-1)</f>
        <v>7.7027501423481137E-3</v>
      </c>
      <c r="CH68" s="84">
        <f>IF(OR(IPC!CH27="",IPC!BV27=""),"",IPC!CH27/IPC!BV27-1)</f>
        <v>7.6788237717768659E-3</v>
      </c>
      <c r="CI68" s="84">
        <f>IF(OR(IPC!CI27="",IPC!BW27=""),"",IPC!CI27/IPC!BW27-1)</f>
        <v>2.9201229231468062E-3</v>
      </c>
      <c r="CJ68" s="84">
        <f>IF(OR(IPC!CJ27="",IPC!BX27=""),"",IPC!CJ27/IPC!BX27-1)</f>
        <v>3.6799263762410384E-3</v>
      </c>
      <c r="CK68" s="84">
        <f>IF(OR(IPC!CK27="",IPC!BY27=""),"",IPC!CK27/IPC!BY27-1)</f>
        <v>4.9645659284514032E-3</v>
      </c>
      <c r="CL68" s="84">
        <f>IF(OR(IPC!CL27="",IPC!BZ27=""),"",IPC!CL27/IPC!BZ27-1)</f>
        <v>4.7736590114573207E-3</v>
      </c>
      <c r="CM68" s="84">
        <f>IF(OR(IPC!CM27="",IPC!CA27=""),"",IPC!CM27/IPC!CA27-1)</f>
        <v>8.2814681625631437E-3</v>
      </c>
      <c r="CN68" s="84">
        <f>IF(OR(IPC!CN27="",IPC!CB27=""),"",IPC!CN27/IPC!CB27-1)</f>
        <v>9.1425096186834587E-3</v>
      </c>
      <c r="CO68" s="84">
        <f>IF(OR(IPC!CO27="",IPC!CC27=""),"",IPC!CO27/IPC!CC27-1)</f>
        <v>9.8205278685519204E-3</v>
      </c>
      <c r="CP68" s="84">
        <f>IF(OR(IPC!CP27="",IPC!CD27=""),"",IPC!CP27/IPC!CD27-1)</f>
        <v>1.2666841352163338E-2</v>
      </c>
      <c r="CQ68" s="84">
        <f>IF(OR(IPC!CQ27="",IPC!CE27=""),"",IPC!CQ27/IPC!CE27-1)</f>
        <v>1.1350089784044171E-2</v>
      </c>
      <c r="CR68" s="84">
        <f>IF(OR(IPC!CR27="",IPC!CF27=""),"",IPC!CR27/IPC!CF27-1)</f>
        <v>1.2826592198565523E-2</v>
      </c>
      <c r="CS68" s="84">
        <f>IF(OR(IPC!CS27="",IPC!CG27=""),"",IPC!CS27/IPC!CG27-1)</f>
        <v>1.3640259224229512E-2</v>
      </c>
      <c r="CT68" s="84">
        <f>IF(OR(IPC!CT27="",IPC!CH27=""),"",IPC!CT27/IPC!CH27-1)</f>
        <v>1.3855468698537932E-2</v>
      </c>
      <c r="CU68" s="84">
        <f>IF(OR(IPC!CU27="",IPC!CI27=""),"",IPC!CU27/IPC!CI27-1)</f>
        <v>1.6193624876404078E-2</v>
      </c>
      <c r="CV68" s="84">
        <f>IF(OR(IPC!CV27="",IPC!CJ27=""),"",IPC!CV27/IPC!CJ27-1)</f>
        <v>1.7557704578223365E-2</v>
      </c>
      <c r="CW68" s="84">
        <f>IF(OR(IPC!CW27="",IPC!CK27=""),"",IPC!CW27/IPC!CK27-1)</f>
        <v>2.0326044711592051E-2</v>
      </c>
      <c r="CX68" s="84">
        <f>IF(OR(IPC!CX27="",IPC!CL27=""),"",IPC!CX27/IPC!CL27-1)</f>
        <v>2.3839305215565432E-2</v>
      </c>
      <c r="CY68" s="84">
        <f>IF(OR(IPC!CY27="",IPC!CM27=""),"",IPC!CY27/IPC!CM27-1)</f>
        <v>2.3830387133993991E-2</v>
      </c>
      <c r="CZ68" s="84">
        <f>IF(OR(IPC!CZ27="",IPC!CN27=""),"",IPC!CZ27/IPC!CN27-1)</f>
        <v>2.2856764022080034E-2</v>
      </c>
      <c r="DA68" s="84">
        <f>IF(OR(IPC!DA27="",IPC!CO27=""),"",IPC!DA27/IPC!CO27-1)</f>
        <v>2.1499682070110993E-2</v>
      </c>
      <c r="DB68" s="84">
        <f>IF(OR(IPC!DB27="",IPC!CP27=""),"",IPC!DB27/IPC!CP27-1)</f>
        <v>2.1426028218514137E-2</v>
      </c>
      <c r="DC68" s="84">
        <f>IF(OR(IPC!DC27="",IPC!CQ27=""),"",IPC!DC27/IPC!CQ27-1)</f>
        <v>2.2154865664625323E-2</v>
      </c>
      <c r="DD68" s="84">
        <f>IF(OR(IPC!DD27="",IPC!CR27=""),"",IPC!DD27/IPC!CR27-1)</f>
        <v>2.0651384013947283E-2</v>
      </c>
      <c r="DE68" s="84">
        <f>IF(OR(IPC!DE27="",IPC!CS27=""),"",IPC!DE27/IPC!CS27-1)</f>
        <v>2.4643039201600603E-2</v>
      </c>
      <c r="DF68" s="84">
        <f>IF(OR(IPC!DF27="",IPC!CT27=""),"",IPC!DF27/IPC!CT27-1)</f>
        <v>2.7277791098310633E-2</v>
      </c>
      <c r="DG68" s="84">
        <f>IF(OR(IPC!DG27="",IPC!CU27=""),"",IPC!DG27/IPC!CU27-1)</f>
        <v>2.6483447394279658E-2</v>
      </c>
      <c r="DH68" s="84">
        <f>IF(OR(IPC!DH27="",IPC!CV27=""),"",IPC!DH27/IPC!CV27-1)</f>
        <v>2.5545801025564252E-2</v>
      </c>
      <c r="DI68" s="84">
        <f>IF(OR(IPC!DI27="",IPC!CW27=""),"",IPC!DI27/IPC!CW27-1)</f>
        <v>2.4894668779991358E-2</v>
      </c>
      <c r="DJ68" s="84">
        <f>IF(OR(IPC!DJ27="",IPC!CX27=""),"",IPC!DJ27/IPC!CX27-1)</f>
        <v>2.3746960758473712E-2</v>
      </c>
      <c r="DK68" s="84">
        <f>IF(OR(IPC!DK27="",IPC!CY27=""),"",IPC!DK27/IPC!CY27-1)</f>
        <v>2.7187689004360083E-2</v>
      </c>
      <c r="DL68" s="84">
        <f>IF(OR(IPC!DL27="",IPC!CZ27=""),"",IPC!DL27/IPC!CZ27-1)</f>
        <v>2.1118647800651313E-2</v>
      </c>
      <c r="DM68" s="84">
        <f>IF(OR(IPC!DM27="",IPC!DA27=""),"",IPC!DM27/IPC!DA27-1)</f>
        <v>1.9697895785054653E-2</v>
      </c>
      <c r="DN68" s="84">
        <f>IF(OR(IPC!DN27="",IPC!DB27=""),"",IPC!DN27/IPC!DB27-1)</f>
        <v>1.7771116255505426E-2</v>
      </c>
      <c r="DO68" s="84">
        <f>IF(OR(IPC!DO27="",IPC!DC27=""),"",IPC!DO27/IPC!DC27-1)</f>
        <v>1.8278314562276687E-2</v>
      </c>
      <c r="DP68" s="84">
        <f>IF(OR(IPC!DP27="",IPC!DD27=""),"",IPC!DP27/IPC!DD27-1)</f>
        <v>1.7134414470747483E-2</v>
      </c>
      <c r="DQ68" s="84">
        <f>IF(OR(IPC!DQ27="",IPC!DE27=""),"",IPC!DQ27/IPC!DE27-1)</f>
        <v>1.5935960782703207E-2</v>
      </c>
      <c r="DR68" s="84">
        <f>IF(OR(IPC!DR27="",IPC!DF27=""),"",IPC!DR27/IPC!DF27-1)</f>
        <v>1.4349403762605739E-2</v>
      </c>
      <c r="DS68" s="84">
        <f>IF(OR(IPC!DS27="",IPC!DG27=""),"",IPC!DS27/IPC!DG27-1)</f>
        <v>1.5086922087829135E-2</v>
      </c>
      <c r="DT68" s="84">
        <f>IF(OR(IPC!DT27="",IPC!DH27=""),"",IPC!DT27/IPC!DH27-1)</f>
        <v>1.6751808195185847E-2</v>
      </c>
      <c r="DU68" s="84">
        <f>IF(OR(IPC!DU27="",IPC!DI27=""),"",IPC!DU27/IPC!DI27-1)</f>
        <v>1.5643921824294749E-2</v>
      </c>
      <c r="DV68" s="84">
        <f>IF(OR(IPC!DV27="",IPC!DJ27=""),"",IPC!DV27/IPC!DJ27-1)</f>
        <v>1.5429546326720001E-2</v>
      </c>
      <c r="DW68" s="84">
        <f>IF(OR(IPC!DW27="",IPC!DK27=""),"",IPC!DW27/IPC!DK27-1)</f>
        <v>1.0176224955938062E-2</v>
      </c>
      <c r="DX68" s="84">
        <f>IF(OR(IPC!DX27="",IPC!DL27=""),"",IPC!DX27/IPC!DL27-1)</f>
        <v>1.582316758158786E-2</v>
      </c>
      <c r="DY68" s="84">
        <f>IF(OR(IPC!DY27="",IPC!DM27=""),"",IPC!DY27/IPC!DM27-1)</f>
        <v>1.8213068421427447E-2</v>
      </c>
      <c r="DZ68" s="84">
        <f>IF(OR(IPC!DZ27="",IPC!DN27=""),"",IPC!DZ27/IPC!DN27-1)</f>
        <v>2.0203212735572462E-2</v>
      </c>
      <c r="EA68" s="84">
        <f>IF(OR(IPC!EA27="",IPC!DO27=""),"",IPC!EA27/IPC!DO27-1)</f>
        <v>1.7354612492884058E-2</v>
      </c>
      <c r="EB68" s="84">
        <f>IF(OR(IPC!EB27="",IPC!DP27=""),"",IPC!EB27/IPC!DP27-1)</f>
        <v>1.9117829054546842E-2</v>
      </c>
      <c r="EC68" s="84">
        <f>IF(OR(IPC!EC27="",IPC!DQ27=""),"",IPC!EC27/IPC!DQ27-1)</f>
        <v>1.9728922541489835E-2</v>
      </c>
      <c r="ED68" s="84">
        <f>IF(OR(IPC!ED27="",IPC!DR27=""),"",IPC!ED27/IPC!DR27-1)</f>
        <v>1.9619904423843204E-2</v>
      </c>
      <c r="EE68" s="84">
        <f>IF(OR(IPC!EE27="",IPC!DS27=""),"",IPC!EE27/IPC!DS27-1)</f>
        <v>2.6623658524304705E-2</v>
      </c>
      <c r="EF68" s="84">
        <f>IF(OR(IPC!EF27="",IPC!DT27=""),"",IPC!EF27/IPC!DT27-1)</f>
        <v>2.9814597045737745E-2</v>
      </c>
      <c r="EG68" s="84">
        <f>IF(OR(IPC!EG27="",IPC!DU27=""),"",IPC!EG27/IPC!DU27-1)</f>
        <v>3.2147853615893451E-2</v>
      </c>
      <c r="EH68" s="84">
        <f>IF(OR(IPC!EH27="",IPC!DV27=""),"",IPC!EH27/IPC!DV27-1)</f>
        <v>3.713314900147946E-2</v>
      </c>
      <c r="EI68" s="84">
        <f>IF(OR(IPC!EI27="",IPC!DW27=""),"",IPC!EI27/IPC!DW27-1)</f>
        <v>4.7396104795350169E-2</v>
      </c>
      <c r="EJ68" s="84">
        <f>IF(OR(IPC!EJ27="",IPC!DX27=""),"",IPC!EJ27/IPC!DX27-1)</f>
        <v>5.5407704807369562E-2</v>
      </c>
      <c r="EK68" s="84">
        <f>IF(OR(IPC!EK27="",IPC!DY27=""),"",IPC!EK27/IPC!DY27-1)</f>
        <v>5.77816779297331E-2</v>
      </c>
      <c r="EL68" s="84">
        <f>IF(OR(IPC!EL27="",IPC!DZ27=""),"",IPC!EL27/IPC!DZ27-1)</f>
        <v>6.2241591668179996E-2</v>
      </c>
      <c r="EM68" s="84">
        <f>IF(OR(IPC!EM27="",IPC!EA27=""),"",IPC!EM27/IPC!EA27-1)</f>
        <v>6.7268104213360047E-2</v>
      </c>
      <c r="EN68" s="84">
        <f>IF(OR(IPC!EN27="",IPC!EB27=""),"",IPC!EN27/IPC!EB27-1)</f>
        <v>7.2643204622856006E-2</v>
      </c>
      <c r="EO68" s="84">
        <f>IF(OR(IPC!EO27="",IPC!EC27=""),"",IPC!EO27/IPC!EC27-1)</f>
        <v>7.1684431848326291E-2</v>
      </c>
      <c r="EP68" s="84">
        <f>IF(OR(IPC!EP27="",IPC!ED27=""),"",IPC!EP27/IPC!ED27-1)</f>
        <v>7.330139747903508E-2</v>
      </c>
      <c r="EQ68" s="84">
        <f>IF(OR(IPC!EQ27="",IPC!EE27=""),"",IPC!EQ27/IPC!EE27-1)</f>
        <v>6.6834056301177114E-2</v>
      </c>
      <c r="ER68" s="84">
        <f>IF(OR(IPC!ER27="",IPC!EF27=""),"",IPC!ER27/IPC!EF27-1)</f>
        <v>6.5118331662074036E-2</v>
      </c>
      <c r="ES68" s="84">
        <f>IF(OR(IPC!ES27="",IPC!EG27=""),"",IPC!ES27/IPC!EG27-1)</f>
        <v>7.5657117856919198E-2</v>
      </c>
      <c r="ET68" s="84">
        <f>IF(OR(IPC!ET27="",IPC!EH27=""),"",IPC!ET27/IPC!EH27-1)</f>
        <v>7.8273360105395984E-2</v>
      </c>
      <c r="EU68" s="84">
        <f>IF(OR(IPC!EU27="",IPC!EI27=""),"",IPC!EU27/IPC!EI27-1)</f>
        <v>7.1708857398214532E-2</v>
      </c>
      <c r="EV68" s="84">
        <f>IF(OR(IPC!EV27="",IPC!EJ27=""),"",IPC!EV27/IPC!EJ27-1)</f>
        <v>6.2665938918958775E-2</v>
      </c>
      <c r="EW68" s="84">
        <f>IF(OR(IPC!EW27="",IPC!EK27=""),"",IPC!EW27/IPC!EK27-1)</f>
        <v>6.4066035008062849E-2</v>
      </c>
      <c r="EX68" s="84">
        <f>IF(OR(IPC!EX27="",IPC!EL27=""),"",IPC!EX27/IPC!EL27-1)</f>
        <v>5.8043574599699443E-2</v>
      </c>
      <c r="EY68" s="84">
        <f>IF(OR(IPC!EY27="",IPC!EM27=""),"",IPC!EY27/IPC!EM27-1)</f>
        <v>5.5765018909207376E-2</v>
      </c>
      <c r="EZ68" s="84">
        <f>IF(OR(IPC!EZ27="",IPC!EN27=""),"",IPC!EZ27/IPC!EN27-1)</f>
        <v>5.2181459443641387E-2</v>
      </c>
      <c r="FA68" s="84">
        <f>IF(OR(IPC!FA27="",IPC!EO27=""),"",IPC!FA27/IPC!EO27-1)</f>
        <v>4.7967298862333863E-2</v>
      </c>
      <c r="FB68" s="84">
        <f>IF(OR(IPC!FB27="",IPC!EP27=""),"",IPC!FB27/IPC!EP27-1)</f>
        <v>4.533479326277412E-2</v>
      </c>
      <c r="FC68" s="84">
        <f>IF(OR(IPC!FC27="",IPC!EQ27=""),"",IPC!FC27/IPC!EQ27-1)</f>
        <v>4.2712662140908852E-2</v>
      </c>
      <c r="FD68" s="84">
        <f>IF(OR(IPC!FD27="",IPC!ER27=""),"",IPC!FD27/IPC!ER27-1)</f>
        <v>3.9805825242718473E-2</v>
      </c>
      <c r="FE68" s="84">
        <f>IF(OR(IPC!FE27="",IPC!ES27=""),"",IPC!FE27/IPC!ES27-1)</f>
        <v>3.7392138063279123E-2</v>
      </c>
      <c r="FF68" s="84">
        <f>IF(OR(IPC!FF27="",IPC!ET27=""),"",IPC!FF27/IPC!ET27-1)</f>
        <v>3.228869895536568E-2</v>
      </c>
      <c r="FG68" s="84">
        <f>IF(OR(IPC!FG27="",IPC!EU27=""),"",IPC!FG27/IPC!EU27-1)</f>
        <v>2.9300567107750641E-2</v>
      </c>
      <c r="FH68" s="84">
        <f>IF(OR(IPC!FH27="",IPC!EV27=""),"",IPC!FH27/IPC!EV27-1)</f>
        <v>3.1190926275992403E-2</v>
      </c>
      <c r="FI68" s="84">
        <f>IF(OR(IPC!FI27="",IPC!EW27=""),"",IPC!FI27/IPC!EW27-1)</f>
        <v>2.7281279397930458E-2</v>
      </c>
      <c r="FJ68" s="84">
        <f>IF(OR(IPC!FJ27="",IPC!EX27=""),"",IPC!FJ27/IPC!EX27-1)</f>
        <v>2.7255639097744311E-2</v>
      </c>
      <c r="FK68" s="84">
        <f>IF(OR(IPC!FK27="",IPC!EY27=""),"",IPC!FK27/IPC!EY27-1)</f>
        <v>2.6241799437675795E-2</v>
      </c>
      <c r="FL68" s="84">
        <f>IF(OR(IPC!FL27="",IPC!EZ27=""),"",IPC!FL27/IPC!EZ27-1)</f>
        <v>2.710280373831786E-2</v>
      </c>
      <c r="FM68" s="84">
        <f>IF(OR(IPC!FM27="",IPC!FA27=""),"",IPC!FM27/IPC!FA27-1)</f>
        <v>2.8971962616822333E-2</v>
      </c>
      <c r="FN68" s="84">
        <f>IF(OR(IPC!FN27="",IPC!FB27=""),"",IPC!FN27/IPC!FB27-1)</f>
        <v>3.0841121495327029E-2</v>
      </c>
      <c r="FO68" s="84">
        <f>IF(OR(IPC!FO27="",IPC!FC27=""),"",IPC!FO27/IPC!FC27-1)</f>
        <v>3.3613445378151363E-2</v>
      </c>
      <c r="FP68" s="84">
        <f>IF(OR(IPC!FP27="",IPC!FD27=""),"",IPC!FP27/IPC!FD27-1)</f>
        <v>3.4547152194211117E-2</v>
      </c>
      <c r="FQ68" s="84">
        <f>IF(OR(IPC!FQ27="",IPC!FE27=""),"",IPC!FQ27/IPC!FE27-1)</f>
        <v>2.4953789279112737E-2</v>
      </c>
      <c r="FR68" s="84">
        <f>IF(OR(IPC!FR27="",IPC!FF27=""),"",IPC!FR27/IPC!FF27-1)</f>
        <v>2.1159153633854677E-2</v>
      </c>
    </row>
    <row r="69" spans="1:174" s="74" customFormat="1" ht="10.199999999999999" x14ac:dyDescent="0.2"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75"/>
      <c r="CJ69" s="75"/>
      <c r="CK69" s="75"/>
      <c r="CL69" s="75"/>
      <c r="CM69" s="75"/>
      <c r="CN69" s="75"/>
      <c r="CO69" s="75"/>
      <c r="CP69" s="75"/>
      <c r="CQ69" s="75"/>
      <c r="CR69" s="75"/>
      <c r="CS69" s="75"/>
      <c r="CT69" s="75"/>
      <c r="CU69" s="75"/>
      <c r="CV69" s="75"/>
      <c r="CW69" s="75"/>
      <c r="CX69" s="75"/>
      <c r="CY69" s="75"/>
      <c r="CZ69" s="75"/>
      <c r="DA69" s="75"/>
      <c r="DB69" s="75"/>
      <c r="DC69" s="75"/>
      <c r="DD69" s="75"/>
      <c r="DE69" s="75"/>
      <c r="DF69" s="75"/>
      <c r="DG69" s="75"/>
      <c r="DH69" s="75"/>
      <c r="DI69" s="75"/>
      <c r="DJ69" s="75"/>
      <c r="DK69" s="75"/>
      <c r="DL69" s="75"/>
      <c r="DM69" s="75"/>
      <c r="DN69" s="75"/>
      <c r="DO69" s="75"/>
      <c r="DP69" s="75"/>
      <c r="DQ69" s="75"/>
      <c r="DR69" s="75"/>
      <c r="DS69" s="75"/>
      <c r="DT69" s="75"/>
      <c r="DU69" s="75"/>
      <c r="DV69" s="75"/>
      <c r="DW69" s="75"/>
      <c r="DX69" s="75"/>
      <c r="DY69" s="75"/>
      <c r="DZ69" s="75"/>
      <c r="EA69" s="75"/>
      <c r="EB69" s="75"/>
      <c r="EC69" s="75"/>
      <c r="ED69" s="75"/>
      <c r="EE69" s="75"/>
      <c r="EF69" s="75"/>
      <c r="EG69" s="75"/>
      <c r="EH69" s="75"/>
      <c r="EI69" s="75"/>
      <c r="EJ69" s="75"/>
      <c r="EK69" s="75"/>
      <c r="EL69" s="75"/>
      <c r="EM69" s="75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75"/>
      <c r="FF69" s="75"/>
      <c r="FG69" s="75"/>
      <c r="FH69" s="75"/>
      <c r="FI69" s="75"/>
    </row>
    <row r="70" spans="1:174" s="74" customFormat="1" ht="10.199999999999999" x14ac:dyDescent="0.2">
      <c r="B70" s="3" t="s">
        <v>108</v>
      </c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>
        <f>IF(OR(IPC!AB29="",IPC!P29=""),"",IPC!AB29/IPC!P29-1)</f>
        <v>5.3801314343057127E-2</v>
      </c>
      <c r="AC70" s="75">
        <f>IF(OR(IPC!AC29="",IPC!Q29=""),"",IPC!AC29/IPC!Q29-1)</f>
        <v>4.5029915283425481E-2</v>
      </c>
      <c r="AD70" s="75">
        <f>IF(OR(IPC!AD29="",IPC!R29=""),"",IPC!AD29/IPC!R29-1)</f>
        <v>4.1198696045599004E-2</v>
      </c>
      <c r="AE70" s="75">
        <f>IF(OR(IPC!AE29="",IPC!S29=""),"",IPC!AE29/IPC!S29-1)</f>
        <v>2.2336192237692565E-2</v>
      </c>
      <c r="AF70" s="75">
        <f>IF(OR(IPC!AF29="",IPC!T29=""),"",IPC!AF29/IPC!T29-1)</f>
        <v>2.0982226015131999E-2</v>
      </c>
      <c r="AG70" s="75">
        <f>IF(OR(IPC!AG29="",IPC!U29=""),"",IPC!AG29/IPC!U29-1)</f>
        <v>2.7907072724689064E-2</v>
      </c>
      <c r="AH70" s="75">
        <f>IF(OR(IPC!AH29="",IPC!V29=""),"",IPC!AH29/IPC!V29-1)</f>
        <v>2.6435087881537145E-2</v>
      </c>
      <c r="AI70" s="75">
        <f>IF(OR(IPC!AI29="",IPC!W29=""),"",IPC!AI29/IPC!W29-1)</f>
        <v>2.2534696798670151E-2</v>
      </c>
      <c r="AJ70" s="75">
        <f>IF(OR(IPC!AJ29="",IPC!X29=""),"",IPC!AJ29/IPC!X29-1)</f>
        <v>3.2826950275857802E-2</v>
      </c>
      <c r="AK70" s="75">
        <f>IF(OR(IPC!AK29="",IPC!Y29=""),"",IPC!AK29/IPC!Y29-1)</f>
        <v>3.925795845074842E-2</v>
      </c>
      <c r="AL70" s="75">
        <f>IF(OR(IPC!AL29="",IPC!Z29=""),"",IPC!AL29/IPC!Z29-1)</f>
        <v>4.5375833415727262E-2</v>
      </c>
      <c r="AM70" s="75">
        <f>IF(OR(IPC!AM29="",IPC!AA29=""),"",IPC!AM29/IPC!AA29-1)</f>
        <v>2.3348899718434124E-2</v>
      </c>
      <c r="AN70" s="75">
        <f>IF(OR(IPC!AN29="",IPC!AB29=""),"",IPC!AN29/IPC!AB29-1)</f>
        <v>1.8027996531700063E-2</v>
      </c>
      <c r="AO70" s="75">
        <f>IF(OR(IPC!AO29="",IPC!AC29=""),"",IPC!AO29/IPC!AC29-1)</f>
        <v>2.763637059896884E-2</v>
      </c>
      <c r="AP70" s="75">
        <f>IF(OR(IPC!AP29="",IPC!AD29=""),"",IPC!AP29/IPC!AD29-1)</f>
        <v>1.8095236872161413E-2</v>
      </c>
      <c r="AQ70" s="75">
        <f>IF(OR(IPC!AQ29="",IPC!AE29=""),"",IPC!AQ29/IPC!AE29-1)</f>
        <v>2.0521332268589765E-2</v>
      </c>
      <c r="AR70" s="75">
        <f>IF(OR(IPC!AR29="",IPC!AF29=""),"",IPC!AR29/IPC!AF29-1)</f>
        <v>2.2390499610252634E-2</v>
      </c>
      <c r="AS70" s="75">
        <f>IF(OR(IPC!AS29="",IPC!AG29=""),"",IPC!AS29/IPC!AG29-1)</f>
        <v>6.4923226731676831E-3</v>
      </c>
      <c r="AT70" s="75">
        <f>IF(OR(IPC!AT29="",IPC!AH29=""),"",IPC!AT29/IPC!AH29-1)</f>
        <v>2.130790018948403E-2</v>
      </c>
      <c r="AU70" s="75">
        <f>IF(OR(IPC!AU29="",IPC!AI29=""),"",IPC!AU29/IPC!AI29-1)</f>
        <v>1.4779629918773018E-2</v>
      </c>
      <c r="AV70" s="75">
        <f>IF(OR(IPC!AV29="",IPC!AJ29=""),"",IPC!AV29/IPC!AJ29-1)</f>
        <v>1.1601934910444367E-2</v>
      </c>
      <c r="AW70" s="75">
        <f>IF(OR(IPC!AW29="",IPC!AK29=""),"",IPC!AW29/IPC!AK29-1)</f>
        <v>-1.3799686241073861E-3</v>
      </c>
      <c r="AX70" s="75">
        <f>IF(OR(IPC!AX29="",IPC!AL29=""),"",IPC!AX29/IPC!AL29-1)</f>
        <v>1.5443663741909752E-2</v>
      </c>
      <c r="AY70" s="75">
        <f>IF(OR(IPC!AY29="",IPC!AM29=""),"",IPC!AY29/IPC!AM29-1)</f>
        <v>2.2939188542616451E-2</v>
      </c>
      <c r="AZ70" s="75">
        <f>IF(OR(IPC!AZ29="",IPC!AN29=""),"",IPC!AZ29/IPC!AN29-1)</f>
        <v>1.7288150529718882E-2</v>
      </c>
      <c r="BA70" s="75">
        <f>IF(OR(IPC!BA29="",IPC!AO29=""),"",IPC!BA29/IPC!AO29-1)</f>
        <v>2.3377202396026142E-2</v>
      </c>
      <c r="BB70" s="75">
        <f>IF(OR(IPC!BB29="",IPC!AP29=""),"",IPC!BB29/IPC!AP29-1)</f>
        <v>1.8862354352037203E-2</v>
      </c>
      <c r="BC70" s="75">
        <f>IF(OR(IPC!BC29="",IPC!AQ29=""),"",IPC!BC29/IPC!AQ29-1)</f>
        <v>4.0695252891576272E-2</v>
      </c>
      <c r="BD70" s="75">
        <f>IF(OR(IPC!BD29="",IPC!AR29=""),"",IPC!BD29/IPC!AR29-1)</f>
        <v>3.7060255765278827E-2</v>
      </c>
      <c r="BE70" s="75">
        <f>IF(OR(IPC!BE29="",IPC!AS29=""),"",IPC!BE29/IPC!AS29-1)</f>
        <v>5.4236396766474515E-2</v>
      </c>
      <c r="BF70" s="75">
        <f>IF(OR(IPC!BF29="",IPC!AT29=""),"",IPC!BF29/IPC!AT29-1)</f>
        <v>4.669346896757931E-2</v>
      </c>
      <c r="BG70" s="75">
        <f>IF(OR(IPC!BG29="",IPC!AU29=""),"",IPC!BG29/IPC!AU29-1)</f>
        <v>3.7795471124092206E-2</v>
      </c>
      <c r="BH70" s="75">
        <f>IF(OR(IPC!BH29="",IPC!AV29=""),"",IPC!BH29/IPC!AV29-1)</f>
        <v>3.8578618993694525E-2</v>
      </c>
      <c r="BI70" s="75">
        <f>IF(OR(IPC!BI29="",IPC!AW29=""),"",IPC!BI29/IPC!AW29-1)</f>
        <v>4.2111539695653288E-2</v>
      </c>
      <c r="BJ70" s="75">
        <f>IF(OR(IPC!BJ29="",IPC!AX29=""),"",IPC!BJ29/IPC!AX29-1)</f>
        <v>1.834077964256986E-2</v>
      </c>
      <c r="BK70" s="75">
        <f>IF(OR(IPC!BK29="",IPC!AY29=""),"",IPC!BK29/IPC!AY29-1)</f>
        <v>2.1228113760835443E-2</v>
      </c>
      <c r="BL70" s="75">
        <f>IF(OR(IPC!BL29="",IPC!AZ29=""),"",IPC!BL29/IPC!AZ29-1)</f>
        <v>2.6357509943587321E-2</v>
      </c>
      <c r="BM70" s="75">
        <f>IF(OR(IPC!BM29="",IPC!BA29=""),"",IPC!BM29/IPC!BA29-1)</f>
        <v>1.9952389480145882E-2</v>
      </c>
      <c r="BN70" s="75">
        <f>IF(OR(IPC!BN29="",IPC!BB29=""),"",IPC!BN29/IPC!BB29-1)</f>
        <v>3.1604213848362317E-2</v>
      </c>
      <c r="BO70" s="75">
        <f>IF(OR(IPC!BO29="",IPC!BC29=""),"",IPC!BO29/IPC!BC29-1)</f>
        <v>2.1173499083710023E-2</v>
      </c>
      <c r="BP70" s="75">
        <f>IF(OR(IPC!BP29="",IPC!BD29=""),"",IPC!BP29/IPC!BD29-1)</f>
        <v>3.5186658479267718E-2</v>
      </c>
      <c r="BQ70" s="75">
        <f>IF(OR(IPC!BQ29="",IPC!BE29=""),"",IPC!BQ29/IPC!BE29-1)</f>
        <v>1.6011841833872387E-2</v>
      </c>
      <c r="BR70" s="75">
        <f>IF(OR(IPC!BR29="",IPC!BF29=""),"",IPC!BR29/IPC!BF29-1)</f>
        <v>8.7061157846155535E-3</v>
      </c>
      <c r="BS70" s="75">
        <f>IF(OR(IPC!BS29="",IPC!BG29=""),"",IPC!BS29/IPC!BG29-1)</f>
        <v>2.289606676897904E-2</v>
      </c>
      <c r="BT70" s="75">
        <f>IF(OR(IPC!BT29="",IPC!BH29=""),"",IPC!BT29/IPC!BH29-1)</f>
        <v>1.2686971329445518E-2</v>
      </c>
      <c r="BU70" s="75">
        <f>IF(OR(IPC!BU29="",IPC!BI29=""),"",IPC!BU29/IPC!BI29-1)</f>
        <v>1.1931785928456229E-3</v>
      </c>
      <c r="BV70" s="75">
        <f>IF(OR(IPC!BV29="",IPC!BJ29=""),"",IPC!BV29/IPC!BJ29-1)</f>
        <v>7.1729707795753495E-3</v>
      </c>
      <c r="BW70" s="75">
        <f>IF(OR(IPC!BW29="",IPC!BK29=""),"",IPC!BW29/IPC!BK29-1)</f>
        <v>-5.3571283772620992E-3</v>
      </c>
      <c r="BX70" s="75">
        <f>IF(OR(IPC!BX29="",IPC!BL29=""),"",IPC!BX29/IPC!BL29-1)</f>
        <v>-4.1482187762009737E-3</v>
      </c>
      <c r="BY70" s="75">
        <f>IF(OR(IPC!BY29="",IPC!BM29=""),"",IPC!BY29/IPC!BM29-1)</f>
        <v>-1.7732057214653318E-3</v>
      </c>
      <c r="BZ70" s="75">
        <f>IF(OR(IPC!BZ29="",IPC!BN29=""),"",IPC!BZ29/IPC!BN29-1)</f>
        <v>-3.2662305719415308E-3</v>
      </c>
      <c r="CA70" s="75">
        <f>IF(OR(IPC!CA29="",IPC!BO29=""),"",IPC!CA29/IPC!BO29-1)</f>
        <v>7.4317944228114996E-3</v>
      </c>
      <c r="CB70" s="75">
        <f>IF(OR(IPC!CB29="",IPC!BP29=""),"",IPC!CB29/IPC!BP29-1)</f>
        <v>-7.984375137415789E-3</v>
      </c>
      <c r="CC70" s="75">
        <f>IF(OR(IPC!CC29="",IPC!BQ29=""),"",IPC!CC29/IPC!BQ29-1)</f>
        <v>4.8324562469659327E-4</v>
      </c>
      <c r="CD70" s="75">
        <f>IF(OR(IPC!CD29="",IPC!BR29=""),"",IPC!CD29/IPC!BR29-1)</f>
        <v>3.9470461058832562E-4</v>
      </c>
      <c r="CE70" s="75">
        <f>IF(OR(IPC!CE29="",IPC!BS29=""),"",IPC!CE29/IPC!BS29-1)</f>
        <v>3.2922053801338613E-3</v>
      </c>
      <c r="CF70" s="75">
        <f>IF(OR(IPC!CF29="",IPC!BT29=""),"",IPC!CF29/IPC!BT29-1)</f>
        <v>1.220961344582161E-2</v>
      </c>
      <c r="CG70" s="75">
        <f>IF(OR(IPC!CG29="",IPC!BU29=""),"",IPC!CG29/IPC!BU29-1)</f>
        <v>1.7278245333101516E-2</v>
      </c>
      <c r="CH70" s="75">
        <f>IF(OR(IPC!CH29="",IPC!BV29=""),"",IPC!CH29/IPC!BV29-1)</f>
        <v>1.5079744254015814E-2</v>
      </c>
      <c r="CI70" s="75">
        <f>IF(OR(IPC!CI29="",IPC!BW29=""),"",IPC!CI29/IPC!BW29-1)</f>
        <v>1.5549640303453405E-2</v>
      </c>
      <c r="CJ70" s="75">
        <f>IF(OR(IPC!CJ29="",IPC!BX29=""),"",IPC!CJ29/IPC!BX29-1)</f>
        <v>2.3494889168327093E-2</v>
      </c>
      <c r="CK70" s="75">
        <f>IF(OR(IPC!CK29="",IPC!BY29=""),"",IPC!CK29/IPC!BY29-1)</f>
        <v>1.5250360611003044E-2</v>
      </c>
      <c r="CL70" s="75">
        <f>IF(OR(IPC!CL29="",IPC!BZ29=""),"",IPC!CL29/IPC!BZ29-1)</f>
        <v>1.1743777493484986E-2</v>
      </c>
      <c r="CM70" s="75">
        <f>IF(OR(IPC!CM29="",IPC!CA29=""),"",IPC!CM29/IPC!CA29-1)</f>
        <v>-7.2015486636256565E-4</v>
      </c>
      <c r="CN70" s="75">
        <f>IF(OR(IPC!CN29="",IPC!CB29=""),"",IPC!CN29/IPC!CB29-1)</f>
        <v>1.0569461170168992E-3</v>
      </c>
      <c r="CO70" s="75">
        <f>IF(OR(IPC!CO29="",IPC!CC29=""),"",IPC!CO29/IPC!CC29-1)</f>
        <v>-8.1945906159730519E-4</v>
      </c>
      <c r="CP70" s="75">
        <f>IF(OR(IPC!CP29="",IPC!CD29=""),"",IPC!CP29/IPC!CD29-1)</f>
        <v>-7.6746028851949477E-3</v>
      </c>
      <c r="CQ70" s="75">
        <f>IF(OR(IPC!CQ29="",IPC!CE29=""),"",IPC!CQ29/IPC!CE29-1)</f>
        <v>-1.5305698148211588E-2</v>
      </c>
      <c r="CR70" s="75">
        <f>IF(OR(IPC!CR29="",IPC!CF29=""),"",IPC!CR29/IPC!CF29-1)</f>
        <v>-8.2080240911059921E-3</v>
      </c>
      <c r="CS70" s="75">
        <f>IF(OR(IPC!CS29="",IPC!CG29=""),"",IPC!CS29/IPC!CG29-1)</f>
        <v>6.8590658992380149E-3</v>
      </c>
      <c r="CT70" s="75">
        <f>IF(OR(IPC!CT29="",IPC!CH29=""),"",IPC!CT29/IPC!CH29-1)</f>
        <v>1.0238136746369308E-2</v>
      </c>
      <c r="CU70" s="75">
        <f>IF(OR(IPC!CU29="",IPC!CI29=""),"",IPC!CU29/IPC!CI29-1)</f>
        <v>1.4173218836879942E-2</v>
      </c>
      <c r="CV70" s="75">
        <f>IF(OR(IPC!CV29="",IPC!CJ29=""),"",IPC!CV29/IPC!CJ29-1)</f>
        <v>9.4086199786136415E-3</v>
      </c>
      <c r="CW70" s="75">
        <f>IF(OR(IPC!CW29="",IPC!CK29=""),"",IPC!CW29/IPC!CK29-1)</f>
        <v>2.4661718740846661E-2</v>
      </c>
      <c r="CX70" s="75">
        <f>IF(OR(IPC!CX29="",IPC!CL29=""),"",IPC!CX29/IPC!CL29-1)</f>
        <v>3.2811398539227987E-2</v>
      </c>
      <c r="CY70" s="75">
        <f>IF(OR(IPC!CY29="",IPC!CM29=""),"",IPC!CY29/IPC!CM29-1)</f>
        <v>3.6476757511147984E-2</v>
      </c>
      <c r="CZ70" s="75">
        <f>IF(OR(IPC!CZ29="",IPC!CN29=""),"",IPC!CZ29/IPC!CN29-1)</f>
        <v>3.1240254678765345E-2</v>
      </c>
      <c r="DA70" s="75">
        <f>IF(OR(IPC!DA29="",IPC!CO29=""),"",IPC!DA29/IPC!CO29-1)</f>
        <v>3.9610550484252105E-2</v>
      </c>
      <c r="DB70" s="75">
        <f>IF(OR(IPC!DB29="",IPC!CP29=""),"",IPC!DB29/IPC!CP29-1)</f>
        <v>5.2376431378718058E-2</v>
      </c>
      <c r="DC70" s="75">
        <f>IF(OR(IPC!DC29="",IPC!CQ29=""),"",IPC!DC29/IPC!CQ29-1)</f>
        <v>5.3227461439173229E-2</v>
      </c>
      <c r="DD70" s="75">
        <f>IF(OR(IPC!DD29="",IPC!CR29=""),"",IPC!DD29/IPC!CR29-1)</f>
        <v>4.3388918367382789E-2</v>
      </c>
      <c r="DE70" s="75">
        <f>IF(OR(IPC!DE29="",IPC!CS29=""),"",IPC!DE29/IPC!CS29-1)</f>
        <v>4.0373651558605284E-2</v>
      </c>
      <c r="DF70" s="75">
        <f>IF(OR(IPC!DF29="",IPC!CT29=""),"",IPC!DF29/IPC!CT29-1)</f>
        <v>4.8022716605581106E-2</v>
      </c>
      <c r="DG70" s="75">
        <f>IF(OR(IPC!DG29="",IPC!CU29=""),"",IPC!DG29/IPC!CU29-1)</f>
        <v>4.6266885139013114E-2</v>
      </c>
      <c r="DH70" s="75">
        <f>IF(OR(IPC!DH29="",IPC!CV29=""),"",IPC!DH29/IPC!CV29-1)</f>
        <v>6.0173364867348145E-2</v>
      </c>
      <c r="DI70" s="75">
        <f>IF(OR(IPC!DI29="",IPC!CW29=""),"",IPC!DI29/IPC!CW29-1)</f>
        <v>5.2096719531904645E-2</v>
      </c>
      <c r="DJ70" s="75">
        <f>IF(OR(IPC!DJ29="",IPC!CX29=""),"",IPC!DJ29/IPC!CX29-1)</f>
        <v>5.4456181201317788E-2</v>
      </c>
      <c r="DK70" s="75">
        <f>IF(OR(IPC!DK29="",IPC!CY29=""),"",IPC!DK29/IPC!CY29-1)</f>
        <v>4.1603142082474731E-2</v>
      </c>
      <c r="DL70" s="75">
        <f>IF(OR(IPC!DL29="",IPC!CZ29=""),"",IPC!DL29/IPC!CZ29-1)</f>
        <v>4.7688942035886139E-2</v>
      </c>
      <c r="DM70" s="75">
        <f>IF(OR(IPC!DM29="",IPC!DA29=""),"",IPC!DM29/IPC!DA29-1)</f>
        <v>4.7009840416966764E-2</v>
      </c>
      <c r="DN70" s="75">
        <f>IF(OR(IPC!DN29="",IPC!DB29=""),"",IPC!DN29/IPC!DB29-1)</f>
        <v>5.3732491911163471E-2</v>
      </c>
      <c r="DO70" s="75">
        <f>IF(OR(IPC!DO29="",IPC!DC29=""),"",IPC!DO29/IPC!DC29-1)</f>
        <v>5.4910001625806615E-2</v>
      </c>
      <c r="DP70" s="75">
        <f>IF(OR(IPC!DP29="",IPC!DD29=""),"",IPC!DP29/IPC!DD29-1)</f>
        <v>4.6359291622499077E-2</v>
      </c>
      <c r="DQ70" s="75">
        <f>IF(OR(IPC!DQ29="",IPC!DE29=""),"",IPC!DQ29/IPC!DE29-1)</f>
        <v>5.1209383020474952E-2</v>
      </c>
      <c r="DR70" s="75">
        <f>IF(OR(IPC!DR29="",IPC!DF29=""),"",IPC!DR29/IPC!DF29-1)</f>
        <v>3.7476028113736515E-2</v>
      </c>
      <c r="DS70" s="75">
        <f>IF(OR(IPC!DS29="",IPC!DG29=""),"",IPC!DS29/IPC!DG29-1)</f>
        <v>4.1585381244046982E-2</v>
      </c>
      <c r="DT70" s="75">
        <f>IF(OR(IPC!DT29="",IPC!DH29=""),"",IPC!DT29/IPC!DH29-1)</f>
        <v>3.11571043391492E-2</v>
      </c>
      <c r="DU70" s="75">
        <f>IF(OR(IPC!DU29="",IPC!DI29=""),"",IPC!DU29/IPC!DI29-1)</f>
        <v>3.1018850864808822E-2</v>
      </c>
      <c r="DV70" s="75">
        <f>IF(OR(IPC!DV29="",IPC!DJ29=""),"",IPC!DV29/IPC!DJ29-1)</f>
        <v>2.9934184990325408E-2</v>
      </c>
      <c r="DW70" s="75">
        <f>IF(OR(IPC!DW29="",IPC!DK29=""),"",IPC!DW29/IPC!DK29-1)</f>
        <v>4.5163866747529369E-2</v>
      </c>
      <c r="DX70" s="75">
        <f>IF(OR(IPC!DX29="",IPC!DL29=""),"",IPC!DX29/IPC!DL29-1)</f>
        <v>4.9048577467943666E-2</v>
      </c>
      <c r="DY70" s="75">
        <f>IF(OR(IPC!DY29="",IPC!DM29=""),"",IPC!DY29/IPC!DM29-1)</f>
        <v>5.5160519967571098E-2</v>
      </c>
      <c r="DZ70" s="75">
        <f>IF(OR(IPC!DZ29="",IPC!DN29=""),"",IPC!DZ29/IPC!DN29-1)</f>
        <v>5.5676077696910298E-2</v>
      </c>
      <c r="EA70" s="75">
        <f>IF(OR(IPC!EA29="",IPC!DO29=""),"",IPC!EA29/IPC!DO29-1)</f>
        <v>4.6466731328832722E-2</v>
      </c>
      <c r="EB70" s="75">
        <f>IF(OR(IPC!EB29="",IPC!DP29=""),"",IPC!EB29/IPC!DP29-1)</f>
        <v>5.4081721327198906E-2</v>
      </c>
      <c r="EC70" s="75">
        <f>IF(OR(IPC!EC29="",IPC!DQ29=""),"",IPC!EC29/IPC!DQ29-1)</f>
        <v>4.3445295679366058E-2</v>
      </c>
      <c r="ED70" s="75">
        <f>IF(OR(IPC!ED29="",IPC!DR29=""),"",IPC!ED29/IPC!DR29-1)</f>
        <v>4.9920799354095324E-2</v>
      </c>
      <c r="EE70" s="75">
        <f>IF(OR(IPC!EE29="",IPC!DS29=""),"",IPC!EE29/IPC!DS29-1)</f>
        <v>7.6104281512010541E-2</v>
      </c>
      <c r="EF70" s="75">
        <f>IF(OR(IPC!EF29="",IPC!DT29=""),"",IPC!EF29/IPC!DT29-1)</f>
        <v>9.0976144681092386E-2</v>
      </c>
      <c r="EG70" s="75">
        <f>IF(OR(IPC!EG29="",IPC!DU29=""),"",IPC!EG29/IPC!DU29-1)</f>
        <v>9.7081330342121408E-2</v>
      </c>
      <c r="EH70" s="75">
        <f>IF(OR(IPC!EH29="",IPC!DV29=""),"",IPC!EH29/IPC!DV29-1)</f>
        <v>9.4026839547295182E-2</v>
      </c>
      <c r="EI70" s="75">
        <f>IF(OR(IPC!EI29="",IPC!DW29=""),"",IPC!EI29/IPC!DW29-1)</f>
        <v>0.10528269526177647</v>
      </c>
      <c r="EJ70" s="75">
        <f>IF(OR(IPC!EJ29="",IPC!DX29=""),"",IPC!EJ29/IPC!DX29-1)</f>
        <v>0.10405493871150084</v>
      </c>
      <c r="EK70" s="75">
        <f>IF(OR(IPC!EK29="",IPC!DY29=""),"",IPC!EK29/IPC!DY29-1)</f>
        <v>9.6054236692871386E-2</v>
      </c>
      <c r="EL70" s="75">
        <f>IF(OR(IPC!EL29="",IPC!DZ29=""),"",IPC!EL29/IPC!DZ29-1)</f>
        <v>9.6586502346545977E-2</v>
      </c>
      <c r="EM70" s="75">
        <f>IF(OR(IPC!EM29="",IPC!EA29=""),"",IPC!EM29/IPC!EA29-1)</f>
        <v>0.11872109306602852</v>
      </c>
      <c r="EN70" s="75">
        <f>IF(OR(IPC!EN29="",IPC!EB29=""),"",IPC!EN29/IPC!EB29-1)</f>
        <v>0.12707695724481982</v>
      </c>
      <c r="EO70" s="75">
        <f>IF(OR(IPC!EO29="",IPC!EC29=""),"",IPC!EO29/IPC!EC29-1)</f>
        <v>0.12904169706898561</v>
      </c>
      <c r="EP70" s="75">
        <f>IF(OR(IPC!EP29="",IPC!ED29=""),"",IPC!EP29/IPC!ED29-1)</f>
        <v>0.14180866991815178</v>
      </c>
      <c r="EQ70" s="75">
        <f>IF(OR(IPC!EQ29="",IPC!EE29=""),"",IPC!EQ29/IPC!EE29-1)</f>
        <v>0.11722931208349174</v>
      </c>
      <c r="ER70" s="75" t="str">
        <f>IF(OR(IPC!ER29="",IPC!EF29=""),"",IPC!ER29/IPC!EF29-1)</f>
        <v/>
      </c>
      <c r="ES70" s="75" t="str">
        <f>IF(OR(IPC!ES29="",IPC!EG29=""),"",IPC!ES29/IPC!EG29-1)</f>
        <v/>
      </c>
      <c r="ET70" s="75" t="str">
        <f>IF(OR(IPC!ET29="",IPC!EH29=""),"",IPC!ET29/IPC!EH29-1)</f>
        <v/>
      </c>
      <c r="EU70" s="75" t="str">
        <f>IF(OR(IPC!EU29="",IPC!EI29=""),"",IPC!EU29/IPC!EI29-1)</f>
        <v/>
      </c>
      <c r="EV70" s="75" t="str">
        <f>IF(OR(IPC!EV29="",IPC!EJ29=""),"",IPC!EV29/IPC!EJ29-1)</f>
        <v/>
      </c>
      <c r="EW70" s="75" t="str">
        <f>IF(OR(IPC!EW29="",IPC!EK29=""),"",IPC!EW29/IPC!EK29-1)</f>
        <v/>
      </c>
      <c r="EX70" s="75" t="str">
        <f>IF(OR(IPC!EX29="",IPC!EL29=""),"",IPC!EX29/IPC!EL29-1)</f>
        <v/>
      </c>
      <c r="EY70" s="75" t="str">
        <f>IF(OR(IPC!EY29="",IPC!EM29=""),"",IPC!EY29/IPC!EM29-1)</f>
        <v/>
      </c>
      <c r="EZ70" s="75" t="str">
        <f>IF(OR(IPC!EZ29="",IPC!EN29=""),"",IPC!EZ29/IPC!EN29-1)</f>
        <v/>
      </c>
      <c r="FA70" s="75" t="str">
        <f>IF(OR(IPC!FA29="",IPC!EO29=""),"",IPC!FA29/IPC!EO29-1)</f>
        <v/>
      </c>
      <c r="FB70" s="75" t="str">
        <f>IF(OR(IPC!FB29="",IPC!EP29=""),"",IPC!FB29/IPC!EP29-1)</f>
        <v/>
      </c>
      <c r="FC70" s="75" t="str">
        <f>IF(OR(IPC!FC29="",IPC!EQ29=""),"",IPC!FC29/IPC!EQ29-1)</f>
        <v/>
      </c>
      <c r="FD70" s="75" t="str">
        <f>IF(OR(IPC!FD29="",IPC!ER29=""),"",IPC!FD29/IPC!ER29-1)</f>
        <v/>
      </c>
      <c r="FE70" s="75" t="str">
        <f>IF(OR(IPC!FE29="",IPC!ES29=""),"",IPC!FE29/IPC!ES29-1)</f>
        <v/>
      </c>
      <c r="FF70" s="75" t="str">
        <f>IF(OR(IPC!FF29="",IPC!ET29=""),"",IPC!FF29/IPC!ET29-1)</f>
        <v/>
      </c>
      <c r="FG70" s="75" t="str">
        <f>IF(OR(IPC!FG29="",IPC!EU29=""),"",IPC!FG29/IPC!EU29-1)</f>
        <v/>
      </c>
      <c r="FH70" s="75" t="str">
        <f>IF(OR(IPC!FH29="",IPC!EV29=""),"",IPC!FH29/IPC!EV29-1)</f>
        <v/>
      </c>
      <c r="FI70" s="75" t="str">
        <f>IF(OR(IPC!FI29="",IPC!EW29=""),"",IPC!FI29/IPC!EW29-1)</f>
        <v/>
      </c>
    </row>
    <row r="71" spans="1:174" s="74" customFormat="1" ht="10.199999999999999" x14ac:dyDescent="0.2">
      <c r="B71" s="3" t="s">
        <v>109</v>
      </c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>
        <f>IF(OR(IPC!AB30="",IPC!P30=""),"",IPC!AB30/IPC!P30-1)</f>
        <v>1.16861353683817E-2</v>
      </c>
      <c r="AC71" s="75">
        <f>IF(OR(IPC!AC30="",IPC!Q30=""),"",IPC!AC30/IPC!Q30-1)</f>
        <v>1.243663298650155E-2</v>
      </c>
      <c r="AD71" s="75">
        <f>IF(OR(IPC!AD30="",IPC!R30=""),"",IPC!AD30/IPC!R30-1)</f>
        <v>8.4311294008578841E-3</v>
      </c>
      <c r="AE71" s="75">
        <f>IF(OR(IPC!AE30="",IPC!S30=""),"",IPC!AE30/IPC!S30-1)</f>
        <v>1.3896619351771777E-2</v>
      </c>
      <c r="AF71" s="75">
        <f>IF(OR(IPC!AF30="",IPC!T30=""),"",IPC!AF30/IPC!T30-1)</f>
        <v>1.0985596466960734E-2</v>
      </c>
      <c r="AG71" s="75">
        <f>IF(OR(IPC!AG30="",IPC!U30=""),"",IPC!AG30/IPC!U30-1)</f>
        <v>1.2603842269192755E-2</v>
      </c>
      <c r="AH71" s="75">
        <f>IF(OR(IPC!AH30="",IPC!V30=""),"",IPC!AH30/IPC!V30-1)</f>
        <v>1.1977278009110748E-2</v>
      </c>
      <c r="AI71" s="75">
        <f>IF(OR(IPC!AI30="",IPC!W30=""),"",IPC!AI30/IPC!W30-1)</f>
        <v>1.3987643384184567E-2</v>
      </c>
      <c r="AJ71" s="75">
        <f>IF(OR(IPC!AJ30="",IPC!X30=""),"",IPC!AJ30/IPC!X30-1)</f>
        <v>1.3259841559066343E-2</v>
      </c>
      <c r="AK71" s="75">
        <f>IF(OR(IPC!AK30="",IPC!Y30=""),"",IPC!AK30/IPC!Y30-1)</f>
        <v>1.0665447915130688E-2</v>
      </c>
      <c r="AL71" s="75">
        <f>IF(OR(IPC!AL30="",IPC!Z30=""),"",IPC!AL30/IPC!Z30-1)</f>
        <v>1.5431779650319166E-2</v>
      </c>
      <c r="AM71" s="75">
        <f>IF(OR(IPC!AM30="",IPC!AA30=""),"",IPC!AM30/IPC!AA30-1)</f>
        <v>1.4843195029107914E-2</v>
      </c>
      <c r="AN71" s="75">
        <f>IF(OR(IPC!AN30="",IPC!AB30=""),"",IPC!AN30/IPC!AB30-1)</f>
        <v>7.5279015460558707E-3</v>
      </c>
      <c r="AO71" s="75">
        <f>IF(OR(IPC!AO30="",IPC!AC30=""),"",IPC!AO30/IPC!AC30-1)</f>
        <v>5.4057294883673723E-3</v>
      </c>
      <c r="AP71" s="75">
        <f>IF(OR(IPC!AP30="",IPC!AD30=""),"",IPC!AP30/IPC!AD30-1)</f>
        <v>7.0228731198684891E-3</v>
      </c>
      <c r="AQ71" s="75">
        <f>IF(OR(IPC!AQ30="",IPC!AE30=""),"",IPC!AQ30/IPC!AE30-1)</f>
        <v>1.4182691450443929E-3</v>
      </c>
      <c r="AR71" s="75">
        <f>IF(OR(IPC!AR30="",IPC!AF30=""),"",IPC!AR30/IPC!AF30-1)</f>
        <v>5.1832219921863487E-3</v>
      </c>
      <c r="AS71" s="75">
        <f>IF(OR(IPC!AS30="",IPC!AG30=""),"",IPC!AS30/IPC!AG30-1)</f>
        <v>5.0496966342172822E-3</v>
      </c>
      <c r="AT71" s="75">
        <f>IF(OR(IPC!AT30="",IPC!AH30=""),"",IPC!AT30/IPC!AH30-1)</f>
        <v>1.4343557977832377E-2</v>
      </c>
      <c r="AU71" s="75">
        <f>IF(OR(IPC!AU30="",IPC!AI30=""),"",IPC!AU30/IPC!AI30-1)</f>
        <v>1.3427925291821463E-2</v>
      </c>
      <c r="AV71" s="75">
        <f>IF(OR(IPC!AV30="",IPC!AJ30=""),"",IPC!AV30/IPC!AJ30-1)</f>
        <v>1.3704324208134944E-2</v>
      </c>
      <c r="AW71" s="75">
        <f>IF(OR(IPC!AW30="",IPC!AK30=""),"",IPC!AW30/IPC!AK30-1)</f>
        <v>1.1806844674134842E-2</v>
      </c>
      <c r="AX71" s="75">
        <f>IF(OR(IPC!AX30="",IPC!AL30=""),"",IPC!AX30/IPC!AL30-1)</f>
        <v>9.2664749434514526E-3</v>
      </c>
      <c r="AY71" s="75">
        <f>IF(OR(IPC!AY30="",IPC!AM30=""),"",IPC!AY30/IPC!AM30-1)</f>
        <v>7.5249472312557408E-3</v>
      </c>
      <c r="AZ71" s="75">
        <f>IF(OR(IPC!AZ30="",IPC!AN30=""),"",IPC!AZ30/IPC!AN30-1)</f>
        <v>1.1371080968019198E-2</v>
      </c>
      <c r="BA71" s="75">
        <f>IF(OR(IPC!BA30="",IPC!AO30=""),"",IPC!BA30/IPC!AO30-1)</f>
        <v>1.3313070301113061E-2</v>
      </c>
      <c r="BB71" s="75">
        <f>IF(OR(IPC!BB30="",IPC!AP30=""),"",IPC!BB30/IPC!AP30-1)</f>
        <v>1.5168985609535612E-2</v>
      </c>
      <c r="BC71" s="75">
        <f>IF(OR(IPC!BC30="",IPC!AQ30=""),"",IPC!BC30/IPC!AQ30-1)</f>
        <v>1.6379895401342548E-2</v>
      </c>
      <c r="BD71" s="75">
        <f>IF(OR(IPC!BD30="",IPC!AR30=""),"",IPC!BD30/IPC!AR30-1)</f>
        <v>1.4944641123489255E-2</v>
      </c>
      <c r="BE71" s="75">
        <f>IF(OR(IPC!BE30="",IPC!AS30=""),"",IPC!BE30/IPC!AS30-1)</f>
        <v>1.7606246421883354E-2</v>
      </c>
      <c r="BF71" s="75">
        <f>IF(OR(IPC!BF30="",IPC!AT30=""),"",IPC!BF30/IPC!AT30-1)</f>
        <v>7.9724512221155397E-3</v>
      </c>
      <c r="BG71" s="75">
        <f>IF(OR(IPC!BG30="",IPC!AU30=""),"",IPC!BG30/IPC!AU30-1)</f>
        <v>8.099768323939438E-3</v>
      </c>
      <c r="BH71" s="75">
        <f>IF(OR(IPC!BH30="",IPC!AV30=""),"",IPC!BH30/IPC!AV30-1)</f>
        <v>8.5289586492667269E-3</v>
      </c>
      <c r="BI71" s="75">
        <f>IF(OR(IPC!BI30="",IPC!AW30=""),"",IPC!BI30/IPC!AW30-1)</f>
        <v>8.8049739528470727E-3</v>
      </c>
      <c r="BJ71" s="75">
        <f>IF(OR(IPC!BJ30="",IPC!AX30=""),"",IPC!BJ30/IPC!AX30-1)</f>
        <v>7.7342403360980416E-3</v>
      </c>
      <c r="BK71" s="75">
        <f>IF(OR(IPC!BK30="",IPC!AY30=""),"",IPC!BK30/IPC!AY30-1)</f>
        <v>5.990238189199415E-3</v>
      </c>
      <c r="BL71" s="75">
        <f>IF(OR(IPC!BL30="",IPC!AZ30=""),"",IPC!BL30/IPC!AZ30-1)</f>
        <v>5.9451575194369166E-3</v>
      </c>
      <c r="BM71" s="75">
        <f>IF(OR(IPC!BM30="",IPC!BA30=""),"",IPC!BM30/IPC!BA30-1)</f>
        <v>3.1685632056757118E-3</v>
      </c>
      <c r="BN71" s="75">
        <f>IF(OR(IPC!BN30="",IPC!BB30=""),"",IPC!BN30/IPC!BB30-1)</f>
        <v>2.6778956782760321E-3</v>
      </c>
      <c r="BO71" s="75">
        <f>IF(OR(IPC!BO30="",IPC!BC30=""),"",IPC!BO30/IPC!BC30-1)</f>
        <v>2.1403690933199382E-3</v>
      </c>
      <c r="BP71" s="75">
        <f>IF(OR(IPC!BP30="",IPC!BD30=""),"",IPC!BP30/IPC!BD30-1)</f>
        <v>-7.4543871235499548E-4</v>
      </c>
      <c r="BQ71" s="75">
        <f>IF(OR(IPC!BQ30="",IPC!BE30=""),"",IPC!BQ30/IPC!BE30-1)</f>
        <v>-3.0919251423286997E-3</v>
      </c>
      <c r="BR71" s="75">
        <f>IF(OR(IPC!BR30="",IPC!BF30=""),"",IPC!BR30/IPC!BF30-1)</f>
        <v>-2.2654185335705401E-3</v>
      </c>
      <c r="BS71" s="75">
        <f>IF(OR(IPC!BS30="",IPC!BG30=""),"",IPC!BS30/IPC!BG30-1)</f>
        <v>-2.1193818345168758E-3</v>
      </c>
      <c r="BT71" s="75">
        <f>IF(OR(IPC!BT30="",IPC!BH30=""),"",IPC!BT30/IPC!BH30-1)</f>
        <v>4.3502884590540525E-4</v>
      </c>
      <c r="BU71" s="75">
        <f>IF(OR(IPC!BU30="",IPC!BI30=""),"",IPC!BU30/IPC!BI30-1)</f>
        <v>4.5765452549395569E-4</v>
      </c>
      <c r="BV71" s="75">
        <f>IF(OR(IPC!BV30="",IPC!BJ30=""),"",IPC!BV30/IPC!BJ30-1)</f>
        <v>-6.8239253419488666E-4</v>
      </c>
      <c r="BW71" s="75">
        <f>IF(OR(IPC!BW30="",IPC!BK30=""),"",IPC!BW30/IPC!BK30-1)</f>
        <v>3.6256682863742284E-3</v>
      </c>
      <c r="BX71" s="75">
        <f>IF(OR(IPC!BX30="",IPC!BL30=""),"",IPC!BX30/IPC!BL30-1)</f>
        <v>4.8956908796049525E-3</v>
      </c>
      <c r="BY71" s="75">
        <f>IF(OR(IPC!BY30="",IPC!BM30=""),"",IPC!BY30/IPC!BM30-1)</f>
        <v>4.1874698132422505E-3</v>
      </c>
      <c r="BZ71" s="75">
        <f>IF(OR(IPC!BZ30="",IPC!BN30=""),"",IPC!BZ30/IPC!BN30-1)</f>
        <v>3.8532661000161283E-3</v>
      </c>
      <c r="CA71" s="75">
        <f>IF(OR(IPC!CA30="",IPC!BO30=""),"",IPC!CA30/IPC!BO30-1)</f>
        <v>2.5897651953699086E-3</v>
      </c>
      <c r="CB71" s="75">
        <f>IF(OR(IPC!CB30="",IPC!BP30=""),"",IPC!CB30/IPC!BP30-1)</f>
        <v>4.1358526794101902E-3</v>
      </c>
      <c r="CC71" s="75">
        <f>IF(OR(IPC!CC30="",IPC!BQ30=""),"",IPC!CC30/IPC!BQ30-1)</f>
        <v>5.5845281220938681E-3</v>
      </c>
      <c r="CD71" s="75">
        <f>IF(OR(IPC!CD30="",IPC!BR30=""),"",IPC!CD30/IPC!BR30-1)</f>
        <v>4.6281848359692734E-3</v>
      </c>
      <c r="CE71" s="75">
        <f>IF(OR(IPC!CE30="",IPC!BS30=""),"",IPC!CE30/IPC!BS30-1)</f>
        <v>5.2476161163170776E-3</v>
      </c>
      <c r="CF71" s="75">
        <f>IF(OR(IPC!CF30="",IPC!BT30=""),"",IPC!CF30/IPC!BT30-1)</f>
        <v>3.675787237310324E-3</v>
      </c>
      <c r="CG71" s="75">
        <f>IF(OR(IPC!CG30="",IPC!BU30=""),"",IPC!CG30/IPC!BU30-1)</f>
        <v>3.9790971332327452E-3</v>
      </c>
      <c r="CH71" s="75">
        <f>IF(OR(IPC!CH30="",IPC!BV30=""),"",IPC!CH30/IPC!BV30-1)</f>
        <v>5.9318326443014158E-3</v>
      </c>
      <c r="CI71" s="75">
        <f>IF(OR(IPC!CI30="",IPC!BW30=""),"",IPC!CI30/IPC!BW30-1)</f>
        <v>2.0175200907048829E-3</v>
      </c>
      <c r="CJ71" s="75">
        <f>IF(OR(IPC!CJ30="",IPC!BX30=""),"",IPC!CJ30/IPC!BX30-1)</f>
        <v>2.7192018943400509E-3</v>
      </c>
      <c r="CK71" s="75">
        <f>IF(OR(IPC!CK30="",IPC!BY30=""),"",IPC!CK30/IPC!BY30-1)</f>
        <v>6.8633795752714999E-3</v>
      </c>
      <c r="CL71" s="75">
        <f>IF(OR(IPC!CL30="",IPC!BZ30=""),"",IPC!CL30/IPC!BZ30-1)</f>
        <v>8.8949769017627744E-3</v>
      </c>
      <c r="CM71" s="75">
        <f>IF(OR(IPC!CM30="",IPC!CA30=""),"",IPC!CM30/IPC!CA30-1)</f>
        <v>1.6263251572535165E-2</v>
      </c>
      <c r="CN71" s="75">
        <f>IF(OR(IPC!CN30="",IPC!CB30=""),"",IPC!CN30/IPC!CB30-1)</f>
        <v>1.8024624473684359E-2</v>
      </c>
      <c r="CO71" s="75">
        <f>IF(OR(IPC!CO30="",IPC!CC30=""),"",IPC!CO30/IPC!CC30-1)</f>
        <v>1.6929589997512817E-2</v>
      </c>
      <c r="CP71" s="75">
        <f>IF(OR(IPC!CP30="",IPC!CD30=""),"",IPC!CP30/IPC!CD30-1)</f>
        <v>1.8666907458488868E-2</v>
      </c>
      <c r="CQ71" s="75">
        <f>IF(OR(IPC!CQ30="",IPC!CE30=""),"",IPC!CQ30/IPC!CE30-1)</f>
        <v>1.8177169672852989E-2</v>
      </c>
      <c r="CR71" s="75">
        <f>IF(OR(IPC!CR30="",IPC!CF30=""),"",IPC!CR30/IPC!CF30-1)</f>
        <v>1.7727129218116255E-2</v>
      </c>
      <c r="CS71" s="75">
        <f>IF(OR(IPC!CS30="",IPC!CG30=""),"",IPC!CS30/IPC!CG30-1)</f>
        <v>1.9631023628477795E-2</v>
      </c>
      <c r="CT71" s="75">
        <f>IF(OR(IPC!CT30="",IPC!CH30=""),"",IPC!CT30/IPC!CH30-1)</f>
        <v>1.9336444038079659E-2</v>
      </c>
      <c r="CU71" s="75">
        <f>IF(OR(IPC!CU30="",IPC!CI30=""),"",IPC!CU30/IPC!CI30-1)</f>
        <v>1.9354504858104526E-2</v>
      </c>
      <c r="CV71" s="75">
        <f>IF(OR(IPC!CV30="",IPC!CJ30=""),"",IPC!CV30/IPC!CJ30-1)</f>
        <v>1.9107551055899119E-2</v>
      </c>
      <c r="CW71" s="75">
        <f>IF(OR(IPC!CW30="",IPC!CK30=""),"",IPC!CW30/IPC!CK30-1)</f>
        <v>1.9369468133614731E-2</v>
      </c>
      <c r="CX71" s="75">
        <f>IF(OR(IPC!CX30="",IPC!CL30=""),"",IPC!CX30/IPC!CL30-1)</f>
        <v>1.8247125999683256E-2</v>
      </c>
      <c r="CY71" s="75">
        <f>IF(OR(IPC!CY30="",IPC!CM30=""),"",IPC!CY30/IPC!CM30-1)</f>
        <v>1.5331447798681896E-2</v>
      </c>
      <c r="CZ71" s="75">
        <f>IF(OR(IPC!CZ30="",IPC!CN30=""),"",IPC!CZ30/IPC!CN30-1)</f>
        <v>1.4275229806491874E-2</v>
      </c>
      <c r="DA71" s="75">
        <f>IF(OR(IPC!DA30="",IPC!CO30=""),"",IPC!DA30/IPC!CO30-1)</f>
        <v>1.462994396669548E-2</v>
      </c>
      <c r="DB71" s="75">
        <f>IF(OR(IPC!DB30="",IPC!CP30=""),"",IPC!DB30/IPC!CP30-1)</f>
        <v>1.3230958332795861E-2</v>
      </c>
      <c r="DC71" s="75">
        <f>IF(OR(IPC!DC30="",IPC!CQ30=""),"",IPC!DC30/IPC!CQ30-1)</f>
        <v>1.3556246040452802E-2</v>
      </c>
      <c r="DD71" s="75">
        <f>IF(OR(IPC!DD30="",IPC!CR30=""),"",IPC!DD30/IPC!CR30-1)</f>
        <v>1.3788775887506821E-2</v>
      </c>
      <c r="DE71" s="75">
        <f>IF(OR(IPC!DE30="",IPC!CS30=""),"",IPC!DE30/IPC!CS30-1)</f>
        <v>1.4328956905218515E-2</v>
      </c>
      <c r="DF71" s="75">
        <f>IF(OR(IPC!DF30="",IPC!CT30=""),"",IPC!DF30/IPC!CT30-1)</f>
        <v>1.5662465101331513E-2</v>
      </c>
      <c r="DG71" s="75">
        <f>IF(OR(IPC!DG30="",IPC!CU30=""),"",IPC!DG30/IPC!CU30-1)</f>
        <v>1.641829047394805E-2</v>
      </c>
      <c r="DH71" s="75">
        <f>IF(OR(IPC!DH30="",IPC!CV30=""),"",IPC!DH30/IPC!CV30-1)</f>
        <v>1.6732008251755248E-2</v>
      </c>
      <c r="DI71" s="75">
        <f>IF(OR(IPC!DI30="",IPC!CW30=""),"",IPC!DI30/IPC!CW30-1)</f>
        <v>1.5354166387824275E-2</v>
      </c>
      <c r="DJ71" s="75">
        <f>IF(OR(IPC!DJ30="",IPC!CX30=""),"",IPC!DJ30/IPC!CX30-1)</f>
        <v>1.388672251367451E-2</v>
      </c>
      <c r="DK71" s="75">
        <f>IF(OR(IPC!DK30="",IPC!CY30=""),"",IPC!DK30/IPC!CY30-1)</f>
        <v>1.4136284572944247E-2</v>
      </c>
      <c r="DL71" s="75">
        <f>IF(OR(IPC!DL30="",IPC!CZ30=""),"",IPC!DL30/IPC!CZ30-1)</f>
        <v>1.538044123720872E-2</v>
      </c>
      <c r="DM71" s="75">
        <f>IF(OR(IPC!DM30="",IPC!DA30=""),"",IPC!DM30/IPC!DA30-1)</f>
        <v>1.6971613797242657E-2</v>
      </c>
      <c r="DN71" s="75">
        <f>IF(OR(IPC!DN30="",IPC!DB30=""),"",IPC!DN30/IPC!DB30-1)</f>
        <v>1.6339091422802543E-2</v>
      </c>
      <c r="DO71" s="75">
        <f>IF(OR(IPC!DO30="",IPC!DC30=""),"",IPC!DO30/IPC!DC30-1)</f>
        <v>1.6259984428742991E-2</v>
      </c>
      <c r="DP71" s="75">
        <f>IF(OR(IPC!DP30="",IPC!DD30=""),"",IPC!DP30/IPC!DD30-1)</f>
        <v>1.7299290203636186E-2</v>
      </c>
      <c r="DQ71" s="75">
        <f>IF(OR(IPC!DQ30="",IPC!DE30=""),"",IPC!DQ30/IPC!DE30-1)</f>
        <v>1.4989168916552664E-2</v>
      </c>
      <c r="DR71" s="75">
        <f>IF(OR(IPC!DR30="",IPC!DF30=""),"",IPC!DR30/IPC!DF30-1)</f>
        <v>1.4759898579452813E-2</v>
      </c>
      <c r="DS71" s="75">
        <f>IF(OR(IPC!DS30="",IPC!DG30=""),"",IPC!DS30/IPC!DG30-1)</f>
        <v>1.4061667430655511E-2</v>
      </c>
      <c r="DT71" s="75">
        <f>IF(OR(IPC!DT30="",IPC!DH30=""),"",IPC!DT30/IPC!DH30-1)</f>
        <v>1.5674783834622064E-2</v>
      </c>
      <c r="DU71" s="75">
        <f>IF(OR(IPC!DU30="",IPC!DI30=""),"",IPC!DU30/IPC!DI30-1)</f>
        <v>1.5939670366156733E-2</v>
      </c>
      <c r="DV71" s="75">
        <f>IF(OR(IPC!DV30="",IPC!DJ30=""),"",IPC!DV30/IPC!DJ30-1)</f>
        <v>1.8459322730884242E-2</v>
      </c>
      <c r="DW71" s="75">
        <f>IF(OR(IPC!DW30="",IPC!DK30=""),"",IPC!DW30/IPC!DK30-1)</f>
        <v>1.5562978853421727E-2</v>
      </c>
      <c r="DX71" s="75">
        <f>IF(OR(IPC!DX30="",IPC!DL30=""),"",IPC!DX30/IPC!DL30-1)</f>
        <v>1.3991051001385868E-2</v>
      </c>
      <c r="DY71" s="75">
        <f>IF(OR(IPC!DY30="",IPC!DM30=""),"",IPC!DY30/IPC!DM30-1)</f>
        <v>1.2649233537003202E-2</v>
      </c>
      <c r="DZ71" s="75">
        <f>IF(OR(IPC!DZ30="",IPC!DN30=""),"",IPC!DZ30/IPC!DN30-1)</f>
        <v>1.5330306201583488E-2</v>
      </c>
      <c r="EA71" s="75">
        <f>IF(OR(IPC!EA30="",IPC!DO30=""),"",IPC!EA30/IPC!DO30-1)</f>
        <v>1.5514551432292523E-2</v>
      </c>
      <c r="EB71" s="75">
        <f>IF(OR(IPC!EB30="",IPC!DP30=""),"",IPC!EB30/IPC!DP30-1)</f>
        <v>1.395066219368668E-2</v>
      </c>
      <c r="EC71" s="75">
        <f>IF(OR(IPC!EC30="",IPC!DQ30=""),"",IPC!EC30/IPC!DQ30-1)</f>
        <v>1.6134475317648E-2</v>
      </c>
      <c r="ED71" s="75">
        <f>IF(OR(IPC!ED30="",IPC!DR30=""),"",IPC!ED30/IPC!DR30-1)</f>
        <v>1.6211313317131992E-2</v>
      </c>
      <c r="EE71" s="75">
        <f>IF(OR(IPC!EE30="",IPC!DS30=""),"",IPC!EE30/IPC!DS30-1)</f>
        <v>2.0686123864742667E-2</v>
      </c>
      <c r="EF71" s="75">
        <f>IF(OR(IPC!EF30="",IPC!DT30=""),"",IPC!EF30/IPC!DT30-1)</f>
        <v>2.3955477075557674E-2</v>
      </c>
      <c r="EG71" s="75">
        <f>IF(OR(IPC!EG30="",IPC!DU30=""),"",IPC!EG30/IPC!DU30-1)</f>
        <v>2.9504325994564873E-2</v>
      </c>
      <c r="EH71" s="75">
        <f>IF(OR(IPC!EH30="",IPC!DV30=""),"",IPC!EH30/IPC!DV30-1)</f>
        <v>3.4683310149650426E-2</v>
      </c>
      <c r="EI71" s="75">
        <f>IF(OR(IPC!EI30="",IPC!DW30=""),"",IPC!EI30/IPC!DW30-1)</f>
        <v>4.781448351698625E-2</v>
      </c>
      <c r="EJ71" s="75">
        <f>IF(OR(IPC!EJ30="",IPC!DX30=""),"",IPC!EJ30/IPC!DX30-1)</f>
        <v>5.4856238241806077E-2</v>
      </c>
      <c r="EK71" s="75">
        <f>IF(OR(IPC!EK30="",IPC!DY30=""),"",IPC!EK30/IPC!DY30-1)</f>
        <v>6.0368897329196258E-2</v>
      </c>
      <c r="EL71" s="75">
        <f>IF(OR(IPC!EL30="",IPC!DZ30=""),"",IPC!EL30/IPC!DZ30-1)</f>
        <v>6.1661775269187702E-2</v>
      </c>
      <c r="EM71" s="75">
        <f>IF(OR(IPC!EM30="",IPC!EA30=""),"",IPC!EM30/IPC!EA30-1)</f>
        <v>6.7600012354198435E-2</v>
      </c>
      <c r="EN71" s="75">
        <f>IF(OR(IPC!EN30="",IPC!EB30=""),"",IPC!EN30/IPC!EB30-1)</f>
        <v>7.175652337912819E-2</v>
      </c>
      <c r="EO71" s="75">
        <f>IF(OR(IPC!EO30="",IPC!EC30=""),"",IPC!EO30/IPC!EC30-1)</f>
        <v>7.2905515254742204E-2</v>
      </c>
      <c r="EP71" s="75">
        <f>IF(OR(IPC!EP30="",IPC!ED30=""),"",IPC!EP30/IPC!ED30-1)</f>
        <v>7.556198677395054E-2</v>
      </c>
      <c r="EQ71" s="75">
        <f>IF(OR(IPC!EQ30="",IPC!EE30=""),"",IPC!EQ30/IPC!EE30-1)</f>
        <v>7.389773455636206E-2</v>
      </c>
      <c r="ER71" s="75" t="str">
        <f>IF(OR(IPC!ER30="",IPC!EF30=""),"",IPC!ER30/IPC!EF30-1)</f>
        <v/>
      </c>
      <c r="ES71" s="75" t="str">
        <f>IF(OR(IPC!ES30="",IPC!EG30=""),"",IPC!ES30/IPC!EG30-1)</f>
        <v/>
      </c>
      <c r="ET71" s="75" t="str">
        <f>IF(OR(IPC!ET30="",IPC!EH30=""),"",IPC!ET30/IPC!EH30-1)</f>
        <v/>
      </c>
      <c r="EU71" s="75" t="str">
        <f>IF(OR(IPC!EU30="",IPC!EI30=""),"",IPC!EU30/IPC!EI30-1)</f>
        <v/>
      </c>
      <c r="EV71" s="75" t="str">
        <f>IF(OR(IPC!EV30="",IPC!EJ30=""),"",IPC!EV30/IPC!EJ30-1)</f>
        <v/>
      </c>
      <c r="EW71" s="75" t="str">
        <f>IF(OR(IPC!EW30="",IPC!EK30=""),"",IPC!EW30/IPC!EK30-1)</f>
        <v/>
      </c>
      <c r="EX71" s="75" t="str">
        <f>IF(OR(IPC!EX30="",IPC!EL30=""),"",IPC!EX30/IPC!EL30-1)</f>
        <v/>
      </c>
      <c r="EY71" s="75" t="str">
        <f>IF(OR(IPC!EY30="",IPC!EM30=""),"",IPC!EY30/IPC!EM30-1)</f>
        <v/>
      </c>
      <c r="EZ71" s="75" t="str">
        <f>IF(OR(IPC!EZ30="",IPC!EN30=""),"",IPC!EZ30/IPC!EN30-1)</f>
        <v/>
      </c>
      <c r="FA71" s="75" t="str">
        <f>IF(OR(IPC!FA30="",IPC!EO30=""),"",IPC!FA30/IPC!EO30-1)</f>
        <v/>
      </c>
      <c r="FB71" s="75" t="str">
        <f>IF(OR(IPC!FB30="",IPC!EP30=""),"",IPC!FB30/IPC!EP30-1)</f>
        <v/>
      </c>
      <c r="FC71" s="75" t="str">
        <f>IF(OR(IPC!FC30="",IPC!EQ30=""),"",IPC!FC30/IPC!EQ30-1)</f>
        <v/>
      </c>
      <c r="FD71" s="75" t="str">
        <f>IF(OR(IPC!FD30="",IPC!ER30=""),"",IPC!FD30/IPC!ER30-1)</f>
        <v/>
      </c>
      <c r="FE71" s="75" t="str">
        <f>IF(OR(IPC!FE30="",IPC!ES30=""),"",IPC!FE30/IPC!ES30-1)</f>
        <v/>
      </c>
      <c r="FF71" s="75" t="str">
        <f>IF(OR(IPC!FF30="",IPC!ET30=""),"",IPC!FF30/IPC!ET30-1)</f>
        <v/>
      </c>
      <c r="FG71" s="75" t="str">
        <f>IF(OR(IPC!FG30="",IPC!EU30=""),"",IPC!FG30/IPC!EU30-1)</f>
        <v/>
      </c>
      <c r="FH71" s="75" t="str">
        <f>IF(OR(IPC!FH30="",IPC!EV30=""),"",IPC!FH30/IPC!EV30-1)</f>
        <v/>
      </c>
      <c r="FI71" s="75" t="str">
        <f>IF(OR(IPC!FI30="",IPC!EW30=""),"",IPC!FI30/IPC!EW30-1)</f>
        <v/>
      </c>
    </row>
    <row r="72" spans="1:174" s="81" customFormat="1" ht="10.199999999999999" x14ac:dyDescent="0.2">
      <c r="B72" s="81" t="s">
        <v>110</v>
      </c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>
        <f>IF(OR(IPC!AB31="",IPC!P31=""),"",IPC!AB31/IPC!P31-1)</f>
        <v>1.9080510188894229E-2</v>
      </c>
      <c r="AC72" s="84">
        <f>IF(OR(IPC!AC31="",IPC!Q31=""),"",IPC!AC31/IPC!Q31-1)</f>
        <v>2.4040393155085438E-2</v>
      </c>
      <c r="AD72" s="84">
        <f>IF(OR(IPC!AD31="",IPC!R31=""),"",IPC!AD31/IPC!R31-1)</f>
        <v>2.2864701332709236E-2</v>
      </c>
      <c r="AE72" s="84">
        <f>IF(OR(IPC!AE31="",IPC!S31=""),"",IPC!AE31/IPC!S31-1)</f>
        <v>2.2579181292655237E-2</v>
      </c>
      <c r="AF72" s="84">
        <f>IF(OR(IPC!AF31="",IPC!T31=""),"",IPC!AF31/IPC!T31-1)</f>
        <v>1.942937368239317E-2</v>
      </c>
      <c r="AG72" s="84">
        <f>IF(OR(IPC!AG31="",IPC!U31=""),"",IPC!AG31/IPC!U31-1)</f>
        <v>1.7440100174382023E-2</v>
      </c>
      <c r="AH72" s="84">
        <f>IF(OR(IPC!AH31="",IPC!V31=""),"",IPC!AH31/IPC!V31-1)</f>
        <v>1.1964106323008039E-2</v>
      </c>
      <c r="AI72" s="84">
        <f>IF(OR(IPC!AI31="",IPC!W31=""),"",IPC!AI31/IPC!W31-1)</f>
        <v>1.2741305299950323E-2</v>
      </c>
      <c r="AJ72" s="84">
        <f>IF(OR(IPC!AJ31="",IPC!X31=""),"",IPC!AJ31/IPC!X31-1)</f>
        <v>1.4892109603765968E-2</v>
      </c>
      <c r="AK72" s="84">
        <f>IF(OR(IPC!AK31="",IPC!Y31=""),"",IPC!AK31/IPC!Y31-1)</f>
        <v>1.3574760348828319E-2</v>
      </c>
      <c r="AL72" s="84">
        <f>IF(OR(IPC!AL31="",IPC!Z31=""),"",IPC!AL31/IPC!Z31-1)</f>
        <v>1.0111179510745583E-2</v>
      </c>
      <c r="AM72" s="84">
        <f>IF(OR(IPC!AM31="",IPC!AA31=""),"",IPC!AM31/IPC!AA31-1)</f>
        <v>1.2210224664549241E-2</v>
      </c>
      <c r="AN72" s="84">
        <f>IF(OR(IPC!AN31="",IPC!AB31=""),"",IPC!AN31/IPC!AB31-1)</f>
        <v>1.5556891504526771E-2</v>
      </c>
      <c r="AO72" s="84">
        <f>IF(OR(IPC!AO31="",IPC!AC31=""),"",IPC!AO31/IPC!AC31-1)</f>
        <v>1.2121594433412097E-2</v>
      </c>
      <c r="AP72" s="84">
        <f>IF(OR(IPC!AP31="",IPC!AD31=""),"",IPC!AP31/IPC!AD31-1)</f>
        <v>1.0634919302839441E-2</v>
      </c>
      <c r="AQ72" s="84">
        <f>IF(OR(IPC!AQ31="",IPC!AE31=""),"",IPC!AQ31/IPC!AE31-1)</f>
        <v>8.3100612593052237E-3</v>
      </c>
      <c r="AR72" s="84">
        <f>IF(OR(IPC!AR31="",IPC!AF31=""),"",IPC!AR31/IPC!AF31-1)</f>
        <v>1.158570056160646E-2</v>
      </c>
      <c r="AS72" s="84">
        <f>IF(OR(IPC!AS31="",IPC!AG31=""),"",IPC!AS31/IPC!AG31-1)</f>
        <v>1.2065123866542793E-2</v>
      </c>
      <c r="AT72" s="84">
        <f>IF(OR(IPC!AT31="",IPC!AH31=""),"",IPC!AT31/IPC!AH31-1)</f>
        <v>5.1746872010841383E-2</v>
      </c>
      <c r="AU72" s="84">
        <f>IF(OR(IPC!AU31="",IPC!AI31=""),"",IPC!AU31/IPC!AI31-1)</f>
        <v>4.963073274607277E-2</v>
      </c>
      <c r="AV72" s="84">
        <f>IF(OR(IPC!AV31="",IPC!AJ31=""),"",IPC!AV31/IPC!AJ31-1)</f>
        <v>5.166622414630706E-2</v>
      </c>
      <c r="AW72" s="84">
        <f>IF(OR(IPC!AW31="",IPC!AK31=""),"",IPC!AW31/IPC!AK31-1)</f>
        <v>4.8799564124256012E-2</v>
      </c>
      <c r="AX72" s="84">
        <f>IF(OR(IPC!AX31="",IPC!AL31=""),"",IPC!AX31/IPC!AL31-1)</f>
        <v>5.2573035518681754E-2</v>
      </c>
      <c r="AY72" s="84">
        <f>IF(OR(IPC!AY31="",IPC!AM31=""),"",IPC!AY31/IPC!AM31-1)</f>
        <v>5.0671257081788657E-2</v>
      </c>
      <c r="AZ72" s="84">
        <f>IF(OR(IPC!AZ31="",IPC!AN31=""),"",IPC!AZ31/IPC!AN31-1)</f>
        <v>4.8400826746716197E-2</v>
      </c>
      <c r="BA72" s="84">
        <f>IF(OR(IPC!BA31="",IPC!AO31=""),"",IPC!BA31/IPC!AO31-1)</f>
        <v>5.4361300038669125E-2</v>
      </c>
      <c r="BB72" s="84">
        <f>IF(OR(IPC!BB31="",IPC!AP31=""),"",IPC!BB31/IPC!AP31-1)</f>
        <v>5.9410334107407481E-2</v>
      </c>
      <c r="BC72" s="84">
        <f>IF(OR(IPC!BC31="",IPC!AQ31=""),"",IPC!BC31/IPC!AQ31-1)</f>
        <v>6.1321369326082786E-2</v>
      </c>
      <c r="BD72" s="84">
        <f>IF(OR(IPC!BD31="",IPC!AR31=""),"",IPC!BD31/IPC!AR31-1)</f>
        <v>5.9364303982250011E-2</v>
      </c>
      <c r="BE72" s="84">
        <f>IF(OR(IPC!BE31="",IPC!AS31=""),"",IPC!BE31/IPC!AS31-1)</f>
        <v>6.174842863347596E-2</v>
      </c>
      <c r="BF72" s="84">
        <f>IF(OR(IPC!BF31="",IPC!AT31=""),"",IPC!BF31/IPC!AT31-1)</f>
        <v>2.189601358764981E-2</v>
      </c>
      <c r="BG72" s="84">
        <f>IF(OR(IPC!BG31="",IPC!AU31=""),"",IPC!BG31/IPC!AU31-1)</f>
        <v>2.2864316704713339E-2</v>
      </c>
      <c r="BH72" s="84">
        <f>IF(OR(IPC!BH31="",IPC!AV31=""),"",IPC!BH31/IPC!AV31-1)</f>
        <v>2.1586807825111354E-2</v>
      </c>
      <c r="BI72" s="84">
        <f>IF(OR(IPC!BI31="",IPC!AW31=""),"",IPC!BI31/IPC!AW31-1)</f>
        <v>2.0764997969363597E-2</v>
      </c>
      <c r="BJ72" s="84">
        <f>IF(OR(IPC!BJ31="",IPC!AX31=""),"",IPC!BJ31/IPC!AX31-1)</f>
        <v>1.855103834338423E-2</v>
      </c>
      <c r="BK72" s="84">
        <f>IF(OR(IPC!BK31="",IPC!AY31=""),"",IPC!BK31/IPC!AY31-1)</f>
        <v>1.7110127253737284E-2</v>
      </c>
      <c r="BL72" s="84">
        <f>IF(OR(IPC!BL31="",IPC!AZ31=""),"",IPC!BL31/IPC!AZ31-1)</f>
        <v>2.0372409640080802E-2</v>
      </c>
      <c r="BM72" s="84">
        <f>IF(OR(IPC!BM31="",IPC!BA31=""),"",IPC!BM31/IPC!BA31-1)</f>
        <v>1.6197693201561725E-2</v>
      </c>
      <c r="BN72" s="84">
        <f>IF(OR(IPC!BN31="",IPC!BB31=""),"",IPC!BN31/IPC!BB31-1)</f>
        <v>1.1930045767205355E-2</v>
      </c>
      <c r="BO72" s="84">
        <f>IF(OR(IPC!BO31="",IPC!BC31=""),"",IPC!BO31/IPC!BC31-1)</f>
        <v>1.0858186468661435E-2</v>
      </c>
      <c r="BP72" s="84">
        <f>IF(OR(IPC!BP31="",IPC!BD31=""),"",IPC!BP31/IPC!BD31-1)</f>
        <v>9.5955588104985612E-3</v>
      </c>
      <c r="BQ72" s="84">
        <f>IF(OR(IPC!BQ31="",IPC!BE31=""),"",IPC!BQ31/IPC!BE31-1)</f>
        <v>7.1241653815898864E-3</v>
      </c>
      <c r="BR72" s="84">
        <f>IF(OR(IPC!BR31="",IPC!BF31=""),"",IPC!BR31/IPC!BF31-1)</f>
        <v>7.2143380168054883E-3</v>
      </c>
      <c r="BS72" s="84">
        <f>IF(OR(IPC!BS31="",IPC!BG31=""),"",IPC!BS31/IPC!BG31-1)</f>
        <v>7.2403776571470235E-3</v>
      </c>
      <c r="BT72" s="84">
        <f>IF(OR(IPC!BT31="",IPC!BH31=""),"",IPC!BT31/IPC!BH31-1)</f>
        <v>3.5998645665196172E-3</v>
      </c>
      <c r="BU72" s="84">
        <f>IF(OR(IPC!BU31="",IPC!BI31=""),"",IPC!BU31/IPC!BI31-1)</f>
        <v>5.9462457018581993E-3</v>
      </c>
      <c r="BV72" s="84">
        <f>IF(OR(IPC!BV31="",IPC!BJ31=""),"",IPC!BV31/IPC!BJ31-1)</f>
        <v>6.6444814990811452E-3</v>
      </c>
      <c r="BW72" s="84">
        <f>IF(OR(IPC!BW31="",IPC!BK31=""),"",IPC!BW31/IPC!BK31-1)</f>
        <v>7.4622940964153006E-3</v>
      </c>
      <c r="BX72" s="84">
        <f>IF(OR(IPC!BX31="",IPC!BL31=""),"",IPC!BX31/IPC!BL31-1)</f>
        <v>8.1863322893576118E-3</v>
      </c>
      <c r="BY72" s="84">
        <f>IF(OR(IPC!BY31="",IPC!BM31=""),"",IPC!BY31/IPC!BM31-1)</f>
        <v>8.1683800267178253E-3</v>
      </c>
      <c r="BZ72" s="84">
        <f>IF(OR(IPC!BZ31="",IPC!BN31=""),"",IPC!BZ31/IPC!BN31-1)</f>
        <v>1.0301518103724261E-2</v>
      </c>
      <c r="CA72" s="84">
        <f>IF(OR(IPC!CA31="",IPC!BO31=""),"",IPC!CA31/IPC!BO31-1)</f>
        <v>1.1314711294946544E-2</v>
      </c>
      <c r="CB72" s="84">
        <f>IF(OR(IPC!CB31="",IPC!BP31=""),"",IPC!CB31/IPC!BP31-1)</f>
        <v>9.5035872892255124E-3</v>
      </c>
      <c r="CC72" s="84">
        <f>IF(OR(IPC!CC31="",IPC!BQ31=""),"",IPC!CC31/IPC!BQ31-1)</f>
        <v>8.2218298085912078E-3</v>
      </c>
      <c r="CD72" s="84">
        <f>IF(OR(IPC!CD31="",IPC!BR31=""),"",IPC!CD31/IPC!BR31-1)</f>
        <v>9.7946189793158833E-3</v>
      </c>
      <c r="CE72" s="84">
        <f>IF(OR(IPC!CE31="",IPC!BS31=""),"",IPC!CE31/IPC!BS31-1)</f>
        <v>8.0500623455148634E-3</v>
      </c>
      <c r="CF72" s="84">
        <f>IF(OR(IPC!CF31="",IPC!BT31=""),"",IPC!CF31/IPC!BT31-1)</f>
        <v>8.2935304398352727E-3</v>
      </c>
      <c r="CG72" s="84">
        <f>IF(OR(IPC!CG31="",IPC!BU31=""),"",IPC!CG31/IPC!BU31-1)</f>
        <v>7.3181821699219718E-3</v>
      </c>
      <c r="CH72" s="84">
        <f>IF(OR(IPC!CH31="",IPC!BV31=""),"",IPC!CH31/IPC!BV31-1)</f>
        <v>5.8155165277258281E-3</v>
      </c>
      <c r="CI72" s="84">
        <f>IF(OR(IPC!CI31="",IPC!BW31=""),"",IPC!CI31/IPC!BW31-1)</f>
        <v>6.021651857031074E-3</v>
      </c>
      <c r="CJ72" s="84">
        <f>IF(OR(IPC!CJ31="",IPC!BX31=""),"",IPC!CJ31/IPC!BX31-1)</f>
        <v>4.3269124998746022E-3</v>
      </c>
      <c r="CK72" s="84">
        <f>IF(OR(IPC!CK31="",IPC!BY31=""),"",IPC!CK31/IPC!BY31-1)</f>
        <v>4.9869998933660398E-3</v>
      </c>
      <c r="CL72" s="84">
        <f>IF(OR(IPC!CL31="",IPC!BZ31=""),"",IPC!CL31/IPC!BZ31-1)</f>
        <v>3.6899198098703234E-3</v>
      </c>
      <c r="CM72" s="84">
        <f>IF(OR(IPC!CM31="",IPC!CA31=""),"",IPC!CM31/IPC!CA31-1)</f>
        <v>4.5511561726161442E-3</v>
      </c>
      <c r="CN72" s="84">
        <f>IF(OR(IPC!CN31="",IPC!CB31=""),"",IPC!CN31/IPC!CB31-1)</f>
        <v>7.149246856061664E-3</v>
      </c>
      <c r="CO72" s="84">
        <f>IF(OR(IPC!CO31="",IPC!CC31=""),"",IPC!CO31/IPC!CC31-1)</f>
        <v>1.0219000214942264E-2</v>
      </c>
      <c r="CP72" s="84">
        <f>IF(OR(IPC!CP31="",IPC!CD31=""),"",IPC!CP31/IPC!CD31-1)</f>
        <v>1.4192292620424762E-2</v>
      </c>
      <c r="CQ72" s="84">
        <f>IF(OR(IPC!CQ31="",IPC!CE31=""),"",IPC!CQ31/IPC!CE31-1)</f>
        <v>1.4918639758342067E-2</v>
      </c>
      <c r="CR72" s="84">
        <f>IF(OR(IPC!CR31="",IPC!CF31=""),"",IPC!CR31/IPC!CF31-1)</f>
        <v>1.657056656938205E-2</v>
      </c>
      <c r="CS72" s="84">
        <f>IF(OR(IPC!CS31="",IPC!CG31=""),"",IPC!CS31/IPC!CG31-1)</f>
        <v>1.8822732207280923E-2</v>
      </c>
      <c r="CT72" s="84">
        <f>IF(OR(IPC!CT31="",IPC!CH31=""),"",IPC!CT31/IPC!CH31-1)</f>
        <v>2.0427434486614882E-2</v>
      </c>
      <c r="CU72" s="84">
        <f>IF(OR(IPC!CU31="",IPC!CI31=""),"",IPC!CU31/IPC!CI31-1)</f>
        <v>2.3056936296812047E-2</v>
      </c>
      <c r="CV72" s="84">
        <f>IF(OR(IPC!CV31="",IPC!CJ31=""),"",IPC!CV31/IPC!CJ31-1)</f>
        <v>2.4406472380900546E-2</v>
      </c>
      <c r="CW72" s="84">
        <f>IF(OR(IPC!CW31="",IPC!CK31=""),"",IPC!CW31/IPC!CK31-1)</f>
        <v>2.1909430490844484E-2</v>
      </c>
      <c r="CX72" s="84">
        <f>IF(OR(IPC!CX31="",IPC!CL31=""),"",IPC!CX31/IPC!CL31-1)</f>
        <v>2.7069522226653708E-2</v>
      </c>
      <c r="CY72" s="84">
        <f>IF(OR(IPC!CY31="",IPC!CM31=""),"",IPC!CY31/IPC!CM31-1)</f>
        <v>2.5738118942317145E-2</v>
      </c>
      <c r="CZ72" s="84">
        <f>IF(OR(IPC!CZ31="",IPC!CN31=""),"",IPC!CZ31/IPC!CN31-1)</f>
        <v>2.5356305250513245E-2</v>
      </c>
      <c r="DA72" s="84">
        <f>IF(OR(IPC!DA31="",IPC!CO31=""),"",IPC!DA31/IPC!CO31-1)</f>
        <v>2.2221953035785669E-2</v>
      </c>
      <c r="DB72" s="84">
        <f>IF(OR(IPC!DB31="",IPC!CP31=""),"",IPC!DB31/IPC!CP31-1)</f>
        <v>1.8773630605132041E-2</v>
      </c>
      <c r="DC72" s="84">
        <f>IF(OR(IPC!DC31="",IPC!CQ31=""),"",IPC!DC31/IPC!CQ31-1)</f>
        <v>1.7974092591462432E-2</v>
      </c>
      <c r="DD72" s="84">
        <f>IF(OR(IPC!DD31="",IPC!CR31=""),"",IPC!DD31/IPC!CR31-1)</f>
        <v>1.6966906495053946E-2</v>
      </c>
      <c r="DE72" s="84">
        <f>IF(OR(IPC!DE31="",IPC!CS31=""),"",IPC!DE31/IPC!CS31-1)</f>
        <v>1.6596615021615246E-2</v>
      </c>
      <c r="DF72" s="84">
        <f>IF(OR(IPC!DF31="",IPC!CT31=""),"",IPC!DF31/IPC!CT31-1)</f>
        <v>1.5580974140452231E-2</v>
      </c>
      <c r="DG72" s="84">
        <f>IF(OR(IPC!DG31="",IPC!CU31=""),"",IPC!DG31/IPC!CU31-1)</f>
        <v>1.4312950442836314E-2</v>
      </c>
      <c r="DH72" s="84">
        <f>IF(OR(IPC!DH31="",IPC!CV31=""),"",IPC!DH31/IPC!CV31-1)</f>
        <v>1.2578387505102651E-2</v>
      </c>
      <c r="DI72" s="84">
        <f>IF(OR(IPC!DI31="",IPC!CW31=""),"",IPC!DI31/IPC!CW31-1)</f>
        <v>1.5615183302804869E-2</v>
      </c>
      <c r="DJ72" s="84">
        <f>IF(OR(IPC!DJ31="",IPC!CX31=""),"",IPC!DJ31/IPC!CX31-1)</f>
        <v>1.3607086298515592E-2</v>
      </c>
      <c r="DK72" s="84">
        <f>IF(OR(IPC!DK31="",IPC!CY31=""),"",IPC!DK31/IPC!CY31-1)</f>
        <v>2.6378216617498174E-2</v>
      </c>
      <c r="DL72" s="84">
        <f>IF(OR(IPC!DL31="",IPC!CZ31=""),"",IPC!DL31/IPC!CZ31-1)</f>
        <v>1.2950703489685855E-2</v>
      </c>
      <c r="DM72" s="84">
        <f>IF(OR(IPC!DM31="",IPC!DA31=""),"",IPC!DM31/IPC!DA31-1)</f>
        <v>1.2405477144228572E-2</v>
      </c>
      <c r="DN72" s="84">
        <f>IF(OR(IPC!DN31="",IPC!DB31=""),"",IPC!DN31/IPC!DB31-1)</f>
        <v>1.2695094321334643E-2</v>
      </c>
      <c r="DO72" s="84">
        <f>IF(OR(IPC!DO31="",IPC!DC31=""),"",IPC!DO31/IPC!DC31-1)</f>
        <v>1.2071674396235688E-2</v>
      </c>
      <c r="DP72" s="84">
        <f>IF(OR(IPC!DP31="",IPC!DD31=""),"",IPC!DP31/IPC!DD31-1)</f>
        <v>1.3048820805782402E-2</v>
      </c>
      <c r="DQ72" s="84">
        <f>IF(OR(IPC!DQ31="",IPC!DE31=""),"",IPC!DQ31/IPC!DE31-1)</f>
        <v>1.3790705313719176E-2</v>
      </c>
      <c r="DR72" s="84">
        <f>IF(OR(IPC!DR31="",IPC!DF31=""),"",IPC!DR31/IPC!DF31-1)</f>
        <v>1.4110665580830295E-2</v>
      </c>
      <c r="DS72" s="84">
        <f>IF(OR(IPC!DS31="",IPC!DG31=""),"",IPC!DS31/IPC!DG31-1)</f>
        <v>1.1741999884097298E-2</v>
      </c>
      <c r="DT72" s="84">
        <f>IF(OR(IPC!DT31="",IPC!DH31=""),"",IPC!DT31/IPC!DH31-1)</f>
        <v>1.2212187439338607E-2</v>
      </c>
      <c r="DU72" s="84">
        <f>IF(OR(IPC!DU31="",IPC!DI31=""),"",IPC!DU31/IPC!DI31-1)</f>
        <v>1.1259738668302877E-2</v>
      </c>
      <c r="DV72" s="84">
        <f>IF(OR(IPC!DV31="",IPC!DJ31=""),"",IPC!DV31/IPC!DJ31-1)</f>
        <v>9.303104834484488E-3</v>
      </c>
      <c r="DW72" s="84">
        <f>IF(OR(IPC!DW31="",IPC!DK31=""),"",IPC!DW31/IPC!DK31-1)</f>
        <v>-3.9313090191022138E-3</v>
      </c>
      <c r="DX72" s="84">
        <f>IF(OR(IPC!DX31="",IPC!DL31=""),"",IPC!DX31/IPC!DL31-1)</f>
        <v>8.5349520546522673E-3</v>
      </c>
      <c r="DY72" s="84">
        <f>IF(OR(IPC!DY31="",IPC!DM31=""),"",IPC!DY31/IPC!DM31-1)</f>
        <v>8.7411185487555887E-3</v>
      </c>
      <c r="DZ72" s="84">
        <f>IF(OR(IPC!DZ31="",IPC!DN31=""),"",IPC!DZ31/IPC!DN31-1)</f>
        <v>9.5943486091860652E-3</v>
      </c>
      <c r="EA72" s="84">
        <f>IF(OR(IPC!EA31="",IPC!DO31=""),"",IPC!EA31/IPC!DO31-1)</f>
        <v>1.0433718455137519E-2</v>
      </c>
      <c r="EB72" s="84">
        <f>IF(OR(IPC!EB31="",IPC!DP31=""),"",IPC!EB31/IPC!DP31-1)</f>
        <v>9.4861710128260057E-3</v>
      </c>
      <c r="EC72" s="84">
        <f>IF(OR(IPC!EC31="",IPC!DQ31=""),"",IPC!EC31/IPC!DQ31-1)</f>
        <v>9.5641114671156657E-3</v>
      </c>
      <c r="ED72" s="84">
        <f>IF(OR(IPC!ED31="",IPC!DR31=""),"",IPC!ED31/IPC!DR31-1)</f>
        <v>1.0070044531634403E-2</v>
      </c>
      <c r="EE72" s="84">
        <f>IF(OR(IPC!EE31="",IPC!DS31=""),"",IPC!EE31/IPC!DS31-1)</f>
        <v>1.4244200573474863E-2</v>
      </c>
      <c r="EF72" s="84">
        <f>IF(OR(IPC!EF31="",IPC!DT31=""),"",IPC!EF31/IPC!DT31-1)</f>
        <v>1.679105625207189E-2</v>
      </c>
      <c r="EG72" s="84">
        <f>IF(OR(IPC!EG31="",IPC!DU31=""),"",IPC!EG31/IPC!DU31-1)</f>
        <v>1.7018168449354443E-2</v>
      </c>
      <c r="EH72" s="84">
        <f>IF(OR(IPC!EH31="",IPC!DV31=""),"",IPC!EH31/IPC!DV31-1)</f>
        <v>1.9940068617846807E-2</v>
      </c>
      <c r="EI72" s="84">
        <f>IF(OR(IPC!EI31="",IPC!DW31=""),"",IPC!EI31/IPC!DW31-1)</f>
        <v>2.2700977188824023E-2</v>
      </c>
      <c r="EJ72" s="84">
        <f>IF(OR(IPC!EJ31="",IPC!DX31=""),"",IPC!EJ31/IPC!DX31-1)</f>
        <v>2.7223368361142919E-2</v>
      </c>
      <c r="EK72" s="84">
        <f>IF(OR(IPC!EK31="",IPC!DY31=""),"",IPC!EK31/IPC!DY31-1)</f>
        <v>3.0878143984424122E-2</v>
      </c>
      <c r="EL72" s="84">
        <f>IF(OR(IPC!EL31="",IPC!DZ31=""),"",IPC!EL31/IPC!DZ31-1)</f>
        <v>3.1931634406288989E-2</v>
      </c>
      <c r="EM72" s="84">
        <f>IF(OR(IPC!EM31="",IPC!EA31=""),"",IPC!EM31/IPC!EA31-1)</f>
        <v>3.5526318240105104E-2</v>
      </c>
      <c r="EN72" s="84">
        <f>IF(OR(IPC!EN31="",IPC!EB31=""),"",IPC!EN31/IPC!EB31-1)</f>
        <v>3.9218105163453476E-2</v>
      </c>
      <c r="EO72" s="84">
        <f>IF(OR(IPC!EO31="",IPC!EC31=""),"",IPC!EO31/IPC!EC31-1)</f>
        <v>3.8427686172727737E-2</v>
      </c>
      <c r="EP72" s="84">
        <f>IF(OR(IPC!EP31="",IPC!ED31=""),"",IPC!EP31/IPC!ED31-1)</f>
        <v>3.7950814452423876E-2</v>
      </c>
      <c r="EQ72" s="84">
        <f>IF(OR(IPC!EQ31="",IPC!EE31=""),"",IPC!EQ31/IPC!EE31-1)</f>
        <v>3.4902357153963726E-2</v>
      </c>
      <c r="ER72" s="84" t="str">
        <f>IF(OR(IPC!ER31="",IPC!EF31=""),"",IPC!ER31/IPC!EF31-1)</f>
        <v/>
      </c>
      <c r="ES72" s="84" t="str">
        <f>IF(OR(IPC!ES31="",IPC!EG31=""),"",IPC!ES31/IPC!EG31-1)</f>
        <v/>
      </c>
      <c r="ET72" s="84" t="str">
        <f>IF(OR(IPC!ET31="",IPC!EH31=""),"",IPC!ET31/IPC!EH31-1)</f>
        <v/>
      </c>
      <c r="EU72" s="84" t="str">
        <f>IF(OR(IPC!EU31="",IPC!EI31=""),"",IPC!EU31/IPC!EI31-1)</f>
        <v/>
      </c>
      <c r="EV72" s="84" t="str">
        <f>IF(OR(IPC!EV31="",IPC!EJ31=""),"",IPC!EV31/IPC!EJ31-1)</f>
        <v/>
      </c>
      <c r="EW72" s="84" t="str">
        <f>IF(OR(IPC!EW31="",IPC!EK31=""),"",IPC!EW31/IPC!EK31-1)</f>
        <v/>
      </c>
      <c r="EX72" s="84" t="str">
        <f>IF(OR(IPC!EX31="",IPC!EL31=""),"",IPC!EX31/IPC!EL31-1)</f>
        <v/>
      </c>
      <c r="EY72" s="84" t="str">
        <f>IF(OR(IPC!EY31="",IPC!EM31=""),"",IPC!EY31/IPC!EM31-1)</f>
        <v/>
      </c>
      <c r="EZ72" s="84" t="str">
        <f>IF(OR(IPC!EZ31="",IPC!EN31=""),"",IPC!EZ31/IPC!EN31-1)</f>
        <v/>
      </c>
      <c r="FA72" s="84" t="str">
        <f>IF(OR(IPC!FA31="",IPC!EO31=""),"",IPC!FA31/IPC!EO31-1)</f>
        <v/>
      </c>
      <c r="FB72" s="84" t="str">
        <f>IF(OR(IPC!FB31="",IPC!EP31=""),"",IPC!FB31/IPC!EP31-1)</f>
        <v/>
      </c>
      <c r="FC72" s="84" t="str">
        <f>IF(OR(IPC!FC31="",IPC!EQ31=""),"",IPC!FC31/IPC!EQ31-1)</f>
        <v/>
      </c>
      <c r="FD72" s="84" t="str">
        <f>IF(OR(IPC!FD31="",IPC!ER31=""),"",IPC!FD31/IPC!ER31-1)</f>
        <v/>
      </c>
      <c r="FE72" s="84" t="str">
        <f>IF(OR(IPC!FE31="",IPC!ES31=""),"",IPC!FE31/IPC!ES31-1)</f>
        <v/>
      </c>
      <c r="FF72" s="84" t="str">
        <f>IF(OR(IPC!FF31="",IPC!ET31=""),"",IPC!FF31/IPC!ET31-1)</f>
        <v/>
      </c>
      <c r="FG72" s="84" t="str">
        <f>IF(OR(IPC!FG31="",IPC!EU31=""),"",IPC!FG31/IPC!EU31-1)</f>
        <v/>
      </c>
      <c r="FH72" s="84" t="str">
        <f>IF(OR(IPC!FH31="",IPC!EV31=""),"",IPC!FH31/IPC!EV31-1)</f>
        <v/>
      </c>
      <c r="FI72" s="84" t="str">
        <f>IF(OR(IPC!FI31="",IPC!EW31=""),"",IPC!FI31/IPC!EW31-1)</f>
        <v/>
      </c>
    </row>
    <row r="73" spans="1:174" s="74" customFormat="1" ht="10.199999999999999" x14ac:dyDescent="0.2"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75"/>
      <c r="CG73" s="75"/>
      <c r="CH73" s="75"/>
      <c r="CI73" s="75"/>
      <c r="CJ73" s="75"/>
      <c r="CK73" s="75"/>
      <c r="CL73" s="75"/>
      <c r="CM73" s="75"/>
      <c r="CN73" s="75"/>
      <c r="CO73" s="75"/>
      <c r="CP73" s="75"/>
      <c r="CQ73" s="75"/>
      <c r="CR73" s="75"/>
      <c r="CS73" s="75"/>
      <c r="CT73" s="75"/>
      <c r="CU73" s="75"/>
      <c r="CV73" s="75"/>
      <c r="CW73" s="75"/>
      <c r="CX73" s="75"/>
      <c r="CY73" s="75"/>
      <c r="CZ73" s="75"/>
      <c r="DA73" s="75"/>
      <c r="DB73" s="75"/>
      <c r="DC73" s="75"/>
      <c r="DD73" s="75"/>
      <c r="DE73" s="75"/>
      <c r="DF73" s="75"/>
      <c r="DG73" s="75"/>
      <c r="DH73" s="75"/>
      <c r="DI73" s="75"/>
      <c r="DJ73" s="75"/>
      <c r="DK73" s="75"/>
      <c r="DL73" s="75"/>
      <c r="DM73" s="75"/>
      <c r="DN73" s="75"/>
      <c r="DO73" s="75"/>
      <c r="DP73" s="75"/>
      <c r="DQ73" s="75"/>
      <c r="DR73" s="75"/>
      <c r="DS73" s="75"/>
      <c r="DT73" s="75"/>
      <c r="DU73" s="75"/>
      <c r="DV73" s="75"/>
      <c r="DW73" s="75"/>
      <c r="DX73" s="75"/>
      <c r="DY73" s="75"/>
      <c r="DZ73" s="75"/>
      <c r="EA73" s="75"/>
      <c r="EB73" s="75"/>
      <c r="EC73" s="75"/>
      <c r="ED73" s="75"/>
      <c r="EE73" s="75"/>
      <c r="EF73" s="75"/>
      <c r="EG73" s="75"/>
      <c r="EH73" s="75"/>
      <c r="EI73" s="75"/>
      <c r="EJ73" s="75"/>
      <c r="EK73" s="75"/>
      <c r="EL73" s="75"/>
      <c r="EM73" s="75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75"/>
      <c r="FF73" s="75"/>
      <c r="FG73" s="75"/>
      <c r="FH73" s="75"/>
      <c r="FI73" s="75"/>
    </row>
    <row r="74" spans="1:174" s="74" customFormat="1" ht="10.199999999999999" x14ac:dyDescent="0.2">
      <c r="B74" s="3" t="s">
        <v>111</v>
      </c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>
        <f>IF(OR(IPC!AB33="",IPC!P33=""),"",IPC!AB33/IPC!P33-1)</f>
        <v>1.3724881280630097E-3</v>
      </c>
      <c r="AC74" s="75">
        <f>IF(OR(IPC!AC33="",IPC!Q33=""),"",IPC!AC33/IPC!Q33-1)</f>
        <v>6.6359720026920588E-3</v>
      </c>
      <c r="AD74" s="75">
        <f>IF(OR(IPC!AD33="",IPC!R33=""),"",IPC!AD33/IPC!R33-1)</f>
        <v>1.0413831686236774E-2</v>
      </c>
      <c r="AE74" s="75">
        <f>IF(OR(IPC!AE33="",IPC!S33=""),"",IPC!AE33/IPC!S33-1)</f>
        <v>1.3602613517903261E-2</v>
      </c>
      <c r="AF74" s="75">
        <f>IF(OR(IPC!AF33="",IPC!T33=""),"",IPC!AF33/IPC!T33-1)</f>
        <v>8.8605847372695834E-3</v>
      </c>
      <c r="AG74" s="75">
        <f>IF(OR(IPC!AG33="",IPC!U33=""),"",IPC!AG33/IPC!U33-1)</f>
        <v>2.4306098766815776E-2</v>
      </c>
      <c r="AH74" s="75">
        <f>IF(OR(IPC!AH33="",IPC!V33=""),"",IPC!AH33/IPC!V33-1)</f>
        <v>7.3369080159273459E-3</v>
      </c>
      <c r="AI74" s="75">
        <f>IF(OR(IPC!AI33="",IPC!W33=""),"",IPC!AI33/IPC!W33-1)</f>
        <v>1.158140532867713E-2</v>
      </c>
      <c r="AJ74" s="75">
        <f>IF(OR(IPC!AJ33="",IPC!X33=""),"",IPC!AJ33/IPC!X33-1)</f>
        <v>7.979579286687688E-3</v>
      </c>
      <c r="AK74" s="75">
        <f>IF(OR(IPC!AK33="",IPC!Y33=""),"",IPC!AK33/IPC!Y33-1)</f>
        <v>1.6852172166416102E-2</v>
      </c>
      <c r="AL74" s="75">
        <f>IF(OR(IPC!AL33="",IPC!Z33=""),"",IPC!AL33/IPC!Z33-1)</f>
        <v>1.6067672306042446E-2</v>
      </c>
      <c r="AM74" s="75">
        <f>IF(OR(IPC!AM33="",IPC!AA33=""),"",IPC!AM33/IPC!AA33-1)</f>
        <v>1.2559680825535047E-2</v>
      </c>
      <c r="AN74" s="75">
        <f>IF(OR(IPC!AN33="",IPC!AB33=""),"",IPC!AN33/IPC!AB33-1)</f>
        <v>1.2512814763323998E-2</v>
      </c>
      <c r="AO74" s="75">
        <f>IF(OR(IPC!AO33="",IPC!AC33=""),"",IPC!AO33/IPC!AC33-1)</f>
        <v>9.3658636292539565E-3</v>
      </c>
      <c r="AP74" s="75">
        <f>IF(OR(IPC!AP33="",IPC!AD33=""),"",IPC!AP33/IPC!AD33-1)</f>
        <v>9.1176071830374461E-3</v>
      </c>
      <c r="AQ74" s="75">
        <f>IF(OR(IPC!AQ33="",IPC!AE33=""),"",IPC!AQ33/IPC!AE33-1)</f>
        <v>7.3993683344191208E-3</v>
      </c>
      <c r="AR74" s="75">
        <f>IF(OR(IPC!AR33="",IPC!AF33=""),"",IPC!AR33/IPC!AF33-1)</f>
        <v>1.1591665837969334E-2</v>
      </c>
      <c r="AS74" s="75">
        <f>IF(OR(IPC!AS33="",IPC!AG33=""),"",IPC!AS33/IPC!AG33-1)</f>
        <v>1.195079619228534E-2</v>
      </c>
      <c r="AT74" s="75">
        <f>IF(OR(IPC!AT33="",IPC!AH33=""),"",IPC!AT33/IPC!AH33-1)</f>
        <v>1.3603433679468591E-2</v>
      </c>
      <c r="AU74" s="75">
        <f>IF(OR(IPC!AU33="",IPC!AI33=""),"",IPC!AU33/IPC!AI33-1)</f>
        <v>1.0289589947637845E-2</v>
      </c>
      <c r="AV74" s="75">
        <f>IF(OR(IPC!AV33="",IPC!AJ33=""),"",IPC!AV33/IPC!AJ33-1)</f>
        <v>2.0864960630988527E-2</v>
      </c>
      <c r="AW74" s="75">
        <f>IF(OR(IPC!AW33="",IPC!AK33=""),"",IPC!AW33/IPC!AK33-1)</f>
        <v>8.5551609200265055E-3</v>
      </c>
      <c r="AX74" s="75">
        <f>IF(OR(IPC!AX33="",IPC!AL33=""),"",IPC!AX33/IPC!AL33-1)</f>
        <v>1.0057996643628275E-2</v>
      </c>
      <c r="AY74" s="75">
        <f>IF(OR(IPC!AY33="",IPC!AM33=""),"",IPC!AY33/IPC!AM33-1)</f>
        <v>6.2667328577967751E-3</v>
      </c>
      <c r="AZ74" s="75">
        <f>IF(OR(IPC!AZ33="",IPC!AN33=""),"",IPC!AZ33/IPC!AN33-1)</f>
        <v>7.2170880373814139E-3</v>
      </c>
      <c r="BA74" s="75">
        <f>IF(OR(IPC!BA33="",IPC!AO33=""),"",IPC!BA33/IPC!AO33-1)</f>
        <v>8.6006913544107721E-3</v>
      </c>
      <c r="BB74" s="75">
        <f>IF(OR(IPC!BB33="",IPC!AP33=""),"",IPC!BB33/IPC!AP33-1)</f>
        <v>9.7245794393685525E-3</v>
      </c>
      <c r="BC74" s="75">
        <f>IF(OR(IPC!BC33="",IPC!AQ33=""),"",IPC!BC33/IPC!AQ33-1)</f>
        <v>7.0908325618048718E-3</v>
      </c>
      <c r="BD74" s="75">
        <f>IF(OR(IPC!BD33="",IPC!AR33=""),"",IPC!BD33/IPC!AR33-1)</f>
        <v>1.4083624977142772E-2</v>
      </c>
      <c r="BE74" s="75">
        <f>IF(OR(IPC!BE33="",IPC!AS33=""),"",IPC!BE33/IPC!AS33-1)</f>
        <v>2.3734218969815757E-2</v>
      </c>
      <c r="BF74" s="75">
        <f>IF(OR(IPC!BF33="",IPC!AT33=""),"",IPC!BF33/IPC!AT33-1)</f>
        <v>1.7055278464745083E-2</v>
      </c>
      <c r="BG74" s="75">
        <f>IF(OR(IPC!BG33="",IPC!AU33=""),"",IPC!BG33/IPC!AU33-1)</f>
        <v>2.0737149378745379E-2</v>
      </c>
      <c r="BH74" s="75">
        <f>IF(OR(IPC!BH33="",IPC!AV33=""),"",IPC!BH33/IPC!AV33-1)</f>
        <v>1.5715380720168426E-2</v>
      </c>
      <c r="BI74" s="75">
        <f>IF(OR(IPC!BI33="",IPC!AW33=""),"",IPC!BI33/IPC!AW33-1)</f>
        <v>1.7861366726093619E-2</v>
      </c>
      <c r="BJ74" s="75">
        <f>IF(OR(IPC!BJ33="",IPC!AX33=""),"",IPC!BJ33/IPC!AX33-1)</f>
        <v>1.8431394491827957E-2</v>
      </c>
      <c r="BK74" s="75">
        <f>IF(OR(IPC!BK33="",IPC!AY33=""),"",IPC!BK33/IPC!AY33-1)</f>
        <v>2.5320970700802414E-2</v>
      </c>
      <c r="BL74" s="75">
        <f>IF(OR(IPC!BL33="",IPC!AZ33=""),"",IPC!BL33/IPC!AZ33-1)</f>
        <v>2.2152462819567065E-2</v>
      </c>
      <c r="BM74" s="75">
        <f>IF(OR(IPC!BM33="",IPC!BA33=""),"",IPC!BM33/IPC!BA33-1)</f>
        <v>1.2697814664753393E-2</v>
      </c>
      <c r="BN74" s="75">
        <f>IF(OR(IPC!BN33="",IPC!BB33=""),"",IPC!BN33/IPC!BB33-1)</f>
        <v>1.8167795462292746E-2</v>
      </c>
      <c r="BO74" s="75">
        <f>IF(OR(IPC!BO33="",IPC!BC33=""),"",IPC!BO33/IPC!BC33-1)</f>
        <v>1.885643707009077E-2</v>
      </c>
      <c r="BP74" s="75">
        <f>IF(OR(IPC!BP33="",IPC!BD33=""),"",IPC!BP33/IPC!BD33-1)</f>
        <v>1.2259682183490161E-2</v>
      </c>
      <c r="BQ74" s="75">
        <f>IF(OR(IPC!BQ33="",IPC!BE33=""),"",IPC!BQ33/IPC!BE33-1)</f>
        <v>1.1915849980229432E-2</v>
      </c>
      <c r="BR74" s="75">
        <f>IF(OR(IPC!BR33="",IPC!BF33=""),"",IPC!BR33/IPC!BF33-1)</f>
        <v>8.5540500389660323E-3</v>
      </c>
      <c r="BS74" s="75">
        <f>IF(OR(IPC!BS33="",IPC!BG33=""),"",IPC!BS33/IPC!BG33-1)</f>
        <v>4.5453715663346106E-3</v>
      </c>
      <c r="BT74" s="75">
        <f>IF(OR(IPC!BT33="",IPC!BH33=""),"",IPC!BT33/IPC!BH33-1)</f>
        <v>9.9181015936131711E-3</v>
      </c>
      <c r="BU74" s="75">
        <f>IF(OR(IPC!BU33="",IPC!BI33=""),"",IPC!BU33/IPC!BI33-1)</f>
        <v>1.0673051249111998E-2</v>
      </c>
      <c r="BV74" s="75">
        <f>IF(OR(IPC!BV33="",IPC!BJ33=""),"",IPC!BV33/IPC!BJ33-1)</f>
        <v>9.1926456993187688E-3</v>
      </c>
      <c r="BW74" s="75">
        <f>IF(OR(IPC!BW33="",IPC!BK33=""),"",IPC!BW33/IPC!BK33-1)</f>
        <v>9.2968326785902722E-3</v>
      </c>
      <c r="BX74" s="75">
        <f>IF(OR(IPC!BX33="",IPC!BL33=""),"",IPC!BX33/IPC!BL33-1)</f>
        <v>6.4854558912728066E-3</v>
      </c>
      <c r="BY74" s="75">
        <f>IF(OR(IPC!BY33="",IPC!BM33=""),"",IPC!BY33/IPC!BM33-1)</f>
        <v>1.1097685946249713E-2</v>
      </c>
      <c r="BZ74" s="75">
        <f>IF(OR(IPC!BZ33="",IPC!BN33=""),"",IPC!BZ33/IPC!BN33-1)</f>
        <v>1.7444748508379515E-3</v>
      </c>
      <c r="CA74" s="75">
        <f>IF(OR(IPC!CA33="",IPC!BO33=""),"",IPC!CA33/IPC!BO33-1)</f>
        <v>4.7104691041586211E-3</v>
      </c>
      <c r="CB74" s="75">
        <f>IF(OR(IPC!CB33="",IPC!BP33=""),"",IPC!CB33/IPC!BP33-1)</f>
        <v>6.0410569617732612E-3</v>
      </c>
      <c r="CC74" s="75">
        <f>IF(OR(IPC!CC33="",IPC!BQ33=""),"",IPC!CC33/IPC!BQ33-1)</f>
        <v>-4.0751485787445807E-3</v>
      </c>
      <c r="CD74" s="75">
        <f>IF(OR(IPC!CD33="",IPC!BR33=""),"",IPC!CD33/IPC!BR33-1)</f>
        <v>4.4547337475449034E-3</v>
      </c>
      <c r="CE74" s="75">
        <f>IF(OR(IPC!CE33="",IPC!BS33=""),"",IPC!CE33/IPC!BS33-1)</f>
        <v>6.6139354954637408E-3</v>
      </c>
      <c r="CF74" s="75">
        <f>IF(OR(IPC!CF33="",IPC!BT33=""),"",IPC!CF33/IPC!BT33-1)</f>
        <v>2.0532814450684445E-3</v>
      </c>
      <c r="CG74" s="75">
        <f>IF(OR(IPC!CG33="",IPC!BU33=""),"",IPC!CG33/IPC!BU33-1)</f>
        <v>1.2544258928905982E-3</v>
      </c>
      <c r="CH74" s="75">
        <f>IF(OR(IPC!CH33="",IPC!BV33=""),"",IPC!CH33/IPC!BV33-1)</f>
        <v>-9.8607917664761402E-4</v>
      </c>
      <c r="CI74" s="75">
        <f>IF(OR(IPC!CI33="",IPC!BW33=""),"",IPC!CI33/IPC!BW33-1)</f>
        <v>4.1682967063283449E-4</v>
      </c>
      <c r="CJ74" s="75">
        <f>IF(OR(IPC!CJ33="",IPC!BX33=""),"",IPC!CJ33/IPC!BX33-1)</f>
        <v>6.4372675877504282E-3</v>
      </c>
      <c r="CK74" s="75">
        <f>IF(OR(IPC!CK33="",IPC!BY33=""),"",IPC!CK33/IPC!BY33-1)</f>
        <v>8.3445182589798605E-3</v>
      </c>
      <c r="CL74" s="75">
        <f>IF(OR(IPC!CL33="",IPC!BZ33=""),"",IPC!CL33/IPC!BZ33-1)</f>
        <v>1.0868394469856435E-2</v>
      </c>
      <c r="CM74" s="75">
        <f>IF(OR(IPC!CM33="",IPC!CA33=""),"",IPC!CM33/IPC!CA33-1)</f>
        <v>6.6686027355913335E-3</v>
      </c>
      <c r="CN74" s="75">
        <f>IF(OR(IPC!CN33="",IPC!CB33=""),"",IPC!CN33/IPC!CB33-1)</f>
        <v>8.3963964655380252E-3</v>
      </c>
      <c r="CO74" s="75">
        <f>IF(OR(IPC!CO33="",IPC!CC33=""),"",IPC!CO33/IPC!CC33-1)</f>
        <v>1.3944353861956582E-2</v>
      </c>
      <c r="CP74" s="75">
        <f>IF(OR(IPC!CP33="",IPC!CD33=""),"",IPC!CP33/IPC!CD33-1)</f>
        <v>1.5435273985668463E-2</v>
      </c>
      <c r="CQ74" s="75">
        <f>IF(OR(IPC!CQ33="",IPC!CE33=""),"",IPC!CQ33/IPC!CE33-1)</f>
        <v>1.5542872710594402E-2</v>
      </c>
      <c r="CR74" s="75">
        <f>IF(OR(IPC!CR33="",IPC!CF33=""),"",IPC!CR33/IPC!CF33-1)</f>
        <v>1.6601734826970471E-2</v>
      </c>
      <c r="CS74" s="75">
        <f>IF(OR(IPC!CS33="",IPC!CG33=""),"",IPC!CS33/IPC!CG33-1)</f>
        <v>1.7356267014378091E-2</v>
      </c>
      <c r="CT74" s="75">
        <f>IF(OR(IPC!CT33="",IPC!CH33=""),"",IPC!CT33/IPC!CH33-1)</f>
        <v>1.8192885578947715E-2</v>
      </c>
      <c r="CU74" s="75">
        <f>IF(OR(IPC!CU33="",IPC!CI33=""),"",IPC!CU33/IPC!CI33-1)</f>
        <v>1.6343072978574291E-2</v>
      </c>
      <c r="CV74" s="75">
        <f>IF(OR(IPC!CV33="",IPC!CJ33=""),"",IPC!CV33/IPC!CJ33-1)</f>
        <v>1.6401055848932478E-2</v>
      </c>
      <c r="CW74" s="75">
        <f>IF(OR(IPC!CW33="",IPC!CK33=""),"",IPC!CW33/IPC!CK33-1)</f>
        <v>1.6237309690398494E-2</v>
      </c>
      <c r="CX74" s="75">
        <f>IF(OR(IPC!CX33="",IPC!CL33=""),"",IPC!CX33/IPC!CL33-1)</f>
        <v>2.2702010203947465E-2</v>
      </c>
      <c r="CY74" s="75">
        <f>IF(OR(IPC!CY33="",IPC!CM33=""),"",IPC!CY33/IPC!CM33-1)</f>
        <v>2.6907127610323212E-2</v>
      </c>
      <c r="CZ74" s="75">
        <f>IF(OR(IPC!CZ33="",IPC!CN33=""),"",IPC!CZ33/IPC!CN33-1)</f>
        <v>2.6232182691450001E-2</v>
      </c>
      <c r="DA74" s="75">
        <f>IF(OR(IPC!DA33="",IPC!CO33=""),"",IPC!DA33/IPC!CO33-1)</f>
        <v>2.133786835028828E-2</v>
      </c>
      <c r="DB74" s="75">
        <f>IF(OR(IPC!DB33="",IPC!CP33=""),"",IPC!DB33/IPC!CP33-1)</f>
        <v>2.004087485960282E-2</v>
      </c>
      <c r="DC74" s="75">
        <f>IF(OR(IPC!DC33="",IPC!CQ33=""),"",IPC!DC33/IPC!CQ33-1)</f>
        <v>2.1772337038572731E-2</v>
      </c>
      <c r="DD74" s="75">
        <f>IF(OR(IPC!DD33="",IPC!CR33=""),"",IPC!DD33/IPC!CR33-1)</f>
        <v>2.1204553233739265E-2</v>
      </c>
      <c r="DE74" s="75">
        <f>IF(OR(IPC!DE33="",IPC!CS33=""),"",IPC!DE33/IPC!CS33-1)</f>
        <v>2.1872268736565115E-2</v>
      </c>
      <c r="DF74" s="75">
        <f>IF(OR(IPC!DF33="",IPC!CT33=""),"",IPC!DF33/IPC!CT33-1)</f>
        <v>2.1785699099687417E-2</v>
      </c>
      <c r="DG74" s="75">
        <f>IF(OR(IPC!DG33="",IPC!CU33=""),"",IPC!DG33/IPC!CU33-1)</f>
        <v>1.9509745865681216E-2</v>
      </c>
      <c r="DH74" s="75">
        <f>IF(OR(IPC!DH33="",IPC!CV33=""),"",IPC!DH33/IPC!CV33-1)</f>
        <v>2.069676584740554E-2</v>
      </c>
      <c r="DI74" s="75">
        <f>IF(OR(IPC!DI33="",IPC!CW33=""),"",IPC!DI33/IPC!CW33-1)</f>
        <v>2.1575211949906414E-2</v>
      </c>
      <c r="DJ74" s="75">
        <f>IF(OR(IPC!DJ33="",IPC!CX33=""),"",IPC!DJ33/IPC!CX33-1)</f>
        <v>1.7237078164809239E-2</v>
      </c>
      <c r="DK74" s="75">
        <f>IF(OR(IPC!DK33="",IPC!CY33=""),"",IPC!DK33/IPC!CY33-1)</f>
        <v>1.4040109746601637E-2</v>
      </c>
      <c r="DL74" s="75">
        <f>IF(OR(IPC!DL33="",IPC!CZ33=""),"",IPC!DL33/IPC!CZ33-1)</f>
        <v>1.7904123725245968E-2</v>
      </c>
      <c r="DM74" s="75">
        <f>IF(OR(IPC!DM33="",IPC!DA33=""),"",IPC!DM33/IPC!DA33-1)</f>
        <v>2.1571520279622058E-2</v>
      </c>
      <c r="DN74" s="75">
        <f>IF(OR(IPC!DN33="",IPC!DB33=""),"",IPC!DN33/IPC!DB33-1)</f>
        <v>1.9827045331041182E-2</v>
      </c>
      <c r="DO74" s="75">
        <f>IF(OR(IPC!DO33="",IPC!DC33=""),"",IPC!DO33/IPC!DC33-1)</f>
        <v>1.6762923111265815E-2</v>
      </c>
      <c r="DP74" s="75">
        <f>IF(OR(IPC!DP33="",IPC!DD33=""),"",IPC!DP33/IPC!DD33-1)</f>
        <v>1.9703477326171059E-2</v>
      </c>
      <c r="DQ74" s="75">
        <f>IF(OR(IPC!DQ33="",IPC!DE33=""),"",IPC!DQ33/IPC!DE33-1)</f>
        <v>2.0340146657045199E-2</v>
      </c>
      <c r="DR74" s="75">
        <f>IF(OR(IPC!DR33="",IPC!DF33=""),"",IPC!DR33/IPC!DF33-1)</f>
        <v>2.1222306467492791E-2</v>
      </c>
      <c r="DS74" s="75">
        <f>IF(OR(IPC!DS33="",IPC!DG33=""),"",IPC!DS33/IPC!DG33-1)</f>
        <v>2.1025870190351181E-2</v>
      </c>
      <c r="DT74" s="75">
        <f>IF(OR(IPC!DT33="",IPC!DH33=""),"",IPC!DT33/IPC!DH33-1)</f>
        <v>2.1143763867189636E-2</v>
      </c>
      <c r="DU74" s="75">
        <f>IF(OR(IPC!DU33="",IPC!DI33=""),"",IPC!DU33/IPC!DI33-1)</f>
        <v>1.8852868963283198E-2</v>
      </c>
      <c r="DV74" s="75">
        <f>IF(OR(IPC!DV33="",IPC!DJ33=""),"",IPC!DV33/IPC!DJ33-1)</f>
        <v>1.9561164823519439E-2</v>
      </c>
      <c r="DW74" s="75">
        <f>IF(OR(IPC!DW33="",IPC!DK33=""),"",IPC!DW33/IPC!DK33-1)</f>
        <v>1.917751633956799E-2</v>
      </c>
      <c r="DX74" s="75">
        <f>IF(OR(IPC!DX33="",IPC!DL33=""),"",IPC!DX33/IPC!DL33-1)</f>
        <v>1.4250807963546386E-2</v>
      </c>
      <c r="DY74" s="75">
        <f>IF(OR(IPC!DY33="",IPC!DM33=""),"",IPC!DY33/IPC!DM33-1)</f>
        <v>1.1134428069392355E-2</v>
      </c>
      <c r="DZ74" s="75">
        <f>IF(OR(IPC!DZ33="",IPC!DN33=""),"",IPC!DZ33/IPC!DN33-1)</f>
        <v>1.8565101378049009E-2</v>
      </c>
      <c r="EA74" s="75">
        <f>IF(OR(IPC!EA33="",IPC!DO33=""),"",IPC!EA33/IPC!DO33-1)</f>
        <v>1.6939756904035708E-2</v>
      </c>
      <c r="EB74" s="75">
        <f>IF(OR(IPC!EB33="",IPC!DP33=""),"",IPC!EB33/IPC!DP33-1)</f>
        <v>1.2418319161461966E-2</v>
      </c>
      <c r="EC74" s="75">
        <f>IF(OR(IPC!EC33="",IPC!DQ33=""),"",IPC!EC33/IPC!DQ33-1)</f>
        <v>1.279947951024174E-2</v>
      </c>
      <c r="ED74" s="75">
        <f>IF(OR(IPC!ED33="",IPC!DR33=""),"",IPC!ED33/IPC!DR33-1)</f>
        <v>1.2568713145094224E-2</v>
      </c>
      <c r="EE74" s="75">
        <f>IF(OR(IPC!EE33="",IPC!DS33=""),"",IPC!EE33/IPC!DS33-1)</f>
        <v>1.6934003390221442E-2</v>
      </c>
      <c r="EF74" s="75">
        <f>IF(OR(IPC!EF33="",IPC!DT33=""),"",IPC!EF33/IPC!DT33-1)</f>
        <v>2.0134186642873475E-2</v>
      </c>
      <c r="EG74" s="75">
        <f>IF(OR(IPC!EG33="",IPC!DU33=""),"",IPC!EG33/IPC!DU33-1)</f>
        <v>2.4898349547157972E-2</v>
      </c>
      <c r="EH74" s="75">
        <f>IF(OR(IPC!EH33="",IPC!DV33=""),"",IPC!EH33/IPC!DV33-1)</f>
        <v>2.7338774176902225E-2</v>
      </c>
      <c r="EI74" s="75">
        <f>IF(OR(IPC!EI33="",IPC!DW33=""),"",IPC!EI33/IPC!DW33-1)</f>
        <v>3.8845111309773195E-2</v>
      </c>
      <c r="EJ74" s="75">
        <f>IF(OR(IPC!EJ33="",IPC!DX33=""),"",IPC!EJ33/IPC!DX33-1)</f>
        <v>4.2190995383108554E-2</v>
      </c>
      <c r="EK74" s="75">
        <f>IF(OR(IPC!EK33="",IPC!DY33=""),"",IPC!EK33/IPC!DY33-1)</f>
        <v>5.3766125459832281E-2</v>
      </c>
      <c r="EL74" s="75">
        <f>IF(OR(IPC!EL33="",IPC!DZ33=""),"",IPC!EL33/IPC!DZ33-1)</f>
        <v>5.117449256547868E-2</v>
      </c>
      <c r="EM74" s="75">
        <f>IF(OR(IPC!EM33="",IPC!EA33=""),"",IPC!EM33/IPC!EA33-1)</f>
        <v>5.6010994026625127E-2</v>
      </c>
      <c r="EN74" s="75">
        <f>IF(OR(IPC!EN33="",IPC!EB33=""),"",IPC!EN33/IPC!EB33-1)</f>
        <v>5.7169726184323366E-2</v>
      </c>
      <c r="EO74" s="75">
        <f>IF(OR(IPC!EO33="",IPC!EC33=""),"",IPC!EO33/IPC!EC33-1)</f>
        <v>5.9296031561134388E-2</v>
      </c>
      <c r="EP74" s="75">
        <f>IF(OR(IPC!EP33="",IPC!ED33=""),"",IPC!EP33/IPC!ED33-1)</f>
        <v>6.3068056951615992E-2</v>
      </c>
      <c r="EQ74" s="75">
        <f>IF(OR(IPC!EQ33="",IPC!EE33=""),"",IPC!EQ33/IPC!EE33-1)</f>
        <v>6.1785561870438155E-2</v>
      </c>
      <c r="ER74" s="75" t="str">
        <f>IF(OR(IPC!ER33="",IPC!EF33=""),"",IPC!ER33/IPC!EF33-1)</f>
        <v/>
      </c>
      <c r="ES74" s="75" t="str">
        <f>IF(OR(IPC!ES33="",IPC!EG33=""),"",IPC!ES33/IPC!EG33-1)</f>
        <v/>
      </c>
      <c r="ET74" s="75" t="str">
        <f>IF(OR(IPC!ET33="",IPC!EH33=""),"",IPC!ET33/IPC!EH33-1)</f>
        <v/>
      </c>
      <c r="EU74" s="75" t="str">
        <f>IF(OR(IPC!EU33="",IPC!EI33=""),"",IPC!EU33/IPC!EI33-1)</f>
        <v/>
      </c>
      <c r="EV74" s="75" t="str">
        <f>IF(OR(IPC!EV33="",IPC!EJ33=""),"",IPC!EV33/IPC!EJ33-1)</f>
        <v/>
      </c>
      <c r="EW74" s="75" t="str">
        <f>IF(OR(IPC!EW33="",IPC!EK33=""),"",IPC!EW33/IPC!EK33-1)</f>
        <v/>
      </c>
      <c r="EX74" s="75" t="str">
        <f>IF(OR(IPC!EX33="",IPC!EL33=""),"",IPC!EX33/IPC!EL33-1)</f>
        <v/>
      </c>
      <c r="EY74" s="75" t="str">
        <f>IF(OR(IPC!EY33="",IPC!EM33=""),"",IPC!EY33/IPC!EM33-1)</f>
        <v/>
      </c>
      <c r="EZ74" s="75" t="str">
        <f>IF(OR(IPC!EZ33="",IPC!EN33=""),"",IPC!EZ33/IPC!EN33-1)</f>
        <v/>
      </c>
      <c r="FA74" s="75" t="str">
        <f>IF(OR(IPC!FA33="",IPC!EO33=""),"",IPC!FA33/IPC!EO33-1)</f>
        <v/>
      </c>
      <c r="FB74" s="75" t="str">
        <f>IF(OR(IPC!FB33="",IPC!EP33=""),"",IPC!FB33/IPC!EP33-1)</f>
        <v/>
      </c>
      <c r="FC74" s="75" t="str">
        <f>IF(OR(IPC!FC33="",IPC!EQ33=""),"",IPC!FC33/IPC!EQ33-1)</f>
        <v/>
      </c>
      <c r="FD74" s="75" t="str">
        <f>IF(OR(IPC!FD33="",IPC!ER33=""),"",IPC!FD33/IPC!ER33-1)</f>
        <v/>
      </c>
      <c r="FE74" s="75" t="str">
        <f>IF(OR(IPC!FE33="",IPC!ES33=""),"",IPC!FE33/IPC!ES33-1)</f>
        <v/>
      </c>
      <c r="FF74" s="75" t="str">
        <f>IF(OR(IPC!FF33="",IPC!ET33=""),"",IPC!FF33/IPC!ET33-1)</f>
        <v/>
      </c>
      <c r="FG74" s="75" t="str">
        <f>IF(OR(IPC!FG33="",IPC!EU33=""),"",IPC!FG33/IPC!EU33-1)</f>
        <v/>
      </c>
      <c r="FH74" s="75" t="str">
        <f>IF(OR(IPC!FH33="",IPC!EV33=""),"",IPC!FH33/IPC!EV33-1)</f>
        <v/>
      </c>
      <c r="FI74" s="75" t="str">
        <f>IF(OR(IPC!FI33="",IPC!EW33=""),"",IPC!FI33/IPC!EW33-1)</f>
        <v/>
      </c>
    </row>
    <row r="75" spans="1:174" s="74" customFormat="1" ht="10.199999999999999" x14ac:dyDescent="0.2">
      <c r="B75" s="3" t="s">
        <v>112</v>
      </c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>
        <f>IF(OR(IPC!AB34="",IPC!P34=""),"",IPC!AB34/IPC!P34-1)</f>
        <v>3.5922259703507153E-2</v>
      </c>
      <c r="AC75" s="75">
        <f>IF(OR(IPC!AC34="",IPC!Q34=""),"",IPC!AC34/IPC!Q34-1)</f>
        <v>3.0904969848776442E-2</v>
      </c>
      <c r="AD75" s="75">
        <f>IF(OR(IPC!AD34="",IPC!R34=""),"",IPC!AD34/IPC!R34-1)</f>
        <v>2.7029261280841821E-2</v>
      </c>
      <c r="AE75" s="75">
        <f>IF(OR(IPC!AE34="",IPC!S34=""),"",IPC!AE34/IPC!S34-1)</f>
        <v>1.8157577722193619E-2</v>
      </c>
      <c r="AF75" s="75">
        <f>IF(OR(IPC!AF34="",IPC!T34=""),"",IPC!AF34/IPC!T34-1)</f>
        <v>1.737100842408501E-2</v>
      </c>
      <c r="AG75" s="75">
        <f>IF(OR(IPC!AG34="",IPC!U34=""),"",IPC!AG34/IPC!U34-1)</f>
        <v>2.1911846004865509E-2</v>
      </c>
      <c r="AH75" s="75">
        <f>IF(OR(IPC!AH34="",IPC!V34=""),"",IPC!AH34/IPC!V34-1)</f>
        <v>2.2124640006494056E-2</v>
      </c>
      <c r="AI75" s="75">
        <f>IF(OR(IPC!AI34="",IPC!W34=""),"",IPC!AI34/IPC!W34-1)</f>
        <v>1.9326270953686331E-2</v>
      </c>
      <c r="AJ75" s="75">
        <f>IF(OR(IPC!AJ34="",IPC!X34=""),"",IPC!AJ34/IPC!X34-1)</f>
        <v>2.4518433139103069E-2</v>
      </c>
      <c r="AK75" s="75">
        <f>IF(OR(IPC!AK34="",IPC!Y34=""),"",IPC!AK34/IPC!Y34-1)</f>
        <v>2.7211970474509739E-2</v>
      </c>
      <c r="AL75" s="75">
        <f>IF(OR(IPC!AL34="",IPC!Z34=""),"",IPC!AL34/IPC!Z34-1)</f>
        <v>3.4481356943152797E-2</v>
      </c>
      <c r="AM75" s="75">
        <f>IF(OR(IPC!AM34="",IPC!AA34=""),"",IPC!AM34/IPC!AA34-1)</f>
        <v>2.0451490711870246E-2</v>
      </c>
      <c r="AN75" s="75">
        <f>IF(OR(IPC!AN34="",IPC!AB34=""),"",IPC!AN34/IPC!AB34-1)</f>
        <v>1.3097410268793519E-2</v>
      </c>
      <c r="AO75" s="75">
        <f>IF(OR(IPC!AO34="",IPC!AC34=""),"",IPC!AO34/IPC!AC34-1)</f>
        <v>1.7915127438145051E-2</v>
      </c>
      <c r="AP75" s="75">
        <f>IF(OR(IPC!AP34="",IPC!AD34=""),"",IPC!AP34/IPC!AD34-1)</f>
        <v>1.3213666601344043E-2</v>
      </c>
      <c r="AQ75" s="75">
        <f>IF(OR(IPC!AQ34="",IPC!AE34=""),"",IPC!AQ34/IPC!AE34-1)</f>
        <v>1.1173395570388545E-2</v>
      </c>
      <c r="AR75" s="75">
        <f>IF(OR(IPC!AR34="",IPC!AF34=""),"",IPC!AR34/IPC!AF34-1)</f>
        <v>1.314945965816805E-2</v>
      </c>
      <c r="AS75" s="75">
        <f>IF(OR(IPC!AS34="",IPC!AG34=""),"",IPC!AS34/IPC!AG34-1)</f>
        <v>3.6821990719611009E-3</v>
      </c>
      <c r="AT75" s="75">
        <f>IF(OR(IPC!AT34="",IPC!AH34=""),"",IPC!AT34/IPC!AH34-1)</f>
        <v>1.8680179554956489E-2</v>
      </c>
      <c r="AU75" s="75">
        <f>IF(OR(IPC!AU34="",IPC!AI34=""),"",IPC!AU34/IPC!AI34-1)</f>
        <v>1.5357519725524016E-2</v>
      </c>
      <c r="AV75" s="75">
        <f>IF(OR(IPC!AV34="",IPC!AJ34=""),"",IPC!AV34/IPC!AJ34-1)</f>
        <v>1.298204233807887E-2</v>
      </c>
      <c r="AW75" s="75">
        <f>IF(OR(IPC!AW34="",IPC!AK34=""),"",IPC!AW34/IPC!AK34-1)</f>
        <v>4.4356922585910841E-3</v>
      </c>
      <c r="AX75" s="75">
        <f>IF(OR(IPC!AX34="",IPC!AL34=""),"",IPC!AX34/IPC!AL34-1)</f>
        <v>1.1699098720342027E-2</v>
      </c>
      <c r="AY75" s="75">
        <f>IF(OR(IPC!AY34="",IPC!AM34=""),"",IPC!AY34/IPC!AM34-1)</f>
        <v>1.6688435648559485E-2</v>
      </c>
      <c r="AZ75" s="75">
        <f>IF(OR(IPC!AZ34="",IPC!AN34=""),"",IPC!AZ34/IPC!AN34-1)</f>
        <v>1.5176896137964802E-2</v>
      </c>
      <c r="BA75" s="75">
        <f>IF(OR(IPC!BA34="",IPC!AO34=""),"",IPC!BA34/IPC!AO34-1)</f>
        <v>2.0702887462567876E-2</v>
      </c>
      <c r="BB75" s="75">
        <f>IF(OR(IPC!BB34="",IPC!AP34=""),"",IPC!BB34/IPC!AP34-1)</f>
        <v>1.8762689207994399E-2</v>
      </c>
      <c r="BC75" s="75">
        <f>IF(OR(IPC!BC34="",IPC!AQ34=""),"",IPC!BC34/IPC!AQ34-1)</f>
        <v>3.5164013735448085E-2</v>
      </c>
      <c r="BD75" s="75">
        <f>IF(OR(IPC!BD34="",IPC!AR34=""),"",IPC!BD34/IPC!AR34-1)</f>
        <v>3.1461635495626306E-2</v>
      </c>
      <c r="BE75" s="75">
        <f>IF(OR(IPC!BE34="",IPC!AS34=""),"",IPC!BE34/IPC!AS34-1)</f>
        <v>4.2201319798541359E-2</v>
      </c>
      <c r="BF75" s="75">
        <f>IF(OR(IPC!BF34="",IPC!AT34=""),"",IPC!BF34/IPC!AT34-1)</f>
        <v>3.171565246115593E-2</v>
      </c>
      <c r="BG75" s="75">
        <f>IF(OR(IPC!BG34="",IPC!AU34=""),"",IPC!BG34/IPC!AU34-1)</f>
        <v>2.5887240651987442E-2</v>
      </c>
      <c r="BH75" s="75">
        <f>IF(OR(IPC!BH34="",IPC!AV34=""),"",IPC!BH34/IPC!AV34-1)</f>
        <v>2.7339846199454287E-2</v>
      </c>
      <c r="BI75" s="75">
        <f>IF(OR(IPC!BI34="",IPC!AW34=""),"",IPC!BI34/IPC!AW34-1)</f>
        <v>3.0642823258262952E-2</v>
      </c>
      <c r="BJ75" s="75">
        <f>IF(OR(IPC!BJ34="",IPC!AX34=""),"",IPC!BJ34/IPC!AX34-1)</f>
        <v>1.5893419631426875E-2</v>
      </c>
      <c r="BK75" s="75">
        <f>IF(OR(IPC!BK34="",IPC!AY34=""),"",IPC!BK34/IPC!AY34-1)</f>
        <v>1.5891235220222732E-2</v>
      </c>
      <c r="BL75" s="75">
        <f>IF(OR(IPC!BL34="",IPC!AZ34=""),"",IPC!BL34/IPC!AZ34-1)</f>
        <v>1.8595859291342665E-2</v>
      </c>
      <c r="BM75" s="75">
        <f>IF(OR(IPC!BM34="",IPC!BA34=""),"",IPC!BM34/IPC!BA34-1)</f>
        <v>1.3247323872117578E-2</v>
      </c>
      <c r="BN75" s="75">
        <f>IF(OR(IPC!BN34="",IPC!BB34=""),"",IPC!BN34/IPC!BB34-1)</f>
        <v>1.9232655588297787E-2</v>
      </c>
      <c r="BO75" s="75">
        <f>IF(OR(IPC!BO34="",IPC!BC34=""),"",IPC!BO34/IPC!BC34-1)</f>
        <v>1.1691205723045828E-2</v>
      </c>
      <c r="BP75" s="75">
        <f>IF(OR(IPC!BP34="",IPC!BD34=""),"",IPC!BP34/IPC!BD34-1)</f>
        <v>1.9896398160716977E-2</v>
      </c>
      <c r="BQ75" s="75">
        <f>IF(OR(IPC!BQ34="",IPC!BE34=""),"",IPC!BQ34/IPC!BE34-1)</f>
        <v>7.4721199719820497E-3</v>
      </c>
      <c r="BR75" s="75">
        <f>IF(OR(IPC!BR34="",IPC!BF34=""),"",IPC!BR34/IPC!BF34-1)</f>
        <v>2.4241948398289193E-3</v>
      </c>
      <c r="BS75" s="75">
        <f>IF(OR(IPC!BS34="",IPC!BG34=""),"",IPC!BS34/IPC!BG34-1)</f>
        <v>1.1038229687180934E-2</v>
      </c>
      <c r="BT75" s="75">
        <f>IF(OR(IPC!BT34="",IPC!BH34=""),"",IPC!BT34/IPC!BH34-1)</f>
        <v>5.8478337993155272E-3</v>
      </c>
      <c r="BU75" s="75">
        <f>IF(OR(IPC!BU34="",IPC!BI34=""),"",IPC!BU34/IPC!BI34-1)</f>
        <v>-1.948168130910366E-3</v>
      </c>
      <c r="BV75" s="75">
        <f>IF(OR(IPC!BV34="",IPC!BJ34=""),"",IPC!BV34/IPC!BJ34-1)</f>
        <v>2.1680079791497331E-3</v>
      </c>
      <c r="BW75" s="75">
        <f>IF(OR(IPC!BW34="",IPC!BK34=""),"",IPC!BW34/IPC!BK34-1)</f>
        <v>-3.021488387964899E-3</v>
      </c>
      <c r="BX75" s="75">
        <f>IF(OR(IPC!BX34="",IPC!BL34=""),"",IPC!BX34/IPC!BL34-1)</f>
        <v>-2.3318695705113468E-3</v>
      </c>
      <c r="BY75" s="75">
        <f>IF(OR(IPC!BY34="",IPC!BM34=""),"",IPC!BY34/IPC!BM34-1)</f>
        <v>-1.2748954387721279E-3</v>
      </c>
      <c r="BZ75" s="75">
        <f>IF(OR(IPC!BZ34="",IPC!BN34=""),"",IPC!BZ34/IPC!BN34-1)</f>
        <v>-2.0238241831320725E-3</v>
      </c>
      <c r="CA75" s="75">
        <f>IF(OR(IPC!CA34="",IPC!BO34=""),"",IPC!CA34/IPC!BO34-1)</f>
        <v>2.6298581082857542E-3</v>
      </c>
      <c r="CB75" s="75">
        <f>IF(OR(IPC!CB34="",IPC!BP34=""),"",IPC!CB34/IPC!BP34-1)</f>
        <v>-5.4194158733126274E-3</v>
      </c>
      <c r="CC75" s="75">
        <f>IF(OR(IPC!CC34="",IPC!BQ34=""),"",IPC!CC34/IPC!BQ34-1)</f>
        <v>1.2330363079069429E-3</v>
      </c>
      <c r="CD75" s="75">
        <f>IF(OR(IPC!CD34="",IPC!BR34=""),"",IPC!CD34/IPC!BR34-1)</f>
        <v>9.7217593698495364E-4</v>
      </c>
      <c r="CE75" s="75">
        <f>IF(OR(IPC!CE34="",IPC!BS34=""),"",IPC!CE34/IPC!BS34-1)</f>
        <v>3.2230471050849197E-3</v>
      </c>
      <c r="CF75" s="75">
        <f>IF(OR(IPC!CF34="",IPC!BT34=""),"",IPC!CF34/IPC!BT34-1)</f>
        <v>7.6425059255078587E-3</v>
      </c>
      <c r="CG75" s="75">
        <f>IF(OR(IPC!CG34="",IPC!BU34=""),"",IPC!CG34/IPC!BU34-1)</f>
        <v>1.129510062936423E-2</v>
      </c>
      <c r="CH75" s="75">
        <f>IF(OR(IPC!CH34="",IPC!BV34=""),"",IPC!CH34/IPC!BV34-1)</f>
        <v>1.0159322343721078E-2</v>
      </c>
      <c r="CI75" s="75">
        <f>IF(OR(IPC!CI34="",IPC!BW34=""),"",IPC!CI34/IPC!BW34-1)</f>
        <v>9.5619870910703675E-3</v>
      </c>
      <c r="CJ75" s="75">
        <f>IF(OR(IPC!CJ34="",IPC!BX34=""),"",IPC!CJ34/IPC!BX34-1)</f>
        <v>1.4082234070437183E-2</v>
      </c>
      <c r="CK75" s="75">
        <f>IF(OR(IPC!CK34="",IPC!BY34=""),"",IPC!CK34/IPC!BY34-1)</f>
        <v>1.0766546754353401E-2</v>
      </c>
      <c r="CL75" s="75">
        <f>IF(OR(IPC!CL34="",IPC!BZ34=""),"",IPC!CL34/IPC!BZ34-1)</f>
        <v>1.0195213807322467E-2</v>
      </c>
      <c r="CM75" s="75">
        <f>IF(OR(IPC!CM34="",IPC!CA34=""),"",IPC!CM34/IPC!CA34-1)</f>
        <v>7.2589985296183102E-3</v>
      </c>
      <c r="CN75" s="75">
        <f>IF(OR(IPC!CN34="",IPC!CB34=""),"",IPC!CN34/IPC!CB34-1)</f>
        <v>8.4977795513145882E-3</v>
      </c>
      <c r="CO75" s="75">
        <f>IF(OR(IPC!CO34="",IPC!CC34=""),"",IPC!CO34/IPC!CC34-1)</f>
        <v>6.5018288857559003E-3</v>
      </c>
      <c r="CP75" s="75">
        <f>IF(OR(IPC!CP34="",IPC!CD34=""),"",IPC!CP34/IPC!CD34-1)</f>
        <v>3.0649006677609947E-3</v>
      </c>
      <c r="CQ75" s="75">
        <f>IF(OR(IPC!CQ34="",IPC!CE34=""),"",IPC!CQ34/IPC!CE34-1)</f>
        <v>-2.0947796984304157E-3</v>
      </c>
      <c r="CR75" s="75">
        <f>IF(OR(IPC!CR34="",IPC!CF34=""),"",IPC!CR34/IPC!CF34-1)</f>
        <v>1.7920780114299983E-3</v>
      </c>
      <c r="CS75" s="75">
        <f>IF(OR(IPC!CS34="",IPC!CG34=""),"",IPC!CS34/IPC!CG34-1)</f>
        <v>1.1019513537392278E-2</v>
      </c>
      <c r="CT75" s="75">
        <f>IF(OR(IPC!CT34="",IPC!CH34=""),"",IPC!CT34/IPC!CH34-1)</f>
        <v>1.2803279871926421E-2</v>
      </c>
      <c r="CU75" s="75">
        <f>IF(OR(IPC!CU34="",IPC!CI34=""),"",IPC!CU34/IPC!CI34-1)</f>
        <v>1.5197066437617091E-2</v>
      </c>
      <c r="CV75" s="75">
        <f>IF(OR(IPC!CV34="",IPC!CJ34=""),"",IPC!CV34/IPC!CJ34-1)</f>
        <v>1.2189718767683599E-2</v>
      </c>
      <c r="CW75" s="75">
        <f>IF(OR(IPC!CW34="",IPC!CK34=""),"",IPC!CW34/IPC!CK34-1)</f>
        <v>2.2158540972994079E-2</v>
      </c>
      <c r="CX75" s="75">
        <f>IF(OR(IPC!CX34="",IPC!CL34=""),"",IPC!CX34/IPC!CL34-1)</f>
        <v>2.5469962641953448E-2</v>
      </c>
      <c r="CY75" s="75">
        <f>IF(OR(IPC!CY34="",IPC!CM34=""),"",IPC!CY34/IPC!CM34-1)</f>
        <v>2.5525422659112396E-2</v>
      </c>
      <c r="CZ75" s="75">
        <f>IF(OR(IPC!CZ34="",IPC!CN34=""),"",IPC!CZ34/IPC!CN34-1)</f>
        <v>2.1705537761177895E-2</v>
      </c>
      <c r="DA75" s="75">
        <f>IF(OR(IPC!DA34="",IPC!CO34=""),"",IPC!DA34/IPC!CO34-1)</f>
        <v>2.6669099568136234E-2</v>
      </c>
      <c r="DB75" s="75">
        <f>IF(OR(IPC!DB34="",IPC!CP34=""),"",IPC!DB34/IPC!CP34-1)</f>
        <v>3.3777609214154403E-2</v>
      </c>
      <c r="DC75" s="75">
        <f>IF(OR(IPC!DC34="",IPC!CQ34=""),"",IPC!DC34/IPC!CQ34-1)</f>
        <v>3.4356311054459798E-2</v>
      </c>
      <c r="DD75" s="75">
        <f>IF(OR(IPC!DD34="",IPC!CR34=""),"",IPC!DD34/IPC!CR34-1)</f>
        <v>2.9085451032767828E-2</v>
      </c>
      <c r="DE75" s="75">
        <f>IF(OR(IPC!DE34="",IPC!CS34=""),"",IPC!DE34/IPC!CS34-1)</f>
        <v>2.7162757237056745E-2</v>
      </c>
      <c r="DF75" s="75">
        <f>IF(OR(IPC!DF34="",IPC!CT34=""),"",IPC!DF34/IPC!CT34-1)</f>
        <v>3.2241836997839668E-2</v>
      </c>
      <c r="DG75" s="75">
        <f>IF(OR(IPC!DG34="",IPC!CU34=""),"",IPC!DG34/IPC!CU34-1)</f>
        <v>3.1624916915494294E-2</v>
      </c>
      <c r="DH75" s="75">
        <f>IF(OR(IPC!DH34="",IPC!CV34=""),"",IPC!DH34/IPC!CV34-1)</f>
        <v>4.0617977272939587E-2</v>
      </c>
      <c r="DI75" s="75">
        <f>IF(OR(IPC!DI34="",IPC!CW34=""),"",IPC!DI34/IPC!CW34-1)</f>
        <v>3.4807220306195541E-2</v>
      </c>
      <c r="DJ75" s="75">
        <f>IF(OR(IPC!DJ34="",IPC!CX34=""),"",IPC!DJ34/IPC!CX34-1)</f>
        <v>3.6091683361683113E-2</v>
      </c>
      <c r="DK75" s="75">
        <f>IF(OR(IPC!DK34="",IPC!CY34=""),"",IPC!DK34/IPC!CY34-1)</f>
        <v>2.8143695864597751E-2</v>
      </c>
      <c r="DL75" s="75">
        <f>IF(OR(IPC!DL34="",IPC!CZ34=""),"",IPC!DL34/IPC!CZ34-1)</f>
        <v>3.2533301187279484E-2</v>
      </c>
      <c r="DM75" s="75">
        <f>IF(OR(IPC!DM34="",IPC!DA34=""),"",IPC!DM34/IPC!DA34-1)</f>
        <v>3.2969711740441721E-2</v>
      </c>
      <c r="DN75" s="75">
        <f>IF(OR(IPC!DN34="",IPC!DB34=""),"",IPC!DN34/IPC!DB34-1)</f>
        <v>3.734386689246727E-2</v>
      </c>
      <c r="DO75" s="75">
        <f>IF(OR(IPC!DO34="",IPC!DC34=""),"",IPC!DO34/IPC!DC34-1)</f>
        <v>3.8608590924804176E-2</v>
      </c>
      <c r="DP75" s="75">
        <f>IF(OR(IPC!DP34="",IPC!DD34=""),"",IPC!DP34/IPC!DD34-1)</f>
        <v>3.3104977753315445E-2</v>
      </c>
      <c r="DQ75" s="75">
        <f>IF(OR(IPC!DQ34="",IPC!DE34=""),"",IPC!DQ34/IPC!DE34-1)</f>
        <v>3.5406084764110224E-2</v>
      </c>
      <c r="DR75" s="75">
        <f>IF(OR(IPC!DR34="",IPC!DF34=""),"",IPC!DR34/IPC!DF34-1)</f>
        <v>2.7166208658754076E-2</v>
      </c>
      <c r="DS75" s="75">
        <f>IF(OR(IPC!DS34="",IPC!DG34=""),"",IPC!DS34/IPC!DG34-1)</f>
        <v>2.9557629876936664E-2</v>
      </c>
      <c r="DT75" s="75">
        <f>IF(OR(IPC!DT34="",IPC!DH34=""),"",IPC!DT34/IPC!DH34-1)</f>
        <v>2.3799271172507463E-2</v>
      </c>
      <c r="DU75" s="75">
        <f>IF(OR(IPC!DU34="",IPC!DI34=""),"",IPC!DU34/IPC!DI34-1)</f>
        <v>2.39346169794592E-2</v>
      </c>
      <c r="DV75" s="75">
        <f>IF(OR(IPC!DV34="",IPC!DJ34=""),"",IPC!DV34/IPC!DJ34-1)</f>
        <v>2.3887165389537612E-2</v>
      </c>
      <c r="DW75" s="75">
        <f>IF(OR(IPC!DW34="",IPC!DK34=""),"",IPC!DW34/IPC!DK34-1)</f>
        <v>3.2630661698853425E-2</v>
      </c>
      <c r="DX75" s="75">
        <f>IF(OR(IPC!DX34="",IPC!DL34=""),"",IPC!DX34/IPC!DL34-1)</f>
        <v>3.4192123884380088E-2</v>
      </c>
      <c r="DY75" s="75">
        <f>IF(OR(IPC!DY34="",IPC!DM34=""),"",IPC!DY34/IPC!DM34-1)</f>
        <v>3.7448386468862394E-2</v>
      </c>
      <c r="DZ75" s="75">
        <f>IF(OR(IPC!DZ34="",IPC!DN34=""),"",IPC!DZ34/IPC!DN34-1)</f>
        <v>3.8229508423202274E-2</v>
      </c>
      <c r="EA75" s="75">
        <f>IF(OR(IPC!EA34="",IPC!DO34=""),"",IPC!EA34/IPC!DO34-1)</f>
        <v>3.2433775581641289E-2</v>
      </c>
      <c r="EB75" s="75">
        <f>IF(OR(IPC!EB34="",IPC!DP34=""),"",IPC!EB34/IPC!DP34-1)</f>
        <v>3.7659093370413732E-2</v>
      </c>
      <c r="EC75" s="75">
        <f>IF(OR(IPC!EC34="",IPC!DQ34=""),"",IPC!EC34/IPC!DQ34-1)</f>
        <v>3.1913020904650091E-2</v>
      </c>
      <c r="ED75" s="75">
        <f>IF(OR(IPC!ED34="",IPC!DR34=""),"",IPC!ED34/IPC!DR34-1)</f>
        <v>3.5945816900001537E-2</v>
      </c>
      <c r="EE75" s="75">
        <f>IF(OR(IPC!EE34="",IPC!DS34=""),"",IPC!EE34/IPC!DS34-1)</f>
        <v>5.5349085800930453E-2</v>
      </c>
      <c r="EF75" s="75">
        <f>IF(OR(IPC!EF34="",IPC!DT34=""),"",IPC!EF34/IPC!DT34-1)</f>
        <v>6.5759984824197648E-2</v>
      </c>
      <c r="EG75" s="75">
        <f>IF(OR(IPC!EG34="",IPC!DU34=""),"",IPC!EG34/IPC!DU34-1)</f>
        <v>7.2377479954434998E-2</v>
      </c>
      <c r="EH75" s="75">
        <f>IF(OR(IPC!EH34="",IPC!DV34=""),"",IPC!EH34/IPC!DV34-1)</f>
        <v>7.4331733817237344E-2</v>
      </c>
      <c r="EI75" s="75">
        <f>IF(OR(IPC!EI34="",IPC!DW34=""),"",IPC!EI34/IPC!DW34-1)</f>
        <v>8.7673251560290488E-2</v>
      </c>
      <c r="EJ75" s="75">
        <f>IF(OR(IPC!EJ34="",IPC!DX34=""),"",IPC!EJ34/IPC!DX34-1)</f>
        <v>9.0504832318591744E-2</v>
      </c>
      <c r="EK75" s="75">
        <f>IF(OR(IPC!EK34="",IPC!DY34=""),"",IPC!EK34/IPC!DY34-1)</f>
        <v>8.7815682199354761E-2</v>
      </c>
      <c r="EL75" s="75">
        <f>IF(OR(IPC!EL34="",IPC!DZ34=""),"",IPC!EL34/IPC!DZ34-1)</f>
        <v>9.0358873816522189E-2</v>
      </c>
      <c r="EM75" s="75">
        <f>IF(OR(IPC!EM34="",IPC!EA34=""),"",IPC!EM34/IPC!EA34-1)</f>
        <v>0.10760084685330162</v>
      </c>
      <c r="EN75" s="75">
        <f>IF(OR(IPC!EN34="",IPC!EB34=""),"",IPC!EN34/IPC!EB34-1)</f>
        <v>0.11445494313535476</v>
      </c>
      <c r="EO75" s="75">
        <f>IF(OR(IPC!EO34="",IPC!EC34=""),"",IPC!EO34/IPC!EC34-1)</f>
        <v>0.11737333491827862</v>
      </c>
      <c r="EP75" s="75">
        <f>IF(OR(IPC!EP34="",IPC!ED34=""),"",IPC!EP34/IPC!ED34-1)</f>
        <v>0.12734775927518571</v>
      </c>
      <c r="EQ75" s="75">
        <f>IF(OR(IPC!EQ34="",IPC!EE34=""),"",IPC!EQ34/IPC!EE34-1)</f>
        <v>0.11004410666973419</v>
      </c>
      <c r="ER75" s="75" t="str">
        <f>IF(OR(IPC!ER34="",IPC!EF34=""),"",IPC!ER34/IPC!EF34-1)</f>
        <v/>
      </c>
      <c r="ES75" s="75" t="str">
        <f>IF(OR(IPC!ES34="",IPC!EG34=""),"",IPC!ES34/IPC!EG34-1)</f>
        <v/>
      </c>
      <c r="ET75" s="75" t="str">
        <f>IF(OR(IPC!ET34="",IPC!EH34=""),"",IPC!ET34/IPC!EH34-1)</f>
        <v/>
      </c>
      <c r="EU75" s="75" t="str">
        <f>IF(OR(IPC!EU34="",IPC!EI34=""),"",IPC!EU34/IPC!EI34-1)</f>
        <v/>
      </c>
      <c r="EV75" s="75" t="str">
        <f>IF(OR(IPC!EV34="",IPC!EJ34=""),"",IPC!EV34/IPC!EJ34-1)</f>
        <v/>
      </c>
      <c r="EW75" s="75" t="str">
        <f>IF(OR(IPC!EW34="",IPC!EK34=""),"",IPC!EW34/IPC!EK34-1)</f>
        <v/>
      </c>
      <c r="EX75" s="75" t="str">
        <f>IF(OR(IPC!EX34="",IPC!EL34=""),"",IPC!EX34/IPC!EL34-1)</f>
        <v/>
      </c>
      <c r="EY75" s="75" t="str">
        <f>IF(OR(IPC!EY34="",IPC!EM34=""),"",IPC!EY34/IPC!EM34-1)</f>
        <v/>
      </c>
      <c r="EZ75" s="75" t="str">
        <f>IF(OR(IPC!EZ34="",IPC!EN34=""),"",IPC!EZ34/IPC!EN34-1)</f>
        <v/>
      </c>
      <c r="FA75" s="75" t="str">
        <f>IF(OR(IPC!FA34="",IPC!EO34=""),"",IPC!FA34/IPC!EO34-1)</f>
        <v/>
      </c>
      <c r="FB75" s="75" t="str">
        <f>IF(OR(IPC!FB34="",IPC!EP34=""),"",IPC!FB34/IPC!EP34-1)</f>
        <v/>
      </c>
      <c r="FC75" s="75" t="str">
        <f>IF(OR(IPC!FC34="",IPC!EQ34=""),"",IPC!FC34/IPC!EQ34-1)</f>
        <v/>
      </c>
      <c r="FD75" s="75" t="str">
        <f>IF(OR(IPC!FD34="",IPC!ER34=""),"",IPC!FD34/IPC!ER34-1)</f>
        <v/>
      </c>
      <c r="FE75" s="75" t="str">
        <f>IF(OR(IPC!FE34="",IPC!ES34=""),"",IPC!FE34/IPC!ES34-1)</f>
        <v/>
      </c>
      <c r="FF75" s="75" t="str">
        <f>IF(OR(IPC!FF34="",IPC!ET34=""),"",IPC!FF34/IPC!ET34-1)</f>
        <v/>
      </c>
      <c r="FG75" s="75" t="str">
        <f>IF(OR(IPC!FG34="",IPC!EU34=""),"",IPC!FG34/IPC!EU34-1)</f>
        <v/>
      </c>
      <c r="FH75" s="75" t="str">
        <f>IF(OR(IPC!FH34="",IPC!EV34=""),"",IPC!FH34/IPC!EV34-1)</f>
        <v/>
      </c>
      <c r="FI75" s="75" t="str">
        <f>IF(OR(IPC!FI34="",IPC!EW34=""),"",IPC!FI34/IPC!EW34-1)</f>
        <v/>
      </c>
    </row>
    <row r="76" spans="1:174" s="74" customFormat="1" ht="10.199999999999999" x14ac:dyDescent="0.2">
      <c r="B76" s="3" t="s">
        <v>113</v>
      </c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>
        <f>IF(OR(IPC!AB35="",IPC!P35=""),"",IPC!AB35/IPC!P35-1)</f>
        <v>1.5298780549538371E-2</v>
      </c>
      <c r="AC76" s="75">
        <f>IF(OR(IPC!AC35="",IPC!Q35=""),"",IPC!AC35/IPC!Q35-1)</f>
        <v>1.5998010876687063E-2</v>
      </c>
      <c r="AD76" s="75">
        <f>IF(OR(IPC!AD35="",IPC!R35=""),"",IPC!AD35/IPC!R35-1)</f>
        <v>1.0665773532468226E-2</v>
      </c>
      <c r="AE76" s="75">
        <f>IF(OR(IPC!AE35="",IPC!S35=""),"",IPC!AE35/IPC!S35-1)</f>
        <v>1.6363737660135547E-2</v>
      </c>
      <c r="AF76" s="75">
        <f>IF(OR(IPC!AF35="",IPC!T35=""),"",IPC!AF35/IPC!T35-1)</f>
        <v>1.027493782112332E-2</v>
      </c>
      <c r="AG76" s="75">
        <f>IF(OR(IPC!AG35="",IPC!U35=""),"",IPC!AG35/IPC!U35-1)</f>
        <v>1.2626639194833977E-2</v>
      </c>
      <c r="AH76" s="75">
        <f>IF(OR(IPC!AH35="",IPC!V35=""),"",IPC!AH35/IPC!V35-1)</f>
        <v>9.1453133539294296E-3</v>
      </c>
      <c r="AI76" s="75">
        <f>IF(OR(IPC!AI35="",IPC!W35=""),"",IPC!AI35/IPC!W35-1)</f>
        <v>1.4340377745051702E-2</v>
      </c>
      <c r="AJ76" s="75">
        <f>IF(OR(IPC!AJ35="",IPC!X35=""),"",IPC!AJ35/IPC!X35-1)</f>
        <v>1.64790331069673E-2</v>
      </c>
      <c r="AK76" s="75">
        <f>IF(OR(IPC!AK35="",IPC!Y35=""),"",IPC!AK35/IPC!Y35-1)</f>
        <v>1.2712409107895173E-2</v>
      </c>
      <c r="AL76" s="75">
        <f>IF(OR(IPC!AL35="",IPC!Z35=""),"",IPC!AL35/IPC!Z35-1)</f>
        <v>1.2028803702035518E-2</v>
      </c>
      <c r="AM76" s="75">
        <f>IF(OR(IPC!AM35="",IPC!AA35=""),"",IPC!AM35/IPC!AA35-1)</f>
        <v>1.3775995765550997E-2</v>
      </c>
      <c r="AN76" s="75">
        <f>IF(OR(IPC!AN35="",IPC!AB35=""),"",IPC!AN35/IPC!AB35-1)</f>
        <v>1.0943300837509495E-2</v>
      </c>
      <c r="AO76" s="75">
        <f>IF(OR(IPC!AO35="",IPC!AC35=""),"",IPC!AO35/IPC!AC35-1)</f>
        <v>8.2615564560495347E-3</v>
      </c>
      <c r="AP76" s="75">
        <f>IF(OR(IPC!AP35="",IPC!AD35=""),"",IPC!AP35/IPC!AD35-1)</f>
        <v>9.111580576400824E-3</v>
      </c>
      <c r="AQ76" s="75">
        <f>IF(OR(IPC!AQ35="",IPC!AE35=""),"",IPC!AQ35/IPC!AE35-1)</f>
        <v>7.0576568401925499E-3</v>
      </c>
      <c r="AR76" s="75">
        <f>IF(OR(IPC!AR35="",IPC!AF35=""),"",IPC!AR35/IPC!AF35-1)</f>
        <v>1.2844404191123093E-2</v>
      </c>
      <c r="AS76" s="75">
        <f>IF(OR(IPC!AS35="",IPC!AG35=""),"",IPC!AS35/IPC!AG35-1)</f>
        <v>1.1231765459132292E-2</v>
      </c>
      <c r="AT76" s="75">
        <f>IF(OR(IPC!AT35="",IPC!AH35=""),"",IPC!AT35/IPC!AH35-1)</f>
        <v>1.3811574783971992E-2</v>
      </c>
      <c r="AU76" s="75">
        <f>IF(OR(IPC!AU35="",IPC!AI35=""),"",IPC!AU35/IPC!AI35-1)</f>
        <v>9.912078325362117E-3</v>
      </c>
      <c r="AV76" s="75">
        <f>IF(OR(IPC!AV35="",IPC!AJ35=""),"",IPC!AV35/IPC!AJ35-1)</f>
        <v>9.7174881347896758E-3</v>
      </c>
      <c r="AW76" s="75">
        <f>IF(OR(IPC!AW35="",IPC!AK35=""),"",IPC!AW35/IPC!AK35-1)</f>
        <v>8.8066339037455865E-3</v>
      </c>
      <c r="AX76" s="75">
        <f>IF(OR(IPC!AX35="",IPC!AL35=""),"",IPC!AX35/IPC!AL35-1)</f>
        <v>1.257165196118204E-2</v>
      </c>
      <c r="AY76" s="75">
        <f>IF(OR(IPC!AY35="",IPC!AM35=""),"",IPC!AY35/IPC!AM35-1)</f>
        <v>7.0512398691604528E-3</v>
      </c>
      <c r="AZ76" s="75">
        <f>IF(OR(IPC!AZ35="",IPC!AN35=""),"",IPC!AZ35/IPC!AN35-1)</f>
        <v>9.6606683856947928E-3</v>
      </c>
      <c r="BA76" s="75">
        <f>IF(OR(IPC!BA35="",IPC!AO35=""),"",IPC!BA35/IPC!AO35-1)</f>
        <v>7.5527032813522688E-3</v>
      </c>
      <c r="BB76" s="75">
        <f>IF(OR(IPC!BB35="",IPC!AP35=""),"",IPC!BB35/IPC!AP35-1)</f>
        <v>9.9147612638763594E-3</v>
      </c>
      <c r="BC76" s="75">
        <f>IF(OR(IPC!BC35="",IPC!AQ35=""),"",IPC!BC35/IPC!AQ35-1)</f>
        <v>1.8203685372948364E-3</v>
      </c>
      <c r="BD76" s="75">
        <f>IF(OR(IPC!BD35="",IPC!AR35=""),"",IPC!BD35/IPC!AR35-1)</f>
        <v>1.4895949452022883E-3</v>
      </c>
      <c r="BE76" s="75">
        <f>IF(OR(IPC!BE35="",IPC!AS35=""),"",IPC!BE35/IPC!AS35-1)</f>
        <v>5.6949431930120031E-3</v>
      </c>
      <c r="BF76" s="75">
        <f>IF(OR(IPC!BF35="",IPC!AT35=""),"",IPC!BF35/IPC!AT35-1)</f>
        <v>3.0639925920838973E-3</v>
      </c>
      <c r="BG76" s="75">
        <f>IF(OR(IPC!BG35="",IPC!AU35=""),"",IPC!BG35/IPC!AU35-1)</f>
        <v>4.0522926097763534E-3</v>
      </c>
      <c r="BH76" s="75">
        <f>IF(OR(IPC!BH35="",IPC!AV35=""),"",IPC!BH35/IPC!AV35-1)</f>
        <v>3.6903612322725099E-3</v>
      </c>
      <c r="BI76" s="75">
        <f>IF(OR(IPC!BI35="",IPC!AW35=""),"",IPC!BI35/IPC!AW35-1)</f>
        <v>5.7028806902281737E-4</v>
      </c>
      <c r="BJ76" s="75">
        <f>IF(OR(IPC!BJ35="",IPC!AX35=""),"",IPC!BJ35/IPC!AX35-1)</f>
        <v>-8.2234103607459197E-4</v>
      </c>
      <c r="BK76" s="75">
        <f>IF(OR(IPC!BK35="",IPC!AY35=""),"",IPC!BK35/IPC!AY35-1)</f>
        <v>-3.3993801441267735E-4</v>
      </c>
      <c r="BL76" s="75">
        <f>IF(OR(IPC!BL35="",IPC!AZ35=""),"",IPC!BL35/IPC!AZ35-1)</f>
        <v>9.8831428861401172E-4</v>
      </c>
      <c r="BM76" s="75">
        <f>IF(OR(IPC!BM35="",IPC!BA35=""),"",IPC!BM35/IPC!BA35-1)</f>
        <v>1.2420239106638586E-3</v>
      </c>
      <c r="BN76" s="75">
        <f>IF(OR(IPC!BN35="",IPC!BB35=""),"",IPC!BN35/IPC!BB35-1)</f>
        <v>2.4492928578487838E-3</v>
      </c>
      <c r="BO76" s="75">
        <f>IF(OR(IPC!BO35="",IPC!BC35=""),"",IPC!BO35/IPC!BC35-1)</f>
        <v>5.7688981503269954E-3</v>
      </c>
      <c r="BP76" s="75">
        <f>IF(OR(IPC!BP35="",IPC!BD35=""),"",IPC!BP35/IPC!BD35-1)</f>
        <v>1.0535204519863672E-3</v>
      </c>
      <c r="BQ76" s="75">
        <f>IF(OR(IPC!BQ35="",IPC!BE35=""),"",IPC!BQ35/IPC!BE35-1)</f>
        <v>-2.2309764762877826E-3</v>
      </c>
      <c r="BR76" s="75">
        <f>IF(OR(IPC!BR35="",IPC!BF35=""),"",IPC!BR35/IPC!BF35-1)</f>
        <v>2.3448214733232664E-3</v>
      </c>
      <c r="BS76" s="75">
        <f>IF(OR(IPC!BS35="",IPC!BG35=""),"",IPC!BS35/IPC!BG35-1)</f>
        <v>3.7295853760459519E-3</v>
      </c>
      <c r="BT76" s="75">
        <f>IF(OR(IPC!BT35="",IPC!BH35=""),"",IPC!BT35/IPC!BH35-1)</f>
        <v>5.7071156698027536E-3</v>
      </c>
      <c r="BU76" s="75">
        <f>IF(OR(IPC!BU35="",IPC!BI35=""),"",IPC!BU35/IPC!BI35-1)</f>
        <v>7.5929806039112258E-3</v>
      </c>
      <c r="BV76" s="75">
        <f>IF(OR(IPC!BV35="",IPC!BJ35=""),"",IPC!BV35/IPC!BJ35-1)</f>
        <v>3.4081403746937244E-3</v>
      </c>
      <c r="BW76" s="75">
        <f>IF(OR(IPC!BW35="",IPC!BK35=""),"",IPC!BW35/IPC!BK35-1)</f>
        <v>6.2585345077734722E-3</v>
      </c>
      <c r="BX76" s="75">
        <f>IF(OR(IPC!BX35="",IPC!BL35=""),"",IPC!BX35/IPC!BL35-1)</f>
        <v>1.0354604031019621E-2</v>
      </c>
      <c r="BY76" s="75">
        <f>IF(OR(IPC!BY35="",IPC!BM35=""),"",IPC!BY35/IPC!BM35-1)</f>
        <v>9.1320982878624335E-3</v>
      </c>
      <c r="BZ76" s="75">
        <f>IF(OR(IPC!BZ35="",IPC!BN35=""),"",IPC!BZ35/IPC!BN35-1)</f>
        <v>9.2422712481172731E-3</v>
      </c>
      <c r="CA76" s="75">
        <f>IF(OR(IPC!CA35="",IPC!BO35=""),"",IPC!CA35/IPC!BO35-1)</f>
        <v>1.257283768493922E-2</v>
      </c>
      <c r="CB76" s="75">
        <f>IF(OR(IPC!CB35="",IPC!BP35=""),"",IPC!CB35/IPC!BP35-1)</f>
        <v>1.1543033883305354E-2</v>
      </c>
      <c r="CC76" s="75">
        <f>IF(OR(IPC!CC35="",IPC!BQ35=""),"",IPC!CC35/IPC!BQ35-1)</f>
        <v>1.2270897493183552E-2</v>
      </c>
      <c r="CD76" s="75">
        <f>IF(OR(IPC!CD35="",IPC!BR35=""),"",IPC!CD35/IPC!BR35-1)</f>
        <v>8.6563555412786375E-3</v>
      </c>
      <c r="CE76" s="75">
        <f>IF(OR(IPC!CE35="",IPC!BS35=""),"",IPC!CE35/IPC!BS35-1)</f>
        <v>8.0241491277228683E-3</v>
      </c>
      <c r="CF76" s="75">
        <f>IF(OR(IPC!CF35="",IPC!BT35=""),"",IPC!CF35/IPC!BT35-1)</f>
        <v>8.1967770964088693E-3</v>
      </c>
      <c r="CG76" s="75">
        <f>IF(OR(IPC!CG35="",IPC!BU35=""),"",IPC!CG35/IPC!BU35-1)</f>
        <v>7.6645243934303497E-3</v>
      </c>
      <c r="CH76" s="75">
        <f>IF(OR(IPC!CH35="",IPC!BV35=""),"",IPC!CH35/IPC!BV35-1)</f>
        <v>1.2478484217226304E-2</v>
      </c>
      <c r="CI76" s="75">
        <f>IF(OR(IPC!CI35="",IPC!BW35=""),"",IPC!CI35/IPC!BW35-1)</f>
        <v>5.1309411556390572E-3</v>
      </c>
      <c r="CJ76" s="75">
        <f>IF(OR(IPC!CJ35="",IPC!BX35=""),"",IPC!CJ35/IPC!BX35-1)</f>
        <v>5.8092175525332745E-3</v>
      </c>
      <c r="CK76" s="75">
        <f>IF(OR(IPC!CK35="",IPC!BY35=""),"",IPC!CK35/IPC!BY35-1)</f>
        <v>1.0574577894520321E-2</v>
      </c>
      <c r="CL76" s="75">
        <f>IF(OR(IPC!CL35="",IPC!BZ35=""),"",IPC!CL35/IPC!BZ35-1)</f>
        <v>9.1494217200949191E-3</v>
      </c>
      <c r="CM76" s="75">
        <f>IF(OR(IPC!CM35="",IPC!CA35=""),"",IPC!CM35/IPC!CA35-1)</f>
        <v>1.228408478928289E-2</v>
      </c>
      <c r="CN76" s="75">
        <f>IF(OR(IPC!CN35="",IPC!CB35=""),"",IPC!CN35/IPC!CB35-1)</f>
        <v>1.5866651010018495E-2</v>
      </c>
      <c r="CO76" s="75">
        <f>IF(OR(IPC!CO35="",IPC!CC35=""),"",IPC!CO35/IPC!CC35-1)</f>
        <v>1.5191260799075179E-2</v>
      </c>
      <c r="CP76" s="75">
        <f>IF(OR(IPC!CP35="",IPC!CD35=""),"",IPC!CP35/IPC!CD35-1)</f>
        <v>1.6205327616788168E-2</v>
      </c>
      <c r="CQ76" s="75">
        <f>IF(OR(IPC!CQ35="",IPC!CE35=""),"",IPC!CQ35/IPC!CE35-1)</f>
        <v>1.6700536001512445E-2</v>
      </c>
      <c r="CR76" s="75">
        <f>IF(OR(IPC!CR35="",IPC!CF35=""),"",IPC!CR35/IPC!CF35-1)</f>
        <v>1.6695766935736156E-2</v>
      </c>
      <c r="CS76" s="75">
        <f>IF(OR(IPC!CS35="",IPC!CG35=""),"",IPC!CS35/IPC!CG35-1)</f>
        <v>2.2020350189129845E-2</v>
      </c>
      <c r="CT76" s="75">
        <f>IF(OR(IPC!CT35="",IPC!CH35=""),"",IPC!CT35/IPC!CH35-1)</f>
        <v>2.2415160803677336E-2</v>
      </c>
      <c r="CU76" s="75">
        <f>IF(OR(IPC!CU35="",IPC!CI35=""),"",IPC!CU35/IPC!CI35-1)</f>
        <v>2.3093123755568046E-2</v>
      </c>
      <c r="CV76" s="75">
        <f>IF(OR(IPC!CV35="",IPC!CJ35=""),"",IPC!CV35/IPC!CJ35-1)</f>
        <v>2.3169364164505657E-2</v>
      </c>
      <c r="CW76" s="75">
        <f>IF(OR(IPC!CW35="",IPC!CK35=""),"",IPC!CW35/IPC!CK35-1)</f>
        <v>2.141340769582456E-2</v>
      </c>
      <c r="CX76" s="75">
        <f>IF(OR(IPC!CX35="",IPC!CL35=""),"",IPC!CX35/IPC!CL35-1)</f>
        <v>2.286980460414445E-2</v>
      </c>
      <c r="CY76" s="75">
        <f>IF(OR(IPC!CY35="",IPC!CM35=""),"",IPC!CY35/IPC!CM35-1)</f>
        <v>2.1886332952618659E-2</v>
      </c>
      <c r="CZ76" s="75">
        <f>IF(OR(IPC!CZ35="",IPC!CN35=""),"",IPC!CZ35/IPC!CN35-1)</f>
        <v>2.1959555118867602E-2</v>
      </c>
      <c r="DA76" s="75">
        <f>IF(OR(IPC!DA35="",IPC!CO35=""),"",IPC!DA35/IPC!CO35-1)</f>
        <v>2.4337881772519054E-2</v>
      </c>
      <c r="DB76" s="75">
        <f>IF(OR(IPC!DB35="",IPC!CP35=""),"",IPC!DB35/IPC!CP35-1)</f>
        <v>2.3185819623518844E-2</v>
      </c>
      <c r="DC76" s="75">
        <f>IF(OR(IPC!DC35="",IPC!CQ35=""),"",IPC!DC35/IPC!CQ35-1)</f>
        <v>2.3422750112660928E-2</v>
      </c>
      <c r="DD76" s="75">
        <f>IF(OR(IPC!DD35="",IPC!CR35=""),"",IPC!DD35/IPC!CR35-1)</f>
        <v>2.2985782552796374E-2</v>
      </c>
      <c r="DE76" s="75">
        <f>IF(OR(IPC!DE35="",IPC!CS35=""),"",IPC!DE35/IPC!CS35-1)</f>
        <v>2.4166324200098011E-2</v>
      </c>
      <c r="DF76" s="75">
        <f>IF(OR(IPC!DF35="",IPC!CT35=""),"",IPC!DF35/IPC!CT35-1)</f>
        <v>2.5373690990728504E-2</v>
      </c>
      <c r="DG76" s="75">
        <f>IF(OR(IPC!DG35="",IPC!CU35=""),"",IPC!DG35/IPC!CU35-1)</f>
        <v>2.6042997926552403E-2</v>
      </c>
      <c r="DH76" s="75">
        <f>IF(OR(IPC!DH35="",IPC!CV35=""),"",IPC!DH35/IPC!CV35-1)</f>
        <v>2.484022705124822E-2</v>
      </c>
      <c r="DI76" s="75">
        <f>IF(OR(IPC!DI35="",IPC!CW35=""),"",IPC!DI35/IPC!CW35-1)</f>
        <v>2.4368034608283962E-2</v>
      </c>
      <c r="DJ76" s="75">
        <f>IF(OR(IPC!DJ35="",IPC!CX35=""),"",IPC!DJ35/IPC!CX35-1)</f>
        <v>2.2174092111659105E-2</v>
      </c>
      <c r="DK76" s="75">
        <f>IF(OR(IPC!DK35="",IPC!CY35=""),"",IPC!DK35/IPC!CY35-1)</f>
        <v>2.4142718058240975E-2</v>
      </c>
      <c r="DL76" s="75">
        <f>IF(OR(IPC!DL35="",IPC!CZ35=""),"",IPC!DL35/IPC!CZ35-1)</f>
        <v>2.3877355281796353E-2</v>
      </c>
      <c r="DM76" s="75">
        <f>IF(OR(IPC!DM35="",IPC!DA35=""),"",IPC!DM35/IPC!DA35-1)</f>
        <v>2.3781499184039046E-2</v>
      </c>
      <c r="DN76" s="75">
        <f>IF(OR(IPC!DN35="",IPC!DB35=""),"",IPC!DN35/IPC!DB35-1)</f>
        <v>2.2481715209272224E-2</v>
      </c>
      <c r="DO76" s="75">
        <f>IF(OR(IPC!DO35="",IPC!DC35=""),"",IPC!DO35/IPC!DC35-1)</f>
        <v>2.0945563659007238E-2</v>
      </c>
      <c r="DP76" s="75">
        <f>IF(OR(IPC!DP35="",IPC!DD35=""),"",IPC!DP35/IPC!DD35-1)</f>
        <v>2.3739892259623474E-2</v>
      </c>
      <c r="DQ76" s="75">
        <f>IF(OR(IPC!DQ35="",IPC!DE35=""),"",IPC!DQ35/IPC!DE35-1)</f>
        <v>2.0505121406524385E-2</v>
      </c>
      <c r="DR76" s="75">
        <f>IF(OR(IPC!DR35="",IPC!DF35=""),"",IPC!DR35/IPC!DF35-1)</f>
        <v>1.9680994951662534E-2</v>
      </c>
      <c r="DS76" s="75">
        <f>IF(OR(IPC!DS35="",IPC!DG35=""),"",IPC!DS35/IPC!DG35-1)</f>
        <v>1.8293763443617994E-2</v>
      </c>
      <c r="DT76" s="75">
        <f>IF(OR(IPC!DT35="",IPC!DH35=""),"",IPC!DT35/IPC!DH35-1)</f>
        <v>1.9788825222437412E-2</v>
      </c>
      <c r="DU76" s="75">
        <f>IF(OR(IPC!DU35="",IPC!DI35=""),"",IPC!DU35/IPC!DI35-1)</f>
        <v>2.0354622868508088E-2</v>
      </c>
      <c r="DV76" s="75">
        <f>IF(OR(IPC!DV35="",IPC!DJ35=""),"",IPC!DV35/IPC!DJ35-1)</f>
        <v>2.4644710462783381E-2</v>
      </c>
      <c r="DW76" s="75">
        <f>IF(OR(IPC!DW35="",IPC!DK35=""),"",IPC!DW35/IPC!DK35-1)</f>
        <v>1.9613303880495092E-2</v>
      </c>
      <c r="DX76" s="75">
        <f>IF(OR(IPC!DX35="",IPC!DL35=""),"",IPC!DX35/IPC!DL35-1)</f>
        <v>1.9632684220207475E-2</v>
      </c>
      <c r="DY76" s="75">
        <f>IF(OR(IPC!DY35="",IPC!DM35=""),"",IPC!DY35/IPC!DM35-1)</f>
        <v>1.9095527733470785E-2</v>
      </c>
      <c r="DZ76" s="75">
        <f>IF(OR(IPC!DZ35="",IPC!DN35=""),"",IPC!DZ35/IPC!DN35-1)</f>
        <v>2.2505443444242212E-2</v>
      </c>
      <c r="EA76" s="75">
        <f>IF(OR(IPC!EA35="",IPC!DO35=""),"",IPC!EA35/IPC!DO35-1)</f>
        <v>2.3835411668090334E-2</v>
      </c>
      <c r="EB76" s="75">
        <f>IF(OR(IPC!EB35="",IPC!DP35=""),"",IPC!EB35/IPC!DP35-1)</f>
        <v>1.892510848472484E-2</v>
      </c>
      <c r="EC76" s="75">
        <f>IF(OR(IPC!EC35="",IPC!DQ35=""),"",IPC!EC35/IPC!DQ35-1)</f>
        <v>2.1088827732398618E-2</v>
      </c>
      <c r="ED76" s="75">
        <f>IF(OR(IPC!ED35="",IPC!DR35=""),"",IPC!ED35/IPC!DR35-1)</f>
        <v>2.127712454955355E-2</v>
      </c>
      <c r="EE76" s="75">
        <f>IF(OR(IPC!EE35="",IPC!DS35=""),"",IPC!EE35/IPC!DS35-1)</f>
        <v>2.1499174940047494E-2</v>
      </c>
      <c r="EF76" s="75">
        <f>IF(OR(IPC!EF35="",IPC!DT35=""),"",IPC!EF35/IPC!DT35-1)</f>
        <v>2.4689455955523298E-2</v>
      </c>
      <c r="EG76" s="75">
        <f>IF(OR(IPC!EG35="",IPC!DU35=""),"",IPC!EG35/IPC!DU35-1)</f>
        <v>2.7343057193219611E-2</v>
      </c>
      <c r="EH76" s="75">
        <f>IF(OR(IPC!EH35="",IPC!DV35=""),"",IPC!EH35/IPC!DV35-1)</f>
        <v>2.7258172691415394E-2</v>
      </c>
      <c r="EI76" s="75">
        <f>IF(OR(IPC!EI35="",IPC!DW35=""),"",IPC!EI35/IPC!DW35-1)</f>
        <v>3.6286412426989711E-2</v>
      </c>
      <c r="EJ76" s="75">
        <f>IF(OR(IPC!EJ35="",IPC!DX35=""),"",IPC!EJ35/IPC!DX35-1)</f>
        <v>4.0717705238251023E-2</v>
      </c>
      <c r="EK76" s="75">
        <f>IF(OR(IPC!EK35="",IPC!DY35=""),"",IPC!EK35/IPC!DY35-1)</f>
        <v>4.3839074069651041E-2</v>
      </c>
      <c r="EL76" s="75">
        <f>IF(OR(IPC!EL35="",IPC!DZ35=""),"",IPC!EL35/IPC!DZ35-1)</f>
        <v>4.0661695443363399E-2</v>
      </c>
      <c r="EM76" s="75">
        <f>IF(OR(IPC!EM35="",IPC!EA35=""),"",IPC!EM35/IPC!EA35-1)</f>
        <v>4.2437990196078745E-2</v>
      </c>
      <c r="EN76" s="75">
        <f>IF(OR(IPC!EN35="",IPC!EB35=""),"",IPC!EN35/IPC!EB35-1)</f>
        <v>4.7776113645073393E-2</v>
      </c>
      <c r="EO76" s="75">
        <f>IF(OR(IPC!EO35="",IPC!EC35=""),"",IPC!EO35/IPC!EC35-1)</f>
        <v>4.5163215097992593E-2</v>
      </c>
      <c r="EP76" s="75">
        <f>IF(OR(IPC!EP35="",IPC!ED35=""),"",IPC!EP35/IPC!ED35-1)</f>
        <v>4.3976976330578843E-2</v>
      </c>
      <c r="EQ76" s="75">
        <f>IF(OR(IPC!EQ35="",IPC!EE35=""),"",IPC!EQ35/IPC!EE35-1)</f>
        <v>4.5879439704421987E-2</v>
      </c>
      <c r="ER76" s="75" t="str">
        <f>IF(OR(IPC!ER35="",IPC!EF35=""),"",IPC!ER35/IPC!EF35-1)</f>
        <v/>
      </c>
      <c r="ES76" s="75" t="str">
        <f>IF(OR(IPC!ES35="",IPC!EG35=""),"",IPC!ES35/IPC!EG35-1)</f>
        <v/>
      </c>
      <c r="ET76" s="75" t="str">
        <f>IF(OR(IPC!ET35="",IPC!EH35=""),"",IPC!ET35/IPC!EH35-1)</f>
        <v/>
      </c>
      <c r="EU76" s="75" t="str">
        <f>IF(OR(IPC!EU35="",IPC!EI35=""),"",IPC!EU35/IPC!EI35-1)</f>
        <v/>
      </c>
      <c r="EV76" s="75" t="str">
        <f>IF(OR(IPC!EV35="",IPC!EJ35=""),"",IPC!EV35/IPC!EJ35-1)</f>
        <v/>
      </c>
      <c r="EW76" s="75" t="str">
        <f>IF(OR(IPC!EW35="",IPC!EK35=""),"",IPC!EW35/IPC!EK35-1)</f>
        <v/>
      </c>
      <c r="EX76" s="75" t="str">
        <f>IF(OR(IPC!EX35="",IPC!EL35=""),"",IPC!EX35/IPC!EL35-1)</f>
        <v/>
      </c>
      <c r="EY76" s="75" t="str">
        <f>IF(OR(IPC!EY35="",IPC!EM35=""),"",IPC!EY35/IPC!EM35-1)</f>
        <v/>
      </c>
      <c r="EZ76" s="75" t="str">
        <f>IF(OR(IPC!EZ35="",IPC!EN35=""),"",IPC!EZ35/IPC!EN35-1)</f>
        <v/>
      </c>
      <c r="FA76" s="75" t="str">
        <f>IF(OR(IPC!FA35="",IPC!EO35=""),"",IPC!FA35/IPC!EO35-1)</f>
        <v/>
      </c>
      <c r="FB76" s="75" t="str">
        <f>IF(OR(IPC!FB35="",IPC!EP35=""),"",IPC!FB35/IPC!EP35-1)</f>
        <v/>
      </c>
      <c r="FC76" s="75" t="str">
        <f>IF(OR(IPC!FC35="",IPC!EQ35=""),"",IPC!FC35/IPC!EQ35-1)</f>
        <v/>
      </c>
      <c r="FD76" s="75" t="str">
        <f>IF(OR(IPC!FD35="",IPC!ER35=""),"",IPC!FD35/IPC!ER35-1)</f>
        <v/>
      </c>
      <c r="FE76" s="75" t="str">
        <f>IF(OR(IPC!FE35="",IPC!ES35=""),"",IPC!FE35/IPC!ES35-1)</f>
        <v/>
      </c>
      <c r="FF76" s="75" t="str">
        <f>IF(OR(IPC!FF35="",IPC!ET35=""),"",IPC!FF35/IPC!ET35-1)</f>
        <v/>
      </c>
      <c r="FG76" s="75" t="str">
        <f>IF(OR(IPC!FG35="",IPC!EU35=""),"",IPC!FG35/IPC!EU35-1)</f>
        <v/>
      </c>
      <c r="FH76" s="75" t="str">
        <f>IF(OR(IPC!FH35="",IPC!EV35=""),"",IPC!FH35/IPC!EV35-1)</f>
        <v/>
      </c>
      <c r="FI76" s="75" t="str">
        <f>IF(OR(IPC!FI35="",IPC!EW35=""),"",IPC!FI35/IPC!EW35-1)</f>
        <v/>
      </c>
    </row>
    <row r="77" spans="1:174" s="81" customFormat="1" ht="10.199999999999999" x14ac:dyDescent="0.2">
      <c r="B77" s="81" t="s">
        <v>114</v>
      </c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>
        <f>IF(OR(IPC!AB36="",IPC!P36=""),"",IPC!AB36/IPC!P36-1)</f>
        <v>1.9784321832253093E-2</v>
      </c>
      <c r="AC77" s="84">
        <f>IF(OR(IPC!AC36="",IPC!Q36=""),"",IPC!AC36/IPC!Q36-1)</f>
        <v>2.4343157246513591E-2</v>
      </c>
      <c r="AD77" s="84">
        <f>IF(OR(IPC!AD36="",IPC!R36=""),"",IPC!AD36/IPC!R36-1)</f>
        <v>2.3193355338230859E-2</v>
      </c>
      <c r="AE77" s="84">
        <f>IF(OR(IPC!AE36="",IPC!S36=""),"",IPC!AE36/IPC!S36-1)</f>
        <v>2.2821330735087741E-2</v>
      </c>
      <c r="AF77" s="84">
        <f>IF(OR(IPC!AF36="",IPC!T36=""),"",IPC!AF36/IPC!T36-1)</f>
        <v>1.9622077220745826E-2</v>
      </c>
      <c r="AG77" s="84">
        <f>IF(OR(IPC!AG36="",IPC!U36=""),"",IPC!AG36/IPC!U36-1)</f>
        <v>1.6424730910880037E-2</v>
      </c>
      <c r="AH77" s="84">
        <f>IF(OR(IPC!AH36="",IPC!V36=""),"",IPC!AH36/IPC!V36-1)</f>
        <v>1.189447185757686E-2</v>
      </c>
      <c r="AI77" s="84">
        <f>IF(OR(IPC!AI36="",IPC!W36=""),"",IPC!AI36/IPC!W36-1)</f>
        <v>1.2653763935446483E-2</v>
      </c>
      <c r="AJ77" s="84">
        <f>IF(OR(IPC!AJ36="",IPC!X36=""),"",IPC!AJ36/IPC!X36-1)</f>
        <v>1.4892042294615715E-2</v>
      </c>
      <c r="AK77" s="84">
        <f>IF(OR(IPC!AK36="",IPC!Y36=""),"",IPC!AK36/IPC!Y36-1)</f>
        <v>1.3476806192178614E-2</v>
      </c>
      <c r="AL77" s="84">
        <f>IF(OR(IPC!AL36="",IPC!Z36=""),"",IPC!AL36/IPC!Z36-1)</f>
        <v>1.0129588680147794E-2</v>
      </c>
      <c r="AM77" s="84">
        <f>IF(OR(IPC!AM36="",IPC!AA36=""),"",IPC!AM36/IPC!AA36-1)</f>
        <v>1.2377050815298052E-2</v>
      </c>
      <c r="AN77" s="84">
        <f>IF(OR(IPC!AN36="",IPC!AB36=""),"",IPC!AN36/IPC!AB36-1)</f>
        <v>1.4874300133000729E-2</v>
      </c>
      <c r="AO77" s="84">
        <f>IF(OR(IPC!AO36="",IPC!AC36=""),"",IPC!AO36/IPC!AC36-1)</f>
        <v>1.1853131514715232E-2</v>
      </c>
      <c r="AP77" s="84">
        <f>IF(OR(IPC!AP36="",IPC!AD36=""),"",IPC!AP36/IPC!AD36-1)</f>
        <v>1.0320266233786901E-2</v>
      </c>
      <c r="AQ77" s="84">
        <f>IF(OR(IPC!AQ36="",IPC!AE36=""),"",IPC!AQ36/IPC!AE36-1)</f>
        <v>7.9267271639742454E-3</v>
      </c>
      <c r="AR77" s="84">
        <f>IF(OR(IPC!AR36="",IPC!AF36=""),"",IPC!AR36/IPC!AF36-1)</f>
        <v>1.1171749943518661E-2</v>
      </c>
      <c r="AS77" s="84">
        <f>IF(OR(IPC!AS36="",IPC!AG36=""),"",IPC!AS36/IPC!AG36-1)</f>
        <v>1.190102541849658E-2</v>
      </c>
      <c r="AT77" s="84">
        <f>IF(OR(IPC!AT36="",IPC!AH36=""),"",IPC!AT36/IPC!AH36-1)</f>
        <v>5.1999478139791E-2</v>
      </c>
      <c r="AU77" s="84">
        <f>IF(OR(IPC!AU36="",IPC!AI36=""),"",IPC!AU36/IPC!AI36-1)</f>
        <v>4.9873974173989311E-2</v>
      </c>
      <c r="AV77" s="84">
        <f>IF(OR(IPC!AV36="",IPC!AJ36=""),"",IPC!AV36/IPC!AJ36-1)</f>
        <v>5.1866184807564553E-2</v>
      </c>
      <c r="AW77" s="84">
        <f>IF(OR(IPC!AW36="",IPC!AK36=""),"",IPC!AW36/IPC!AK36-1)</f>
        <v>4.8980830752040072E-2</v>
      </c>
      <c r="AX77" s="84">
        <f>IF(OR(IPC!AX36="",IPC!AL36=""),"",IPC!AX36/IPC!AL36-1)</f>
        <v>5.2684013790888384E-2</v>
      </c>
      <c r="AY77" s="84">
        <f>IF(OR(IPC!AY36="",IPC!AM36=""),"",IPC!AY36/IPC!AM36-1)</f>
        <v>5.0822373173021074E-2</v>
      </c>
      <c r="AZ77" s="84">
        <f>IF(OR(IPC!AZ36="",IPC!AN36=""),"",IPC!AZ36/IPC!AN36-1)</f>
        <v>4.9133093708726205E-2</v>
      </c>
      <c r="BA77" s="84">
        <f>IF(OR(IPC!BA36="",IPC!AO36=""),"",IPC!BA36/IPC!AO36-1)</f>
        <v>5.515857834447746E-2</v>
      </c>
      <c r="BB77" s="84">
        <f>IF(OR(IPC!BB36="",IPC!AP36=""),"",IPC!BB36/IPC!AP36-1)</f>
        <v>6.0256744510295279E-2</v>
      </c>
      <c r="BC77" s="84">
        <f>IF(OR(IPC!BC36="",IPC!AQ36=""),"",IPC!BC36/IPC!AQ36-1)</f>
        <v>6.2404900677918818E-2</v>
      </c>
      <c r="BD77" s="84">
        <f>IF(OR(IPC!BD36="",IPC!AR36=""),"",IPC!BD36/IPC!AR36-1)</f>
        <v>6.0396123302969729E-2</v>
      </c>
      <c r="BE77" s="84">
        <f>IF(OR(IPC!BE36="",IPC!AS36=""),"",IPC!BE36/IPC!AS36-1)</f>
        <v>6.2390532033254953E-2</v>
      </c>
      <c r="BF77" s="84">
        <f>IF(OR(IPC!BF36="",IPC!AT36=""),"",IPC!BF36/IPC!AT36-1)</f>
        <v>2.2103851711417599E-2</v>
      </c>
      <c r="BG77" s="84">
        <f>IF(OR(IPC!BG36="",IPC!AU36=""),"",IPC!BG36/IPC!AU36-1)</f>
        <v>2.3077336804216086E-2</v>
      </c>
      <c r="BH77" s="84">
        <f>IF(OR(IPC!BH36="",IPC!AV36=""),"",IPC!BH36/IPC!AV36-1)</f>
        <v>2.1837559881110691E-2</v>
      </c>
      <c r="BI77" s="84">
        <f>IF(OR(IPC!BI36="",IPC!AW36=""),"",IPC!BI36/IPC!AW36-1)</f>
        <v>2.1007933143566415E-2</v>
      </c>
      <c r="BJ77" s="84">
        <f>IF(OR(IPC!BJ36="",IPC!AX36=""),"",IPC!BJ36/IPC!AX36-1)</f>
        <v>1.8718249194345837E-2</v>
      </c>
      <c r="BK77" s="84">
        <f>IF(OR(IPC!BK36="",IPC!AY36=""),"",IPC!BK36/IPC!AY36-1)</f>
        <v>1.7203964222597623E-2</v>
      </c>
      <c r="BL77" s="84">
        <f>IF(OR(IPC!BL36="",IPC!AZ36=""),"",IPC!BL36/IPC!AZ36-1)</f>
        <v>2.0434911504867426E-2</v>
      </c>
      <c r="BM77" s="84">
        <f>IF(OR(IPC!BM36="",IPC!BA36=""),"",IPC!BM36/IPC!BA36-1)</f>
        <v>1.6270770667929257E-2</v>
      </c>
      <c r="BN77" s="84">
        <f>IF(OR(IPC!BN36="",IPC!BB36=""),"",IPC!BN36/IPC!BB36-1)</f>
        <v>1.1908381548266345E-2</v>
      </c>
      <c r="BO77" s="84">
        <f>IF(OR(IPC!BO36="",IPC!BC36=""),"",IPC!BO36/IPC!BC36-1)</f>
        <v>1.0792052992244061E-2</v>
      </c>
      <c r="BP77" s="84">
        <f>IF(OR(IPC!BP36="",IPC!BD36=""),"",IPC!BP36/IPC!BD36-1)</f>
        <v>9.5502750731890629E-3</v>
      </c>
      <c r="BQ77" s="84">
        <f>IF(OR(IPC!BQ36="",IPC!BE36=""),"",IPC!BQ36/IPC!BE36-1)</f>
        <v>7.2085982003600169E-3</v>
      </c>
      <c r="BR77" s="84">
        <f>IF(OR(IPC!BR36="",IPC!BF36=""),"",IPC!BR36/IPC!BF36-1)</f>
        <v>7.2932867171597859E-3</v>
      </c>
      <c r="BS77" s="84">
        <f>IF(OR(IPC!BS36="",IPC!BG36=""),"",IPC!BS36/IPC!BG36-1)</f>
        <v>7.3143575579364128E-3</v>
      </c>
      <c r="BT77" s="84">
        <f>IF(OR(IPC!BT36="",IPC!BH36=""),"",IPC!BT36/IPC!BH36-1)</f>
        <v>3.5865221244137935E-3</v>
      </c>
      <c r="BU77" s="84">
        <f>IF(OR(IPC!BU36="",IPC!BI36=""),"",IPC!BU36/IPC!BI36-1)</f>
        <v>6.1662107276729827E-3</v>
      </c>
      <c r="BV77" s="84">
        <f>IF(OR(IPC!BV36="",IPC!BJ36=""),"",IPC!BV36/IPC!BJ36-1)</f>
        <v>6.872438894784505E-3</v>
      </c>
      <c r="BW77" s="84">
        <f>IF(OR(IPC!BW36="",IPC!BK36=""),"",IPC!BW36/IPC!BK36-1)</f>
        <v>7.6958124974944031E-3</v>
      </c>
      <c r="BX77" s="84">
        <f>IF(OR(IPC!BX36="",IPC!BL36=""),"",IPC!BX36/IPC!BL36-1)</f>
        <v>8.4315002011858819E-3</v>
      </c>
      <c r="BY77" s="84">
        <f>IF(OR(IPC!BY36="",IPC!BM36=""),"",IPC!BY36/IPC!BM36-1)</f>
        <v>8.3574851990011467E-3</v>
      </c>
      <c r="BZ77" s="84">
        <f>IF(OR(IPC!BZ36="",IPC!BN36=""),"",IPC!BZ36/IPC!BN36-1)</f>
        <v>1.0404697445730138E-2</v>
      </c>
      <c r="CA77" s="84">
        <f>IF(OR(IPC!CA36="",IPC!BO36=""),"",IPC!CA36/IPC!BO36-1)</f>
        <v>1.1364112327280962E-2</v>
      </c>
      <c r="CB77" s="84">
        <f>IF(OR(IPC!CB36="",IPC!BP36=""),"",IPC!CB36/IPC!BP36-1)</f>
        <v>9.5905127729498663E-3</v>
      </c>
      <c r="CC77" s="84">
        <f>IF(OR(IPC!CC36="",IPC!BQ36=""),"",IPC!CC36/IPC!BQ36-1)</f>
        <v>8.2941017327096134E-3</v>
      </c>
      <c r="CD77" s="84">
        <f>IF(OR(IPC!CD36="",IPC!BR36=""),"",IPC!CD36/IPC!BR36-1)</f>
        <v>9.88682870979396E-3</v>
      </c>
      <c r="CE77" s="84">
        <f>IF(OR(IPC!CE36="",IPC!BS36=""),"",IPC!CE36/IPC!BS36-1)</f>
        <v>8.1278750408135814E-3</v>
      </c>
      <c r="CF77" s="84">
        <f>IF(OR(IPC!CF36="",IPC!BT36=""),"",IPC!CF36/IPC!BT36-1)</f>
        <v>8.3743789167420868E-3</v>
      </c>
      <c r="CG77" s="84">
        <f>IF(OR(IPC!CG36="",IPC!BU36=""),"",IPC!CG36/IPC!BU36-1)</f>
        <v>7.2281651683552273E-3</v>
      </c>
      <c r="CH77" s="84">
        <f>IF(OR(IPC!CH36="",IPC!BV36=""),"",IPC!CH36/IPC!BV36-1)</f>
        <v>5.7113245289637238E-3</v>
      </c>
      <c r="CI77" s="84">
        <f>IF(OR(IPC!CI36="",IPC!BW36=""),"",IPC!CI36/IPC!BW36-1)</f>
        <v>5.9207456755581145E-3</v>
      </c>
      <c r="CJ77" s="84">
        <f>IF(OR(IPC!CJ36="",IPC!BX36=""),"",IPC!CJ36/IPC!BX36-1)</f>
        <v>4.2580880386484665E-3</v>
      </c>
      <c r="CK77" s="84">
        <f>IF(OR(IPC!CK36="",IPC!BY36=""),"",IPC!CK36/IPC!BY36-1)</f>
        <v>4.8765110772099884E-3</v>
      </c>
      <c r="CL77" s="84">
        <f>IF(OR(IPC!CL36="",IPC!BZ36=""),"",IPC!CL36/IPC!BZ36-1)</f>
        <v>3.7262099600188225E-3</v>
      </c>
      <c r="CM77" s="84">
        <f>IF(OR(IPC!CM36="",IPC!CA36=""),"",IPC!CM36/IPC!CA36-1)</f>
        <v>4.5919831783358678E-3</v>
      </c>
      <c r="CN77" s="84">
        <f>IF(OR(IPC!CN36="",IPC!CB36=""),"",IPC!CN36/IPC!CB36-1)</f>
        <v>7.2140629033736747E-3</v>
      </c>
      <c r="CO77" s="84">
        <f>IF(OR(IPC!CO36="",IPC!CC36=""),"",IPC!CO36/IPC!CC36-1)</f>
        <v>1.0264666083386942E-2</v>
      </c>
      <c r="CP77" s="84">
        <f>IF(OR(IPC!CP36="",IPC!CD36=""),"",IPC!CP36/IPC!CD36-1)</f>
        <v>1.4273329797690026E-2</v>
      </c>
      <c r="CQ77" s="84">
        <f>IF(OR(IPC!CQ36="",IPC!CE36=""),"",IPC!CQ36/IPC!CE36-1)</f>
        <v>1.5002619170542131E-2</v>
      </c>
      <c r="CR77" s="84">
        <f>IF(OR(IPC!CR36="",IPC!CF36=""),"",IPC!CR36/IPC!CF36-1)</f>
        <v>1.6665495839452982E-2</v>
      </c>
      <c r="CS77" s="84">
        <f>IF(OR(IPC!CS36="",IPC!CG36=""),"",IPC!CS36/IPC!CG36-1)</f>
        <v>1.8945930858286442E-2</v>
      </c>
      <c r="CT77" s="84">
        <f>IF(OR(IPC!CT36="",IPC!CH36=""),"",IPC!CT36/IPC!CH36-1)</f>
        <v>2.0549417611704701E-2</v>
      </c>
      <c r="CU77" s="84">
        <f>IF(OR(IPC!CU36="",IPC!CI36=""),"",IPC!CU36/IPC!CI36-1)</f>
        <v>2.3191628682560639E-2</v>
      </c>
      <c r="CV77" s="84">
        <f>IF(OR(IPC!CV36="",IPC!CJ36=""),"",IPC!CV36/IPC!CJ36-1)</f>
        <v>2.4501203507876657E-2</v>
      </c>
      <c r="CW77" s="84">
        <f>IF(OR(IPC!CW36="",IPC!CK36=""),"",IPC!CW36/IPC!CK36-1)</f>
        <v>2.2001870233456566E-2</v>
      </c>
      <c r="CX77" s="84">
        <f>IF(OR(IPC!CX36="",IPC!CL36=""),"",IPC!CX36/IPC!CL36-1)</f>
        <v>2.7174846576005329E-2</v>
      </c>
      <c r="CY77" s="84">
        <f>IF(OR(IPC!CY36="",IPC!CM36=""),"",IPC!CY36/IPC!CM36-1)</f>
        <v>2.5809352848607414E-2</v>
      </c>
      <c r="CZ77" s="84">
        <f>IF(OR(IPC!CZ36="",IPC!CN36=""),"",IPC!CZ36/IPC!CN36-1)</f>
        <v>2.5372742144395E-2</v>
      </c>
      <c r="DA77" s="84">
        <f>IF(OR(IPC!DA36="",IPC!CO36=""),"",IPC!DA36/IPC!CO36-1)</f>
        <v>2.225232487659623E-2</v>
      </c>
      <c r="DB77" s="84">
        <f>IF(OR(IPC!DB36="",IPC!CP36=""),"",IPC!DB36/IPC!CP36-1)</f>
        <v>1.8809558806162974E-2</v>
      </c>
      <c r="DC77" s="84">
        <f>IF(OR(IPC!DC36="",IPC!CQ36=""),"",IPC!DC36/IPC!CQ36-1)</f>
        <v>1.7980569979892502E-2</v>
      </c>
      <c r="DD77" s="84">
        <f>IF(OR(IPC!DD36="",IPC!CR36=""),"",IPC!DD36/IPC!CR36-1)</f>
        <v>1.6958275995786254E-2</v>
      </c>
      <c r="DE77" s="84">
        <f>IF(OR(IPC!DE36="",IPC!CS36=""),"",IPC!DE36/IPC!CS36-1)</f>
        <v>1.6561851408918304E-2</v>
      </c>
      <c r="DF77" s="84">
        <f>IF(OR(IPC!DF36="",IPC!CT36=""),"",IPC!DF36/IPC!CT36-1)</f>
        <v>1.5547121965102662E-2</v>
      </c>
      <c r="DG77" s="84">
        <f>IF(OR(IPC!DG36="",IPC!CU36=""),"",IPC!DG36/IPC!CU36-1)</f>
        <v>1.4286272031824199E-2</v>
      </c>
      <c r="DH77" s="84">
        <f>IF(OR(IPC!DH36="",IPC!CV36=""),"",IPC!DH36/IPC!CV36-1)</f>
        <v>1.2510869843327832E-2</v>
      </c>
      <c r="DI77" s="84">
        <f>IF(OR(IPC!DI36="",IPC!CW36=""),"",IPC!DI36/IPC!CW36-1)</f>
        <v>1.5543041457060314E-2</v>
      </c>
      <c r="DJ77" s="84">
        <f>IF(OR(IPC!DJ36="",IPC!CX36=""),"",IPC!DJ36/IPC!CX36-1)</f>
        <v>1.3522677790885895E-2</v>
      </c>
      <c r="DK77" s="84">
        <f>IF(OR(IPC!DK36="",IPC!CY36=""),"",IPC!DK36/IPC!CY36-1)</f>
        <v>2.6440785485599694E-2</v>
      </c>
      <c r="DL77" s="84">
        <f>IF(OR(IPC!DL36="",IPC!CZ36=""),"",IPC!DL36/IPC!CZ36-1)</f>
        <v>1.2941483927049191E-2</v>
      </c>
      <c r="DM77" s="84">
        <f>IF(OR(IPC!DM36="",IPC!DA36=""),"",IPC!DM36/IPC!DA36-1)</f>
        <v>1.2402138394213669E-2</v>
      </c>
      <c r="DN77" s="84">
        <f>IF(OR(IPC!DN36="",IPC!DB36=""),"",IPC!DN36/IPC!DB36-1)</f>
        <v>1.2628126286714725E-2</v>
      </c>
      <c r="DO77" s="84">
        <f>IF(OR(IPC!DO36="",IPC!DC36=""),"",IPC!DO36/IPC!DC36-1)</f>
        <v>1.2029633643547255E-2</v>
      </c>
      <c r="DP77" s="84">
        <f>IF(OR(IPC!DP36="",IPC!DD36=""),"",IPC!DP36/IPC!DD36-1)</f>
        <v>1.3011033631904478E-2</v>
      </c>
      <c r="DQ77" s="84">
        <f>IF(OR(IPC!DQ36="",IPC!DE36=""),"",IPC!DQ36/IPC!DE36-1)</f>
        <v>1.3750370885467822E-2</v>
      </c>
      <c r="DR77" s="84">
        <f>IF(OR(IPC!DR36="",IPC!DF36=""),"",IPC!DR36/IPC!DF36-1)</f>
        <v>1.4071175643101119E-2</v>
      </c>
      <c r="DS77" s="84">
        <f>IF(OR(IPC!DS36="",IPC!DG36=""),"",IPC!DS36/IPC!DG36-1)</f>
        <v>1.1673233754229573E-2</v>
      </c>
      <c r="DT77" s="84">
        <f>IF(OR(IPC!DT36="",IPC!DH36=""),"",IPC!DT36/IPC!DH36-1)</f>
        <v>1.2142008066839738E-2</v>
      </c>
      <c r="DU77" s="84">
        <f>IF(OR(IPC!DU36="",IPC!DI36=""),"",IPC!DU36/IPC!DI36-1)</f>
        <v>1.1196589692301195E-2</v>
      </c>
      <c r="DV77" s="84">
        <f>IF(OR(IPC!DV36="",IPC!DJ36=""),"",IPC!DV36/IPC!DJ36-1)</f>
        <v>9.2233633777392132E-3</v>
      </c>
      <c r="DW77" s="84">
        <f>IF(OR(IPC!DW36="",IPC!DK36=""),"",IPC!DW36/IPC!DK36-1)</f>
        <v>-4.1321887133668467E-3</v>
      </c>
      <c r="DX77" s="84">
        <f>IF(OR(IPC!DX36="",IPC!DL36=""),"",IPC!DX36/IPC!DL36-1)</f>
        <v>8.4463895420179291E-3</v>
      </c>
      <c r="DY77" s="84">
        <f>IF(OR(IPC!DY36="",IPC!DM36=""),"",IPC!DY36/IPC!DM36-1)</f>
        <v>8.6718827004221843E-3</v>
      </c>
      <c r="DZ77" s="84">
        <f>IF(OR(IPC!DZ36="",IPC!DN36=""),"",IPC!DZ36/IPC!DN36-1)</f>
        <v>9.5567608611049071E-3</v>
      </c>
      <c r="EA77" s="84">
        <f>IF(OR(IPC!EA36="",IPC!DO36=""),"",IPC!EA36/IPC!DO36-1)</f>
        <v>1.0399671900075624E-2</v>
      </c>
      <c r="EB77" s="84">
        <f>IF(OR(IPC!EB36="",IPC!DP36=""),"",IPC!EB36/IPC!DP36-1)</f>
        <v>9.4670032560650874E-3</v>
      </c>
      <c r="EC77" s="84">
        <f>IF(OR(IPC!EC36="",IPC!DQ36=""),"",IPC!EC36/IPC!DQ36-1)</f>
        <v>9.5774247327362616E-3</v>
      </c>
      <c r="ED77" s="84">
        <f>IF(OR(IPC!ED36="",IPC!DR36=""),"",IPC!ED36/IPC!DR36-1)</f>
        <v>1.0036270086506871E-2</v>
      </c>
      <c r="EE77" s="84">
        <f>IF(OR(IPC!EE36="",IPC!DS36=""),"",IPC!EE36/IPC!DS36-1)</f>
        <v>1.418357029645434E-2</v>
      </c>
      <c r="EF77" s="84">
        <f>IF(OR(IPC!EF36="",IPC!DT36=""),"",IPC!EF36/IPC!DT36-1)</f>
        <v>1.6731227615782496E-2</v>
      </c>
      <c r="EG77" s="84">
        <f>IF(OR(IPC!EG36="",IPC!DU36=""),"",IPC!EG36/IPC!DU36-1)</f>
        <v>1.6947194659375997E-2</v>
      </c>
      <c r="EH77" s="84">
        <f>IF(OR(IPC!EH36="",IPC!DV36=""),"",IPC!EH36/IPC!DV36-1)</f>
        <v>1.9781810896496221E-2</v>
      </c>
      <c r="EI77" s="84">
        <f>IF(OR(IPC!EI36="",IPC!DW36=""),"",IPC!EI36/IPC!DW36-1)</f>
        <v>2.2406642706290558E-2</v>
      </c>
      <c r="EJ77" s="84">
        <f>IF(OR(IPC!EJ36="",IPC!DX36=""),"",IPC!EJ36/IPC!DX36-1)</f>
        <v>2.6874095770247131E-2</v>
      </c>
      <c r="EK77" s="84">
        <f>IF(OR(IPC!EK36="",IPC!DY36=""),"",IPC!EK36/IPC!DY36-1)</f>
        <v>3.0624041454227813E-2</v>
      </c>
      <c r="EL77" s="84">
        <f>IF(OR(IPC!EL36="",IPC!DZ36=""),"",IPC!EL36/IPC!DZ36-1)</f>
        <v>3.1646853819716991E-2</v>
      </c>
      <c r="EM77" s="84">
        <f>IF(OR(IPC!EM36="",IPC!EA36=""),"",IPC!EM36/IPC!EA36-1)</f>
        <v>3.5080114740668522E-2</v>
      </c>
      <c r="EN77" s="84">
        <f>IF(OR(IPC!EN36="",IPC!EB36=""),"",IPC!EN36/IPC!EB36-1)</f>
        <v>3.8711292440646083E-2</v>
      </c>
      <c r="EO77" s="84">
        <f>IF(OR(IPC!EO36="",IPC!EC36=""),"",IPC!EO36/IPC!EC36-1)</f>
        <v>3.7906725259418073E-2</v>
      </c>
      <c r="EP77" s="84">
        <f>IF(OR(IPC!EP36="",IPC!ED36=""),"",IPC!EP36/IPC!ED36-1)</f>
        <v>3.7487552456469286E-2</v>
      </c>
      <c r="EQ77" s="84">
        <f>IF(OR(IPC!EQ36="",IPC!EE36=""),"",IPC!EQ36/IPC!EE36-1)</f>
        <v>3.4454578921233825E-2</v>
      </c>
      <c r="ER77" s="84" t="str">
        <f>IF(OR(IPC!ER36="",IPC!EF36=""),"",IPC!ER36/IPC!EF36-1)</f>
        <v/>
      </c>
      <c r="ES77" s="84" t="str">
        <f>IF(OR(IPC!ES36="",IPC!EG36=""),"",IPC!ES36/IPC!EG36-1)</f>
        <v/>
      </c>
      <c r="ET77" s="84" t="str">
        <f>IF(OR(IPC!ET36="",IPC!EH36=""),"",IPC!ET36/IPC!EH36-1)</f>
        <v/>
      </c>
      <c r="EU77" s="84" t="str">
        <f>IF(OR(IPC!EU36="",IPC!EI36=""),"",IPC!EU36/IPC!EI36-1)</f>
        <v/>
      </c>
      <c r="EV77" s="84" t="str">
        <f>IF(OR(IPC!EV36="",IPC!EJ36=""),"",IPC!EV36/IPC!EJ36-1)</f>
        <v/>
      </c>
      <c r="EW77" s="84" t="str">
        <f>IF(OR(IPC!EW36="",IPC!EK36=""),"",IPC!EW36/IPC!EK36-1)</f>
        <v/>
      </c>
      <c r="EX77" s="84" t="str">
        <f>IF(OR(IPC!EX36="",IPC!EL36=""),"",IPC!EX36/IPC!EL36-1)</f>
        <v/>
      </c>
      <c r="EY77" s="84" t="str">
        <f>IF(OR(IPC!EY36="",IPC!EM36=""),"",IPC!EY36/IPC!EM36-1)</f>
        <v/>
      </c>
      <c r="EZ77" s="84" t="str">
        <f>IF(OR(IPC!EZ36="",IPC!EN36=""),"",IPC!EZ36/IPC!EN36-1)</f>
        <v/>
      </c>
      <c r="FA77" s="84" t="str">
        <f>IF(OR(IPC!FA36="",IPC!EO36=""),"",IPC!FA36/IPC!EO36-1)</f>
        <v/>
      </c>
      <c r="FB77" s="84" t="str">
        <f>IF(OR(IPC!FB36="",IPC!EP36=""),"",IPC!FB36/IPC!EP36-1)</f>
        <v/>
      </c>
      <c r="FC77" s="84" t="str">
        <f>IF(OR(IPC!FC36="",IPC!EQ36=""),"",IPC!FC36/IPC!EQ36-1)</f>
        <v/>
      </c>
      <c r="FD77" s="84" t="str">
        <f>IF(OR(IPC!FD36="",IPC!ER36=""),"",IPC!FD36/IPC!ER36-1)</f>
        <v/>
      </c>
      <c r="FE77" s="84" t="str">
        <f>IF(OR(IPC!FE36="",IPC!ES36=""),"",IPC!FE36/IPC!ES36-1)</f>
        <v/>
      </c>
      <c r="FF77" s="84" t="str">
        <f>IF(OR(IPC!FF36="",IPC!ET36=""),"",IPC!FF36/IPC!ET36-1)</f>
        <v/>
      </c>
      <c r="FG77" s="84" t="str">
        <f>IF(OR(IPC!FG36="",IPC!EU36=""),"",IPC!FG36/IPC!EU36-1)</f>
        <v/>
      </c>
      <c r="FH77" s="84" t="str">
        <f>IF(OR(IPC!FH36="",IPC!EV36=""),"",IPC!FH36/IPC!EV36-1)</f>
        <v/>
      </c>
      <c r="FI77" s="84" t="str">
        <f>IF(OR(IPC!FI36="",IPC!EW36=""),"",IPC!FI36/IPC!EW36-1)</f>
        <v/>
      </c>
    </row>
    <row r="78" spans="1:174" s="74" customFormat="1" ht="10.199999999999999" x14ac:dyDescent="0.2">
      <c r="B78" s="3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5"/>
      <c r="BK78" s="75"/>
      <c r="BL78" s="75"/>
      <c r="BM78" s="75"/>
      <c r="BN78" s="75"/>
      <c r="BO78" s="75"/>
      <c r="BP78" s="75"/>
      <c r="BQ78" s="75"/>
      <c r="BR78" s="75"/>
      <c r="BS78" s="75"/>
      <c r="BT78" s="75"/>
      <c r="BU78" s="75"/>
      <c r="BV78" s="75"/>
      <c r="BW78" s="75"/>
      <c r="BX78" s="75"/>
      <c r="BY78" s="75"/>
      <c r="BZ78" s="75"/>
      <c r="CA78" s="75"/>
      <c r="CB78" s="75"/>
      <c r="CC78" s="75"/>
      <c r="CD78" s="75"/>
      <c r="CE78" s="75"/>
      <c r="CF78" s="75"/>
      <c r="CG78" s="75"/>
      <c r="CH78" s="75"/>
      <c r="CI78" s="75"/>
      <c r="CJ78" s="75"/>
      <c r="CK78" s="75"/>
      <c r="CL78" s="75"/>
      <c r="CM78" s="75"/>
      <c r="CN78" s="75"/>
      <c r="CO78" s="75"/>
      <c r="CP78" s="75"/>
      <c r="CQ78" s="75"/>
      <c r="CR78" s="75"/>
      <c r="CS78" s="75"/>
      <c r="CT78" s="75"/>
      <c r="CU78" s="75"/>
      <c r="CV78" s="75"/>
      <c r="CW78" s="75"/>
      <c r="CX78" s="75"/>
      <c r="CY78" s="75"/>
      <c r="CZ78" s="75"/>
      <c r="DA78" s="75"/>
      <c r="DB78" s="75"/>
      <c r="DC78" s="75"/>
      <c r="DD78" s="75"/>
      <c r="DE78" s="75"/>
      <c r="DF78" s="75"/>
      <c r="DG78" s="75"/>
      <c r="DH78" s="75"/>
      <c r="DI78" s="75"/>
      <c r="DJ78" s="75"/>
      <c r="DK78" s="75"/>
      <c r="DL78" s="75"/>
      <c r="DM78" s="75"/>
      <c r="DN78" s="75"/>
      <c r="DO78" s="75"/>
      <c r="DP78" s="75"/>
      <c r="DQ78" s="75"/>
      <c r="DR78" s="75"/>
      <c r="DS78" s="75"/>
      <c r="DT78" s="75"/>
      <c r="DU78" s="75"/>
      <c r="DV78" s="75"/>
      <c r="DW78" s="75"/>
      <c r="DX78" s="75"/>
      <c r="DY78" s="75"/>
      <c r="DZ78" s="75"/>
      <c r="EA78" s="75"/>
      <c r="EB78" s="75"/>
      <c r="EC78" s="75"/>
      <c r="ED78" s="75"/>
      <c r="EE78" s="75"/>
      <c r="EF78" s="75"/>
      <c r="EG78" s="75"/>
      <c r="EH78" s="75"/>
      <c r="EI78" s="75"/>
      <c r="EJ78" s="75"/>
      <c r="EK78" s="75"/>
      <c r="EL78" s="75"/>
      <c r="EM78" s="75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75"/>
      <c r="FF78" s="75"/>
      <c r="FG78" s="75"/>
      <c r="FH78" s="75"/>
      <c r="FI78" s="75"/>
    </row>
    <row r="79" spans="1:174" s="14" customFormat="1" ht="10.199999999999999" x14ac:dyDescent="0.2">
      <c r="A79" s="9"/>
      <c r="B79" s="9" t="s">
        <v>30</v>
      </c>
      <c r="C79" s="61">
        <f>SUM(C49:C59)</f>
        <v>384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 t="str">
        <f>IF(OR(IPC!Q38="",IPC!E38=""),"",IPC!Q38/IPC!E38-1)</f>
        <v/>
      </c>
      <c r="R79" s="33" t="str">
        <f>IF(OR(IPC!R38="",IPC!F38=""),"",IPC!R38/IPC!F38-1)</f>
        <v/>
      </c>
      <c r="S79" s="33" t="str">
        <f>IF(OR(IPC!S38="",IPC!G38=""),"",IPC!S38/IPC!G38-1)</f>
        <v/>
      </c>
      <c r="T79" s="33" t="str">
        <f>IF(OR(IPC!T38="",IPC!H38=""),"",IPC!T38/IPC!H38-1)</f>
        <v/>
      </c>
      <c r="U79" s="33" t="str">
        <f>IF(OR(IPC!U38="",IPC!I38=""),"",IPC!U38/IPC!I38-1)</f>
        <v/>
      </c>
      <c r="V79" s="33" t="str">
        <f>IF(OR(IPC!V38="",IPC!J38=""),"",IPC!V38/IPC!J38-1)</f>
        <v/>
      </c>
      <c r="W79" s="33" t="str">
        <f>IF(OR(IPC!W38="",IPC!K38=""),"",IPC!W38/IPC!K38-1)</f>
        <v/>
      </c>
      <c r="X79" s="33" t="str">
        <f>IF(OR(IPC!X38="",IPC!L38=""),"",IPC!X38/IPC!L38-1)</f>
        <v/>
      </c>
      <c r="Y79" s="33" t="str">
        <f>IF(OR(IPC!Y38="",IPC!M38=""),"",IPC!Y38/IPC!M38-1)</f>
        <v/>
      </c>
      <c r="Z79" s="33" t="str">
        <f>IF(OR(IPC!Z38="",IPC!N38=""),"",IPC!Z38/IPC!N38-1)</f>
        <v/>
      </c>
      <c r="AA79" s="33" t="str">
        <f>IF(OR(IPC!AA38="",IPC!O38=""),"",IPC!AA38/IPC!O38-1)</f>
        <v/>
      </c>
      <c r="AB79" s="33">
        <f>IF(OR(IPC!AB38="",IPC!P38=""),"",IPC!AB38/IPC!P38-1)</f>
        <v>1.6215358223867771E-2</v>
      </c>
      <c r="AC79" s="33">
        <f>IF(OR(IPC!AC38="",IPC!Q38=""),"",IPC!AC38/IPC!Q38-1)</f>
        <v>1.8856531300898149E-2</v>
      </c>
      <c r="AD79" s="33">
        <f>IF(OR(IPC!AD38="",IPC!R38=""),"",IPC!AD38/IPC!R38-1)</f>
        <v>1.6525795247217978E-2</v>
      </c>
      <c r="AE79" s="33">
        <f>IF(OR(IPC!AE38="",IPC!S38=""),"",IPC!AE38/IPC!S38-1)</f>
        <v>1.5900228525549842E-2</v>
      </c>
      <c r="AF79" s="33">
        <f>IF(OR(IPC!AF38="",IPC!T38=""),"",IPC!AF38/IPC!T38-1)</f>
        <v>1.2386501849774634E-2</v>
      </c>
      <c r="AG79" s="33">
        <f>IF(OR(IPC!AG38="",IPC!U38=""),"",IPC!AG38/IPC!U38-1)</f>
        <v>1.3106867064351047E-2</v>
      </c>
      <c r="AH79" s="33">
        <f>IF(OR(IPC!AH38="",IPC!V38=""),"",IPC!AH38/IPC!V38-1)</f>
        <v>1.0123892855009364E-2</v>
      </c>
      <c r="AI79" s="33">
        <f>IF(OR(IPC!AI38="",IPC!W38=""),"",IPC!AI38/IPC!W38-1)</f>
        <v>1.0372369174405094E-2</v>
      </c>
      <c r="AJ79" s="33">
        <f>IF(OR(IPC!AJ38="",IPC!X38=""),"",IPC!AJ38/IPC!X38-1)</f>
        <v>1.45883545301142E-2</v>
      </c>
      <c r="AK79" s="33">
        <f>IF(OR(IPC!AK38="",IPC!Y38=""),"",IPC!AK38/IPC!Y38-1)</f>
        <v>1.4151376625358036E-2</v>
      </c>
      <c r="AL79" s="33">
        <f>IF(OR(IPC!AL38="",IPC!Z38=""),"",IPC!AL38/IPC!Z38-1)</f>
        <v>1.2911770417256552E-2</v>
      </c>
      <c r="AM79" s="33">
        <f>IF(OR(IPC!AM38="",IPC!AA38=""),"",IPC!AM38/IPC!AA38-1)</f>
        <v>1.2989843797538203E-2</v>
      </c>
      <c r="AN79" s="33">
        <f>IF(OR(IPC!AN38="",IPC!AB38=""),"",IPC!AN38/IPC!AB38-1)</f>
        <v>1.3515690827896165E-2</v>
      </c>
      <c r="AO79" s="33">
        <f>IF(OR(IPC!AO38="",IPC!AC38=""),"",IPC!AO38/IPC!AC38-1)</f>
        <v>1.1430950699369058E-2</v>
      </c>
      <c r="AP79" s="33">
        <f>IF(OR(IPC!AP38="",IPC!AD38=""),"",IPC!AP38/IPC!AD38-1)</f>
        <v>9.0769866670217247E-3</v>
      </c>
      <c r="AQ79" s="33">
        <f>IF(OR(IPC!AQ38="",IPC!AE38=""),"",IPC!AQ38/IPC!AE38-1)</f>
        <v>7.3016801388736674E-3</v>
      </c>
      <c r="AR79" s="33">
        <f>IF(OR(IPC!AR38="",IPC!AF38=""),"",IPC!AR38/IPC!AF38-1)</f>
        <v>1.0485968922562705E-2</v>
      </c>
      <c r="AS79" s="33">
        <f>IF(OR(IPC!AS38="",IPC!AG38=""),"",IPC!AS38/IPC!AG38-1)</f>
        <v>9.3780889524390787E-3</v>
      </c>
      <c r="AT79" s="33">
        <f>IF(OR(IPC!AT38="",IPC!AH38=""),"",IPC!AT38/IPC!AH38-1)</f>
        <v>3.2386801611951066E-2</v>
      </c>
      <c r="AU79" s="33">
        <f>IF(OR(IPC!AU38="",IPC!AI38=""),"",IPC!AU38/IPC!AI38-1)</f>
        <v>3.2468871266190247E-2</v>
      </c>
      <c r="AV79" s="33">
        <f>IF(OR(IPC!AV38="",IPC!AJ38=""),"",IPC!AV38/IPC!AJ38-1)</f>
        <v>3.3824419700365649E-2</v>
      </c>
      <c r="AW79" s="33">
        <f>IF(OR(IPC!AW38="",IPC!AK38=""),"",IPC!AW38/IPC!AK38-1)</f>
        <v>2.8839508101825784E-2</v>
      </c>
      <c r="AX79" s="33">
        <f>IF(OR(IPC!AX38="",IPC!AL38=""),"",IPC!AX38/IPC!AL38-1)</f>
        <v>3.5082443517304496E-2</v>
      </c>
      <c r="AY79" s="33">
        <f>IF(OR(IPC!AY38="",IPC!AM38=""),"",IPC!AY38/IPC!AM38-1)</f>
        <v>3.3998159017013974E-2</v>
      </c>
      <c r="AZ79" s="33">
        <f>IF(OR(IPC!AZ38="",IPC!AN38=""),"",IPC!AZ38/IPC!AN38-1)</f>
        <v>3.0466849068096158E-2</v>
      </c>
      <c r="BA79" s="33">
        <f>IF(OR(IPC!BA38="",IPC!AO38=""),"",IPC!BA38/IPC!AO38-1)</f>
        <v>3.5009299856957776E-2</v>
      </c>
      <c r="BB79" s="33">
        <f>IF(OR(IPC!BB38="",IPC!AP38=""),"",IPC!BB38/IPC!AP38-1)</f>
        <v>3.783704051989023E-2</v>
      </c>
      <c r="BC79" s="33">
        <f>IF(OR(IPC!BC38="",IPC!AQ38=""),"",IPC!BC38/IPC!AQ38-1)</f>
        <v>4.078973760222393E-2</v>
      </c>
      <c r="BD79" s="33">
        <f>IF(OR(IPC!BD38="",IPC!AR38=""),"",IPC!BD38/IPC!AR38-1)</f>
        <v>3.9986756363999731E-2</v>
      </c>
      <c r="BE79" s="33">
        <f>IF(OR(IPC!BE38="",IPC!AS38=""),"",IPC!BE38/IPC!AS38-1)</f>
        <v>4.4880250706602176E-2</v>
      </c>
      <c r="BF79" s="33">
        <f>IF(OR(IPC!BF38="",IPC!AT38=""),"",IPC!BF38/IPC!AT38-1)</f>
        <v>1.8859628703978171E-2</v>
      </c>
      <c r="BG79" s="33">
        <f>IF(OR(IPC!BG38="",IPC!AU38=""),"",IPC!BG38/IPC!AU38-1)</f>
        <v>1.9348515821322021E-2</v>
      </c>
      <c r="BH79" s="33">
        <f>IF(OR(IPC!BH38="",IPC!AV38=""),"",IPC!BH38/IPC!AV38-1)</f>
        <v>1.7551003217019634E-2</v>
      </c>
      <c r="BI79" s="33">
        <f>IF(OR(IPC!BI38="",IPC!AW38=""),"",IPC!BI38/IPC!AW38-1)</f>
        <v>1.7047090594635605E-2</v>
      </c>
      <c r="BJ79" s="33">
        <f>IF(OR(IPC!BJ38="",IPC!AX38=""),"",IPC!BJ38/IPC!AX38-1)</f>
        <v>1.2313679703576996E-2</v>
      </c>
      <c r="BK79" s="33">
        <f>IF(OR(IPC!BK38="",IPC!AY38=""),"",IPC!BK38/IPC!AY38-1)</f>
        <v>1.2286569812405501E-2</v>
      </c>
      <c r="BL79" s="33">
        <f>IF(OR(IPC!BL38="",IPC!AZ38=""),"",IPC!BL38/IPC!AZ38-1)</f>
        <v>1.5049943827153633E-2</v>
      </c>
      <c r="BM79" s="33">
        <f>IF(OR(IPC!BM38="",IPC!BA38=""),"",IPC!BM38/IPC!BA38-1)</f>
        <v>9.1049528775448696E-3</v>
      </c>
      <c r="BN79" s="33">
        <f>IF(OR(IPC!BN38="",IPC!BB38=""),"",IPC!BN38/IPC!BB38-1)</f>
        <v>1.0468992037965474E-2</v>
      </c>
      <c r="BO79" s="33">
        <f>IF(OR(IPC!BO38="",IPC!BC38=""),"",IPC!BO38/IPC!BC38-1)</f>
        <v>8.0090555645413453E-3</v>
      </c>
      <c r="BP79" s="33">
        <f>IF(OR(IPC!BP38="",IPC!BD38=""),"",IPC!BP38/IPC!BD38-1)</f>
        <v>7.7931480869279923E-3</v>
      </c>
      <c r="BQ79" s="33">
        <f>IF(OR(IPC!BQ38="",IPC!BE38=""),"",IPC!BQ38/IPC!BE38-1)</f>
        <v>1.8680117900027327E-3</v>
      </c>
      <c r="BR79" s="33">
        <f>IF(OR(IPC!BR38="",IPC!BF38=""),"",IPC!BR38/IPC!BF38-1)</f>
        <v>4.1032999714083473E-3</v>
      </c>
      <c r="BS79" s="33">
        <f>IF(OR(IPC!BS38="",IPC!BG38=""),"",IPC!BS38/IPC!BG38-1)</f>
        <v>6.1057837880886812E-3</v>
      </c>
      <c r="BT79" s="33">
        <f>IF(OR(IPC!BT38="",IPC!BH38=""),"",IPC!BT38/IPC!BH38-1)</f>
        <v>3.2522769975686927E-3</v>
      </c>
      <c r="BU79" s="33">
        <f>IF(OR(IPC!BU38="",IPC!BI38=""),"",IPC!BU38/IPC!BI38-1)</f>
        <v>6.5500319204538915E-3</v>
      </c>
      <c r="BV79" s="33">
        <f>IF(OR(IPC!BV38="",IPC!BJ38=""),"",IPC!BV38/IPC!BJ38-1)</f>
        <v>5.1574461131476124E-3</v>
      </c>
      <c r="BW79" s="33">
        <f>IF(OR(IPC!BW38="",IPC!BK38=""),"",IPC!BW38/IPC!BK38-1)</f>
        <v>6.7875377607760079E-3</v>
      </c>
      <c r="BX79" s="33">
        <f>IF(OR(IPC!BX38="",IPC!BL38=""),"",IPC!BX38/IPC!BL38-1)</f>
        <v>9.0046316931136072E-3</v>
      </c>
      <c r="BY79" s="33">
        <f>IF(OR(IPC!BY38="",IPC!BM38=""),"",IPC!BY38/IPC!BM38-1)</f>
        <v>9.9374461273427084E-3</v>
      </c>
      <c r="BZ79" s="33">
        <f>IF(OR(IPC!BZ38="",IPC!BN38=""),"",IPC!BZ38/IPC!BN38-1)</f>
        <v>9.1000209310772018E-3</v>
      </c>
      <c r="CA79" s="33">
        <f>IF(OR(IPC!CA38="",IPC!BO38=""),"",IPC!CA38/IPC!BO38-1)</f>
        <v>1.1024984661150539E-2</v>
      </c>
      <c r="CB79" s="33">
        <f>IF(OR(IPC!CB38="",IPC!BP38=""),"",IPC!CB38/IPC!BP38-1)</f>
        <v>8.8985357033488643E-3</v>
      </c>
      <c r="CC79" s="33">
        <f>IF(OR(IPC!CC38="",IPC!BQ38=""),"",IPC!CC38/IPC!BQ38-1)</f>
        <v>1.0493309526476757E-2</v>
      </c>
      <c r="CD79" s="33">
        <f>IF(OR(IPC!CD38="",IPC!BR38=""),"",IPC!CD38/IPC!BR38-1)</f>
        <v>1.0559347402440133E-2</v>
      </c>
      <c r="CE79" s="33">
        <f>IF(OR(IPC!CE38="",IPC!BS38=""),"",IPC!CE38/IPC!BS38-1)</f>
        <v>8.0846519776816006E-3</v>
      </c>
      <c r="CF79" s="33">
        <f>IF(OR(IPC!CF38="",IPC!BT38=""),"",IPC!CF38/IPC!BT38-1)</f>
        <v>9.4701897943938462E-3</v>
      </c>
      <c r="CG79" s="33">
        <f>IF(OR(IPC!CG38="",IPC!BU38=""),"",IPC!CG38/IPC!BU38-1)</f>
        <v>9.5541400856298253E-3</v>
      </c>
      <c r="CH79" s="33">
        <f>IF(OR(IPC!CH38="",IPC!BV38=""),"",IPC!CH38/IPC!BV38-1)</f>
        <v>9.0711168453760926E-3</v>
      </c>
      <c r="CI79" s="33">
        <f>IF(OR(IPC!CI38="",IPC!BW38=""),"",IPC!CI38/IPC!BW38-1)</f>
        <v>4.8343877301535443E-3</v>
      </c>
      <c r="CJ79" s="33">
        <f>IF(OR(IPC!CJ38="",IPC!BX38=""),"",IPC!CJ38/IPC!BX38-1)</f>
        <v>6.1379658903184531E-3</v>
      </c>
      <c r="CK79" s="33">
        <f>IF(OR(IPC!CK38="",IPC!BY38=""),"",IPC!CK38/IPC!BY38-1)</f>
        <v>6.2943889465139069E-3</v>
      </c>
      <c r="CL79" s="33">
        <f>IF(OR(IPC!CL38="",IPC!BZ38=""),"",IPC!CL38/IPC!BZ38-1)</f>
        <v>3.4132063482796848E-3</v>
      </c>
      <c r="CM79" s="33">
        <f>IF(OR(IPC!CM38="",IPC!CA38=""),"",IPC!CM38/IPC!CA38-1)</f>
        <v>4.1968178448059668E-3</v>
      </c>
      <c r="CN79" s="33">
        <f>IF(OR(IPC!CN38="",IPC!CB38=""),"",IPC!CN38/IPC!CB38-1)</f>
        <v>7.3003288319331006E-3</v>
      </c>
      <c r="CO79" s="33">
        <f>IF(OR(IPC!CO38="",IPC!CC38=""),"",IPC!CO38/IPC!CC38-1)</f>
        <v>8.2394933243830071E-3</v>
      </c>
      <c r="CP79" s="33">
        <f>IF(OR(IPC!CP38="",IPC!CD38=""),"",IPC!CP38/IPC!CD38-1)</f>
        <v>1.0417609632644931E-2</v>
      </c>
      <c r="CQ79" s="33">
        <f>IF(OR(IPC!CQ38="",IPC!CE38=""),"",IPC!CQ38/IPC!CE38-1)</f>
        <v>1.0964102860069547E-2</v>
      </c>
      <c r="CR79" s="33">
        <f>IF(OR(IPC!CR38="",IPC!CF38=""),"",IPC!CR38/IPC!CF38-1)</f>
        <v>1.1810125018130391E-2</v>
      </c>
      <c r="CS79" s="33">
        <f>IF(OR(IPC!CS38="",IPC!CG38=""),"",IPC!CS38/IPC!CG38-1)</f>
        <v>1.3919835608118714E-2</v>
      </c>
      <c r="CT79" s="33">
        <f>IF(OR(IPC!CT38="",IPC!CH38=""),"",IPC!CT38/IPC!CH38-1)</f>
        <v>1.5478638218943352E-2</v>
      </c>
      <c r="CU79" s="33">
        <f>IF(OR(IPC!CU38="",IPC!CI38=""),"",IPC!CU38/IPC!CI38-1)</f>
        <v>1.8109665610535952E-2</v>
      </c>
      <c r="CV79" s="33">
        <f>IF(OR(IPC!CV38="",IPC!CJ38=""),"",IPC!CV38/IPC!CJ38-1)</f>
        <v>1.7863770894571918E-2</v>
      </c>
      <c r="CW79" s="33">
        <f>IF(OR(IPC!CW38="",IPC!CK38=""),"",IPC!CW38/IPC!CK38-1)</f>
        <v>1.8725793639953636E-2</v>
      </c>
      <c r="CX79" s="33">
        <f>IF(OR(IPC!CX38="",IPC!CL38=""),"",IPC!CX38/IPC!CL38-1)</f>
        <v>2.3416603625451726E-2</v>
      </c>
      <c r="CY79" s="33">
        <f>IF(OR(IPC!CY38="",IPC!CM38=""),"",IPC!CY38/IPC!CM38-1)</f>
        <v>2.399983221761115E-2</v>
      </c>
      <c r="CZ79" s="33">
        <f>IF(OR(IPC!CZ38="",IPC!CN38=""),"",IPC!CZ38/IPC!CN38-1)</f>
        <v>2.300013609955931E-2</v>
      </c>
      <c r="DA79" s="33">
        <f>IF(OR(IPC!DA38="",IPC!CO38=""),"",IPC!DA38/IPC!CO38-1)</f>
        <v>2.1955466130427981E-2</v>
      </c>
      <c r="DB79" s="33">
        <f>IF(OR(IPC!DB38="",IPC!CP38=""),"",IPC!DB38/IPC!CP38-1)</f>
        <v>2.0717317047219685E-2</v>
      </c>
      <c r="DC79" s="33">
        <f>IF(OR(IPC!DC38="",IPC!CQ38=""),"",IPC!DC38/IPC!CQ38-1)</f>
        <v>2.1305489440037073E-2</v>
      </c>
      <c r="DD79" s="33">
        <f>IF(OR(IPC!DD38="",IPC!CR38=""),"",IPC!DD38/IPC!CR38-1)</f>
        <v>2.0460770972074105E-2</v>
      </c>
      <c r="DE79" s="33">
        <f>IF(OR(IPC!DE38="",IPC!CS38=""),"",IPC!DE38/IPC!CS38-1)</f>
        <v>2.2272228334868416E-2</v>
      </c>
      <c r="DF79" s="33">
        <f>IF(OR(IPC!DF38="",IPC!CT38=""),"",IPC!DF38/IPC!CT38-1)</f>
        <v>2.422972850839078E-2</v>
      </c>
      <c r="DG79" s="33">
        <f>IF(OR(IPC!DG38="",IPC!CU38=""),"",IPC!DG38/IPC!CU38-1)</f>
        <v>2.2182110072456851E-2</v>
      </c>
      <c r="DH79" s="33">
        <f>IF(OR(IPC!DH38="",IPC!CV38=""),"",IPC!DH38/IPC!CV38-1)</f>
        <v>2.136900820897436E-2</v>
      </c>
      <c r="DI79" s="33">
        <f>IF(OR(IPC!DI38="",IPC!CW38=""),"",IPC!DI38/IPC!CW38-1)</f>
        <v>2.2257840769039472E-2</v>
      </c>
      <c r="DJ79" s="33">
        <f>IF(OR(IPC!DJ38="",IPC!CX38=""),"",IPC!DJ38/IPC!CX38-1)</f>
        <v>2.0010621731450406E-2</v>
      </c>
      <c r="DK79" s="33">
        <f>IF(OR(IPC!DK38="",IPC!CY38=""),"",IPC!DK38/IPC!CY38-1)</f>
        <v>2.6384568182527435E-2</v>
      </c>
      <c r="DL79" s="33" t="str">
        <f>IF(OR(IPC!DL38="",IPC!CZ38=""),"",IPC!DL38/IPC!CZ38-1)</f>
        <v/>
      </c>
      <c r="DM79" s="33">
        <f>IF(OR(IPC!DM38="",IPC!DA38=""),"",IPC!DM38/IPC!DA38-1)</f>
        <v>1.8818505447324885E-2</v>
      </c>
      <c r="DN79" s="33">
        <f>IF(OR(IPC!DN38="",IPC!DB38=""),"",IPC!DN38/IPC!DB38-1)</f>
        <v>1.8118658986568059E-2</v>
      </c>
      <c r="DO79" s="33">
        <f>IF(OR(IPC!DO38="",IPC!DC38=""),"",IPC!DO38/IPC!DC38-1)</f>
        <v>1.7981317754342641E-2</v>
      </c>
      <c r="DP79" s="33">
        <f>IF(OR(IPC!DP38="",IPC!DD38=""),"",IPC!DP38/IPC!DD38-1)</f>
        <v>1.7218180123874216E-2</v>
      </c>
      <c r="DQ79" s="33">
        <f>IF(OR(IPC!DQ38="",IPC!DE38=""),"",IPC!DQ38/IPC!DE38-1)</f>
        <v>1.6667324523235827E-2</v>
      </c>
      <c r="DR79" s="33">
        <f>IF(OR(IPC!DR38="",IPC!DF38=""),"",IPC!DR38/IPC!DF38-1)</f>
        <v>1.4121340747320188E-2</v>
      </c>
      <c r="DS79" s="33">
        <f>IF(OR(IPC!DS38="",IPC!DG38=""),"",IPC!DS38/IPC!DG38-1)</f>
        <v>1.4507314723657627E-2</v>
      </c>
      <c r="DT79" s="33">
        <f>IF(OR(IPC!DT38="",IPC!DH38=""),"",IPC!DT38/IPC!DH38-1)</f>
        <v>1.5066853912866662E-2</v>
      </c>
      <c r="DU79" s="33">
        <f>IF(OR(IPC!DU38="",IPC!DI38=""),"",IPC!DU38/IPC!DI38-1)</f>
        <v>1.4331073649247905E-2</v>
      </c>
      <c r="DV79" s="33">
        <f>IF(OR(IPC!DV38="",IPC!DJ38=""),"",IPC!DV38/IPC!DJ38-1)</f>
        <v>1.3858065168624867E-2</v>
      </c>
      <c r="DW79" s="33">
        <f>IF(OR(IPC!DW38="",IPC!DK38=""),"",IPC!DW38/IPC!DK38-1)</f>
        <v>6.1944211001310201E-3</v>
      </c>
      <c r="DX79" s="33" t="str">
        <f>IF(OR(IPC!DX38="",IPC!DL38=""),"",IPC!DX38/IPC!DL38-1)</f>
        <v/>
      </c>
      <c r="DY79" s="33">
        <f>IF(OR(IPC!DY38="",IPC!DM38=""),"",IPC!DY38/IPC!DM38-1)</f>
        <v>1.353821111490161E-2</v>
      </c>
      <c r="DZ79" s="33">
        <f>IF(OR(IPC!DZ38="",IPC!DN38=""),"",IPC!DZ38/IPC!DN38-1)</f>
        <v>1.5635940541870008E-2</v>
      </c>
      <c r="EA79" s="33">
        <f>IF(OR(IPC!EA38="",IPC!DO38=""),"",IPC!EA38/IPC!DO38-1)</f>
        <v>1.3365774786760154E-2</v>
      </c>
      <c r="EB79" s="33">
        <f>IF(OR(IPC!EB38="",IPC!DP38=""),"",IPC!EB38/IPC!DP38-1)</f>
        <v>1.399871730171931E-2</v>
      </c>
      <c r="EC79" s="33">
        <f>IF(OR(IPC!EC38="",IPC!DQ38=""),"",IPC!EC38/IPC!DQ38-1)</f>
        <v>1.2366289030281363E-2</v>
      </c>
      <c r="ED79" s="33">
        <f>IF(OR(IPC!ED38="",IPC!DR38=""),"",IPC!ED38/IPC!DR38-1)</f>
        <v>1.2360241743023304E-2</v>
      </c>
      <c r="EE79" s="33">
        <f>IF(OR(IPC!EE38="",IPC!DS38=""),"",IPC!EE38/IPC!DS38-1)</f>
        <v>1.4749446071770977E-2</v>
      </c>
      <c r="EF79" s="33">
        <f>IF(OR(IPC!EF38="",IPC!DT38=""),"",IPC!EF38/IPC!DT38-1)</f>
        <v>1.7302049277639897E-2</v>
      </c>
      <c r="EG79" s="33">
        <f>IF(OR(IPC!EG38="",IPC!DU38=""),"",IPC!EG38/IPC!DU38-1)</f>
        <v>1.8770897606742665E-2</v>
      </c>
      <c r="EH79" s="33">
        <f>IF(OR(IPC!EH38="",IPC!DV38=""),"",IPC!EH38/IPC!DV38-1)</f>
        <v>8.5473064478876815E-2</v>
      </c>
      <c r="EI79" s="33">
        <f>IF(OR(IPC!EI38="",IPC!DW38=""),"",IPC!EI38/IPC!DW38-1)</f>
        <v>2.5304624012575383E-2</v>
      </c>
      <c r="EJ79" s="33">
        <f>IF(OR(IPC!EJ38="",IPC!DX38=""),"",IPC!EJ38/IPC!DX38-1)</f>
        <v>2.8693211055757617E-2</v>
      </c>
      <c r="EK79" s="33">
        <f>IF(OR(IPC!EK38="",IPC!DY38=""),"",IPC!EK38/IPC!DY38-1)</f>
        <v>3.0802185865881571E-2</v>
      </c>
      <c r="EL79" s="33">
        <f>IF(OR(IPC!EL38="",IPC!DZ38=""),"",IPC!EL38/IPC!DZ38-1)</f>
        <v>3.0153981801049889E-2</v>
      </c>
      <c r="EM79" s="33">
        <f>IF(OR(IPC!EM38="",IPC!EA38=""),"",IPC!EM38/IPC!EA38-1)</f>
        <v>3.4210067615376927E-2</v>
      </c>
      <c r="EN79" s="33">
        <f>IF(OR(IPC!EN38="",IPC!EB38=""),"",IPC!EN38/IPC!EB38-1)</f>
        <v>3.762333821583197E-2</v>
      </c>
      <c r="EO79" s="33">
        <f>IF(OR(IPC!EO38="",IPC!EC38=""),"",IPC!EO38/IPC!EC38-1)</f>
        <v>3.9446744574018089E-2</v>
      </c>
      <c r="EP79" s="33">
        <f>IF(OR(IPC!EP38="",IPC!ED38=""),"",IPC!EP38/IPC!ED38-1)</f>
        <v>4.1056630789502391E-2</v>
      </c>
      <c r="EQ79" s="33">
        <f>IF(OR(IPC!EQ38="",IPC!EE38=""),"",IPC!EQ38/IPC!EE38-1)</f>
        <v>4.0480771178730945E-2</v>
      </c>
      <c r="ER79" s="33">
        <f>IF(OR(IPC!ER38="",IPC!EF38=""),"",IPC!ER38/IPC!EF38-1)</f>
        <v>3.9354500423031347E-2</v>
      </c>
      <c r="ES79" s="33">
        <f>IF(OR(IPC!ES38="",IPC!EG38=""),"",IPC!ES38/IPC!EG38-1)</f>
        <v>5.5894672361447295E-2</v>
      </c>
      <c r="ET79" s="33">
        <f>IF(OR(IPC!ET38="",IPC!EH38=""),"",IPC!ET38/IPC!EH38-1)</f>
        <v>0</v>
      </c>
      <c r="EU79" s="33">
        <f>IF(OR(IPC!EU38="",IPC!EI38=""),"",IPC!EU38/IPC!EI38-1)</f>
        <v>6.182319657385027E-2</v>
      </c>
      <c r="EV79" s="33">
        <f>IF(OR(IPC!EV38="",IPC!EJ38=""),"",IPC!EV38/IPC!EJ38-1)</f>
        <v>5.8876335457593187E-2</v>
      </c>
      <c r="EW79" s="33">
        <f>IF(OR(IPC!EW38="",IPC!EK38=""),"",IPC!EW38/IPC!EK38-1)</f>
        <v>6.0093171282404878E-2</v>
      </c>
      <c r="EX79" s="33">
        <f>IF(OR(IPC!EX38="",IPC!EL38=""),"",IPC!EX38/IPC!EL38-1)</f>
        <v>6.0196270007168984E-2</v>
      </c>
      <c r="EY79" s="33">
        <f>IF(OR(IPC!EY38="",IPC!EM38=""),"",IPC!EY38/IPC!EM38-1)</f>
        <v>5.7917243712418243E-2</v>
      </c>
      <c r="EZ79" s="33">
        <f>IF(OR(IPC!EZ38="",IPC!EN38=""),"",IPC!EZ38/IPC!EN38-1)</f>
        <v>5.5506180720077847E-2</v>
      </c>
      <c r="FA79" s="33">
        <f>IF(OR(IPC!FA38="",IPC!EO38=""),"",IPC!FA38/IPC!EO38-1)</f>
        <v>5.2413753544199304E-2</v>
      </c>
      <c r="FB79" s="33">
        <f>IF(OR(IPC!FB38="",IPC!EP38=""),"",IPC!FB38/IPC!EP38-1)</f>
        <v>5.245368535404471E-2</v>
      </c>
      <c r="FC79" s="33">
        <f>IF(OR(IPC!FC38="",IPC!EQ38=""),"",IPC!FC38/IPC!EQ38-1)</f>
        <v>5.1323428534058246E-2</v>
      </c>
      <c r="FD79" s="33">
        <f>IF(OR(IPC!FD38="",IPC!ER38=""),"",IPC!FD38/IPC!ER38-1)</f>
        <v>4.8658972276321766E-2</v>
      </c>
      <c r="FE79" s="33">
        <f>IF(OR(IPC!FE38="",IPC!ES38=""),"",IPC!FE38/IPC!ES38-1)</f>
        <v>4.5660580218450431E-2</v>
      </c>
      <c r="FF79" s="33">
        <f>IF(OR(IPC!FF38="",IPC!ET38=""),"",IPC!FF38/IPC!ET38-1)</f>
        <v>4.0044833708419825E-2</v>
      </c>
      <c r="FG79" s="33">
        <f>IF(OR(IPC!FG38="",IPC!EU38=""),"",IPC!FG38/IPC!EU38-1)</f>
        <v>3.8711806871076115E-2</v>
      </c>
      <c r="FH79" s="33">
        <f>IF(OR(IPC!FH38="",IPC!EV38=""),"",IPC!FH38/IPC!EV38-1)</f>
        <v>3.9822186104604418E-2</v>
      </c>
      <c r="FI79" s="33">
        <f>IF(OR(IPC!FI38="",IPC!EW38=""),"",IPC!FI38/IPC!EW38-1)</f>
        <v>3.7310363956327919E-2</v>
      </c>
      <c r="FJ79" s="33">
        <f>IF(OR(IPC!FJ38="",IPC!EX38=""),"",IPC!FJ38/IPC!EX38-1)</f>
        <v>3.591475088491114E-2</v>
      </c>
      <c r="FK79" s="33">
        <f>IF(OR(IPC!FK38="",IPC!EY38=""),"",IPC!FK38/IPC!EY38-1)</f>
        <v>3.508876738235589E-2</v>
      </c>
      <c r="FL79" s="33">
        <f>IF(OR(IPC!FL38="",IPC!EZ38=""),"",IPC!FL38/IPC!EZ38-1)</f>
        <v>3.5563183500723961E-2</v>
      </c>
      <c r="FM79" s="33">
        <f>IF(OR(IPC!FM38="",IPC!FA38=""),"",IPC!FM38/IPC!FA38-1)</f>
        <v>3.6713204922640852E-2</v>
      </c>
      <c r="FN79" s="33">
        <f>IF(OR(IPC!FN38="",IPC!FB38=""),"",IPC!FN38/IPC!FB38-1)</f>
        <v>3.7146305903151822E-2</v>
      </c>
      <c r="FO79" s="33">
        <f>IF(OR(IPC!FO38="",IPC!FC38=""),"",IPC!FO38/IPC!FC38-1)</f>
        <v>3.8049829116722833E-2</v>
      </c>
      <c r="FP79" s="33">
        <f>IF(OR(IPC!FP38="",IPC!FD38=""),"",IPC!FP38/IPC!FD38-1)</f>
        <v>3.8224614760818509E-2</v>
      </c>
      <c r="FQ79" s="33">
        <f>IF(OR(IPC!FQ38="",IPC!FE38=""),"",IPC!FQ38/IPC!FE38-1)</f>
        <v>2.4238563010672287E-2</v>
      </c>
      <c r="FR79" s="33">
        <f>IF(OR(IPC!FR38="",IPC!FF38=""),"",IPC!FR38/IPC!FF38-1)</f>
        <v>2.0442600365876196E-2</v>
      </c>
    </row>
    <row r="80" spans="1:174" s="14" customFormat="1" ht="10.199999999999999" x14ac:dyDescent="0.2">
      <c r="A80" s="9"/>
      <c r="B80" s="9" t="s">
        <v>31</v>
      </c>
      <c r="C80" s="61">
        <f>SUM(C46,C49:C53,C55:C59)</f>
        <v>956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 t="str">
        <f>IF(OR(IPC!Q39="",IPC!E39=""),"",IPC!Q39/IPC!E39-1)</f>
        <v/>
      </c>
      <c r="R80" s="33" t="str">
        <f>IF(OR(IPC!R39="",IPC!F39=""),"",IPC!R39/IPC!F39-1)</f>
        <v/>
      </c>
      <c r="S80" s="33" t="str">
        <f>IF(OR(IPC!S39="",IPC!G39=""),"",IPC!S39/IPC!G39-1)</f>
        <v/>
      </c>
      <c r="T80" s="33" t="str">
        <f>IF(OR(IPC!T39="",IPC!H39=""),"",IPC!T39/IPC!H39-1)</f>
        <v/>
      </c>
      <c r="U80" s="33" t="str">
        <f>IF(OR(IPC!U39="",IPC!I39=""),"",IPC!U39/IPC!I39-1)</f>
        <v/>
      </c>
      <c r="V80" s="33" t="str">
        <f>IF(OR(IPC!V39="",IPC!J39=""),"",IPC!V39/IPC!J39-1)</f>
        <v/>
      </c>
      <c r="W80" s="33" t="str">
        <f>IF(OR(IPC!W39="",IPC!K39=""),"",IPC!W39/IPC!K39-1)</f>
        <v/>
      </c>
      <c r="X80" s="33" t="str">
        <f>IF(OR(IPC!X39="",IPC!L39=""),"",IPC!X39/IPC!L39-1)</f>
        <v/>
      </c>
      <c r="Y80" s="33" t="str">
        <f>IF(OR(IPC!Y39="",IPC!M39=""),"",IPC!Y39/IPC!M39-1)</f>
        <v/>
      </c>
      <c r="Z80" s="33" t="str">
        <f>IF(OR(IPC!Z39="",IPC!N39=""),"",IPC!Z39/IPC!N39-1)</f>
        <v/>
      </c>
      <c r="AA80" s="33" t="str">
        <f>IF(OR(IPC!AA39="",IPC!O39=""),"",IPC!AA39/IPC!O39-1)</f>
        <v/>
      </c>
      <c r="AB80" s="33">
        <f>IF(OR(IPC!AB39="",IPC!P39=""),"",IPC!AB39/IPC!P39-1)</f>
        <v>2.5741943859185934E-2</v>
      </c>
      <c r="AC80" s="33">
        <f>IF(OR(IPC!AC39="",IPC!Q39=""),"",IPC!AC39/IPC!Q39-1)</f>
        <v>2.4512934732647595E-2</v>
      </c>
      <c r="AD80" s="33">
        <f>IF(OR(IPC!AD39="",IPC!R39=""),"",IPC!AD39/IPC!R39-1)</f>
        <v>2.147593604786846E-2</v>
      </c>
      <c r="AE80" s="33">
        <f>IF(OR(IPC!AE39="",IPC!S39=""),"",IPC!AE39/IPC!S39-1)</f>
        <v>1.8478330160502932E-2</v>
      </c>
      <c r="AF80" s="33">
        <f>IF(OR(IPC!AF39="",IPC!T39=""),"",IPC!AF39/IPC!T39-1)</f>
        <v>1.5789987140239603E-2</v>
      </c>
      <c r="AG80" s="33">
        <f>IF(OR(IPC!AG39="",IPC!U39=""),"",IPC!AG39/IPC!U39-1)</f>
        <v>1.7296420782799693E-2</v>
      </c>
      <c r="AH80" s="33">
        <f>IF(OR(IPC!AH39="",IPC!V39=""),"",IPC!AH39/IPC!V39-1)</f>
        <v>1.6306537885286465E-2</v>
      </c>
      <c r="AI80" s="33">
        <f>IF(OR(IPC!AI39="",IPC!W39=""),"",IPC!AI39/IPC!W39-1)</f>
        <v>1.5570873313818456E-2</v>
      </c>
      <c r="AJ80" s="33">
        <f>IF(OR(IPC!AJ39="",IPC!X39=""),"",IPC!AJ39/IPC!X39-1)</f>
        <v>1.9535079566937563E-2</v>
      </c>
      <c r="AK80" s="33">
        <f>IF(OR(IPC!AK39="",IPC!Y39=""),"",IPC!AK39/IPC!Y39-1)</f>
        <v>1.9670883093296787E-2</v>
      </c>
      <c r="AL80" s="33">
        <f>IF(OR(IPC!AL39="",IPC!Z39=""),"",IPC!AL39/IPC!Z39-1)</f>
        <v>2.2644473188329517E-2</v>
      </c>
      <c r="AM80" s="33">
        <f>IF(OR(IPC!AM39="",IPC!AA39=""),"",IPC!AM39/IPC!AA39-1)</f>
        <v>1.6379599848940218E-2</v>
      </c>
      <c r="AN80" s="33">
        <f>IF(OR(IPC!AN39="",IPC!AB39=""),"",IPC!AN39/IPC!AB39-1)</f>
        <v>1.2251600476335778E-2</v>
      </c>
      <c r="AO80" s="33">
        <f>IF(OR(IPC!AO39="",IPC!AC39=""),"",IPC!AO39/IPC!AC39-1)</f>
        <v>1.3376058222843046E-2</v>
      </c>
      <c r="AP80" s="33">
        <f>IF(OR(IPC!AP39="",IPC!AD39=""),"",IPC!AP39/IPC!AD39-1)</f>
        <v>1.0699744927984867E-2</v>
      </c>
      <c r="AQ80" s="33">
        <f>IF(OR(IPC!AQ39="",IPC!AE39=""),"",IPC!AQ39/IPC!AE39-1)</f>
        <v>8.7161566004081426E-3</v>
      </c>
      <c r="AR80" s="33">
        <f>IF(OR(IPC!AR39="",IPC!AF39=""),"",IPC!AR39/IPC!AF39-1)</f>
        <v>1.1445537134295414E-2</v>
      </c>
      <c r="AS80" s="33">
        <f>IF(OR(IPC!AS39="",IPC!AG39=""),"",IPC!AS39/IPC!AG39-1)</f>
        <v>6.9802104716165658E-3</v>
      </c>
      <c r="AT80" s="33">
        <f>IF(OR(IPC!AT39="",IPC!AH39=""),"",IPC!AT39/IPC!AH39-1)</f>
        <v>1.3965799891186848E-2</v>
      </c>
      <c r="AU80" s="33">
        <f>IF(OR(IPC!AU39="",IPC!AI39=""),"",IPC!AU39/IPC!AI39-1)</f>
        <v>1.0924171869713506E-2</v>
      </c>
      <c r="AV80" s="33">
        <f>IF(OR(IPC!AV39="",IPC!AJ39=""),"",IPC!AV39/IPC!AJ39-1)</f>
        <v>9.9462132601850772E-3</v>
      </c>
      <c r="AW80" s="33">
        <f>IF(OR(IPC!AW39="",IPC!AK39=""),"",IPC!AW39/IPC!AK39-1)</f>
        <v>4.4781356942851236E-3</v>
      </c>
      <c r="AX80" s="33">
        <f>IF(OR(IPC!AX39="",IPC!AL39=""),"",IPC!AX39/IPC!AL39-1)</f>
        <v>8.7104298602185271E-3</v>
      </c>
      <c r="AY80" s="33">
        <f>IF(OR(IPC!AY39="",IPC!AM39=""),"",IPC!AY39/IPC!AM39-1)</f>
        <v>1.0272648008481378E-2</v>
      </c>
      <c r="AZ80" s="33">
        <f>IF(OR(IPC!AZ39="",IPC!AN39=""),"",IPC!AZ39/IPC!AN39-1)</f>
        <v>9.6559740716803955E-3</v>
      </c>
      <c r="BA80" s="33">
        <f>IF(OR(IPC!BA39="",IPC!AO39=""),"",IPC!BA39/IPC!AO39-1)</f>
        <v>1.3780119269271474E-2</v>
      </c>
      <c r="BB80" s="33">
        <f>IF(OR(IPC!BB39="",IPC!AP39=""),"",IPC!BB39/IPC!AP39-1)</f>
        <v>1.4729051081393552E-2</v>
      </c>
      <c r="BC80" s="33">
        <f>IF(OR(IPC!BC39="",IPC!AQ39=""),"",IPC!BC39/IPC!AQ39-1)</f>
        <v>2.2255428085458107E-2</v>
      </c>
      <c r="BD80" s="33">
        <f>IF(OR(IPC!BD39="",IPC!AR39=""),"",IPC!BD39/IPC!AR39-1)</f>
        <v>1.9799908156496127E-2</v>
      </c>
      <c r="BE80" s="33">
        <f>IF(OR(IPC!BE39="",IPC!AS39=""),"",IPC!BE39/IPC!AS39-1)</f>
        <v>2.7124673549389744E-2</v>
      </c>
      <c r="BF80" s="33">
        <f>IF(OR(IPC!BF39="",IPC!AT39=""),"",IPC!BF39/IPC!AT39-1)</f>
        <v>2.2612962628580702E-2</v>
      </c>
      <c r="BG80" s="33">
        <f>IF(OR(IPC!BG39="",IPC!AU39=""),"",IPC!BG39/IPC!AU39-1)</f>
        <v>2.0570340918562469E-2</v>
      </c>
      <c r="BH80" s="33">
        <f>IF(OR(IPC!BH39="",IPC!AV39=""),"",IPC!BH39/IPC!AV39-1)</f>
        <v>2.1239835495305392E-2</v>
      </c>
      <c r="BI80" s="33">
        <f>IF(OR(IPC!BI39="",IPC!AW39=""),"",IPC!BI39/IPC!AW39-1)</f>
        <v>2.2416503809302935E-2</v>
      </c>
      <c r="BJ80" s="33">
        <f>IF(OR(IPC!BJ39="",IPC!AX39=""),"",IPC!BJ39/IPC!AX39-1)</f>
        <v>1.4436803671280307E-2</v>
      </c>
      <c r="BK80" s="33">
        <f>IF(OR(IPC!BK39="",IPC!AY39=""),"",IPC!BK39/IPC!AY39-1)</f>
        <v>1.4357406754988977E-2</v>
      </c>
      <c r="BL80" s="33">
        <f>IF(OR(IPC!BL39="",IPC!AZ39=""),"",IPC!BL39/IPC!AZ39-1)</f>
        <v>1.8868710124045451E-2</v>
      </c>
      <c r="BM80" s="33">
        <f>IF(OR(IPC!BM39="",IPC!BA39=""),"",IPC!BM39/IPC!BA39-1)</f>
        <v>1.4861024420022906E-2</v>
      </c>
      <c r="BN80" s="33">
        <f>IF(OR(IPC!BN39="",IPC!BB39=""),"",IPC!BN39/IPC!BB39-1)</f>
        <v>1.6066112109463626E-2</v>
      </c>
      <c r="BO80" s="33">
        <f>IF(OR(IPC!BO39="",IPC!BC39=""),"",IPC!BO39/IPC!BC39-1)</f>
        <v>1.2629888951385837E-2</v>
      </c>
      <c r="BP80" s="33">
        <f>IF(OR(IPC!BP39="",IPC!BD39=""),"",IPC!BP39/IPC!BD39-1)</f>
        <v>1.5612148181030738E-2</v>
      </c>
      <c r="BQ80" s="33">
        <f>IF(OR(IPC!BQ39="",IPC!BE39=""),"",IPC!BQ39/IPC!BE39-1)</f>
        <v>7.5799484887357771E-3</v>
      </c>
      <c r="BR80" s="33">
        <f>IF(OR(IPC!BR39="",IPC!BF39=""),"",IPC!BR39/IPC!BF39-1)</f>
        <v>5.4482435593894429E-3</v>
      </c>
      <c r="BS80" s="33">
        <f>IF(OR(IPC!BS39="",IPC!BG39=""),"",IPC!BS39/IPC!BG39-1)</f>
        <v>1.001946820811539E-2</v>
      </c>
      <c r="BT80" s="33">
        <f>IF(OR(IPC!BT39="",IPC!BH39=""),"",IPC!BT39/IPC!BH39-1)</f>
        <v>7.3134044011582411E-3</v>
      </c>
      <c r="BU80" s="33">
        <f>IF(OR(IPC!BU39="",IPC!BI39=""),"",IPC!BU39/IPC!BI39-1)</f>
        <v>4.0999324176784757E-3</v>
      </c>
      <c r="BV80" s="33">
        <f>IF(OR(IPC!BV39="",IPC!BJ39=""),"",IPC!BV39/IPC!BJ39-1)</f>
        <v>5.8985238307653898E-3</v>
      </c>
      <c r="BW80" s="33">
        <f>IF(OR(IPC!BW39="",IPC!BK39=""),"",IPC!BW39/IPC!BK39-1)</f>
        <v>4.2055694084774942E-3</v>
      </c>
      <c r="BX80" s="33">
        <f>IF(OR(IPC!BX39="",IPC!BL39=""),"",IPC!BX39/IPC!BL39-1)</f>
        <v>3.8211687340377054E-3</v>
      </c>
      <c r="BY80" s="33">
        <f>IF(OR(IPC!BY39="",IPC!BM39=""),"",IPC!BY39/IPC!BM39-1)</f>
        <v>4.0314230852760424E-3</v>
      </c>
      <c r="BZ80" s="33">
        <f>IF(OR(IPC!BZ39="",IPC!BN39=""),"",IPC!BZ39/IPC!BN39-1)</f>
        <v>4.2316083956486228E-3</v>
      </c>
      <c r="CA80" s="33">
        <f>IF(OR(IPC!CA39="",IPC!BO39=""),"",IPC!CA39/IPC!BO39-1)</f>
        <v>7.4879584595310966E-3</v>
      </c>
      <c r="CB80" s="33">
        <f>IF(OR(IPC!CB39="",IPC!BP39=""),"",IPC!CB39/IPC!BP39-1)</f>
        <v>3.1561841994720563E-3</v>
      </c>
      <c r="CC80" s="33">
        <f>IF(OR(IPC!CC39="",IPC!BQ39=""),"",IPC!CC39/IPC!BQ39-1)</f>
        <v>5.9714229222715964E-3</v>
      </c>
      <c r="CD80" s="33">
        <f>IF(OR(IPC!CD39="",IPC!BR39=""),"",IPC!CD39/IPC!BR39-1)</f>
        <v>6.1203990998217606E-3</v>
      </c>
      <c r="CE80" s="33">
        <f>IF(OR(IPC!CE39="",IPC!BS39=""),"",IPC!CE39/IPC!BS39-1)</f>
        <v>6.7173439174361693E-3</v>
      </c>
      <c r="CF80" s="33">
        <f>IF(OR(IPC!CF39="",IPC!BT39=""),"",IPC!CF39/IPC!BT39-1)</f>
        <v>8.1367919546808665E-3</v>
      </c>
      <c r="CG80" s="33">
        <f>IF(OR(IPC!CG39="",IPC!BU39=""),"",IPC!CG39/IPC!BU39-1)</f>
        <v>9.8775808857121117E-3</v>
      </c>
      <c r="CH80" s="33">
        <f>IF(OR(IPC!CH39="",IPC!BV39=""),"",IPC!CH39/IPC!BV39-1)</f>
        <v>9.50507610971707E-3</v>
      </c>
      <c r="CI80" s="33">
        <f>IF(OR(IPC!CI39="",IPC!BW39=""),"",IPC!CI39/IPC!BW39-1)</f>
        <v>7.4979251251594548E-3</v>
      </c>
      <c r="CJ80" s="33">
        <f>IF(OR(IPC!CJ39="",IPC!BX39=""),"",IPC!CJ39/IPC!BX39-1)</f>
        <v>9.4839016953005562E-3</v>
      </c>
      <c r="CK80" s="33">
        <f>IF(OR(IPC!CK39="",IPC!BY39=""),"",IPC!CK39/IPC!BY39-1)</f>
        <v>9.1082285889809711E-3</v>
      </c>
      <c r="CL80" s="33">
        <f>IF(OR(IPC!CL39="",IPC!BZ39=""),"",IPC!CL39/IPC!BZ39-1)</f>
        <v>8.4971593784621824E-3</v>
      </c>
      <c r="CM80" s="33">
        <f>IF(OR(IPC!CM39="",IPC!CA39=""),"",IPC!CM39/IPC!CA39-1)</f>
        <v>7.5755765513445539E-3</v>
      </c>
      <c r="CN80" s="33">
        <f>IF(OR(IPC!CN39="",IPC!CB39=""),"",IPC!CN39/IPC!CB39-1)</f>
        <v>9.8597496528649575E-3</v>
      </c>
      <c r="CO80" s="33">
        <f>IF(OR(IPC!CO39="",IPC!CC39=""),"",IPC!CO39/IPC!CC39-1)</f>
        <v>9.9176629304937869E-3</v>
      </c>
      <c r="CP80" s="33">
        <f>IF(OR(IPC!CP39="",IPC!CD39=""),"",IPC!CP39/IPC!CD39-1)</f>
        <v>8.9664069942609892E-3</v>
      </c>
      <c r="CQ80" s="33">
        <f>IF(OR(IPC!CQ39="",IPC!CE39=""),"",IPC!CQ39/IPC!CE39-1)</f>
        <v>6.6528014610123254E-3</v>
      </c>
      <c r="CR80" s="33">
        <f>IF(OR(IPC!CR39="",IPC!CF39=""),"",IPC!CR39/IPC!CF39-1)</f>
        <v>9.0525165031436483E-3</v>
      </c>
      <c r="CS80" s="33">
        <f>IF(OR(IPC!CS39="",IPC!CG39=""),"",IPC!CS39/IPC!CG39-1)</f>
        <v>1.5160839511405788E-2</v>
      </c>
      <c r="CT80" s="33">
        <f>IF(OR(IPC!CT39="",IPC!CH39=""),"",IPC!CT39/IPC!CH39-1)</f>
        <v>1.6888473533742898E-2</v>
      </c>
      <c r="CU80" s="33">
        <f>IF(OR(IPC!CU39="",IPC!CI39=""),"",IPC!CU39/IPC!CI39-1)</f>
        <v>1.9299060129398304E-2</v>
      </c>
      <c r="CV80" s="33">
        <f>IF(OR(IPC!CV39="",IPC!CJ39=""),"",IPC!CV39/IPC!CJ39-1)</f>
        <v>1.7984719289592332E-2</v>
      </c>
      <c r="CW80" s="33">
        <f>IF(OR(IPC!CW39="",IPC!CK39=""),"",IPC!CW39/IPC!CK39-1)</f>
        <v>2.1784945003153311E-2</v>
      </c>
      <c r="CX80" s="33">
        <f>IF(OR(IPC!CX39="",IPC!CL39=""),"",IPC!CX39/IPC!CL39-1)</f>
        <v>2.5882732246583329E-2</v>
      </c>
      <c r="CY80" s="33">
        <f>IF(OR(IPC!CY39="",IPC!CM39=""),"",IPC!CY39/IPC!CM39-1)</f>
        <v>2.4938229490506281E-2</v>
      </c>
      <c r="CZ80" s="33">
        <f>IF(OR(IPC!CZ39="",IPC!CN39=""),"",IPC!CZ39/IPC!CN39-1)</f>
        <v>2.2774592591851217E-2</v>
      </c>
      <c r="DA80" s="33">
        <f>IF(OR(IPC!DA39="",IPC!CO39=""),"",IPC!DA39/IPC!CO39-1)</f>
        <v>2.4683483182559973E-2</v>
      </c>
      <c r="DB80" s="33">
        <f>IF(OR(IPC!DB39="",IPC!CP39=""),"",IPC!DB39/IPC!CP39-1)</f>
        <v>2.7130810480995304E-2</v>
      </c>
      <c r="DC80" s="33">
        <f>IF(OR(IPC!DC39="",IPC!CQ39=""),"",IPC!DC39/IPC!CQ39-1)</f>
        <v>2.7542715564705E-2</v>
      </c>
      <c r="DD80" s="33">
        <f>IF(OR(IPC!DD39="",IPC!CR39=""),"",IPC!DD39/IPC!CR39-1)</f>
        <v>2.4883520903838496E-2</v>
      </c>
      <c r="DE80" s="33">
        <f>IF(OR(IPC!DE39="",IPC!CS39=""),"",IPC!DE39/IPC!CS39-1)</f>
        <v>2.4002120474381439E-2</v>
      </c>
      <c r="DF80" s="33">
        <f>IF(OR(IPC!DF39="",IPC!CT39=""),"",IPC!DF39/IPC!CT39-1)</f>
        <v>2.6042516684385841E-2</v>
      </c>
      <c r="DG80" s="33">
        <f>IF(OR(IPC!DG39="",IPC!CU39=""),"",IPC!DG39/IPC!CU39-1)</f>
        <v>2.4937685533476639E-2</v>
      </c>
      <c r="DH80" s="33">
        <f>IF(OR(IPC!DH39="",IPC!CV39=""),"",IPC!DH39/IPC!CV39-1)</f>
        <v>2.8931555272544207E-2</v>
      </c>
      <c r="DI80" s="33">
        <f>IF(OR(IPC!DI39="",IPC!CW39=""),"",IPC!DI39/IPC!CW39-1)</f>
        <v>2.6678476079830205E-2</v>
      </c>
      <c r="DJ80" s="33">
        <f>IF(OR(IPC!DJ39="",IPC!CX39=""),"",IPC!DJ39/IPC!CX39-1)</f>
        <v>2.4688737158475194E-2</v>
      </c>
      <c r="DK80" s="33">
        <f>IF(OR(IPC!DK39="",IPC!CY39=""),"",IPC!DK39/IPC!CY39-1)</f>
        <v>2.1960509282348939E-2</v>
      </c>
      <c r="DL80" s="33">
        <f>IF(OR(IPC!DL39="",IPC!CZ39=""),"",IPC!DL39/IPC!CZ39-1)</f>
        <v>2.3898422835384459E-2</v>
      </c>
      <c r="DM80" s="33">
        <f>IF(OR(IPC!DM39="",IPC!DA39=""),"",IPC!DM39/IPC!DA39-1)</f>
        <v>2.369157861225446E-2</v>
      </c>
      <c r="DN80" s="33">
        <f>IF(OR(IPC!DN39="",IPC!DB39=""),"",IPC!DN39/IPC!DB39-1)</f>
        <v>2.5791588926038278E-2</v>
      </c>
      <c r="DO80" s="33">
        <f>IF(OR(IPC!DO39="",IPC!DC39=""),"",IPC!DO39/IPC!DC39-1)</f>
        <v>2.5916113442513433E-2</v>
      </c>
      <c r="DP80" s="33">
        <f>IF(OR(IPC!DP39="",IPC!DD39=""),"",IPC!DP39/IPC!DD39-1)</f>
        <v>2.3896554551157578E-2</v>
      </c>
      <c r="DQ80" s="33">
        <f>IF(OR(IPC!DQ39="",IPC!DE39=""),"",IPC!DQ39/IPC!DE39-1)</f>
        <v>2.4366944577103755E-2</v>
      </c>
      <c r="DR80" s="33">
        <f>IF(OR(IPC!DR39="",IPC!DF39=""),"",IPC!DR39/IPC!DF39-1)</f>
        <v>2.0532171255272624E-2</v>
      </c>
      <c r="DS80" s="33">
        <f>IF(OR(IPC!DS39="",IPC!DG39=""),"",IPC!DS39/IPC!DG39-1)</f>
        <v>2.0928909135608187E-2</v>
      </c>
      <c r="DT80" s="33">
        <f>IF(OR(IPC!DT39="",IPC!DH39=""),"",IPC!DT39/IPC!DH39-1)</f>
        <v>1.8476894277954514E-2</v>
      </c>
      <c r="DU80" s="33">
        <f>IF(OR(IPC!DU39="",IPC!DI39=""),"",IPC!DU39/IPC!DI39-1)</f>
        <v>1.8819099862213751E-2</v>
      </c>
      <c r="DV80" s="33">
        <f>IF(OR(IPC!DV39="",IPC!DJ39=""),"",IPC!DV39/IPC!DJ39-1)</f>
        <v>1.9869935998572785E-2</v>
      </c>
      <c r="DW80" s="33">
        <f>IF(OR(IPC!DW39="",IPC!DK39=""),"",IPC!DW39/IPC!DK39-1)</f>
        <v>2.257957755663953E-2</v>
      </c>
      <c r="DX80" s="33">
        <f>IF(OR(IPC!DX39="",IPC!DL39=""),"",IPC!DX39/IPC!DL39-1)</f>
        <v>2.3109349735823681E-2</v>
      </c>
      <c r="DY80" s="33">
        <f>IF(OR(IPC!DY39="",IPC!DM39=""),"",IPC!DY39/IPC!DM39-1)</f>
        <v>2.476944334898934E-2</v>
      </c>
      <c r="DZ80" s="33">
        <f>IF(OR(IPC!DZ39="",IPC!DN39=""),"",IPC!DZ39/IPC!DN39-1)</f>
        <v>2.5682408262123646E-2</v>
      </c>
      <c r="EA80" s="33">
        <f>IF(OR(IPC!EA39="",IPC!DO39=""),"",IPC!EA39/IPC!DO39-1)</f>
        <v>2.3260741787478389E-2</v>
      </c>
      <c r="EB80" s="33">
        <f>IF(OR(IPC!EB39="",IPC!DP39=""),"",IPC!EB39/IPC!DP39-1)</f>
        <v>2.4699930795862635E-2</v>
      </c>
      <c r="EC80" s="33">
        <f>IF(OR(IPC!EC39="",IPC!DQ39=""),"",IPC!EC39/IPC!DQ39-1)</f>
        <v>2.208559569187929E-2</v>
      </c>
      <c r="ED80" s="33">
        <f>IF(OR(IPC!ED39="",IPC!DR39=""),"",IPC!ED39/IPC!DR39-1)</f>
        <v>2.405787072592025E-2</v>
      </c>
      <c r="EE80" s="33">
        <f>IF(OR(IPC!EE39="",IPC!DS39=""),"",IPC!EE39/IPC!DS39-1)</f>
        <v>3.506586820863089E-2</v>
      </c>
      <c r="EF80" s="33">
        <f>IF(OR(IPC!EF39="",IPC!DT39=""),"",IPC!EF39/IPC!DT39-1)</f>
        <v>4.1330910966135281E-2</v>
      </c>
      <c r="EG80" s="33">
        <f>IF(OR(IPC!EG39="",IPC!DU39=""),"",IPC!EG39/IPC!DU39-1)</f>
        <v>4.486605579178371E-2</v>
      </c>
      <c r="EH80" s="33">
        <f>IF(OR(IPC!EH39="",IPC!DV39=""),"",IPC!EH39/IPC!DV39-1)</f>
        <v>0.12324341702128816</v>
      </c>
      <c r="EI80" s="33">
        <f>IF(OR(IPC!EI39="",IPC!DW39=""),"",IPC!EI39/IPC!DW39-1)</f>
        <v>5.6680855517411866E-2</v>
      </c>
      <c r="EJ80" s="33">
        <f>IF(OR(IPC!EJ39="",IPC!DX39=""),"",IPC!EJ39/IPC!DX39-1)</f>
        <v>6.0595645827009381E-2</v>
      </c>
      <c r="EK80" s="33">
        <f>IF(OR(IPC!EK39="",IPC!DY39=""),"",IPC!EK39/IPC!DY39-1)</f>
        <v>6.0534552653141338E-2</v>
      </c>
      <c r="EL80" s="33">
        <f>IF(OR(IPC!EL39="",IPC!DZ39=""),"",IPC!EL39/IPC!DZ39-1)</f>
        <v>6.2357442642145156E-2</v>
      </c>
      <c r="EM80" s="33">
        <f>IF(OR(IPC!EM39="",IPC!EA39=""),"",IPC!EM39/IPC!EA39-1)</f>
        <v>7.1931279273743431E-2</v>
      </c>
      <c r="EN80" s="33">
        <f>IF(OR(IPC!EN39="",IPC!EB39=""),"",IPC!EN39/IPC!EB39-1)</f>
        <v>7.8081101245812023E-2</v>
      </c>
      <c r="EO80" s="33">
        <f>IF(OR(IPC!EO39="",IPC!EC39=""),"",IPC!EO39/IPC!EC39-1)</f>
        <v>7.9691755681883025E-2</v>
      </c>
      <c r="EP80" s="33">
        <f>IF(OR(IPC!EP39="",IPC!ED39=""),"",IPC!EP39/IPC!ED39-1)</f>
        <v>8.4582187268777975E-2</v>
      </c>
      <c r="EQ80" s="33">
        <f>IF(OR(IPC!EQ39="",IPC!EE39=""),"",IPC!EQ39/IPC!EE39-1)</f>
        <v>7.5910396260880253E-2</v>
      </c>
      <c r="ER80" s="33">
        <f>IF(OR(IPC!ER39="",IPC!EF39=""),"",IPC!ER39/IPC!EF39-1)</f>
        <v>7.5996625127362716E-2</v>
      </c>
      <c r="ES80" s="33">
        <f>IF(OR(IPC!ES39="",IPC!EG39=""),"",IPC!ES39/IPC!EG39-1)</f>
        <v>7.6117058155317219E-2</v>
      </c>
      <c r="ET80" s="33">
        <f>IF(OR(IPC!ET39="",IPC!EH39=""),"",IPC!ET39/IPC!EH39-1)</f>
        <v>0</v>
      </c>
      <c r="EU80" s="33">
        <f>IF(OR(IPC!EU39="",IPC!EI39=""),"",IPC!EU39/IPC!EI39-1)</f>
        <v>6.7427609514345122E-2</v>
      </c>
      <c r="EV80" s="33">
        <f>IF(OR(IPC!EV39="",IPC!EJ39=""),"",IPC!EV39/IPC!EJ39-1)</f>
        <v>6.5223754015120594E-2</v>
      </c>
      <c r="EW80" s="33">
        <f>IF(OR(IPC!EW39="",IPC!EK39=""),"",IPC!EW39/IPC!EK39-1)</f>
        <v>6.7299921290799425E-2</v>
      </c>
      <c r="EX80" s="33">
        <f>IF(OR(IPC!EX39="",IPC!EL39=""),"",IPC!EX39/IPC!EL39-1)</f>
        <v>6.4105827121984982E-2</v>
      </c>
      <c r="EY80" s="33">
        <f>IF(OR(IPC!EY39="",IPC!EM39=""),"",IPC!EY39/IPC!EM39-1)</f>
        <v>6.1467300556637738E-2</v>
      </c>
      <c r="EZ80" s="33">
        <f>IF(OR(IPC!EZ39="",IPC!EN39=""),"",IPC!EZ39/IPC!EN39-1)</f>
        <v>5.6601553527724446E-2</v>
      </c>
      <c r="FA80" s="33">
        <f>IF(OR(IPC!FA39="",IPC!EO39=""),"",IPC!FA39/IPC!EO39-1)</f>
        <v>5.4904977787354481E-2</v>
      </c>
      <c r="FB80" s="33">
        <f>IF(OR(IPC!FB39="",IPC!EP39=""),"",IPC!FB39/IPC!EP39-1)</f>
        <v>4.8371386152197937E-2</v>
      </c>
      <c r="FC80" s="33">
        <f>IF(OR(IPC!FC39="",IPC!EQ39=""),"",IPC!FC39/IPC!EQ39-1)</f>
        <v>4.350747855631476E-2</v>
      </c>
      <c r="FD80" s="33">
        <f>IF(OR(IPC!FD39="",IPC!ER39=""),"",IPC!FD39/IPC!ER39-1)</f>
        <v>3.524695898411534E-2</v>
      </c>
      <c r="FE80" s="33">
        <f>IF(OR(IPC!FE39="",IPC!ES39=""),"",IPC!FE39/IPC!ES39-1)</f>
        <v>3.5547022612749224E-2</v>
      </c>
      <c r="FF80" s="33">
        <f>IF(OR(IPC!FF39="",IPC!ET39=""),"",IPC!FF39/IPC!ET39-1)</f>
        <v>3.6471570884804905E-2</v>
      </c>
      <c r="FG80" s="33">
        <f>IF(OR(IPC!FG39="",IPC!EU39=""),"",IPC!FG39/IPC!EU39-1)</f>
        <v>3.4130442610913247E-2</v>
      </c>
      <c r="FH80" s="33">
        <f>IF(OR(IPC!FH39="",IPC!EV39=""),"",IPC!FH39/IPC!EV39-1)</f>
        <v>3.2723317302085553E-2</v>
      </c>
      <c r="FI80" s="33">
        <f>IF(OR(IPC!FI39="",IPC!EW39=""),"",IPC!FI39/IPC!EW39-1)</f>
        <v>3.2052782437758776E-2</v>
      </c>
      <c r="FJ80" s="33">
        <f>IF(OR(IPC!FJ39="",IPC!EX39=""),"",IPC!FJ39/IPC!EX39-1)</f>
        <v>2.8198193513740311E-2</v>
      </c>
      <c r="FK80" s="33">
        <f>IF(OR(IPC!FK39="",IPC!EY39=""),"",IPC!FK39/IPC!EY39-1)</f>
        <v>2.717884146607652E-2</v>
      </c>
      <c r="FL80" s="33">
        <f>IF(OR(IPC!FL39="",IPC!EZ39=""),"",IPC!FL39/IPC!EZ39-1)</f>
        <v>3.3372699616217361E-2</v>
      </c>
      <c r="FM80" s="33">
        <f>IF(OR(IPC!FM39="",IPC!FA39=""),"",IPC!FM39/IPC!FA39-1)</f>
        <v>3.3150570729352902E-2</v>
      </c>
      <c r="FN80" s="33">
        <f>IF(OR(IPC!FN39="",IPC!FB39=""),"",IPC!FN39/IPC!FB39-1)</f>
        <v>3.3651827083084562E-2</v>
      </c>
      <c r="FO80" s="33">
        <f>IF(OR(IPC!FO39="",IPC!FC39=""),"",IPC!FO39/IPC!FC39-1)</f>
        <v>4.1070961256502114E-2</v>
      </c>
      <c r="FP80" s="33">
        <f>IF(OR(IPC!FP39="",IPC!FD39=""),"",IPC!FP39/IPC!FD39-1)</f>
        <v>4.2879412018613117E-2</v>
      </c>
      <c r="FQ80" s="33">
        <f>IF(OR(IPC!FQ39="",IPC!FE39=""),"",IPC!FQ39/IPC!FE39-1)</f>
        <v>3.8905870765253203E-2</v>
      </c>
      <c r="FR80" s="33">
        <f>IF(OR(IPC!FR39="",IPC!FF39=""),"",IPC!FR39/IPC!FF39-1)</f>
        <v>3.8737813169645641E-2</v>
      </c>
    </row>
    <row r="81" spans="1:174" s="14" customFormat="1" ht="10.199999999999999" x14ac:dyDescent="0.2">
      <c r="A81" s="9"/>
      <c r="B81" s="10" t="s">
        <v>32</v>
      </c>
      <c r="C81" s="61">
        <f>SUM(C49:C53,C55:C59)</f>
        <v>340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 t="str">
        <f>IF(OR(IPC!Q40="",IPC!E40=""),"",IPC!Q40/IPC!E40-1)</f>
        <v/>
      </c>
      <c r="R81" s="33" t="str">
        <f>IF(OR(IPC!R40="",IPC!F40=""),"",IPC!R40/IPC!F40-1)</f>
        <v/>
      </c>
      <c r="S81" s="33" t="str">
        <f>IF(OR(IPC!S40="",IPC!G40=""),"",IPC!S40/IPC!G40-1)</f>
        <v/>
      </c>
      <c r="T81" s="33" t="str">
        <f>IF(OR(IPC!T40="",IPC!H40=""),"",IPC!T40/IPC!H40-1)</f>
        <v/>
      </c>
      <c r="U81" s="33" t="str">
        <f>IF(OR(IPC!U40="",IPC!I40=""),"",IPC!U40/IPC!I40-1)</f>
        <v/>
      </c>
      <c r="V81" s="33" t="str">
        <f>IF(OR(IPC!V40="",IPC!J40=""),"",IPC!V40/IPC!J40-1)</f>
        <v/>
      </c>
      <c r="W81" s="33" t="str">
        <f>IF(OR(IPC!W40="",IPC!K40=""),"",IPC!W40/IPC!K40-1)</f>
        <v/>
      </c>
      <c r="X81" s="33" t="str">
        <f>IF(OR(IPC!X40="",IPC!L40=""),"",IPC!X40/IPC!L40-1)</f>
        <v/>
      </c>
      <c r="Y81" s="33" t="str">
        <f>IF(OR(IPC!Y40="",IPC!M40=""),"",IPC!Y40/IPC!M40-1)</f>
        <v/>
      </c>
      <c r="Z81" s="33" t="str">
        <f>IF(OR(IPC!Z40="",IPC!N40=""),"",IPC!Z40/IPC!N40-1)</f>
        <v/>
      </c>
      <c r="AA81" s="33" t="str">
        <f>IF(OR(IPC!AA40="",IPC!O40=""),"",IPC!AA40/IPC!O40-1)</f>
        <v/>
      </c>
      <c r="AB81" s="33">
        <f>IF(OR(IPC!AB40="",IPC!P40=""),"",IPC!AB40/IPC!P40-1)</f>
        <v>1.4402728434155687E-2</v>
      </c>
      <c r="AC81" s="33">
        <f>IF(OR(IPC!AC40="",IPC!Q40=""),"",IPC!AC40/IPC!Q40-1)</f>
        <v>1.6430715075417712E-2</v>
      </c>
      <c r="AD81" s="33">
        <f>IF(OR(IPC!AD40="",IPC!R40=""),"",IPC!AD40/IPC!R40-1)</f>
        <v>1.4041045272504382E-2</v>
      </c>
      <c r="AE81" s="33">
        <f>IF(OR(IPC!AE40="",IPC!S40=""),"",IPC!AE40/IPC!S40-1)</f>
        <v>1.3487561907862045E-2</v>
      </c>
      <c r="AF81" s="33">
        <f>IF(OR(IPC!AF40="",IPC!T40=""),"",IPC!AF40/IPC!T40-1)</f>
        <v>1.0255336476016508E-2</v>
      </c>
      <c r="AG81" s="33">
        <f>IF(OR(IPC!AG40="",IPC!U40=""),"",IPC!AG40/IPC!U40-1)</f>
        <v>1.0848332726139054E-2</v>
      </c>
      <c r="AH81" s="33">
        <f>IF(OR(IPC!AH40="",IPC!V40=""),"",IPC!AH40/IPC!V40-1)</f>
        <v>1.0565069380777059E-2</v>
      </c>
      <c r="AI81" s="33">
        <f>IF(OR(IPC!AI40="",IPC!W40=""),"",IPC!AI40/IPC!W40-1)</f>
        <v>1.0283198136753491E-2</v>
      </c>
      <c r="AJ81" s="33">
        <f>IF(OR(IPC!AJ40="",IPC!X40=""),"",IPC!AJ40/IPC!X40-1)</f>
        <v>1.5599685635238725E-2</v>
      </c>
      <c r="AK81" s="33">
        <f>IF(OR(IPC!AK40="",IPC!Y40=""),"",IPC!AK40/IPC!Y40-1)</f>
        <v>1.4211784551108275E-2</v>
      </c>
      <c r="AL81" s="33">
        <f>IF(OR(IPC!AL40="",IPC!Z40=""),"",IPC!AL40/IPC!Z40-1)</f>
        <v>1.3932401353026647E-2</v>
      </c>
      <c r="AM81" s="33">
        <f>IF(OR(IPC!AM40="",IPC!AA40=""),"",IPC!AM40/IPC!AA40-1)</f>
        <v>1.3542019426545648E-2</v>
      </c>
      <c r="AN81" s="33">
        <f>IF(OR(IPC!AN40="",IPC!AB40=""),"",IPC!AN40/IPC!AB40-1)</f>
        <v>1.305672820952819E-2</v>
      </c>
      <c r="AO81" s="33">
        <f>IF(OR(IPC!AO40="",IPC!AC40=""),"",IPC!AO40/IPC!AC40-1)</f>
        <v>1.1467159545464289E-2</v>
      </c>
      <c r="AP81" s="33">
        <f>IF(OR(IPC!AP40="",IPC!AD40=""),"",IPC!AP40/IPC!AD40-1)</f>
        <v>8.7796367951422649E-3</v>
      </c>
      <c r="AQ81" s="33">
        <f>IF(OR(IPC!AQ40="",IPC!AE40=""),"",IPC!AQ40/IPC!AE40-1)</f>
        <v>7.6690168938835512E-3</v>
      </c>
      <c r="AR81" s="33">
        <f>IF(OR(IPC!AR40="",IPC!AF40=""),"",IPC!AR40/IPC!AF40-1)</f>
        <v>1.0339642285864814E-2</v>
      </c>
      <c r="AS81" s="33">
        <f>IF(OR(IPC!AS40="",IPC!AG40=""),"",IPC!AS40/IPC!AG40-1)</f>
        <v>8.8828759246744049E-3</v>
      </c>
      <c r="AT81" s="33">
        <f>IF(OR(IPC!AT40="",IPC!AH40=""),"",IPC!AT40/IPC!AH40-1)</f>
        <v>1.258384759208564E-2</v>
      </c>
      <c r="AU81" s="33">
        <f>IF(OR(IPC!AU40="",IPC!AI40=""),"",IPC!AU40/IPC!AI40-1)</f>
        <v>1.309174181398931E-2</v>
      </c>
      <c r="AV81" s="33">
        <f>IF(OR(IPC!AV40="",IPC!AJ40=""),"",IPC!AV40/IPC!AJ40-1)</f>
        <v>1.317586115756475E-2</v>
      </c>
      <c r="AW81" s="33">
        <f>IF(OR(IPC!AW40="",IPC!AK40=""),"",IPC!AW40/IPC!AK40-1)</f>
        <v>9.0966876115212703E-3</v>
      </c>
      <c r="AX81" s="33">
        <f>IF(OR(IPC!AX40="",IPC!AL40=""),"",IPC!AX40/IPC!AL40-1)</f>
        <v>1.4231845185241454E-2</v>
      </c>
      <c r="AY81" s="33">
        <f>IF(OR(IPC!AY40="",IPC!AM40=""),"",IPC!AY40/IPC!AM40-1)</f>
        <v>1.4329932465584783E-2</v>
      </c>
      <c r="AZ81" s="33">
        <f>IF(OR(IPC!AZ40="",IPC!AN40=""),"",IPC!AZ40/IPC!AN40-1)</f>
        <v>1.0199292030645735E-2</v>
      </c>
      <c r="BA81" s="33">
        <f>IF(OR(IPC!BA40="",IPC!AO40=""),"",IPC!BA40/IPC!AO40-1)</f>
        <v>1.4920102273946023E-2</v>
      </c>
      <c r="BB81" s="33">
        <f>IF(OR(IPC!BB40="",IPC!AP40=""),"",IPC!BB40/IPC!AP40-1)</f>
        <v>1.7220798108788848E-2</v>
      </c>
      <c r="BC81" s="33">
        <f>IF(OR(IPC!BC40="",IPC!AQ40=""),"",IPC!BC40/IPC!AQ40-1)</f>
        <v>2.0766118251234422E-2</v>
      </c>
      <c r="BD81" s="33">
        <f>IF(OR(IPC!BD40="",IPC!AR40=""),"",IPC!BD40/IPC!AR40-1)</f>
        <v>1.9906961680206559E-2</v>
      </c>
      <c r="BE81" s="33">
        <f>IF(OR(IPC!BE40="",IPC!AS40=""),"",IPC!BE40/IPC!AS40-1)</f>
        <v>2.6007305500137967E-2</v>
      </c>
      <c r="BF81" s="33">
        <f>IF(OR(IPC!BF40="",IPC!AT40=""),"",IPC!BF40/IPC!AT40-1)</f>
        <v>1.9719804086807846E-2</v>
      </c>
      <c r="BG81" s="33">
        <f>IF(OR(IPC!BG40="",IPC!AU40=""),"",IPC!BG40/IPC!AU40-1)</f>
        <v>1.9979678216199614E-2</v>
      </c>
      <c r="BH81" s="33">
        <f>IF(OR(IPC!BH40="",IPC!AV40=""),"",IPC!BH40/IPC!AV40-1)</f>
        <v>1.8718948426577509E-2</v>
      </c>
      <c r="BI81" s="33">
        <f>IF(OR(IPC!BI40="",IPC!AW40=""),"",IPC!BI40/IPC!AW40-1)</f>
        <v>1.8059014630045667E-2</v>
      </c>
      <c r="BJ81" s="33">
        <f>IF(OR(IPC!BJ40="",IPC!AX40=""),"",IPC!BJ40/IPC!AX40-1)</f>
        <v>1.3529602027118948E-2</v>
      </c>
      <c r="BK81" s="33">
        <f>IF(OR(IPC!BK40="",IPC!AY40=""),"",IPC!BK40/IPC!AY40-1)</f>
        <v>1.3458818393535577E-2</v>
      </c>
      <c r="BL81" s="33">
        <f>IF(OR(IPC!BL40="",IPC!AZ40=""),"",IPC!BL40/IPC!AZ40-1)</f>
        <v>1.9171878253802621E-2</v>
      </c>
      <c r="BM81" s="33">
        <f>IF(OR(IPC!BM40="",IPC!BA40=""),"",IPC!BM40/IPC!BA40-1)</f>
        <v>1.2745210605796808E-2</v>
      </c>
      <c r="BN81" s="33">
        <f>IF(OR(IPC!BN40="",IPC!BB40=""),"",IPC!BN40/IPC!BB40-1)</f>
        <v>1.3709532693783499E-2</v>
      </c>
      <c r="BO81" s="33">
        <f>IF(OR(IPC!BO40="",IPC!BC40=""),"",IPC!BO40/IPC!BC40-1)</f>
        <v>1.1032475088815108E-2</v>
      </c>
      <c r="BP81" s="33">
        <f>IF(OR(IPC!BP40="",IPC!BD40=""),"",IPC!BP40/IPC!BD40-1)</f>
        <v>1.1132312731558125E-2</v>
      </c>
      <c r="BQ81" s="33">
        <f>IF(OR(IPC!BQ40="",IPC!BE40=""),"",IPC!BQ40/IPC!BE40-1)</f>
        <v>3.9422722885573691E-3</v>
      </c>
      <c r="BR81" s="33">
        <f>IF(OR(IPC!BR40="",IPC!BF40=""),"",IPC!BR40/IPC!BF40-1)</f>
        <v>6.1390150979383495E-3</v>
      </c>
      <c r="BS81" s="33">
        <f>IF(OR(IPC!BS40="",IPC!BG40=""),"",IPC!BS40/IPC!BG40-1)</f>
        <v>8.5661103413539053E-3</v>
      </c>
      <c r="BT81" s="33">
        <f>IF(OR(IPC!BT40="",IPC!BH40=""),"",IPC!BT40/IPC!BH40-1)</f>
        <v>6.3809873642024506E-3</v>
      </c>
      <c r="BU81" s="33">
        <f>IF(OR(IPC!BU40="",IPC!BI40=""),"",IPC!BU40/IPC!BI40-1)</f>
        <v>9.1853446168943531E-3</v>
      </c>
      <c r="BV81" s="33">
        <f>IF(OR(IPC!BV40="",IPC!BJ40=""),"",IPC!BV40/IPC!BJ40-1)</f>
        <v>7.5868726358800931E-3</v>
      </c>
      <c r="BW81" s="33">
        <f>IF(OR(IPC!BW40="",IPC!BK40=""),"",IPC!BW40/IPC!BK40-1)</f>
        <v>9.2559500528293093E-3</v>
      </c>
      <c r="BX81" s="33">
        <f>IF(OR(IPC!BX40="",IPC!BL40=""),"",IPC!BX40/IPC!BL40-1)</f>
        <v>9.0146847116325812E-3</v>
      </c>
      <c r="BY81" s="33">
        <f>IF(OR(IPC!BY40="",IPC!BM40=""),"",IPC!BY40/IPC!BM40-1)</f>
        <v>9.7346846907304663E-3</v>
      </c>
      <c r="BZ81" s="33">
        <f>IF(OR(IPC!BZ40="",IPC!BN40=""),"",IPC!BZ40/IPC!BN40-1)</f>
        <v>9.4095251009016501E-3</v>
      </c>
      <c r="CA81" s="33">
        <f>IF(OR(IPC!CA40="",IPC!BO40=""),"",IPC!CA40/IPC!BO40-1)</f>
        <v>1.0952738207239854E-2</v>
      </c>
      <c r="CB81" s="33">
        <f>IF(OR(IPC!CB40="",IPC!BP40=""),"",IPC!CB40/IPC!BP40-1)</f>
        <v>8.9661914756062888E-3</v>
      </c>
      <c r="CC81" s="33">
        <f>IF(OR(IPC!CC40="",IPC!BQ40=""),"",IPC!CC40/IPC!BQ40-1)</f>
        <v>1.1053078645386405E-2</v>
      </c>
      <c r="CD81" s="33">
        <f>IF(OR(IPC!CD40="",IPC!BR40=""),"",IPC!CD40/IPC!BR40-1)</f>
        <v>1.1012198973049614E-2</v>
      </c>
      <c r="CE81" s="33">
        <f>IF(OR(IPC!CE40="",IPC!BS40=""),"",IPC!CE40/IPC!BS40-1)</f>
        <v>8.5916686748941373E-3</v>
      </c>
      <c r="CF81" s="33">
        <f>IF(OR(IPC!CF40="",IPC!BT40=""),"",IPC!CF40/IPC!BT40-1)</f>
        <v>9.5519163085515668E-3</v>
      </c>
      <c r="CG81" s="33">
        <f>IF(OR(IPC!CG40="",IPC!BU40=""),"",IPC!CG40/IPC!BU40-1)</f>
        <v>1.0408040464798818E-2</v>
      </c>
      <c r="CH81" s="33">
        <f>IF(OR(IPC!CH40="",IPC!BV40=""),"",IPC!CH40/IPC!BV40-1)</f>
        <v>9.906269334259088E-3</v>
      </c>
      <c r="CI81" s="33">
        <f>IF(OR(IPC!CI40="",IPC!BW40=""),"",IPC!CI40/IPC!BW40-1)</f>
        <v>4.6081993186273262E-3</v>
      </c>
      <c r="CJ81" s="33">
        <f>IF(OR(IPC!CJ40="",IPC!BX40=""),"",IPC!CJ40/IPC!BX40-1)</f>
        <v>7.3557068634706457E-3</v>
      </c>
      <c r="CK81" s="33">
        <f>IF(OR(IPC!CK40="",IPC!BY40=""),"",IPC!CK40/IPC!BY40-1)</f>
        <v>7.3649286137995595E-3</v>
      </c>
      <c r="CL81" s="33">
        <f>IF(OR(IPC!CL40="",IPC!BZ40=""),"",IPC!CL40/IPC!BZ40-1)</f>
        <v>4.5350475337193608E-3</v>
      </c>
      <c r="CM81" s="33">
        <f>IF(OR(IPC!CM40="",IPC!CA40=""),"",IPC!CM40/IPC!CA40-1)</f>
        <v>5.4627564789679894E-3</v>
      </c>
      <c r="CN81" s="33">
        <f>IF(OR(IPC!CN40="",IPC!CB40=""),"",IPC!CN40/IPC!CB40-1)</f>
        <v>8.8861809882938569E-3</v>
      </c>
      <c r="CO81" s="33">
        <f>IF(OR(IPC!CO40="",IPC!CC40=""),"",IPC!CO40/IPC!CC40-1)</f>
        <v>9.7675237113563629E-3</v>
      </c>
      <c r="CP81" s="33">
        <f>IF(OR(IPC!CP40="",IPC!CD40=""),"",IPC!CP40/IPC!CD40-1)</f>
        <v>1.0414351850818404E-2</v>
      </c>
      <c r="CQ81" s="33">
        <f>IF(OR(IPC!CQ40="",IPC!CE40=""),"",IPC!CQ40/IPC!CE40-1)</f>
        <v>1.1011396174912091E-2</v>
      </c>
      <c r="CR81" s="33">
        <f>IF(OR(IPC!CR40="",IPC!CF40=""),"",IPC!CR40/IPC!CF40-1)</f>
        <v>1.1802928435111104E-2</v>
      </c>
      <c r="CS81" s="33">
        <f>IF(OR(IPC!CS40="",IPC!CG40=""),"",IPC!CS40/IPC!CG40-1)</f>
        <v>1.3362633087677045E-2</v>
      </c>
      <c r="CT81" s="33">
        <f>IF(OR(IPC!CT40="",IPC!CH40=""),"",IPC!CT40/IPC!CH40-1)</f>
        <v>1.5144816964599794E-2</v>
      </c>
      <c r="CU81" s="33">
        <f>IF(OR(IPC!CU40="",IPC!CI40=""),"",IPC!CU40/IPC!CI40-1)</f>
        <v>1.8006612063814265E-2</v>
      </c>
      <c r="CV81" s="33">
        <f>IF(OR(IPC!CV40="",IPC!CJ40=""),"",IPC!CV40/IPC!CJ40-1)</f>
        <v>1.715738514508236E-2</v>
      </c>
      <c r="CW81" s="33">
        <f>IF(OR(IPC!CW40="",IPC!CK40=""),"",IPC!CW40/IPC!CK40-1)</f>
        <v>1.8307437675151528E-2</v>
      </c>
      <c r="CX81" s="33">
        <f>IF(OR(IPC!CX40="",IPC!CL40=""),"",IPC!CX40/IPC!CL40-1)</f>
        <v>2.3646164825842586E-2</v>
      </c>
      <c r="CY81" s="33">
        <f>IF(OR(IPC!CY40="",IPC!CM40=""),"",IPC!CY40/IPC!CM40-1)</f>
        <v>2.3782526600778509E-2</v>
      </c>
      <c r="CZ81" s="33">
        <f>IF(OR(IPC!CZ40="",IPC!CN40=""),"",IPC!CZ40/IPC!CN40-1)</f>
        <v>2.2492986972768136E-2</v>
      </c>
      <c r="DA81" s="33">
        <f>IF(OR(IPC!DA40="",IPC!CO40=""),"",IPC!DA40/IPC!CO40-1)</f>
        <v>2.1546445225414157E-2</v>
      </c>
      <c r="DB81" s="33">
        <f>IF(OR(IPC!DB40="",IPC!CP40=""),"",IPC!DB40/IPC!CP40-1)</f>
        <v>2.1453969523924199E-2</v>
      </c>
      <c r="DC81" s="33">
        <f>IF(OR(IPC!DC40="",IPC!CQ40=""),"",IPC!DC40/IPC!CQ40-1)</f>
        <v>2.237269591008717E-2</v>
      </c>
      <c r="DD81" s="33">
        <f>IF(OR(IPC!DD40="",IPC!CR40=""),"",IPC!DD40/IPC!CR40-1)</f>
        <v>2.1353086664013254E-2</v>
      </c>
      <c r="DE81" s="33">
        <f>IF(OR(IPC!DE40="",IPC!CS40=""),"",IPC!DE40/IPC!CS40-1)</f>
        <v>2.3758874102860039E-2</v>
      </c>
      <c r="DF81" s="33">
        <f>IF(OR(IPC!DF40="",IPC!CT40=""),"",IPC!DF40/IPC!CT40-1)</f>
        <v>2.6163647823367331E-2</v>
      </c>
      <c r="DG81" s="33">
        <f>IF(OR(IPC!DG40="",IPC!CU40=""),"",IPC!DG40/IPC!CU40-1)</f>
        <v>2.372012130731127E-2</v>
      </c>
      <c r="DH81" s="33">
        <f>IF(OR(IPC!DH40="",IPC!CV40=""),"",IPC!DH40/IPC!CV40-1)</f>
        <v>2.3507822606507967E-2</v>
      </c>
      <c r="DI81" s="33">
        <f>IF(OR(IPC!DI40="",IPC!CW40=""),"",IPC!DI40/IPC!CW40-1)</f>
        <v>2.3921779803290688E-2</v>
      </c>
      <c r="DJ81" s="33">
        <f>IF(OR(IPC!DJ40="",IPC!CX40=""),"",IPC!DJ40/IPC!CX40-1)</f>
        <v>1.973289262440181E-2</v>
      </c>
      <c r="DK81" s="33">
        <f>IF(OR(IPC!DK40="",IPC!CY40=""),"",IPC!DK40/IPC!CY40-1)</f>
        <v>2.0151638166912234E-2</v>
      </c>
      <c r="DL81" s="33">
        <f>IF(OR(IPC!DL40="",IPC!CZ40=""),"",IPC!DL40/IPC!CZ40-1)</f>
        <v>2.1005607924271974E-2</v>
      </c>
      <c r="DM81" s="33">
        <f>IF(OR(IPC!DM40="",IPC!DA40=""),"",IPC!DM40/IPC!DA40-1)</f>
        <v>1.912499669011436E-2</v>
      </c>
      <c r="DN81" s="33">
        <f>IF(OR(IPC!DN40="",IPC!DB40=""),"",IPC!DN40/IPC!DB40-1)</f>
        <v>1.8475240135837678E-2</v>
      </c>
      <c r="DO81" s="33">
        <f>IF(OR(IPC!DO40="",IPC!DC40=""),"",IPC!DO40/IPC!DC40-1)</f>
        <v>1.8430472206438786E-2</v>
      </c>
      <c r="DP81" s="33">
        <f>IF(OR(IPC!DP40="",IPC!DD40=""),"",IPC!DP40/IPC!DD40-1)</f>
        <v>1.7256153617679848E-2</v>
      </c>
      <c r="DQ81" s="33">
        <f>IF(OR(IPC!DQ40="",IPC!DE40=""),"",IPC!DQ40/IPC!DE40-1)</f>
        <v>1.6222338960250493E-2</v>
      </c>
      <c r="DR81" s="33">
        <f>IF(OR(IPC!DR40="",IPC!DF40=""),"",IPC!DR40/IPC!DF40-1)</f>
        <v>1.3047999516305753E-2</v>
      </c>
      <c r="DS81" s="33">
        <f>IF(OR(IPC!DS40="",IPC!DG40=""),"",IPC!DS40/IPC!DG40-1)</f>
        <v>1.4075990793373627E-2</v>
      </c>
      <c r="DT81" s="33">
        <f>IF(OR(IPC!DT40="",IPC!DH40=""),"",IPC!DT40/IPC!DH40-1)</f>
        <v>1.4475147626208384E-2</v>
      </c>
      <c r="DU81" s="33">
        <f>IF(OR(IPC!DU40="",IPC!DI40=""),"",IPC!DU40/IPC!DI40-1)</f>
        <v>1.4319350645115581E-2</v>
      </c>
      <c r="DV81" s="33">
        <f>IF(OR(IPC!DV40="",IPC!DJ40=""),"",IPC!DV40/IPC!DJ40-1)</f>
        <v>1.5124799656994758E-2</v>
      </c>
      <c r="DW81" s="33">
        <f>IF(OR(IPC!DW40="",IPC!DK40=""),"",IPC!DW40/IPC!DK40-1)</f>
        <v>1.3671773155359057E-2</v>
      </c>
      <c r="DX81" s="33">
        <f>IF(OR(IPC!DX40="",IPC!DL40=""),"",IPC!DX40/IPC!DL40-1)</f>
        <v>1.291657479264674E-2</v>
      </c>
      <c r="DY81" s="33">
        <f>IF(OR(IPC!DY40="",IPC!DM40=""),"",IPC!DY40/IPC!DM40-1)</f>
        <v>1.4497188052402743E-2</v>
      </c>
      <c r="DZ81" s="33">
        <f>IF(OR(IPC!DZ40="",IPC!DN40=""),"",IPC!DZ40/IPC!DN40-1)</f>
        <v>1.6214006733084263E-2</v>
      </c>
      <c r="EA81" s="33">
        <f>IF(OR(IPC!EA40="",IPC!DO40=""),"",IPC!EA40/IPC!DO40-1)</f>
        <v>1.3554335591938749E-2</v>
      </c>
      <c r="EB81" s="33">
        <f>IF(OR(IPC!EB40="",IPC!DP40=""),"",IPC!EB40/IPC!DP40-1)</f>
        <v>1.4621437486560085E-2</v>
      </c>
      <c r="EC81" s="33">
        <f>IF(OR(IPC!EC40="",IPC!DQ40=""),"",IPC!EC40/IPC!DQ40-1)</f>
        <v>1.272239343953796E-2</v>
      </c>
      <c r="ED81" s="33">
        <f>IF(OR(IPC!ED40="",IPC!DR40=""),"",IPC!ED40/IPC!DR40-1)</f>
        <v>1.2637065750446874E-2</v>
      </c>
      <c r="EE81" s="33">
        <f>IF(OR(IPC!EE40="",IPC!DS40=""),"",IPC!EE40/IPC!DS40-1)</f>
        <v>1.4675730829890155E-2</v>
      </c>
      <c r="EF81" s="33">
        <f>IF(OR(IPC!EF40="",IPC!DT40=""),"",IPC!EF40/IPC!DT40-1)</f>
        <v>1.7117602395433806E-2</v>
      </c>
      <c r="EG81" s="33">
        <f>IF(OR(IPC!EG40="",IPC!DU40=""),"",IPC!EG40/IPC!DU40-1)</f>
        <v>1.8514465009742409E-2</v>
      </c>
      <c r="EH81" s="33">
        <f>IF(OR(IPC!EH40="",IPC!DV40=""),"",IPC!EH40/IPC!DV40-1)</f>
        <v>6.5704195222308082E-2</v>
      </c>
      <c r="EI81" s="33">
        <f>IF(OR(IPC!EI40="",IPC!DW40=""),"",IPC!EI40/IPC!DW40-1)</f>
        <v>2.5613731798785899E-2</v>
      </c>
      <c r="EJ81" s="33">
        <f>IF(OR(IPC!EJ40="",IPC!DX40=""),"",IPC!EJ40/IPC!DX40-1)</f>
        <v>2.9449406713018433E-2</v>
      </c>
      <c r="EK81" s="33">
        <f>IF(OR(IPC!EK40="",IPC!DY40=""),"",IPC!EK40/IPC!DY40-1)</f>
        <v>3.0364846252753486E-2</v>
      </c>
      <c r="EL81" s="33">
        <f>IF(OR(IPC!EL40="",IPC!DZ40=""),"",IPC!EL40/IPC!DZ40-1)</f>
        <v>3.0410429317762055E-2</v>
      </c>
      <c r="EM81" s="33">
        <f>IF(OR(IPC!EM40="",IPC!EA40=""),"",IPC!EM40/IPC!EA40-1)</f>
        <v>3.4642996458014164E-2</v>
      </c>
      <c r="EN81" s="33">
        <f>IF(OR(IPC!EN40="",IPC!EB40=""),"",IPC!EN40/IPC!EB40-1)</f>
        <v>3.8705197206621689E-2</v>
      </c>
      <c r="EO81" s="33">
        <f>IF(OR(IPC!EO40="",IPC!EC40=""),"",IPC!EO40/IPC!EC40-1)</f>
        <v>4.110070627592477E-2</v>
      </c>
      <c r="EP81" s="33">
        <f>IF(OR(IPC!EP40="",IPC!ED40=""),"",IPC!EP40/IPC!ED40-1)</f>
        <v>4.3248129138175884E-2</v>
      </c>
      <c r="EQ81" s="33">
        <f>IF(OR(IPC!EQ40="",IPC!EE40=""),"",IPC!EQ40/IPC!EE40-1)</f>
        <v>4.341821695257897E-2</v>
      </c>
      <c r="ER81" s="33">
        <f>IF(OR(IPC!ER40="",IPC!EF40=""),"",IPC!ER40/IPC!EF40-1)</f>
        <v>4.2271605104056809E-2</v>
      </c>
      <c r="ES81" s="33">
        <f>IF(OR(IPC!ES40="",IPC!EG40=""),"",IPC!ES40/IPC!EG40-1)</f>
        <v>4.5021445729095833E-2</v>
      </c>
      <c r="ET81" s="33">
        <f>IF(OR(IPC!ET40="",IPC!EH40=""),"",IPC!ET40/IPC!EH40-1)</f>
        <v>0</v>
      </c>
      <c r="EU81" s="33">
        <f>IF(OR(IPC!EU40="",IPC!EI40=""),"",IPC!EU40/IPC!EI40-1)</f>
        <v>4.2189883618022783E-2</v>
      </c>
      <c r="EV81" s="33">
        <f>IF(OR(IPC!EV40="",IPC!EJ40=""),"",IPC!EV40/IPC!EJ40-1)</f>
        <v>3.8480128529736479E-2</v>
      </c>
      <c r="EW81" s="33">
        <f>IF(OR(IPC!EW40="",IPC!EK40=""),"",IPC!EW40/IPC!EK40-1)</f>
        <v>3.8811450228816602E-2</v>
      </c>
      <c r="EX81" s="33">
        <f>IF(OR(IPC!EX40="",IPC!EL40=""),"",IPC!EX40/IPC!EL40-1)</f>
        <v>3.8349882699366455E-2</v>
      </c>
      <c r="EY81" s="33">
        <f>IF(OR(IPC!EY40="",IPC!EM40=""),"",IPC!EY40/IPC!EM40-1)</f>
        <v>3.6158836439251107E-2</v>
      </c>
      <c r="EZ81" s="33">
        <f>IF(OR(IPC!EZ40="",IPC!EN40=""),"",IPC!EZ40/IPC!EN40-1)</f>
        <v>3.3426746048023759E-2</v>
      </c>
      <c r="FA81" s="33">
        <f>IF(OR(IPC!FA40="",IPC!EO40=""),"",IPC!FA40/IPC!EO40-1)</f>
        <v>3.0169974353821738E-2</v>
      </c>
      <c r="FB81" s="33">
        <f>IF(OR(IPC!FB40="",IPC!EP40=""),"",IPC!FB40/IPC!EP40-1)</f>
        <v>2.954804848219994E-2</v>
      </c>
      <c r="FC81" s="33">
        <f>IF(OR(IPC!FC40="",IPC!EQ40=""),"",IPC!FC40/IPC!EQ40-1)</f>
        <v>2.728412238552913E-2</v>
      </c>
      <c r="FD81" s="33">
        <f>IF(OR(IPC!FD40="",IPC!ER40=""),"",IPC!FD40/IPC!ER40-1)</f>
        <v>2.496764346636704E-2</v>
      </c>
      <c r="FE81" s="33">
        <f>IF(OR(IPC!FE40="",IPC!ES40=""),"",IPC!FE40/IPC!ES40-1)</f>
        <v>2.4256240184133526E-2</v>
      </c>
      <c r="FF81" s="33">
        <f>IF(OR(IPC!FF40="",IPC!ET40=""),"",IPC!FF40/IPC!ET40-1)</f>
        <v>2.303565418733533E-2</v>
      </c>
      <c r="FG81" s="33">
        <f>IF(OR(IPC!FG40="",IPC!EU40=""),"",IPC!FG40/IPC!EU40-1)</f>
        <v>1.9828891343971478E-2</v>
      </c>
      <c r="FH81" s="33">
        <f>IF(OR(IPC!FH40="",IPC!EV40=""),"",IPC!FH40/IPC!EV40-1)</f>
        <v>2.0770726387938421E-2</v>
      </c>
      <c r="FI81" s="33">
        <f>IF(OR(IPC!FI40="",IPC!EW40=""),"",IPC!FI40/IPC!EW40-1)</f>
        <v>2.0634062906280004E-2</v>
      </c>
      <c r="FJ81" s="33">
        <f>IF(OR(IPC!FJ40="",IPC!EX40=""),"",IPC!FJ40/IPC!EX40-1)</f>
        <v>1.9466420402908691E-2</v>
      </c>
      <c r="FK81" s="33">
        <f>IF(OR(IPC!FK40="",IPC!EY40=""),"",IPC!FK40/IPC!EY40-1)</f>
        <v>1.9004108649300244E-2</v>
      </c>
      <c r="FL81" s="33">
        <f>IF(OR(IPC!FL40="",IPC!EZ40=""),"",IPC!FL40/IPC!EZ40-1)</f>
        <v>1.8551091144100695E-2</v>
      </c>
      <c r="FM81" s="33">
        <f>IF(OR(IPC!FM40="",IPC!FA40=""),"",IPC!FM40/IPC!FA40-1)</f>
        <v>1.8306290055157382E-2</v>
      </c>
      <c r="FN81" s="33">
        <f>IF(OR(IPC!FN40="",IPC!FB40=""),"",IPC!FN40/IPC!FB40-1)</f>
        <v>1.8865601128521536E-2</v>
      </c>
      <c r="FO81" s="33">
        <f>IF(OR(IPC!FO40="",IPC!FC40=""),"",IPC!FO40/IPC!FC40-1)</f>
        <v>2.0705014554040169E-2</v>
      </c>
      <c r="FP81" s="33">
        <f>IF(OR(IPC!FP40="",IPC!FD40=""),"",IPC!FP40/IPC!FD40-1)</f>
        <v>2.1060481533361708E-2</v>
      </c>
      <c r="FQ81" s="33">
        <f>IF(OR(IPC!FQ40="",IPC!FE40=""),"",IPC!FQ40/IPC!FE40-1)</f>
        <v>1.8681631578173485E-2</v>
      </c>
      <c r="FR81" s="33">
        <f>IF(OR(IPC!FR40="",IPC!FF40=""),"",IPC!FR40/IPC!FF40-1)</f>
        <v>1.8604812601050957E-2</v>
      </c>
    </row>
    <row r="83" spans="1:174" ht="13.8" thickBot="1" x14ac:dyDescent="0.3"/>
    <row r="84" spans="1:174" s="2" customFormat="1" ht="33" thickTop="1" thickBot="1" x14ac:dyDescent="0.55000000000000004">
      <c r="B84" s="2" t="s">
        <v>101</v>
      </c>
    </row>
    <row r="85" spans="1:174" ht="14.4" thickTop="1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174" s="24" customFormat="1" ht="13.8" thickBot="1" x14ac:dyDescent="0.3">
      <c r="B86" s="21"/>
      <c r="C86" s="22"/>
      <c r="D86" s="23">
        <v>40544</v>
      </c>
      <c r="E86" s="23">
        <v>40575</v>
      </c>
      <c r="F86" s="23">
        <v>40603</v>
      </c>
      <c r="G86" s="23">
        <v>40634</v>
      </c>
      <c r="H86" s="23">
        <v>40664</v>
      </c>
      <c r="I86" s="23">
        <v>40695</v>
      </c>
      <c r="J86" s="23">
        <v>40725</v>
      </c>
      <c r="K86" s="23">
        <v>40756</v>
      </c>
      <c r="L86" s="23">
        <v>40787</v>
      </c>
      <c r="M86" s="23">
        <v>40817</v>
      </c>
      <c r="N86" s="23">
        <v>40848</v>
      </c>
      <c r="O86" s="23">
        <v>40878</v>
      </c>
      <c r="P86" s="23">
        <v>40909</v>
      </c>
      <c r="Q86" s="23">
        <v>40940</v>
      </c>
      <c r="R86" s="23">
        <v>40969</v>
      </c>
      <c r="S86" s="23">
        <v>41000</v>
      </c>
      <c r="T86" s="23">
        <v>41030</v>
      </c>
      <c r="U86" s="23">
        <v>41061</v>
      </c>
      <c r="V86" s="23">
        <v>41091</v>
      </c>
      <c r="W86" s="23">
        <v>41122</v>
      </c>
      <c r="X86" s="23">
        <v>41153</v>
      </c>
      <c r="Y86" s="23">
        <v>41183</v>
      </c>
      <c r="Z86" s="23">
        <v>41214</v>
      </c>
      <c r="AA86" s="23">
        <v>41244</v>
      </c>
      <c r="AB86" s="23">
        <v>41275</v>
      </c>
      <c r="AC86" s="23">
        <v>41306</v>
      </c>
      <c r="AD86" s="23">
        <v>41334</v>
      </c>
      <c r="AE86" s="23">
        <v>41365</v>
      </c>
      <c r="AF86" s="23">
        <v>41395</v>
      </c>
      <c r="AG86" s="23">
        <v>41426</v>
      </c>
      <c r="AH86" s="23">
        <v>41456</v>
      </c>
      <c r="AI86" s="23">
        <v>41487</v>
      </c>
      <c r="AJ86" s="23">
        <v>41518</v>
      </c>
      <c r="AK86" s="23">
        <v>41548</v>
      </c>
      <c r="AL86" s="23">
        <v>41579</v>
      </c>
      <c r="AM86" s="23">
        <v>41609</v>
      </c>
      <c r="AN86" s="23">
        <v>41640</v>
      </c>
      <c r="AO86" s="23">
        <v>41671</v>
      </c>
      <c r="AP86" s="23">
        <v>41699</v>
      </c>
      <c r="AQ86" s="23">
        <v>41730</v>
      </c>
      <c r="AR86" s="23">
        <v>41760</v>
      </c>
      <c r="AS86" s="23">
        <v>41791</v>
      </c>
      <c r="AT86" s="23">
        <v>41821</v>
      </c>
      <c r="AU86" s="23">
        <v>41852</v>
      </c>
      <c r="AV86" s="23">
        <v>41883</v>
      </c>
      <c r="AW86" s="23">
        <v>41913</v>
      </c>
      <c r="AX86" s="23">
        <v>41944</v>
      </c>
      <c r="AY86" s="23">
        <v>41974</v>
      </c>
      <c r="AZ86" s="23">
        <v>42005</v>
      </c>
      <c r="BA86" s="23">
        <v>42036</v>
      </c>
      <c r="BB86" s="23">
        <v>42064</v>
      </c>
      <c r="BC86" s="23">
        <v>42095</v>
      </c>
      <c r="BD86" s="23">
        <v>42125</v>
      </c>
      <c r="BE86" s="23">
        <v>42156</v>
      </c>
      <c r="BF86" s="23">
        <v>42186</v>
      </c>
      <c r="BG86" s="23">
        <v>42217</v>
      </c>
      <c r="BH86" s="23">
        <v>42248</v>
      </c>
      <c r="BI86" s="23">
        <v>42278</v>
      </c>
      <c r="BJ86" s="23">
        <v>42309</v>
      </c>
      <c r="BK86" s="23">
        <v>42339</v>
      </c>
      <c r="BL86" s="23">
        <v>42370</v>
      </c>
      <c r="BM86" s="23">
        <v>42401</v>
      </c>
      <c r="BN86" s="23">
        <v>42430</v>
      </c>
      <c r="BO86" s="23">
        <v>42461</v>
      </c>
      <c r="BP86" s="23">
        <v>42491</v>
      </c>
      <c r="BQ86" s="23">
        <v>42522</v>
      </c>
      <c r="BR86" s="23">
        <v>42552</v>
      </c>
      <c r="BS86" s="23">
        <v>42583</v>
      </c>
      <c r="BT86" s="23">
        <v>42614</v>
      </c>
      <c r="BU86" s="23">
        <v>42644</v>
      </c>
      <c r="BV86" s="23">
        <v>42675</v>
      </c>
      <c r="BW86" s="23">
        <v>42705</v>
      </c>
      <c r="BX86" s="23">
        <v>42736</v>
      </c>
      <c r="BY86" s="23">
        <v>42767</v>
      </c>
      <c r="BZ86" s="23">
        <v>42795</v>
      </c>
      <c r="CA86" s="23">
        <v>42826</v>
      </c>
      <c r="CB86" s="23">
        <v>42856</v>
      </c>
      <c r="CC86" s="23">
        <v>42887</v>
      </c>
      <c r="CD86" s="23">
        <v>42917</v>
      </c>
      <c r="CE86" s="23">
        <v>42948</v>
      </c>
      <c r="CF86" s="23">
        <v>42979</v>
      </c>
      <c r="CG86" s="23">
        <v>43009</v>
      </c>
      <c r="CH86" s="23">
        <v>43040</v>
      </c>
      <c r="CI86" s="23">
        <v>43070</v>
      </c>
      <c r="CJ86" s="23">
        <v>43101</v>
      </c>
      <c r="CK86" s="23">
        <v>43132</v>
      </c>
      <c r="CL86" s="23">
        <v>43160</v>
      </c>
      <c r="CM86" s="23">
        <v>43191</v>
      </c>
      <c r="CN86" s="23">
        <v>43221</v>
      </c>
      <c r="CO86" s="23">
        <v>43252</v>
      </c>
      <c r="CP86" s="23">
        <v>43282</v>
      </c>
      <c r="CQ86" s="23">
        <v>43313</v>
      </c>
      <c r="CR86" s="23">
        <v>43344</v>
      </c>
      <c r="CS86" s="23">
        <v>43374</v>
      </c>
      <c r="CT86" s="23">
        <v>43405</v>
      </c>
      <c r="CU86" s="23">
        <v>43435</v>
      </c>
      <c r="CV86" s="23">
        <v>43466</v>
      </c>
      <c r="CW86" s="23">
        <v>43497</v>
      </c>
      <c r="CX86" s="23">
        <v>43525</v>
      </c>
      <c r="CY86" s="23">
        <v>43556</v>
      </c>
      <c r="CZ86" s="23">
        <v>43586</v>
      </c>
      <c r="DA86" s="23">
        <v>43617</v>
      </c>
      <c r="DB86" s="23">
        <v>43647</v>
      </c>
      <c r="DC86" s="23">
        <v>43678</v>
      </c>
      <c r="DD86" s="23">
        <v>43709</v>
      </c>
      <c r="DE86" s="23">
        <v>43739</v>
      </c>
      <c r="DF86" s="23">
        <v>43770</v>
      </c>
      <c r="DG86" s="23">
        <v>43800</v>
      </c>
      <c r="DH86" s="23">
        <v>43831</v>
      </c>
      <c r="DI86" s="23">
        <v>43862</v>
      </c>
      <c r="DJ86" s="23">
        <v>43891</v>
      </c>
      <c r="DK86" s="23">
        <v>43922</v>
      </c>
      <c r="DL86" s="23">
        <v>43952</v>
      </c>
      <c r="DM86" s="23">
        <v>43983</v>
      </c>
      <c r="DN86" s="23">
        <v>44013</v>
      </c>
      <c r="DO86" s="23">
        <v>44044</v>
      </c>
      <c r="DP86" s="23">
        <v>44075</v>
      </c>
      <c r="DQ86" s="23">
        <v>44105</v>
      </c>
      <c r="DR86" s="23">
        <v>44136</v>
      </c>
      <c r="DS86" s="23">
        <v>44166</v>
      </c>
      <c r="DT86" s="23">
        <v>44197</v>
      </c>
      <c r="DU86" s="23">
        <v>44228</v>
      </c>
      <c r="DV86" s="23">
        <v>44256</v>
      </c>
      <c r="DW86" s="23">
        <v>44287</v>
      </c>
      <c r="DX86" s="23">
        <v>44317</v>
      </c>
      <c r="DY86" s="23">
        <v>44348</v>
      </c>
      <c r="DZ86" s="23">
        <v>44378</v>
      </c>
      <c r="EA86" s="23">
        <v>44409</v>
      </c>
      <c r="EB86" s="23">
        <v>44440</v>
      </c>
      <c r="EC86" s="23">
        <v>44470</v>
      </c>
      <c r="ED86" s="23">
        <v>44501</v>
      </c>
      <c r="EE86" s="23">
        <v>44531</v>
      </c>
      <c r="EF86" s="23">
        <v>44562</v>
      </c>
    </row>
    <row r="87" spans="1:174" x14ac:dyDescent="0.25">
      <c r="A87" s="11"/>
      <c r="B87" s="73" t="s">
        <v>41</v>
      </c>
      <c r="C87" s="17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</row>
    <row r="88" spans="1:174" x14ac:dyDescent="0.25">
      <c r="A88" s="11"/>
      <c r="B88" s="73" t="s">
        <v>42</v>
      </c>
      <c r="C88" s="17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</row>
    <row r="89" spans="1:174" x14ac:dyDescent="0.25">
      <c r="A89" s="11"/>
      <c r="B89" s="73" t="s">
        <v>43</v>
      </c>
      <c r="C89" s="17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</row>
    <row r="90" spans="1:174" x14ac:dyDescent="0.25">
      <c r="A90" s="11"/>
      <c r="B90" s="73" t="s">
        <v>44</v>
      </c>
      <c r="C90" s="17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</row>
    <row r="91" spans="1:174" s="95" customFormat="1" x14ac:dyDescent="0.25">
      <c r="A91" s="91"/>
      <c r="B91" s="92" t="s">
        <v>45</v>
      </c>
      <c r="C91" s="93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  <c r="AO91" s="94"/>
      <c r="AP91" s="94"/>
      <c r="AQ91" s="94"/>
      <c r="AR91" s="94"/>
      <c r="AS91" s="94"/>
      <c r="AT91" s="94"/>
      <c r="AU91" s="94"/>
      <c r="AV91" s="94"/>
      <c r="AW91" s="94"/>
      <c r="AX91" s="94"/>
      <c r="AY91" s="94"/>
    </row>
    <row r="92" spans="1:174" s="100" customFormat="1" x14ac:dyDescent="0.25">
      <c r="A92" s="96"/>
      <c r="B92" s="97" t="s">
        <v>46</v>
      </c>
      <c r="C92" s="98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99"/>
      <c r="AV92" s="99"/>
      <c r="AW92" s="99"/>
      <c r="AX92" s="99"/>
      <c r="AY92" s="99"/>
    </row>
    <row r="93" spans="1:174" x14ac:dyDescent="0.25">
      <c r="A93" s="11"/>
      <c r="B93" s="30" t="s">
        <v>50</v>
      </c>
      <c r="C93" s="17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>
        <f>+AVERAGE(IPC!CW70:DH70)/AVERAGE(IPC!CK70:CV70)-1</f>
        <v>-6.5605402797878076E-3</v>
      </c>
      <c r="DI93" s="35">
        <f>+AVERAGE(IPC!CX70:DI70)/AVERAGE(IPC!CL70:CW70)-1</f>
        <v>-4.5460031379490617E-3</v>
      </c>
      <c r="DJ93" s="35">
        <f>+AVERAGE(IPC!CY70:DJ70)/AVERAGE(IPC!CM70:CX70)-1</f>
        <v>-3.0105449569344245E-3</v>
      </c>
      <c r="DK93" s="35">
        <f>+AVERAGE(IPC!CZ70:DK70)/AVERAGE(IPC!CN70:CY70)-1</f>
        <v>-9.6668949127987069E-4</v>
      </c>
      <c r="DL93" s="35">
        <f>+AVERAGE(IPC!DA70:DL70)/AVERAGE(IPC!CO70:CZ70)-1</f>
        <v>1.2333736396614725E-3</v>
      </c>
      <c r="DM93" s="35">
        <f>+AVERAGE(IPC!DB70:DM70)/AVERAGE(IPC!CP70:DA70)-1</f>
        <v>3.1855352505687495E-3</v>
      </c>
      <c r="DN93" s="35">
        <f>+AVERAGE(IPC!DC70:DN70)/AVERAGE(IPC!CQ70:DB70)-1</f>
        <v>5.8989194728902294E-3</v>
      </c>
      <c r="DO93" s="35">
        <f>+AVERAGE(IPC!DD70:DO70)/AVERAGE(IPC!CR70:DC70)-1</f>
        <v>9.6042779020837354E-3</v>
      </c>
      <c r="DP93" s="35">
        <f>+AVERAGE(IPC!DE70:DP70)/AVERAGE(IPC!CS70:DD70)-1</f>
        <v>1.3050122496503169E-2</v>
      </c>
      <c r="DQ93" s="35">
        <f>+AVERAGE(IPC!DF70:DQ70)/AVERAGE(IPC!CT70:DE70)-1</f>
        <v>1.6717915520310545E-2</v>
      </c>
      <c r="DR93" s="35">
        <f>+AVERAGE(IPC!DG70:DR70)/AVERAGE(IPC!CU70:DF70)-1</f>
        <v>1.9177217239257693E-2</v>
      </c>
      <c r="DS93" s="35">
        <f>+AVERAGE(IPC!DH70:DS70)/AVERAGE(IPC!CV70:DG70)-1</f>
        <v>2.14037559826048E-2</v>
      </c>
      <c r="DT93" s="35">
        <f>+AVERAGE(IPC!DI70:DT70)/AVERAGE(IPC!CW70:DH70)-1</f>
        <v>2.2304231005794373E-2</v>
      </c>
      <c r="DU93" s="35">
        <f>+AVERAGE(IPC!DJ70:DU70)/AVERAGE(IPC!CX70:DI70)-1</f>
        <v>2.2841901066925185E-2</v>
      </c>
      <c r="DV93" s="35">
        <f>+AVERAGE(IPC!DK70:DV70)/AVERAGE(IPC!CY70:DJ70)-1</f>
        <v>2.380183438832173E-2</v>
      </c>
      <c r="DW93" s="35">
        <f>+AVERAGE(IPC!DL70:DW70)/AVERAGE(IPC!CZ70:DK70)-1</f>
        <v>2.5101802201346723E-2</v>
      </c>
      <c r="DX93" s="35">
        <f>+AVERAGE(IPC!DM70:DX70)/AVERAGE(IPC!DA70:DL70)-1</f>
        <v>2.6303712470713281E-2</v>
      </c>
      <c r="DY93" s="35">
        <f>+AVERAGE(IPC!DN70:DY70)/AVERAGE(IPC!DB70:DM70)-1</f>
        <v>2.7823109017388381E-2</v>
      </c>
      <c r="DZ93" s="35">
        <f>+AVERAGE(IPC!DO70:DZ70)/AVERAGE(IPC!DC70:DN70)-1</f>
        <v>2.8703911690145301E-2</v>
      </c>
      <c r="EA93" s="35">
        <f>+AVERAGE(IPC!DP70:EA70)/AVERAGE(IPC!DD70:DO70)-1</f>
        <v>2.8906775050404621E-2</v>
      </c>
      <c r="EB93" s="35">
        <f>+AVERAGE(IPC!DQ70:EB70)/AVERAGE(IPC!DE70:DP70)-1</f>
        <v>3.0089950595014736E-2</v>
      </c>
      <c r="EC93" s="35">
        <f>+AVERAGE(IPC!DR70:EC70)/AVERAGE(IPC!DF70:DQ70)-1</f>
        <v>3.0434713401142899E-2</v>
      </c>
      <c r="ED93" s="35">
        <f>+AVERAGE(IPC!DS70:ED70)/AVERAGE(IPC!DG70:DR70)-1</f>
        <v>3.2493784799167535E-2</v>
      </c>
      <c r="EE93" s="35">
        <f>+AVERAGE(IPC!DT70:EE70)/AVERAGE(IPC!DH70:DS70)-1</f>
        <v>3.5678607107178628E-2</v>
      </c>
      <c r="EF93" s="35">
        <f>+AVERAGE(IPC!DU70:EF70)/AVERAGE(IPC!DI70:DT70)-1</f>
        <v>3.9487017099429922E-2</v>
      </c>
      <c r="EG93" s="35">
        <f>+AVERAGE(IPC!DV70:EG70)/AVERAGE(IPC!DJ70:DU70)-1</f>
        <v>4.2751252508969051E-2</v>
      </c>
      <c r="EH93" s="35">
        <f>+AVERAGE(IPC!DW70:EH70)/AVERAGE(IPC!DK70:DV70)-1</f>
        <v>4.6157849910097415E-2</v>
      </c>
      <c r="EI93" s="35">
        <f>+AVERAGE(IPC!DX70:EI70)/AVERAGE(IPC!DL70:DW70)-1</f>
        <v>4.9210244792649682E-2</v>
      </c>
      <c r="EJ93" s="35">
        <f>+AVERAGE(IPC!DY70:EJ70)/AVERAGE(IPC!DM70:DX70)-1</f>
        <v>5.2184827802620015E-2</v>
      </c>
      <c r="EK93" s="35">
        <f>+AVERAGE(IPC!DZ70:EK70)/AVERAGE(IPC!DN70:DY70)-1</f>
        <v>5.5438234235925199E-2</v>
      </c>
      <c r="EL93" s="35">
        <f>+AVERAGE(IPC!EA70:EL70)/AVERAGE(IPC!DO70:DZ70)-1</f>
        <v>5.9299695859003076E-2</v>
      </c>
      <c r="EM93" s="35">
        <f>+AVERAGE(IPC!EB70:EM70)/AVERAGE(IPC!DP70:EA70)-1</f>
        <v>6.3778664240558003E-2</v>
      </c>
      <c r="EN93" s="35">
        <f>+AVERAGE(IPC!EC70:EN70)/AVERAGE(IPC!DQ70:EB70)-1</f>
        <v>6.7092305189018875E-2</v>
      </c>
      <c r="EO93" s="35">
        <f>+AVERAGE(IPC!ED70:EO70)/AVERAGE(IPC!DR70:EC70)-1</f>
        <v>7.0981694601065959E-2</v>
      </c>
      <c r="EP93" s="35">
        <f>+AVERAGE(IPC!EE70:EP70)/AVERAGE(IPC!DS70:ED70)-1</f>
        <v>7.3527601698566425E-2</v>
      </c>
      <c r="EQ93" s="35">
        <f>+AVERAGE(IPC!EF70:EQ70)/AVERAGE(IPC!DT70:EE70)-1</f>
        <v>7.4288426500084048E-2</v>
      </c>
      <c r="ER93" s="35">
        <f>+AVERAGE(IPC!EG70:ER70)/AVERAGE(IPC!DU70:EF70)-1</f>
        <v>7.381119200658004E-2</v>
      </c>
      <c r="ES93" s="35">
        <f>+AVERAGE(IPC!EH70:ES70)/AVERAGE(IPC!DV70:EG70)-1</f>
        <v>7.3388099063323997E-2</v>
      </c>
      <c r="ET93" s="35">
        <f>+AVERAGE(IPC!EI70:ET70)/AVERAGE(IPC!DW70:EH70)-1</f>
        <v>7.2615843868020447E-2</v>
      </c>
      <c r="EU93" s="35">
        <f>+AVERAGE(IPC!EJ70:EU70)/AVERAGE(IPC!DX70:EI70)-1</f>
        <v>7.0668146104480467E-2</v>
      </c>
      <c r="EV93" s="35">
        <f>+AVERAGE(IPC!EK70:EV70)/AVERAGE(IPC!DY70:EJ70)-1</f>
        <v>6.813199922458657E-2</v>
      </c>
      <c r="EW93" s="35">
        <f>+AVERAGE(IPC!EL70:EW70)/AVERAGE(IPC!DZ70:EK70)-1</f>
        <v>6.4753746053860306E-2</v>
      </c>
      <c r="EX93" s="35">
        <f>+AVERAGE(IPC!EM70:EX70)/AVERAGE(IPC!EA70:EL70)-1</f>
        <v>6.0706450520488398E-2</v>
      </c>
      <c r="EY93" s="35">
        <f>+AVERAGE(IPC!EN70:EY70)/AVERAGE(IPC!EB70:EM70)-1</f>
        <v>5.5437380759193911E-2</v>
      </c>
      <c r="EZ93" s="35">
        <f>+AVERAGE(IPC!EO70:EZ70)/AVERAGE(IPC!EC70:EN70)-1</f>
        <v>5.0813244263723689E-2</v>
      </c>
      <c r="FA93" s="35">
        <f>+AVERAGE(IPC!EP70:FA70)/AVERAGE(IPC!ED70:EO70)-1</f>
        <v>4.5514207413817953E-2</v>
      </c>
    </row>
    <row r="94" spans="1:174" x14ac:dyDescent="0.25">
      <c r="A94" s="11"/>
      <c r="B94" s="30" t="s">
        <v>51</v>
      </c>
      <c r="C94" s="17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</row>
    <row r="95" spans="1:174" x14ac:dyDescent="0.25">
      <c r="A95" s="11"/>
      <c r="B95" s="73" t="s">
        <v>52</v>
      </c>
      <c r="C95" s="17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</row>
    <row r="96" spans="1:174" x14ac:dyDescent="0.25">
      <c r="A96" s="11"/>
      <c r="B96" s="31" t="s">
        <v>53</v>
      </c>
      <c r="C96" s="17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</row>
    <row r="97" spans="1:136" x14ac:dyDescent="0.25">
      <c r="A97" s="11"/>
      <c r="B97" s="31" t="s">
        <v>72</v>
      </c>
      <c r="C97" s="17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</row>
    <row r="98" spans="1:136" x14ac:dyDescent="0.25">
      <c r="A98" s="11"/>
      <c r="B98" s="31" t="s">
        <v>73</v>
      </c>
      <c r="C98" s="17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</row>
    <row r="99" spans="1:136" ht="13.8" thickBot="1" x14ac:dyDescent="0.3"/>
    <row r="100" spans="1:136" s="2" customFormat="1" ht="33" thickTop="1" thickBot="1" x14ac:dyDescent="0.55000000000000004">
      <c r="B100" s="2" t="s">
        <v>102</v>
      </c>
    </row>
    <row r="101" spans="1:136" ht="14.4" thickTop="1" thickBot="1" x14ac:dyDescent="0.3"/>
    <row r="102" spans="1:136" s="24" customFormat="1" ht="13.8" thickBot="1" x14ac:dyDescent="0.3">
      <c r="B102" s="21"/>
      <c r="C102" s="22"/>
      <c r="D102" s="23">
        <v>40544</v>
      </c>
      <c r="E102" s="23">
        <v>40575</v>
      </c>
      <c r="F102" s="23">
        <v>40603</v>
      </c>
      <c r="G102" s="23">
        <v>40634</v>
      </c>
      <c r="H102" s="23">
        <v>40664</v>
      </c>
      <c r="I102" s="23">
        <v>40695</v>
      </c>
      <c r="J102" s="23">
        <v>40725</v>
      </c>
      <c r="K102" s="23">
        <v>40756</v>
      </c>
      <c r="L102" s="23">
        <v>40787</v>
      </c>
      <c r="M102" s="23">
        <v>40817</v>
      </c>
      <c r="N102" s="23">
        <v>40848</v>
      </c>
      <c r="O102" s="23">
        <v>40878</v>
      </c>
      <c r="P102" s="23">
        <v>40909</v>
      </c>
      <c r="Q102" s="23">
        <v>40940</v>
      </c>
      <c r="R102" s="23">
        <v>40969</v>
      </c>
      <c r="S102" s="23">
        <v>41000</v>
      </c>
      <c r="T102" s="23">
        <v>41030</v>
      </c>
      <c r="U102" s="23">
        <v>41061</v>
      </c>
      <c r="V102" s="23">
        <v>41091</v>
      </c>
      <c r="W102" s="23">
        <v>41122</v>
      </c>
      <c r="X102" s="23">
        <v>41153</v>
      </c>
      <c r="Y102" s="23">
        <v>41183</v>
      </c>
      <c r="Z102" s="23">
        <v>41214</v>
      </c>
      <c r="AA102" s="23">
        <v>41244</v>
      </c>
      <c r="AB102" s="23">
        <v>41275</v>
      </c>
      <c r="AC102" s="23">
        <v>41306</v>
      </c>
      <c r="AD102" s="23">
        <v>41334</v>
      </c>
      <c r="AE102" s="23">
        <v>41365</v>
      </c>
      <c r="AF102" s="23">
        <v>41395</v>
      </c>
      <c r="AG102" s="23">
        <v>41426</v>
      </c>
      <c r="AH102" s="23">
        <v>41456</v>
      </c>
      <c r="AI102" s="23">
        <v>41487</v>
      </c>
      <c r="AJ102" s="23">
        <v>41518</v>
      </c>
      <c r="AK102" s="23">
        <v>41548</v>
      </c>
      <c r="AL102" s="23">
        <v>41579</v>
      </c>
      <c r="AM102" s="23">
        <v>41609</v>
      </c>
      <c r="AN102" s="23">
        <v>41640</v>
      </c>
      <c r="AO102" s="23">
        <v>41671</v>
      </c>
      <c r="AP102" s="23">
        <v>41699</v>
      </c>
      <c r="AQ102" s="23">
        <v>41730</v>
      </c>
      <c r="AR102" s="23">
        <v>41760</v>
      </c>
      <c r="AS102" s="23">
        <v>41791</v>
      </c>
      <c r="AT102" s="23">
        <v>41821</v>
      </c>
      <c r="AU102" s="23">
        <v>41852</v>
      </c>
      <c r="AV102" s="23">
        <v>41883</v>
      </c>
      <c r="AW102" s="23">
        <v>41913</v>
      </c>
      <c r="AX102" s="23">
        <v>41944</v>
      </c>
      <c r="AY102" s="23">
        <v>41974</v>
      </c>
      <c r="AZ102" s="23">
        <v>42005</v>
      </c>
      <c r="BA102" s="23">
        <v>42036</v>
      </c>
      <c r="BB102" s="23">
        <v>42064</v>
      </c>
      <c r="BC102" s="23">
        <v>42095</v>
      </c>
      <c r="BD102" s="23">
        <v>42125</v>
      </c>
      <c r="BE102" s="23">
        <v>42156</v>
      </c>
      <c r="BF102" s="23">
        <v>42186</v>
      </c>
      <c r="BG102" s="23">
        <v>42217</v>
      </c>
      <c r="BH102" s="23">
        <v>42248</v>
      </c>
      <c r="BI102" s="23">
        <v>42278</v>
      </c>
      <c r="BJ102" s="23">
        <v>42309</v>
      </c>
      <c r="BK102" s="23">
        <v>42339</v>
      </c>
      <c r="BL102" s="23">
        <v>42370</v>
      </c>
      <c r="BM102" s="23">
        <v>42401</v>
      </c>
      <c r="BN102" s="23">
        <v>42430</v>
      </c>
      <c r="BO102" s="23">
        <v>42461</v>
      </c>
      <c r="BP102" s="23">
        <v>42491</v>
      </c>
      <c r="BQ102" s="23">
        <v>42522</v>
      </c>
      <c r="BR102" s="23">
        <v>42552</v>
      </c>
      <c r="BS102" s="23">
        <v>42583</v>
      </c>
      <c r="BT102" s="23">
        <v>42614</v>
      </c>
      <c r="BU102" s="23">
        <v>42644</v>
      </c>
      <c r="BV102" s="23">
        <v>42675</v>
      </c>
      <c r="BW102" s="23">
        <v>42705</v>
      </c>
      <c r="BX102" s="23">
        <v>42736</v>
      </c>
      <c r="BY102" s="23">
        <v>42767</v>
      </c>
      <c r="BZ102" s="23">
        <v>42795</v>
      </c>
      <c r="CA102" s="23">
        <v>42826</v>
      </c>
      <c r="CB102" s="23">
        <v>42856</v>
      </c>
      <c r="CC102" s="23">
        <v>42887</v>
      </c>
      <c r="CD102" s="23">
        <v>42917</v>
      </c>
      <c r="CE102" s="23">
        <v>42948</v>
      </c>
      <c r="CF102" s="23">
        <v>42979</v>
      </c>
      <c r="CG102" s="23">
        <v>43009</v>
      </c>
      <c r="CH102" s="23">
        <v>43040</v>
      </c>
      <c r="CI102" s="23">
        <v>43070</v>
      </c>
      <c r="CJ102" s="23">
        <v>43101</v>
      </c>
      <c r="CK102" s="23">
        <v>43132</v>
      </c>
      <c r="CL102" s="23">
        <v>43160</v>
      </c>
      <c r="CM102" s="23">
        <v>43191</v>
      </c>
      <c r="CN102" s="23">
        <v>43221</v>
      </c>
      <c r="CO102" s="23">
        <v>43252</v>
      </c>
      <c r="CP102" s="23">
        <v>43282</v>
      </c>
      <c r="CQ102" s="23">
        <v>43313</v>
      </c>
      <c r="CR102" s="23">
        <v>43344</v>
      </c>
      <c r="CS102" s="23">
        <v>43374</v>
      </c>
      <c r="CT102" s="23">
        <v>43405</v>
      </c>
      <c r="CU102" s="23">
        <v>43435</v>
      </c>
      <c r="CV102" s="23">
        <v>43466</v>
      </c>
      <c r="CW102" s="23">
        <v>43497</v>
      </c>
      <c r="CX102" s="23">
        <v>43525</v>
      </c>
      <c r="CY102" s="23">
        <v>43556</v>
      </c>
      <c r="CZ102" s="23">
        <v>43586</v>
      </c>
      <c r="DA102" s="23">
        <v>43617</v>
      </c>
      <c r="DB102" s="23">
        <v>43647</v>
      </c>
      <c r="DC102" s="23">
        <v>43678</v>
      </c>
      <c r="DD102" s="23">
        <v>43709</v>
      </c>
      <c r="DE102" s="23">
        <v>43739</v>
      </c>
      <c r="DF102" s="23">
        <v>43770</v>
      </c>
      <c r="DG102" s="23">
        <v>43800</v>
      </c>
      <c r="DH102" s="23">
        <v>43831</v>
      </c>
      <c r="DI102" s="23">
        <v>43862</v>
      </c>
      <c r="DJ102" s="23">
        <v>43891</v>
      </c>
      <c r="DK102" s="23">
        <v>43922</v>
      </c>
      <c r="DL102" s="23">
        <v>43952</v>
      </c>
      <c r="DM102" s="23">
        <v>43983</v>
      </c>
      <c r="DN102" s="23">
        <v>44013</v>
      </c>
      <c r="DO102" s="23">
        <v>44044</v>
      </c>
      <c r="DP102" s="23">
        <v>44075</v>
      </c>
      <c r="DQ102" s="23">
        <v>44105</v>
      </c>
      <c r="DR102" s="23">
        <v>44136</v>
      </c>
      <c r="DS102" s="23">
        <v>44166</v>
      </c>
      <c r="DT102" s="23">
        <v>44197</v>
      </c>
      <c r="DU102" s="23">
        <v>44228</v>
      </c>
      <c r="DV102" s="23">
        <v>44256</v>
      </c>
      <c r="DW102" s="23">
        <v>44287</v>
      </c>
      <c r="DX102" s="23">
        <v>44317</v>
      </c>
      <c r="DY102" s="23">
        <v>44348</v>
      </c>
      <c r="DZ102" s="23">
        <v>44378</v>
      </c>
      <c r="EA102" s="23">
        <v>44409</v>
      </c>
      <c r="EB102" s="23">
        <v>44440</v>
      </c>
      <c r="EC102" s="23">
        <v>44470</v>
      </c>
      <c r="ED102" s="23">
        <v>44501</v>
      </c>
      <c r="EE102" s="23">
        <v>44531</v>
      </c>
      <c r="EF102" s="23">
        <v>44562</v>
      </c>
    </row>
    <row r="103" spans="1:136" x14ac:dyDescent="0.25">
      <c r="A103" s="11"/>
      <c r="B103" s="73" t="s">
        <v>41</v>
      </c>
      <c r="C103" s="17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</row>
    <row r="104" spans="1:136" x14ac:dyDescent="0.25">
      <c r="A104" s="11"/>
      <c r="B104" s="73" t="s">
        <v>42</v>
      </c>
      <c r="C104" s="17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</row>
    <row r="105" spans="1:136" x14ac:dyDescent="0.25">
      <c r="A105" s="11"/>
      <c r="B105" s="73" t="s">
        <v>43</v>
      </c>
      <c r="C105" s="17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</row>
    <row r="106" spans="1:136" x14ac:dyDescent="0.25">
      <c r="A106" s="11"/>
      <c r="B106" s="73" t="s">
        <v>44</v>
      </c>
      <c r="C106" s="17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</row>
    <row r="107" spans="1:136" s="95" customFormat="1" x14ac:dyDescent="0.25">
      <c r="A107" s="91"/>
      <c r="B107" s="92" t="s">
        <v>45</v>
      </c>
      <c r="C107" s="93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</row>
    <row r="108" spans="1:136" s="100" customFormat="1" x14ac:dyDescent="0.25">
      <c r="A108" s="96"/>
      <c r="B108" s="97" t="s">
        <v>46</v>
      </c>
      <c r="C108" s="98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99"/>
      <c r="AV108" s="99"/>
      <c r="AW108" s="99"/>
      <c r="AX108" s="99"/>
      <c r="AY108" s="99"/>
    </row>
    <row r="109" spans="1:136" x14ac:dyDescent="0.25">
      <c r="A109" s="11"/>
      <c r="B109" s="30" t="s">
        <v>50</v>
      </c>
      <c r="C109" s="17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</row>
    <row r="110" spans="1:136" x14ac:dyDescent="0.25">
      <c r="A110" s="11"/>
      <c r="B110" s="30" t="s">
        <v>51</v>
      </c>
      <c r="C110" s="17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</row>
    <row r="111" spans="1:136" x14ac:dyDescent="0.25">
      <c r="A111" s="11"/>
      <c r="B111" s="73" t="s">
        <v>52</v>
      </c>
      <c r="C111" s="17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</row>
    <row r="112" spans="1:136" x14ac:dyDescent="0.25">
      <c r="A112" s="11"/>
      <c r="B112" s="31" t="s">
        <v>53</v>
      </c>
      <c r="C112" s="17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</row>
    <row r="113" spans="1:136" x14ac:dyDescent="0.25">
      <c r="A113" s="11"/>
      <c r="B113" s="31" t="s">
        <v>72</v>
      </c>
      <c r="C113" s="17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</row>
    <row r="114" spans="1:136" x14ac:dyDescent="0.25">
      <c r="A114" s="11"/>
      <c r="B114" s="31" t="s">
        <v>73</v>
      </c>
      <c r="C114" s="17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</row>
    <row r="115" spans="1:136" ht="13.8" thickBot="1" x14ac:dyDescent="0.3"/>
    <row r="116" spans="1:136" s="2" customFormat="1" ht="33" thickTop="1" thickBot="1" x14ac:dyDescent="0.55000000000000004">
      <c r="B116" s="2" t="s">
        <v>103</v>
      </c>
    </row>
    <row r="117" spans="1:136" ht="14.4" thickTop="1" thickBot="1" x14ac:dyDescent="0.3"/>
    <row r="118" spans="1:136" s="24" customFormat="1" ht="13.8" thickBot="1" x14ac:dyDescent="0.3">
      <c r="B118" s="21"/>
      <c r="C118" s="22"/>
      <c r="D118" s="23">
        <v>40544</v>
      </c>
      <c r="E118" s="23">
        <v>40575</v>
      </c>
      <c r="F118" s="23">
        <v>40603</v>
      </c>
      <c r="G118" s="23">
        <v>40634</v>
      </c>
      <c r="H118" s="23">
        <v>40664</v>
      </c>
      <c r="I118" s="23">
        <v>40695</v>
      </c>
      <c r="J118" s="23">
        <v>40725</v>
      </c>
      <c r="K118" s="23">
        <v>40756</v>
      </c>
      <c r="L118" s="23">
        <v>40787</v>
      </c>
      <c r="M118" s="23">
        <v>40817</v>
      </c>
      <c r="N118" s="23">
        <v>40848</v>
      </c>
      <c r="O118" s="23">
        <v>40878</v>
      </c>
      <c r="P118" s="23">
        <v>40909</v>
      </c>
      <c r="Q118" s="23">
        <v>40940</v>
      </c>
      <c r="R118" s="23">
        <v>40969</v>
      </c>
      <c r="S118" s="23">
        <v>41000</v>
      </c>
      <c r="T118" s="23">
        <v>41030</v>
      </c>
      <c r="U118" s="23">
        <v>41061</v>
      </c>
      <c r="V118" s="23">
        <v>41091</v>
      </c>
      <c r="W118" s="23">
        <v>41122</v>
      </c>
      <c r="X118" s="23">
        <v>41153</v>
      </c>
      <c r="Y118" s="23">
        <v>41183</v>
      </c>
      <c r="Z118" s="23">
        <v>41214</v>
      </c>
      <c r="AA118" s="23">
        <v>41244</v>
      </c>
      <c r="AB118" s="23">
        <v>41275</v>
      </c>
      <c r="AC118" s="23">
        <v>41306</v>
      </c>
      <c r="AD118" s="23">
        <v>41334</v>
      </c>
      <c r="AE118" s="23">
        <v>41365</v>
      </c>
      <c r="AF118" s="23">
        <v>41395</v>
      </c>
      <c r="AG118" s="23">
        <v>41426</v>
      </c>
      <c r="AH118" s="23">
        <v>41456</v>
      </c>
      <c r="AI118" s="23">
        <v>41487</v>
      </c>
      <c r="AJ118" s="23">
        <v>41518</v>
      </c>
      <c r="AK118" s="23">
        <v>41548</v>
      </c>
      <c r="AL118" s="23">
        <v>41579</v>
      </c>
      <c r="AM118" s="23">
        <v>41609</v>
      </c>
      <c r="AN118" s="23">
        <v>41640</v>
      </c>
      <c r="AO118" s="23">
        <v>41671</v>
      </c>
      <c r="AP118" s="23">
        <v>41699</v>
      </c>
      <c r="AQ118" s="23">
        <v>41730</v>
      </c>
      <c r="AR118" s="23">
        <v>41760</v>
      </c>
      <c r="AS118" s="23">
        <v>41791</v>
      </c>
      <c r="AT118" s="23">
        <v>41821</v>
      </c>
      <c r="AU118" s="23">
        <v>41852</v>
      </c>
      <c r="AV118" s="23">
        <v>41883</v>
      </c>
      <c r="AW118" s="23">
        <v>41913</v>
      </c>
      <c r="AX118" s="23">
        <v>41944</v>
      </c>
      <c r="AY118" s="23">
        <v>41974</v>
      </c>
      <c r="AZ118" s="23">
        <v>42005</v>
      </c>
      <c r="BA118" s="23">
        <v>42036</v>
      </c>
      <c r="BB118" s="23">
        <v>42064</v>
      </c>
      <c r="BC118" s="23">
        <v>42095</v>
      </c>
      <c r="BD118" s="23">
        <v>42125</v>
      </c>
      <c r="BE118" s="23">
        <v>42156</v>
      </c>
      <c r="BF118" s="23">
        <v>42186</v>
      </c>
      <c r="BG118" s="23">
        <v>42217</v>
      </c>
      <c r="BH118" s="23">
        <v>42248</v>
      </c>
      <c r="BI118" s="23">
        <v>42278</v>
      </c>
      <c r="BJ118" s="23">
        <v>42309</v>
      </c>
      <c r="BK118" s="23">
        <v>42339</v>
      </c>
      <c r="BL118" s="23">
        <v>42370</v>
      </c>
      <c r="BM118" s="23">
        <v>42401</v>
      </c>
      <c r="BN118" s="23">
        <v>42430</v>
      </c>
      <c r="BO118" s="23">
        <v>42461</v>
      </c>
      <c r="BP118" s="23">
        <v>42491</v>
      </c>
      <c r="BQ118" s="23">
        <v>42522</v>
      </c>
      <c r="BR118" s="23">
        <v>42552</v>
      </c>
      <c r="BS118" s="23">
        <v>42583</v>
      </c>
      <c r="BT118" s="23">
        <v>42614</v>
      </c>
      <c r="BU118" s="23">
        <v>42644</v>
      </c>
      <c r="BV118" s="23">
        <v>42675</v>
      </c>
      <c r="BW118" s="23">
        <v>42705</v>
      </c>
      <c r="BX118" s="23">
        <v>42736</v>
      </c>
      <c r="BY118" s="23">
        <v>42767</v>
      </c>
      <c r="BZ118" s="23">
        <v>42795</v>
      </c>
      <c r="CA118" s="23">
        <v>42826</v>
      </c>
      <c r="CB118" s="23">
        <v>42856</v>
      </c>
      <c r="CC118" s="23">
        <v>42887</v>
      </c>
      <c r="CD118" s="23">
        <v>42917</v>
      </c>
      <c r="CE118" s="23">
        <v>42948</v>
      </c>
      <c r="CF118" s="23">
        <v>42979</v>
      </c>
      <c r="CG118" s="23">
        <v>43009</v>
      </c>
      <c r="CH118" s="23">
        <v>43040</v>
      </c>
      <c r="CI118" s="23">
        <v>43070</v>
      </c>
      <c r="CJ118" s="23">
        <v>43101</v>
      </c>
      <c r="CK118" s="23">
        <v>43132</v>
      </c>
      <c r="CL118" s="23">
        <v>43160</v>
      </c>
      <c r="CM118" s="23">
        <v>43191</v>
      </c>
      <c r="CN118" s="23">
        <v>43221</v>
      </c>
      <c r="CO118" s="23">
        <v>43252</v>
      </c>
      <c r="CP118" s="23">
        <v>43282</v>
      </c>
      <c r="CQ118" s="23">
        <v>43313</v>
      </c>
      <c r="CR118" s="23">
        <v>43344</v>
      </c>
      <c r="CS118" s="23">
        <v>43374</v>
      </c>
      <c r="CT118" s="23">
        <v>43405</v>
      </c>
      <c r="CU118" s="23">
        <v>43435</v>
      </c>
      <c r="CV118" s="23">
        <v>43466</v>
      </c>
      <c r="CW118" s="23">
        <v>43497</v>
      </c>
      <c r="CX118" s="23">
        <v>43525</v>
      </c>
      <c r="CY118" s="23">
        <v>43556</v>
      </c>
      <c r="CZ118" s="23">
        <v>43586</v>
      </c>
      <c r="DA118" s="23">
        <v>43617</v>
      </c>
      <c r="DB118" s="23">
        <v>43647</v>
      </c>
      <c r="DC118" s="23">
        <v>43678</v>
      </c>
      <c r="DD118" s="23">
        <v>43709</v>
      </c>
      <c r="DE118" s="23">
        <v>43739</v>
      </c>
      <c r="DF118" s="23">
        <v>43770</v>
      </c>
      <c r="DG118" s="23">
        <v>43800</v>
      </c>
      <c r="DH118" s="23">
        <v>43831</v>
      </c>
      <c r="DI118" s="23">
        <v>43862</v>
      </c>
      <c r="DJ118" s="23">
        <v>43891</v>
      </c>
      <c r="DK118" s="23">
        <v>43922</v>
      </c>
      <c r="DL118" s="23">
        <v>43952</v>
      </c>
      <c r="DM118" s="23">
        <v>43983</v>
      </c>
      <c r="DN118" s="23">
        <v>44013</v>
      </c>
      <c r="DO118" s="23">
        <v>44044</v>
      </c>
      <c r="DP118" s="23">
        <v>44075</v>
      </c>
      <c r="DQ118" s="23">
        <v>44105</v>
      </c>
      <c r="DR118" s="23">
        <v>44136</v>
      </c>
      <c r="DS118" s="23">
        <v>44166</v>
      </c>
      <c r="DT118" s="23">
        <v>44197</v>
      </c>
      <c r="DU118" s="23">
        <v>44228</v>
      </c>
      <c r="DV118" s="23">
        <v>44256</v>
      </c>
      <c r="DW118" s="23">
        <v>44287</v>
      </c>
      <c r="DX118" s="23">
        <v>44317</v>
      </c>
      <c r="DY118" s="23">
        <v>44348</v>
      </c>
      <c r="DZ118" s="23">
        <v>44378</v>
      </c>
      <c r="EA118" s="23">
        <v>44409</v>
      </c>
      <c r="EB118" s="23">
        <v>44440</v>
      </c>
      <c r="EC118" s="23">
        <v>44470</v>
      </c>
      <c r="ED118" s="23">
        <v>44501</v>
      </c>
      <c r="EE118" s="23">
        <v>44531</v>
      </c>
      <c r="EF118" s="23">
        <v>44562</v>
      </c>
    </row>
    <row r="119" spans="1:136" x14ac:dyDescent="0.25">
      <c r="A119" s="11"/>
      <c r="B119" s="73" t="s">
        <v>41</v>
      </c>
      <c r="C119" s="17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</row>
    <row r="120" spans="1:136" x14ac:dyDescent="0.25">
      <c r="A120" s="11"/>
      <c r="B120" s="73" t="s">
        <v>42</v>
      </c>
      <c r="C120" s="17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</row>
    <row r="121" spans="1:136" x14ac:dyDescent="0.25">
      <c r="A121" s="11"/>
      <c r="B121" s="73" t="s">
        <v>43</v>
      </c>
      <c r="C121" s="17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</row>
    <row r="122" spans="1:136" x14ac:dyDescent="0.25">
      <c r="A122" s="11"/>
      <c r="B122" s="73" t="s">
        <v>44</v>
      </c>
      <c r="C122" s="17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</row>
    <row r="123" spans="1:136" s="95" customFormat="1" x14ac:dyDescent="0.25">
      <c r="A123" s="91"/>
      <c r="B123" s="92" t="s">
        <v>45</v>
      </c>
      <c r="C123" s="93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94"/>
      <c r="AV123" s="94"/>
      <c r="AW123" s="94"/>
      <c r="AX123" s="94"/>
      <c r="AY123" s="94"/>
    </row>
    <row r="124" spans="1:136" s="100" customFormat="1" x14ac:dyDescent="0.25">
      <c r="A124" s="96"/>
      <c r="B124" s="97" t="s">
        <v>46</v>
      </c>
      <c r="C124" s="98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  <c r="AK124" s="99"/>
      <c r="AL124" s="99"/>
      <c r="AM124" s="99"/>
      <c r="AN124" s="99"/>
      <c r="AO124" s="99"/>
      <c r="AP124" s="99"/>
      <c r="AQ124" s="99"/>
      <c r="AR124" s="99"/>
      <c r="AS124" s="99"/>
      <c r="AT124" s="99"/>
      <c r="AU124" s="99"/>
      <c r="AV124" s="99"/>
      <c r="AW124" s="99"/>
      <c r="AX124" s="99"/>
      <c r="AY124" s="99"/>
    </row>
    <row r="125" spans="1:136" x14ac:dyDescent="0.25">
      <c r="A125" s="11"/>
      <c r="B125" s="30" t="s">
        <v>50</v>
      </c>
      <c r="C125" s="17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</row>
    <row r="126" spans="1:136" x14ac:dyDescent="0.25">
      <c r="A126" s="11"/>
      <c r="B126" s="30" t="s">
        <v>51</v>
      </c>
      <c r="C126" s="17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</row>
    <row r="127" spans="1:136" x14ac:dyDescent="0.25">
      <c r="A127" s="11"/>
      <c r="B127" s="73" t="s">
        <v>52</v>
      </c>
      <c r="C127" s="17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</row>
    <row r="128" spans="1:136" x14ac:dyDescent="0.25">
      <c r="A128" s="11"/>
      <c r="B128" s="31" t="s">
        <v>53</v>
      </c>
      <c r="C128" s="17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</row>
    <row r="129" spans="1:51" x14ac:dyDescent="0.25">
      <c r="A129" s="11"/>
      <c r="B129" s="31" t="s">
        <v>72</v>
      </c>
      <c r="C129" s="17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</row>
    <row r="130" spans="1:51" x14ac:dyDescent="0.25">
      <c r="A130" s="11"/>
      <c r="B130" s="31" t="s">
        <v>73</v>
      </c>
      <c r="C130" s="17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</row>
  </sheetData>
  <phoneticPr fontId="2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4"/>
  <sheetViews>
    <sheetView workbookViewId="0">
      <selection activeCell="DH33" sqref="DH33"/>
    </sheetView>
  </sheetViews>
  <sheetFormatPr baseColWidth="10" defaultRowHeight="13.2" x14ac:dyDescent="0.25"/>
  <cols>
    <col min="2" max="12" width="0" hidden="1" customWidth="1"/>
  </cols>
  <sheetData>
    <row r="1" spans="1:122" ht="13.8" thickBot="1" x14ac:dyDescent="0.3"/>
    <row r="2" spans="1:122" s="24" customFormat="1" ht="13.8" thickBot="1" x14ac:dyDescent="0.3">
      <c r="A2" s="21"/>
      <c r="B2" s="23">
        <v>41640</v>
      </c>
      <c r="C2" s="23">
        <v>41671</v>
      </c>
      <c r="D2" s="23">
        <v>41699</v>
      </c>
      <c r="E2" s="23">
        <v>41730</v>
      </c>
      <c r="F2" s="23">
        <v>41760</v>
      </c>
      <c r="G2" s="23">
        <v>41791</v>
      </c>
      <c r="H2" s="23">
        <v>41821</v>
      </c>
      <c r="I2" s="23">
        <v>41852</v>
      </c>
      <c r="J2" s="23">
        <v>41883</v>
      </c>
      <c r="K2" s="23">
        <v>41913</v>
      </c>
      <c r="L2" s="23">
        <v>41944</v>
      </c>
      <c r="M2" s="23">
        <v>41974</v>
      </c>
      <c r="N2" s="23">
        <v>42005</v>
      </c>
      <c r="O2" s="23">
        <v>42036</v>
      </c>
      <c r="P2" s="23">
        <v>42064</v>
      </c>
      <c r="Q2" s="23">
        <v>42095</v>
      </c>
      <c r="R2" s="23">
        <v>42125</v>
      </c>
      <c r="S2" s="23">
        <v>42156</v>
      </c>
      <c r="T2" s="23">
        <v>42186</v>
      </c>
      <c r="U2" s="23">
        <v>42217</v>
      </c>
      <c r="V2" s="23">
        <v>42248</v>
      </c>
      <c r="W2" s="23">
        <v>42278</v>
      </c>
      <c r="X2" s="23">
        <v>42309</v>
      </c>
      <c r="Y2" s="23">
        <v>42339</v>
      </c>
      <c r="Z2" s="23">
        <v>42370</v>
      </c>
      <c r="AA2" s="23">
        <v>42401</v>
      </c>
      <c r="AB2" s="23">
        <v>42430</v>
      </c>
      <c r="AC2" s="23">
        <v>42461</v>
      </c>
      <c r="AD2" s="23">
        <v>42491</v>
      </c>
      <c r="AE2" s="23">
        <v>42522</v>
      </c>
      <c r="AF2" s="23">
        <v>42552</v>
      </c>
      <c r="AG2" s="23">
        <v>42583</v>
      </c>
      <c r="AH2" s="23">
        <v>42614</v>
      </c>
      <c r="AI2" s="23">
        <v>42644</v>
      </c>
      <c r="AJ2" s="23">
        <v>42675</v>
      </c>
      <c r="AK2" s="23">
        <v>42705</v>
      </c>
      <c r="AL2" s="23">
        <v>42736</v>
      </c>
      <c r="AM2" s="23">
        <v>42767</v>
      </c>
      <c r="AN2" s="23">
        <v>42795</v>
      </c>
      <c r="AO2" s="23">
        <v>42826</v>
      </c>
      <c r="AP2" s="23">
        <v>42856</v>
      </c>
      <c r="AQ2" s="23">
        <v>42887</v>
      </c>
      <c r="AR2" s="23">
        <v>42917</v>
      </c>
      <c r="AS2" s="23">
        <v>42948</v>
      </c>
      <c r="AT2" s="23">
        <v>42979</v>
      </c>
      <c r="AU2" s="23">
        <v>43009</v>
      </c>
      <c r="AV2" s="23">
        <v>43040</v>
      </c>
      <c r="AW2" s="23">
        <v>43070</v>
      </c>
      <c r="AX2" s="23">
        <v>43101</v>
      </c>
      <c r="AY2" s="23">
        <v>43132</v>
      </c>
      <c r="AZ2" s="23">
        <v>43160</v>
      </c>
      <c r="BA2" s="23">
        <v>43191</v>
      </c>
      <c r="BB2" s="23">
        <v>43221</v>
      </c>
      <c r="BC2" s="23">
        <v>43252</v>
      </c>
      <c r="BD2" s="23">
        <v>43282</v>
      </c>
      <c r="BE2" s="23">
        <v>43313</v>
      </c>
      <c r="BF2" s="23">
        <v>43344</v>
      </c>
      <c r="BG2" s="23">
        <v>43374</v>
      </c>
      <c r="BH2" s="23">
        <v>43405</v>
      </c>
      <c r="BI2" s="23">
        <v>43435</v>
      </c>
      <c r="BJ2" s="23">
        <v>43466</v>
      </c>
      <c r="BK2" s="23">
        <v>43497</v>
      </c>
      <c r="BL2" s="23">
        <v>43525</v>
      </c>
      <c r="BM2" s="23">
        <v>43556</v>
      </c>
      <c r="BN2" s="23">
        <v>43586</v>
      </c>
      <c r="BO2" s="23">
        <v>43617</v>
      </c>
      <c r="BP2" s="23">
        <v>43647</v>
      </c>
      <c r="BQ2" s="23">
        <v>43678</v>
      </c>
      <c r="BR2" s="23">
        <v>43709</v>
      </c>
      <c r="BS2" s="23">
        <v>43739</v>
      </c>
      <c r="BT2" s="23">
        <v>43770</v>
      </c>
      <c r="BU2" s="23">
        <v>43800</v>
      </c>
      <c r="BV2" s="23">
        <v>43831</v>
      </c>
      <c r="BW2" s="23">
        <v>43862</v>
      </c>
      <c r="BX2" s="23">
        <v>43891</v>
      </c>
      <c r="BY2" s="23">
        <v>43922</v>
      </c>
      <c r="BZ2" s="23">
        <v>43952</v>
      </c>
      <c r="CA2" s="23">
        <v>43983</v>
      </c>
      <c r="CB2" s="23">
        <v>44013</v>
      </c>
      <c r="CC2" s="23">
        <v>44044</v>
      </c>
      <c r="CD2" s="23">
        <v>44075</v>
      </c>
      <c r="CE2" s="23">
        <v>44105</v>
      </c>
      <c r="CF2" s="23">
        <v>44136</v>
      </c>
      <c r="CG2" s="23">
        <v>44166</v>
      </c>
      <c r="CH2" s="23">
        <v>44197</v>
      </c>
      <c r="CI2" s="23">
        <v>44228</v>
      </c>
      <c r="CJ2" s="23">
        <v>44256</v>
      </c>
      <c r="CK2" s="23">
        <v>44287</v>
      </c>
      <c r="CL2" s="23">
        <v>44317</v>
      </c>
      <c r="CM2" s="23">
        <v>44348</v>
      </c>
      <c r="CN2" s="23">
        <v>44378</v>
      </c>
      <c r="CO2" s="23">
        <v>44409</v>
      </c>
      <c r="CP2" s="23">
        <v>44440</v>
      </c>
      <c r="CQ2" s="23">
        <v>44470</v>
      </c>
      <c r="CR2" s="23">
        <v>44501</v>
      </c>
      <c r="CS2" s="23">
        <v>44531</v>
      </c>
      <c r="CT2" s="23">
        <v>44562</v>
      </c>
      <c r="CU2" s="23">
        <v>44593</v>
      </c>
      <c r="CV2" s="23">
        <v>44621</v>
      </c>
      <c r="CW2" s="23">
        <v>44652</v>
      </c>
      <c r="CX2" s="23">
        <v>44682</v>
      </c>
      <c r="CY2" s="23">
        <v>44713</v>
      </c>
      <c r="CZ2" s="23">
        <v>44743</v>
      </c>
      <c r="DA2" s="23">
        <v>44774</v>
      </c>
      <c r="DB2" s="23">
        <v>44805</v>
      </c>
      <c r="DC2" s="23">
        <v>44835</v>
      </c>
      <c r="DD2" s="23">
        <v>44866</v>
      </c>
      <c r="DE2" s="23">
        <v>44896</v>
      </c>
      <c r="DF2" s="23">
        <v>44927</v>
      </c>
      <c r="DG2" s="23">
        <v>44958</v>
      </c>
      <c r="DH2" s="23">
        <v>44986</v>
      </c>
      <c r="DI2" s="23">
        <v>45017</v>
      </c>
      <c r="DJ2" s="23">
        <v>45047</v>
      </c>
      <c r="DK2" s="23">
        <v>45078</v>
      </c>
      <c r="DL2" s="23">
        <v>45108</v>
      </c>
      <c r="DM2" s="23">
        <v>45139</v>
      </c>
      <c r="DN2" s="23">
        <v>45170</v>
      </c>
      <c r="DO2" s="23">
        <v>45200</v>
      </c>
      <c r="DP2" s="23">
        <v>45231</v>
      </c>
      <c r="DQ2" s="23">
        <v>45261</v>
      </c>
      <c r="DR2" s="23"/>
    </row>
    <row r="3" spans="1:122" s="85" customFormat="1" ht="10.199999999999999" x14ac:dyDescent="0.2">
      <c r="A3" s="86" t="s">
        <v>99</v>
      </c>
      <c r="B3" s="88">
        <f>Inflation_mensuelle!AN19</f>
        <v>1.9324092367422052E-2</v>
      </c>
      <c r="C3" s="88">
        <f>Inflation_mensuelle!AO19</f>
        <v>1.8272912586276835E-2</v>
      </c>
      <c r="D3" s="88">
        <f>Inflation_mensuelle!AP19</f>
        <v>1.7245093330613859E-2</v>
      </c>
      <c r="E3" s="88">
        <f>Inflation_mensuelle!AQ19</f>
        <v>1.6316495158914757E-2</v>
      </c>
      <c r="F3" s="88">
        <f>Inflation_mensuelle!AR19</f>
        <v>1.5869985499742167E-2</v>
      </c>
      <c r="G3" s="88">
        <f>Inflation_mensuelle!AS19</f>
        <v>1.4905915906192835E-2</v>
      </c>
      <c r="H3" s="88">
        <f>Inflation_mensuelle!AT19</f>
        <v>1.5997584845482082E-2</v>
      </c>
      <c r="I3" s="88">
        <f>Inflation_mensuelle!AU19</f>
        <v>1.6862109732896258E-2</v>
      </c>
      <c r="J3" s="88">
        <f>Inflation_mensuelle!AV19</f>
        <v>1.7423245993188674E-2</v>
      </c>
      <c r="K3" s="88">
        <f>Inflation_mensuelle!AW19</f>
        <v>1.7441116776693244E-2</v>
      </c>
      <c r="L3" s="88">
        <f>Inflation_mensuelle!AX19</f>
        <v>1.7727814550872356E-2</v>
      </c>
      <c r="M3" s="88">
        <f>Inflation_mensuelle!AY19</f>
        <v>1.8548985036678012E-2</v>
      </c>
      <c r="N3" s="88">
        <f>Inflation_mensuelle!AZ19</f>
        <v>1.9590649776059399E-2</v>
      </c>
      <c r="O3" s="88">
        <f>Inflation_mensuelle!BA19</f>
        <v>2.0919623006404153E-2</v>
      </c>
      <c r="P3" s="88">
        <f>Inflation_mensuelle!BB19</f>
        <v>2.2603782004749107E-2</v>
      </c>
      <c r="Q3" s="88">
        <f>Inflation_mensuelle!BC19</f>
        <v>2.5039341191791742E-2</v>
      </c>
      <c r="R3" s="88">
        <f>Inflation_mensuelle!BD19</f>
        <v>2.7018294799979525E-2</v>
      </c>
      <c r="S3" s="88">
        <f>Inflation_mensuelle!BE19</f>
        <v>2.9906982236717061E-2</v>
      </c>
      <c r="T3" s="88">
        <f>Inflation_mensuelle!BF19</f>
        <v>2.9384456852646679E-2</v>
      </c>
      <c r="U3" s="88">
        <f>Inflation_mensuelle!BG19</f>
        <v>2.8936308784528242E-2</v>
      </c>
      <c r="V3" s="88">
        <f>Inflation_mensuelle!BH19</f>
        <v>2.8532416342309297E-2</v>
      </c>
      <c r="W3" s="88">
        <f>Inflation_mensuelle!BI19</f>
        <v>2.8712966398681372E-2</v>
      </c>
      <c r="X3" s="88">
        <f>Inflation_mensuelle!BJ19</f>
        <v>2.7786762780519503E-2</v>
      </c>
      <c r="Y3" s="88">
        <f>Inflation_mensuelle!BK19</f>
        <v>2.6784391438096078E-2</v>
      </c>
      <c r="Z3" s="88">
        <f>Inflation_mensuelle!BL19</f>
        <v>2.6043230695800279E-2</v>
      </c>
      <c r="AA3" s="88">
        <f>Inflation_mensuelle!BM19</f>
        <v>2.462191343149378E-2</v>
      </c>
      <c r="AB3" s="88">
        <f>Inflation_mensuelle!BN19</f>
        <v>2.3185845166554309E-2</v>
      </c>
      <c r="AC3" s="88">
        <f>Inflation_mensuelle!BO19</f>
        <v>2.0898843849064486E-2</v>
      </c>
      <c r="AD3" s="88">
        <f>Inflation_mensuelle!BP19</f>
        <v>1.9043748071669864E-2</v>
      </c>
      <c r="AE3" s="88">
        <f>Inflation_mensuelle!BQ19</f>
        <v>1.6088161706331094E-2</v>
      </c>
      <c r="AF3" s="88">
        <f>Inflation_mensuelle!BR19</f>
        <v>1.4515782693431234E-2</v>
      </c>
      <c r="AG3" s="88">
        <f>Inflation_mensuelle!BS19</f>
        <v>1.3491270342948836E-2</v>
      </c>
      <c r="AH3" s="88">
        <f>Inflation_mensuelle!BT19</f>
        <v>1.2164622526623647E-2</v>
      </c>
      <c r="AI3" s="88">
        <f>Inflation_mensuelle!BU19</f>
        <v>1.0535186901666549E-2</v>
      </c>
      <c r="AJ3" s="88">
        <f>Inflation_mensuelle!BV19</f>
        <v>9.6927484404518705E-3</v>
      </c>
      <c r="AK3" s="88">
        <f>Inflation_mensuelle!BW19</f>
        <v>8.7279648608864502E-3</v>
      </c>
      <c r="AL3" s="88">
        <f>Inflation_mensuelle!BX19</f>
        <v>7.672610673957081E-3</v>
      </c>
      <c r="AM3" s="88">
        <f>Inflation_mensuelle!BY19</f>
        <v>6.9836073304712087E-3</v>
      </c>
      <c r="AN3" s="88">
        <f>Inflation_mensuelle!BZ19</f>
        <v>6.1588727760233386E-3</v>
      </c>
      <c r="AO3" s="88">
        <f>Inflation_mensuelle!CA19</f>
        <v>5.8930686535871857E-3</v>
      </c>
      <c r="AP3" s="88">
        <f>Inflation_mensuelle!CB19</f>
        <v>5.0361889577490437E-3</v>
      </c>
      <c r="AQ3" s="88">
        <f>Inflation_mensuelle!CC19</f>
        <v>4.9647329330104739E-3</v>
      </c>
      <c r="AR3" s="88">
        <f>Inflation_mensuelle!CD19</f>
        <v>5.0913573133994916E-3</v>
      </c>
      <c r="AS3" s="88">
        <f>Inflation_mensuelle!CE19</f>
        <v>4.8893976220734103E-3</v>
      </c>
      <c r="AT3" s="88">
        <f>Inflation_mensuelle!CF19</f>
        <v>5.1060689622961508E-3</v>
      </c>
      <c r="AU3" s="88">
        <f>Inflation_mensuelle!CG19</f>
        <v>5.6374322036130131E-3</v>
      </c>
      <c r="AV3" s="88">
        <f>Inflation_mensuelle!CH19</f>
        <v>6.0148028116149277E-3</v>
      </c>
      <c r="AW3" s="88">
        <f>Inflation_mensuelle!CI19</f>
        <v>6.4072443941860513E-3</v>
      </c>
      <c r="AX3" s="88">
        <f>Inflation_mensuelle!CJ19</f>
        <v>6.7782119332739921E-3</v>
      </c>
      <c r="AY3" s="88">
        <f>Inflation_mensuelle!CK19</f>
        <v>7.0813722535680856E-3</v>
      </c>
      <c r="AZ3" s="88">
        <f>Inflation_mensuelle!CL19</f>
        <v>7.3406714844337362E-3</v>
      </c>
      <c r="BA3" s="88">
        <f>Inflation_mensuelle!CM19</f>
        <v>7.2434397249070415E-3</v>
      </c>
      <c r="BB3" s="88">
        <f>Inflation_mensuelle!CN19</f>
        <v>7.6951783309056054E-3</v>
      </c>
      <c r="BC3" s="88">
        <f>Inflation_mensuelle!CO19</f>
        <v>7.954099262933445E-3</v>
      </c>
      <c r="BD3" s="88">
        <f>Inflation_mensuelle!CP19</f>
        <v>8.224537988214653E-3</v>
      </c>
      <c r="BE3" s="88">
        <f>Inflation_mensuelle!CQ19</f>
        <v>8.2811579862143159E-3</v>
      </c>
      <c r="BF3" s="88">
        <f>Inflation_mensuelle!CR19</f>
        <v>8.3920956978134065E-3</v>
      </c>
      <c r="BG3" s="88">
        <f>Inflation_mensuelle!CS19</f>
        <v>8.9291522789540778E-3</v>
      </c>
      <c r="BH3" s="88">
        <f>Inflation_mensuelle!CT19</f>
        <v>9.625535859228318E-3</v>
      </c>
      <c r="BI3" s="88">
        <f>Inflation_mensuelle!CU19</f>
        <v>1.0637919899295412E-2</v>
      </c>
      <c r="BJ3" s="88">
        <f>Inflation_mensuelle!CV19</f>
        <v>1.1485653719623512E-2</v>
      </c>
      <c r="BK3" s="88">
        <f>Inflation_mensuelle!CW19</f>
        <v>1.2649409190407024E-2</v>
      </c>
      <c r="BL3" s="88">
        <f>Inflation_mensuelle!CX19</f>
        <v>1.4210393642677399E-2</v>
      </c>
      <c r="BM3" s="88">
        <f>Inflation_mensuelle!CY19</f>
        <v>1.5816215749855811E-2</v>
      </c>
      <c r="BN3" s="88">
        <f>Inflation_mensuelle!CZ19</f>
        <v>1.7085009875274615E-2</v>
      </c>
      <c r="BO3" s="88">
        <f>Inflation_mensuelle!DA19</f>
        <v>1.846832713270552E-2</v>
      </c>
      <c r="BP3" s="88">
        <f>Inflation_mensuelle!DB19</f>
        <v>1.9942123736231165E-2</v>
      </c>
      <c r="BQ3" s="88">
        <f>Inflation_mensuelle!DC19</f>
        <v>2.1615121117221303E-2</v>
      </c>
      <c r="BR3" s="88">
        <f>Inflation_mensuelle!DD19</f>
        <v>2.2879415930877167E-2</v>
      </c>
      <c r="BS3" s="88">
        <f>Inflation_mensuelle!DE19</f>
        <v>2.3528258274908787E-2</v>
      </c>
      <c r="BT3" s="88">
        <f>Inflation_mensuelle!DF19</f>
        <v>2.4187454761179117E-2</v>
      </c>
      <c r="BU3" s="88">
        <f>Inflation_mensuelle!DG19</f>
        <v>2.4563294950604497E-2</v>
      </c>
      <c r="BV3" s="88">
        <f>Inflation_mensuelle!DH19</f>
        <v>2.5285120398924832E-2</v>
      </c>
      <c r="BW3" s="88">
        <f>Inflation_mensuelle!DI19</f>
        <v>2.5580657856834943E-2</v>
      </c>
      <c r="BX3" s="88">
        <f>Inflation_mensuelle!DJ19</f>
        <v>2.5473369926357847E-2</v>
      </c>
      <c r="BY3" s="88">
        <f>Inflation_mensuelle!DK19</f>
        <v>2.5550994291470008E-2</v>
      </c>
      <c r="BZ3" s="88">
        <f>Inflation_mensuelle!DL19</f>
        <v>2.5518110244729719E-2</v>
      </c>
      <c r="CA3" s="88">
        <f>Inflation_mensuelle!DM19</f>
        <v>2.534205549405244E-2</v>
      </c>
      <c r="CB3" s="88">
        <f>Inflation_mensuelle!DN19</f>
        <v>2.5222302312672085E-2</v>
      </c>
      <c r="CC3" s="88">
        <f>Inflation_mensuelle!DO19</f>
        <v>2.5092800355415168E-2</v>
      </c>
      <c r="CD3" s="88">
        <f>Inflation_mensuelle!DP19</f>
        <v>2.5022395329128422E-2</v>
      </c>
      <c r="CE3" s="88">
        <f>Inflation_mensuelle!DQ19</f>
        <v>2.5109087179110201E-2</v>
      </c>
      <c r="CF3" s="88">
        <f>Inflation_mensuelle!DR19</f>
        <v>2.4766316687590662E-2</v>
      </c>
      <c r="CG3" s="88">
        <f>Inflation_mensuelle!DS19</f>
        <v>2.450526961881061E-2</v>
      </c>
      <c r="CH3" s="88">
        <f>Inflation_mensuelle!DT19</f>
        <v>2.3779655100443442E-2</v>
      </c>
      <c r="CI3" s="88">
        <f>Inflation_mensuelle!DU19</f>
        <v>2.3181835451368649E-2</v>
      </c>
      <c r="CJ3" s="88">
        <f>Inflation_mensuelle!DV19</f>
        <v>2.2667650070731904E-2</v>
      </c>
      <c r="CK3" s="88">
        <f>Inflation_mensuelle!DW19</f>
        <v>2.1832624815153245E-2</v>
      </c>
      <c r="CL3" s="88">
        <f>Inflation_mensuelle!DX19</f>
        <v>2.1724801012158901E-2</v>
      </c>
      <c r="CM3" s="88">
        <f>Inflation_mensuelle!DY19</f>
        <v>2.1765737241582483E-2</v>
      </c>
      <c r="CN3" s="88">
        <f>Inflation_mensuelle!DZ19</f>
        <v>2.1731387363248311E-2</v>
      </c>
      <c r="CO3" s="88">
        <f>Inflation_mensuelle!EA19</f>
        <v>2.1511821612036686E-2</v>
      </c>
      <c r="CP3" s="88">
        <f>Inflation_mensuelle!EB19</f>
        <v>2.1537706825711878E-2</v>
      </c>
      <c r="CQ3" s="88">
        <f>Inflation_mensuelle!EC19</f>
        <v>2.1295165259939131E-2</v>
      </c>
      <c r="CR3" s="88">
        <f>Inflation_mensuelle!ED19</f>
        <v>2.1494695198027047E-2</v>
      </c>
      <c r="CS3" s="88">
        <f>Inflation_mensuelle!EE19</f>
        <v>2.2619561486628692E-2</v>
      </c>
      <c r="CT3" s="88">
        <f>Inflation_mensuelle!EF19</f>
        <v>2.4458609105032503E-2</v>
      </c>
      <c r="CU3" s="88">
        <f>Inflation_mensuelle!EG19</f>
        <v>2.6600541690216861E-2</v>
      </c>
      <c r="CV3" s="88">
        <f>Inflation_mensuelle!EH19</f>
        <v>2.8928703739263373E-2</v>
      </c>
      <c r="CW3" s="88">
        <f>Inflation_mensuelle!EI19</f>
        <v>3.2174539033665628E-2</v>
      </c>
      <c r="CX3" s="88">
        <f>Inflation_mensuelle!EJ19</f>
        <v>3.5273616176213274E-2</v>
      </c>
      <c r="CY3" s="88">
        <f>Inflation_mensuelle!EK19</f>
        <v>3.8303037632624992E-2</v>
      </c>
      <c r="CZ3" s="88">
        <f>Inflation_mensuelle!EL19</f>
        <v>4.1358323121325924E-2</v>
      </c>
      <c r="DA3" s="88">
        <f>Inflation_mensuelle!EM19</f>
        <v>4.5365702511540817E-2</v>
      </c>
      <c r="DB3" s="88">
        <f>Inflation_mensuelle!EN19</f>
        <v>4.9748658137519275E-2</v>
      </c>
      <c r="DC3" s="88">
        <f>Inflation_mensuelle!EO19</f>
        <v>5.4426381908800003E-2</v>
      </c>
      <c r="DD3" s="88">
        <f>Inflation_mensuelle!EP19</f>
        <v>5.929977174231893E-2</v>
      </c>
      <c r="DE3" s="88">
        <f>Inflation_mensuelle!EQ19</f>
        <v>6.2512968661580626E-2</v>
      </c>
      <c r="DF3" s="88">
        <f>Inflation_mensuelle!ER19</f>
        <v>6.5040926931913878E-2</v>
      </c>
      <c r="DG3" s="88">
        <f>Inflation_mensuelle!ES19</f>
        <v>6.819229416901007E-2</v>
      </c>
      <c r="DH3" s="88">
        <f>Inflation_mensuelle!ET19</f>
        <v>7.1392014016477212E-2</v>
      </c>
      <c r="DI3" s="88">
        <f>Inflation_mensuelle!EU19</f>
        <v>7.3430019648015987E-2</v>
      </c>
      <c r="DJ3" s="88">
        <f>Inflation_mensuelle!EV19</f>
        <v>7.4964289845163012E-2</v>
      </c>
      <c r="DK3" s="88">
        <f>Inflation_mensuelle!EW19</f>
        <v>7.6636408048564419E-2</v>
      </c>
      <c r="DL3" s="88">
        <f>Inflation_mensuelle!EX19</f>
        <v>7.7922107377487615E-2</v>
      </c>
      <c r="DM3" s="88">
        <f>Inflation_mensuelle!EY19</f>
        <v>7.8172079797758975E-2</v>
      </c>
      <c r="DN3" s="88">
        <f>Inflation_mensuelle!EZ19</f>
        <v>7.7535434505026757E-2</v>
      </c>
      <c r="DO3" s="88">
        <f>Inflation_mensuelle!FA19</f>
        <v>7.6662932160357133E-2</v>
      </c>
      <c r="DP3" s="88">
        <f>Inflation_mensuelle!FB19</f>
        <v>7.4949079163938004E-2</v>
      </c>
      <c r="DQ3" s="88">
        <f>Inflation_mensuelle!FC19</f>
        <v>7.3633160763857397E-2</v>
      </c>
      <c r="DR3" s="88"/>
    </row>
    <row r="4" spans="1:122" s="90" customFormat="1" ht="10.199999999999999" x14ac:dyDescent="0.2">
      <c r="A4" s="86" t="s">
        <v>100</v>
      </c>
      <c r="B4" s="89">
        <f>Inflation_mensuelle!AN60</f>
        <v>1.3301002224075376E-2</v>
      </c>
      <c r="C4" s="89">
        <f>Inflation_mensuelle!AO60</f>
        <v>1.4013722524600869E-2</v>
      </c>
      <c r="D4" s="89">
        <f>Inflation_mensuelle!AP60</f>
        <v>1.139043470098966E-2</v>
      </c>
      <c r="E4" s="89">
        <f>Inflation_mensuelle!AQ60</f>
        <v>9.3248713860347721E-3</v>
      </c>
      <c r="F4" s="89">
        <f>Inflation_mensuelle!AR60</f>
        <v>1.2367230523269601E-2</v>
      </c>
      <c r="G4" s="89">
        <f>Inflation_mensuelle!AS60</f>
        <v>7.8832255062801782E-3</v>
      </c>
      <c r="H4" s="89">
        <f>Inflation_mensuelle!AT60</f>
        <v>2.9456203332276054E-2</v>
      </c>
      <c r="I4" s="89">
        <f>Inflation_mensuelle!AU60</f>
        <v>2.635078708784544E-2</v>
      </c>
      <c r="J4" s="89">
        <f>Inflation_mensuelle!AV60</f>
        <v>2.6153850881503571E-2</v>
      </c>
      <c r="K4" s="89">
        <f>Inflation_mensuelle!AW60</f>
        <v>2.0257292167778163E-2</v>
      </c>
      <c r="L4" s="89">
        <f>Inflation_mensuelle!AX60</f>
        <v>2.5430815791080974E-2</v>
      </c>
      <c r="M4" s="89">
        <f>Inflation_mensuelle!AY60</f>
        <v>2.6205051452555361E-2</v>
      </c>
      <c r="N4" s="89">
        <f>Inflation_mensuelle!AZ60</f>
        <v>2.579822475950766E-2</v>
      </c>
      <c r="O4" s="89">
        <f>Inflation_mensuelle!BA60</f>
        <v>2.9977374047936323E-2</v>
      </c>
      <c r="P4" s="89">
        <f>Inflation_mensuelle!BB60</f>
        <v>3.1680257657490607E-2</v>
      </c>
      <c r="Q4" s="89">
        <f>Inflation_mensuelle!BC60</f>
        <v>3.8720080392903089E-2</v>
      </c>
      <c r="R4" s="89">
        <f>Inflation_mensuelle!BD60</f>
        <v>3.6226204341202939E-2</v>
      </c>
      <c r="S4" s="89">
        <f>Inflation_mensuelle!BE60</f>
        <v>4.2728882575406413E-2</v>
      </c>
      <c r="T4" s="89">
        <f>Inflation_mensuelle!BF60</f>
        <v>2.33126864027422E-2</v>
      </c>
      <c r="U4" s="89">
        <f>Inflation_mensuelle!BG60</f>
        <v>2.1143262896138548E-2</v>
      </c>
      <c r="V4" s="89">
        <f>Inflation_mensuelle!BH60</f>
        <v>2.1464103814544888E-2</v>
      </c>
      <c r="W4" s="89">
        <f>Inflation_mensuelle!BI60</f>
        <v>2.2555383805340057E-2</v>
      </c>
      <c r="X4" s="89">
        <f>Inflation_mensuelle!BJ60</f>
        <v>1.4608808597642353E-2</v>
      </c>
      <c r="Y4" s="89">
        <f>Inflation_mensuelle!BK60</f>
        <v>1.4462410967416517E-2</v>
      </c>
      <c r="Z4" s="89">
        <f>Inflation_mensuelle!BL60</f>
        <v>1.7033584184282136E-2</v>
      </c>
      <c r="AA4" s="89">
        <f>Inflation_mensuelle!BM60</f>
        <v>1.3021826601636421E-2</v>
      </c>
      <c r="AB4" s="89">
        <f>Inflation_mensuelle!BN60</f>
        <v>1.4405466781653997E-2</v>
      </c>
      <c r="AC4" s="89">
        <f>Inflation_mensuelle!BO60</f>
        <v>1.1016000692325889E-2</v>
      </c>
      <c r="AD4" s="89">
        <f>Inflation_mensuelle!BP60</f>
        <v>1.3667232059983991E-2</v>
      </c>
      <c r="AE4" s="89">
        <f>Inflation_mensuelle!BQ60</f>
        <v>6.6953206715028024E-3</v>
      </c>
      <c r="AF4" s="89">
        <f>Inflation_mensuelle!BR60</f>
        <v>4.5123450522570607E-3</v>
      </c>
      <c r="AG4" s="89">
        <f>Inflation_mensuelle!BS60</f>
        <v>8.830832735301497E-3</v>
      </c>
      <c r="AH4" s="89">
        <f>Inflation_mensuelle!BT60</f>
        <v>5.5512188355810732E-3</v>
      </c>
      <c r="AI4" s="89">
        <f>Inflation_mensuelle!BU60</f>
        <v>2.9531225838990149E-3</v>
      </c>
      <c r="AJ4" s="89">
        <f>Inflation_mensuelle!BV60</f>
        <v>4.5040373617983853E-3</v>
      </c>
      <c r="AK4" s="89">
        <f>Inflation_mensuelle!BW60</f>
        <v>2.9154791068275454E-3</v>
      </c>
      <c r="AL4" s="89">
        <f>Inflation_mensuelle!BX60</f>
        <v>4.2681384671134914E-3</v>
      </c>
      <c r="AM4" s="89">
        <f>Inflation_mensuelle!BY60</f>
        <v>4.6956494729364362E-3</v>
      </c>
      <c r="AN4" s="89">
        <f>Inflation_mensuelle!BZ60</f>
        <v>4.4188317169848723E-3</v>
      </c>
      <c r="AO4" s="89">
        <f>Inflation_mensuelle!CA60</f>
        <v>7.7796867701702688E-3</v>
      </c>
      <c r="AP4" s="89">
        <f>Inflation_mensuelle!CB60</f>
        <v>3.3358429644907428E-3</v>
      </c>
      <c r="AQ4" s="89">
        <f>Inflation_mensuelle!CC60</f>
        <v>5.8286728171188518E-3</v>
      </c>
      <c r="AR4" s="89">
        <f>Inflation_mensuelle!CD60</f>
        <v>6.0300680363090109E-3</v>
      </c>
      <c r="AS4" s="89">
        <f>Inflation_mensuelle!CE60</f>
        <v>6.3869423545348525E-3</v>
      </c>
      <c r="AT4" s="89">
        <f>Inflation_mensuelle!CF60</f>
        <v>8.1360471032481119E-3</v>
      </c>
      <c r="AU4" s="89">
        <f>Inflation_mensuelle!CG60</f>
        <v>9.3248281039530756E-3</v>
      </c>
      <c r="AV4" s="89">
        <f>Inflation_mensuelle!CH60</f>
        <v>9.0325264983293074E-3</v>
      </c>
      <c r="AW4" s="89">
        <f>Inflation_mensuelle!CI60</f>
        <v>7.6207951852085287E-3</v>
      </c>
      <c r="AX4" s="89">
        <f>Inflation_mensuelle!CJ60</f>
        <v>8.7305603537013443E-3</v>
      </c>
      <c r="AY4" s="89">
        <f>Inflation_mensuelle!CK60</f>
        <v>8.3469058532537055E-3</v>
      </c>
      <c r="AZ4" s="89">
        <f>Inflation_mensuelle!CL60</f>
        <v>7.5426206898574488E-3</v>
      </c>
      <c r="BA4" s="89">
        <f>Inflation_mensuelle!CM60</f>
        <v>6.6139860475546985E-3</v>
      </c>
      <c r="BB4" s="89">
        <f>Inflation_mensuelle!CN60</f>
        <v>8.7493194499339566E-3</v>
      </c>
      <c r="BC4" s="89">
        <f>Inflation_mensuelle!CO60</f>
        <v>8.9371412225192071E-3</v>
      </c>
      <c r="BD4" s="89">
        <f>Inflation_mensuelle!CP60</f>
        <v>9.2757251187434164E-3</v>
      </c>
      <c r="BE4" s="89">
        <f>Inflation_mensuelle!CQ60</f>
        <v>7.0735735528879573E-3</v>
      </c>
      <c r="BF4" s="89">
        <f>Inflation_mensuelle!CR60</f>
        <v>9.4585613538198388E-3</v>
      </c>
      <c r="BG4" s="89">
        <f>Inflation_mensuelle!CS60</f>
        <v>1.5726275567223169E-2</v>
      </c>
      <c r="BH4" s="89">
        <f>Inflation_mensuelle!CT60</f>
        <v>1.7353938902409993E-2</v>
      </c>
      <c r="BI4" s="89">
        <f>Inflation_mensuelle!CU60</f>
        <v>1.9736457510479699E-2</v>
      </c>
      <c r="BJ4" s="89">
        <f>Inflation_mensuelle!CV60</f>
        <v>1.8904108856008239E-2</v>
      </c>
      <c r="BK4" s="89">
        <f>Inflation_mensuelle!CW60</f>
        <v>2.2334225797552509E-2</v>
      </c>
      <c r="BL4" s="89">
        <f>Inflation_mensuelle!CX60</f>
        <v>2.6311826752848377E-2</v>
      </c>
      <c r="BM4" s="89">
        <f>Inflation_mensuelle!CY60</f>
        <v>2.5871952965443645E-2</v>
      </c>
      <c r="BN4" s="89">
        <f>Inflation_mensuelle!CZ60</f>
        <v>2.3963055243812592E-2</v>
      </c>
      <c r="BO4" s="89">
        <f>Inflation_mensuelle!DA60</f>
        <v>2.5542781861157104E-2</v>
      </c>
      <c r="BP4" s="89">
        <f>Inflation_mensuelle!DB60</f>
        <v>2.6966702258945263E-2</v>
      </c>
      <c r="BQ4" s="89">
        <f>Inflation_mensuelle!DC60</f>
        <v>2.7131738511966486E-2</v>
      </c>
      <c r="BR4" s="89">
        <f>Inflation_mensuelle!DD60</f>
        <v>2.4615164537570511E-2</v>
      </c>
      <c r="BS4" s="89">
        <f>Inflation_mensuelle!DE60</f>
        <v>2.3529491272348046E-2</v>
      </c>
      <c r="BT4" s="89">
        <f>Inflation_mensuelle!DF60</f>
        <v>2.5277337138753131E-2</v>
      </c>
      <c r="BU4" s="89">
        <f>Inflation_mensuelle!DG60</f>
        <v>2.4274745020240296E-2</v>
      </c>
      <c r="BV4" s="89">
        <f>Inflation_mensuelle!DH60</f>
        <v>2.7594619232494955E-2</v>
      </c>
      <c r="BW4" s="89">
        <f>Inflation_mensuelle!DI60</f>
        <v>2.5910607393824447E-2</v>
      </c>
      <c r="BX4" s="89">
        <f>Inflation_mensuelle!DJ60</f>
        <v>2.5020863928777448E-2</v>
      </c>
      <c r="BY4" s="89">
        <f>Inflation_mensuelle!DK60</f>
        <v>2.6781304071629153E-2</v>
      </c>
      <c r="BZ4" s="89">
        <f>Inflation_mensuelle!DL60</f>
        <v>2.3610140210370778E-2</v>
      </c>
      <c r="CA4" s="89">
        <f>Inflation_mensuelle!DM60</f>
        <v>2.3452468869172183E-2</v>
      </c>
      <c r="CB4" s="89">
        <f>Inflation_mensuelle!DN60</f>
        <v>2.5503213254453039E-2</v>
      </c>
      <c r="CC4" s="89">
        <f>Inflation_mensuelle!DO60</f>
        <v>2.55439534342361E-2</v>
      </c>
      <c r="CD4" s="89">
        <f>Inflation_mensuelle!DP60</f>
        <v>2.3790372716809172E-2</v>
      </c>
      <c r="CE4" s="89">
        <f>Inflation_mensuelle!DQ60</f>
        <v>2.4591600337922737E-2</v>
      </c>
      <c r="CF4" s="89">
        <f>Inflation_mensuelle!DR60</f>
        <v>2.1212248894317387E-2</v>
      </c>
      <c r="CG4" s="89">
        <f>Inflation_mensuelle!DS60</f>
        <v>2.1193203384297199E-2</v>
      </c>
      <c r="CH4" s="89">
        <f>Inflation_mensuelle!DT60</f>
        <v>1.8900474905213738E-2</v>
      </c>
      <c r="CI4" s="89">
        <f>Inflation_mensuelle!DU60</f>
        <v>1.8755092815244678E-2</v>
      </c>
      <c r="CJ4" s="89">
        <f>Inflation_mensuelle!DV60</f>
        <v>1.8876083723129877E-2</v>
      </c>
      <c r="CK4" s="89">
        <f>Inflation_mensuelle!DW60</f>
        <v>1.679560304755201E-2</v>
      </c>
      <c r="CL4" s="89">
        <f>Inflation_mensuelle!DX60</f>
        <v>2.2287731663223509E-2</v>
      </c>
      <c r="CM4" s="89">
        <f>Inflation_mensuelle!DY60</f>
        <v>2.3899672815504314E-2</v>
      </c>
      <c r="CN4" s="89">
        <f>Inflation_mensuelle!DZ60</f>
        <v>2.5002828848551539E-2</v>
      </c>
      <c r="CO4" s="89">
        <f>Inflation_mensuelle!EA60</f>
        <v>2.2843622758515814E-2</v>
      </c>
      <c r="CP4" s="89">
        <f>Inflation_mensuelle!EB60</f>
        <v>2.4045257719570001E-2</v>
      </c>
      <c r="CQ4" s="89">
        <f>Inflation_mensuelle!EC60</f>
        <v>2.164135944411294E-2</v>
      </c>
      <c r="CR4" s="89">
        <f>Inflation_mensuelle!ED60</f>
        <v>2.3586109799982768E-2</v>
      </c>
      <c r="CS4" s="89">
        <f>Inflation_mensuelle!EE60</f>
        <v>3.4571423942522772E-2</v>
      </c>
      <c r="CT4" s="89">
        <f>Inflation_mensuelle!EF60</f>
        <v>4.089875587488212E-2</v>
      </c>
      <c r="CU4" s="89">
        <f>Inflation_mensuelle!EG60</f>
        <v>4.44153736459727E-2</v>
      </c>
      <c r="CV4" s="89">
        <f>Inflation_mensuelle!EH60</f>
        <v>4.6741447059279961E-2</v>
      </c>
      <c r="CW4" s="89">
        <f>Inflation_mensuelle!EI60</f>
        <v>5.5584690777525481E-2</v>
      </c>
      <c r="CX4" s="89">
        <f>Inflation_mensuelle!EJ60</f>
        <v>5.9313327374650004E-2</v>
      </c>
      <c r="CY4" s="89">
        <f>Inflation_mensuelle!EK60</f>
        <v>6.0114475028770764E-2</v>
      </c>
      <c r="CZ4" s="89">
        <f>Inflation_mensuelle!EL60</f>
        <v>6.1451519613426653E-2</v>
      </c>
      <c r="DA4" s="89">
        <f>Inflation_mensuelle!EM60</f>
        <v>7.0746790197427467E-2</v>
      </c>
      <c r="DB4" s="89">
        <f>Inflation_mensuelle!EN60</f>
        <v>7.6541362695469184E-2</v>
      </c>
      <c r="DC4" s="89">
        <f>Inflation_mensuelle!EO60</f>
        <v>7.7703476813928862E-2</v>
      </c>
      <c r="DD4" s="89">
        <f>Inflation_mensuelle!EP60</f>
        <v>8.2116323178105022E-2</v>
      </c>
      <c r="DE4" s="89">
        <f>Inflation_mensuelle!EQ60</f>
        <v>7.3153687006621171E-2</v>
      </c>
      <c r="DF4" s="89">
        <f>Inflation_mensuelle!ER60</f>
        <v>7.14159619844279E-2</v>
      </c>
      <c r="DG4" s="89">
        <f>Inflation_mensuelle!ES60</f>
        <v>8.224996553395636E-2</v>
      </c>
      <c r="DH4" s="89">
        <f>Inflation_mensuelle!ET60</f>
        <v>8.5151161771732653E-2</v>
      </c>
      <c r="DI4" s="89">
        <f>Inflation_mensuelle!EU60</f>
        <v>8.0108908068659224E-2</v>
      </c>
      <c r="DJ4" s="89">
        <f>Inflation_mensuelle!EV60</f>
        <v>7.7913859440823741E-2</v>
      </c>
      <c r="DK4" s="89">
        <f>Inflation_mensuelle!EW60</f>
        <v>8.0390858571991464E-2</v>
      </c>
      <c r="DL4" s="89">
        <f>Inflation_mensuelle!EX60</f>
        <v>7.7244372586469545E-2</v>
      </c>
      <c r="DM4" s="89">
        <f>Inflation_mensuelle!EY60</f>
        <v>7.411297350178625E-2</v>
      </c>
      <c r="DN4" s="89">
        <f>Inflation_mensuelle!EZ60</f>
        <v>6.9292679269495672E-2</v>
      </c>
      <c r="DO4" s="89">
        <f>Inflation_mensuelle!FA60</f>
        <v>6.7569006986611058E-2</v>
      </c>
      <c r="DP4" s="89">
        <f>Inflation_mensuelle!FB60</f>
        <v>6.179749110910393E-2</v>
      </c>
      <c r="DQ4" s="89">
        <f>Inflation_mensuelle!FC60</f>
        <v>5.7966990508653504E-2</v>
      </c>
      <c r="DR4" s="89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30"/>
  <sheetViews>
    <sheetView zoomScaleNormal="100" workbookViewId="0">
      <pane xSplit="3" ySplit="4" topLeftCell="CC5" activePane="bottomRight" state="frozen"/>
      <selection pane="topRight" activeCell="D1" sqref="D1"/>
      <selection pane="bottomLeft" activeCell="A5" sqref="A5"/>
      <selection pane="bottomRight" activeCell="CO14" sqref="CO14"/>
    </sheetView>
  </sheetViews>
  <sheetFormatPr baseColWidth="10" defaultColWidth="9.44140625" defaultRowHeight="13.2" x14ac:dyDescent="0.25"/>
  <cols>
    <col min="1" max="1" width="4.6640625" customWidth="1"/>
    <col min="2" max="2" width="40.6640625" customWidth="1"/>
    <col min="3" max="3" width="10.88671875" customWidth="1"/>
    <col min="4" max="67" width="9.33203125" customWidth="1"/>
  </cols>
  <sheetData>
    <row r="1" spans="1:94" s="1" customFormat="1" ht="10.8" thickBot="1" x14ac:dyDescent="0.25"/>
    <row r="2" spans="1:94" s="2" customFormat="1" ht="33" thickTop="1" thickBot="1" x14ac:dyDescent="0.55000000000000004">
      <c r="B2" s="2" t="s">
        <v>99</v>
      </c>
    </row>
    <row r="3" spans="1:94" s="1" customFormat="1" ht="11.4" thickTop="1" thickBot="1" x14ac:dyDescent="0.25"/>
    <row r="4" spans="1:94" s="24" customFormat="1" ht="13.8" thickBot="1" x14ac:dyDescent="0.3">
      <c r="A4" s="24" t="s">
        <v>8</v>
      </c>
      <c r="B4" s="21" t="s">
        <v>0</v>
      </c>
      <c r="C4" s="22" t="s">
        <v>1</v>
      </c>
      <c r="D4" s="104" t="s">
        <v>115</v>
      </c>
      <c r="E4" s="104" t="s">
        <v>116</v>
      </c>
      <c r="F4" s="104" t="s">
        <v>117</v>
      </c>
      <c r="G4" s="104" t="s">
        <v>118</v>
      </c>
      <c r="H4" s="104" t="s">
        <v>119</v>
      </c>
      <c r="I4" s="104" t="s">
        <v>120</v>
      </c>
      <c r="J4" s="104" t="s">
        <v>121</v>
      </c>
      <c r="K4" s="104" t="s">
        <v>122</v>
      </c>
      <c r="L4" s="104" t="s">
        <v>123</v>
      </c>
      <c r="M4" s="104" t="s">
        <v>124</v>
      </c>
      <c r="N4" s="104" t="s">
        <v>125</v>
      </c>
      <c r="O4" s="104" t="s">
        <v>126</v>
      </c>
      <c r="P4" s="104" t="s">
        <v>127</v>
      </c>
      <c r="Q4" s="104" t="s">
        <v>128</v>
      </c>
      <c r="R4" s="104" t="s">
        <v>129</v>
      </c>
      <c r="S4" s="104" t="s">
        <v>130</v>
      </c>
      <c r="T4" s="105" t="s">
        <v>131</v>
      </c>
      <c r="U4" s="105" t="s">
        <v>132</v>
      </c>
      <c r="V4" s="105" t="s">
        <v>133</v>
      </c>
      <c r="W4" s="105" t="s">
        <v>134</v>
      </c>
      <c r="X4" s="105" t="s">
        <v>135</v>
      </c>
      <c r="Y4" s="105" t="s">
        <v>136</v>
      </c>
      <c r="Z4" s="105" t="s">
        <v>137</v>
      </c>
      <c r="AA4" s="105" t="s">
        <v>138</v>
      </c>
      <c r="AB4" s="105" t="s">
        <v>139</v>
      </c>
      <c r="AC4" s="105" t="s">
        <v>140</v>
      </c>
      <c r="AD4" s="105" t="s">
        <v>141</v>
      </c>
      <c r="AE4" s="105" t="s">
        <v>142</v>
      </c>
      <c r="AF4" s="105" t="s">
        <v>143</v>
      </c>
      <c r="AG4" s="105" t="s">
        <v>144</v>
      </c>
      <c r="AH4" s="105" t="s">
        <v>145</v>
      </c>
      <c r="AI4" s="105" t="s">
        <v>146</v>
      </c>
      <c r="AJ4" s="105" t="s">
        <v>147</v>
      </c>
      <c r="AK4" s="105" t="s">
        <v>148</v>
      </c>
      <c r="AL4" s="105" t="s">
        <v>149</v>
      </c>
      <c r="AM4" s="105" t="s">
        <v>150</v>
      </c>
      <c r="AN4" s="105" t="s">
        <v>151</v>
      </c>
      <c r="AO4" s="105" t="s">
        <v>152</v>
      </c>
      <c r="AP4" s="105" t="s">
        <v>153</v>
      </c>
      <c r="AQ4" s="105" t="s">
        <v>154</v>
      </c>
      <c r="AR4" s="105" t="s">
        <v>155</v>
      </c>
      <c r="AS4" s="105" t="s">
        <v>156</v>
      </c>
      <c r="AT4" s="105" t="s">
        <v>157</v>
      </c>
      <c r="AU4" s="105" t="s">
        <v>158</v>
      </c>
      <c r="AV4" s="105" t="s">
        <v>159</v>
      </c>
      <c r="AW4" s="105" t="s">
        <v>160</v>
      </c>
      <c r="AX4" s="105" t="s">
        <v>161</v>
      </c>
      <c r="AY4" s="105" t="s">
        <v>162</v>
      </c>
      <c r="AZ4" s="105" t="s">
        <v>163</v>
      </c>
      <c r="BA4" s="105" t="s">
        <v>164</v>
      </c>
      <c r="BB4" s="105" t="s">
        <v>165</v>
      </c>
      <c r="BC4" s="105" t="s">
        <v>166</v>
      </c>
      <c r="BD4" s="105" t="s">
        <v>167</v>
      </c>
      <c r="BE4" s="105" t="s">
        <v>168</v>
      </c>
      <c r="BF4" s="105" t="s">
        <v>169</v>
      </c>
      <c r="BG4" s="105" t="s">
        <v>170</v>
      </c>
      <c r="BH4" s="105" t="s">
        <v>171</v>
      </c>
      <c r="BI4" s="105" t="s">
        <v>172</v>
      </c>
      <c r="BJ4" s="105" t="s">
        <v>173</v>
      </c>
      <c r="BK4" s="105" t="s">
        <v>174</v>
      </c>
      <c r="BL4" s="105" t="s">
        <v>175</v>
      </c>
      <c r="BM4" s="105" t="s">
        <v>176</v>
      </c>
      <c r="BN4" s="105" t="s">
        <v>177</v>
      </c>
      <c r="BO4" s="105" t="s">
        <v>178</v>
      </c>
      <c r="BP4" s="105" t="s">
        <v>183</v>
      </c>
      <c r="BQ4" s="105" t="s">
        <v>184</v>
      </c>
      <c r="BR4" s="105" t="s">
        <v>185</v>
      </c>
      <c r="BS4" s="105" t="s">
        <v>187</v>
      </c>
      <c r="BT4" s="105" t="s">
        <v>188</v>
      </c>
      <c r="BU4" s="105" t="s">
        <v>189</v>
      </c>
      <c r="BV4" s="105" t="s">
        <v>190</v>
      </c>
      <c r="BW4" s="105" t="s">
        <v>191</v>
      </c>
      <c r="BX4" s="105" t="s">
        <v>192</v>
      </c>
      <c r="BY4" s="105" t="s">
        <v>193</v>
      </c>
      <c r="BZ4" s="105" t="s">
        <v>194</v>
      </c>
      <c r="CA4" s="105" t="s">
        <v>195</v>
      </c>
      <c r="CB4" s="105" t="s">
        <v>196</v>
      </c>
      <c r="CC4" s="105" t="s">
        <v>197</v>
      </c>
      <c r="CD4" s="105" t="s">
        <v>198</v>
      </c>
      <c r="CE4" s="105" t="s">
        <v>199</v>
      </c>
      <c r="CF4" s="105" t="s">
        <v>226</v>
      </c>
      <c r="CG4" s="105" t="s">
        <v>227</v>
      </c>
      <c r="CH4" s="105" t="s">
        <v>228</v>
      </c>
      <c r="CI4" s="105" t="s">
        <v>225</v>
      </c>
      <c r="CJ4" s="105" t="s">
        <v>229</v>
      </c>
      <c r="CK4" s="105" t="s">
        <v>230</v>
      </c>
      <c r="CL4" s="105" t="s">
        <v>231</v>
      </c>
      <c r="CM4" s="105" t="s">
        <v>232</v>
      </c>
      <c r="CN4" s="105" t="s">
        <v>242</v>
      </c>
      <c r="CO4" s="105" t="s">
        <v>243</v>
      </c>
      <c r="CP4" s="105" t="s">
        <v>244</v>
      </c>
    </row>
    <row r="5" spans="1:94" s="1" customFormat="1" ht="10.199999999999999" x14ac:dyDescent="0.2">
      <c r="A5" s="11" t="s">
        <v>9</v>
      </c>
      <c r="B5" s="1" t="s">
        <v>10</v>
      </c>
      <c r="C5" s="5"/>
      <c r="D5" s="31"/>
      <c r="E5" s="31"/>
      <c r="F5" s="31"/>
      <c r="G5" s="31" t="str">
        <f>IF(OR(IPC_Trimestriel!K5="",IPC_Trimestriel!H5="",IPC_Trimestriel!D5=""),"",AVERAGE(IPC_Trimestriel!H5:K5)/AVERAGE(IPC_Trimestriel!D5:G5)-1)</f>
        <v/>
      </c>
      <c r="H5" s="31" t="str">
        <f>IF(OR(IPC_Trimestriel!L5="",IPC_Trimestriel!I5="",IPC_Trimestriel!E5=""),"",AVERAGE(IPC_Trimestriel!I5:L5)/AVERAGE(IPC_Trimestriel!E5:H5)-1)</f>
        <v/>
      </c>
      <c r="I5" s="31" t="str">
        <f>IF(OR(IPC_Trimestriel!M5="",IPC_Trimestriel!J5="",IPC_Trimestriel!F5=""),"",AVERAGE(IPC_Trimestriel!J5:M5)/AVERAGE(IPC_Trimestriel!F5:I5)-1)</f>
        <v/>
      </c>
      <c r="J5" s="31" t="str">
        <f>IF(OR(IPC_Trimestriel!N5="",IPC_Trimestriel!K5="",IPC_Trimestriel!G5=""),"",AVERAGE(IPC_Trimestriel!K5:N5)/AVERAGE(IPC_Trimestriel!G5:J5)-1)</f>
        <v/>
      </c>
      <c r="K5" s="31" t="str">
        <f>IF(OR(IPC_Trimestriel!O5="",IPC_Trimestriel!L5="",IPC_Trimestriel!H5=""),"",AVERAGE(IPC_Trimestriel!L5:O5)/AVERAGE(IPC_Trimestriel!H5:K5)-1)</f>
        <v/>
      </c>
      <c r="L5" s="31" t="str">
        <f>IF(OR(IPC_Trimestriel!P5="",IPC_Trimestriel!M5="",IPC_Trimestriel!I5=""),"",AVERAGE(IPC_Trimestriel!M5:P5)/AVERAGE(IPC_Trimestriel!I5:L5)-1)</f>
        <v/>
      </c>
      <c r="M5" s="31" t="str">
        <f>IF(OR(IPC_Trimestriel!Q5="",IPC_Trimestriel!N5="",IPC_Trimestriel!J5=""),"",AVERAGE(IPC_Trimestriel!N5:Q5)/AVERAGE(IPC_Trimestriel!J5:M5)-1)</f>
        <v/>
      </c>
      <c r="N5" s="31" t="str">
        <f>IF(OR(IPC_Trimestriel!R5="",IPC_Trimestriel!O5="",IPC_Trimestriel!K5=""),"",AVERAGE(IPC_Trimestriel!O5:R5)/AVERAGE(IPC_Trimestriel!K5:N5)-1)</f>
        <v/>
      </c>
      <c r="O5" s="31" t="str">
        <f>IF(OR(IPC_Trimestriel!S5="",IPC_Trimestriel!P5="",IPC_Trimestriel!L5=""),"",AVERAGE(IPC_Trimestriel!P5:S5)/AVERAGE(IPC_Trimestriel!L5:O5)-1)</f>
        <v/>
      </c>
      <c r="P5" s="31" t="str">
        <f>IF(OR(IPC_Trimestriel!T5="",IPC_Trimestriel!Q5="",IPC_Trimestriel!M5=""),"",AVERAGE(IPC_Trimestriel!Q5:T5)/AVERAGE(IPC_Trimestriel!M5:P5)-1)</f>
        <v/>
      </c>
      <c r="Q5" s="31" t="str">
        <f>IF(OR(IPC_Trimestriel!U5="",IPC_Trimestriel!R5="",IPC_Trimestriel!N5=""),"",AVERAGE(IPC_Trimestriel!R5:U5)/AVERAGE(IPC_Trimestriel!N5:Q5)-1)</f>
        <v/>
      </c>
      <c r="R5" s="31" t="str">
        <f>IF(OR(IPC_Trimestriel!V5="",IPC_Trimestriel!S5="",IPC_Trimestriel!O5=""),"",AVERAGE(IPC_Trimestriel!S5:V5)/AVERAGE(IPC_Trimestriel!O5:R5)-1)</f>
        <v/>
      </c>
      <c r="S5" s="31" t="str">
        <f>IF(OR(IPC_Trimestriel!W5="",IPC_Trimestriel!T5="",IPC_Trimestriel!P5=""),"",AVERAGE(IPC_Trimestriel!T5:W5)/AVERAGE(IPC_Trimestriel!P5:S5)-1)</f>
        <v/>
      </c>
      <c r="T5" s="31" t="str">
        <f>IF(OR(IPC_Trimestriel!X5="",IPC_Trimestriel!U5="",IPC_Trimestriel!Q5=""),"",AVERAGE(IPC_Trimestriel!U5:X5)/AVERAGE(IPC_Trimestriel!Q5:T5)-1)</f>
        <v/>
      </c>
      <c r="U5" s="31" t="str">
        <f>IF(OR(IPC_Trimestriel!Y5="",IPC_Trimestriel!V5="",IPC_Trimestriel!R5=""),"",AVERAGE(IPC_Trimestriel!V5:Y5)/AVERAGE(IPC_Trimestriel!R5:U5)-1)</f>
        <v/>
      </c>
      <c r="V5" s="31" t="str">
        <f>IF(OR(IPC_Trimestriel!Z5="",IPC_Trimestriel!W5="",IPC_Trimestriel!S5=""),"",AVERAGE(IPC_Trimestriel!W5:Z5)/AVERAGE(IPC_Trimestriel!S5:V5)-1)</f>
        <v/>
      </c>
      <c r="W5" s="31" t="str">
        <f>IF(OR(IPC_Trimestriel!AA5="",IPC_Trimestriel!X5="",IPC_Trimestriel!T5=""),"",AVERAGE(IPC_Trimestriel!X5:AA5)/AVERAGE(IPC_Trimestriel!T5:W5)-1)</f>
        <v/>
      </c>
      <c r="X5" s="31" t="str">
        <f>IF(OR(IPC_Trimestriel!AB5="",IPC_Trimestriel!Y5="",IPC_Trimestriel!U5=""),"",AVERAGE(IPC_Trimestriel!Y5:AB5)/AVERAGE(IPC_Trimestriel!U5:X5)-1)</f>
        <v/>
      </c>
      <c r="Y5" s="31" t="str">
        <f>IF(OR(IPC_Trimestriel!AC5="",IPC_Trimestriel!Z5="",IPC_Trimestriel!V5=""),"",AVERAGE(IPC_Trimestriel!Z5:AC5)/AVERAGE(IPC_Trimestriel!V5:Y5)-1)</f>
        <v/>
      </c>
      <c r="Z5" s="31" t="str">
        <f>IF(OR(IPC_Trimestriel!AD5="",IPC_Trimestriel!AA5="",IPC_Trimestriel!W5=""),"",AVERAGE(IPC_Trimestriel!AA5:AD5)/AVERAGE(IPC_Trimestriel!W5:Z5)-1)</f>
        <v/>
      </c>
      <c r="AA5" s="31" t="str">
        <f>IF(OR(IPC_Trimestriel!AE5="",IPC_Trimestriel!AB5="",IPC_Trimestriel!X5=""),"",AVERAGE(IPC_Trimestriel!AB5:AE5)/AVERAGE(IPC_Trimestriel!X5:AA5)-1)</f>
        <v/>
      </c>
      <c r="AB5" s="31" t="str">
        <f>IF(OR(IPC_Trimestriel!AF5="",IPC_Trimestriel!AC5="",IPC_Trimestriel!Y5=""),"",AVERAGE(IPC_Trimestriel!AC5:AF5)/AVERAGE(IPC_Trimestriel!Y5:AB5)-1)</f>
        <v/>
      </c>
      <c r="AC5" s="31" t="str">
        <f>IF(OR(IPC_Trimestriel!AG5="",IPC_Trimestriel!AD5="",IPC_Trimestriel!Z5=""),"",AVERAGE(IPC_Trimestriel!AD5:AG5)/AVERAGE(IPC_Trimestriel!Z5:AC5)-1)</f>
        <v/>
      </c>
      <c r="AD5" s="31" t="str">
        <f>IF(OR(IPC_Trimestriel!AH5="",IPC_Trimestriel!AE5="",IPC_Trimestriel!AA5=""),"",AVERAGE(IPC_Trimestriel!AE5:AH5)/AVERAGE(IPC_Trimestriel!AA5:AD5)-1)</f>
        <v/>
      </c>
      <c r="AE5" s="31" t="str">
        <f>IF(OR(IPC_Trimestriel!AI5="",IPC_Trimestriel!AF5="",IPC_Trimestriel!AB5=""),"",AVERAGE(IPC_Trimestriel!AF5:AI5)/AVERAGE(IPC_Trimestriel!AB5:AE5)-1)</f>
        <v/>
      </c>
      <c r="AF5" s="31" t="str">
        <f>IF(OR(IPC_Trimestriel!AJ5="",IPC_Trimestriel!AG5="",IPC_Trimestriel!AC5=""),"",AVERAGE(IPC_Trimestriel!AG5:AJ5)/AVERAGE(IPC_Trimestriel!AC5:AF5)-1)</f>
        <v/>
      </c>
      <c r="AG5" s="31" t="str">
        <f>IF(OR(IPC_Trimestriel!AK5="",IPC_Trimestriel!AH5="",IPC_Trimestriel!AD5=""),"",AVERAGE(IPC_Trimestriel!AH5:AK5)/AVERAGE(IPC_Trimestriel!AD5:AG5)-1)</f>
        <v/>
      </c>
      <c r="AH5" s="31" t="str">
        <f>IF(OR(IPC_Trimestriel!AL5="",IPC_Trimestriel!AI5="",IPC_Trimestriel!AE5=""),"",AVERAGE(IPC_Trimestriel!AI5:AL5)/AVERAGE(IPC_Trimestriel!AE5:AH5)-1)</f>
        <v/>
      </c>
      <c r="AI5" s="31" t="str">
        <f>IF(OR(IPC_Trimestriel!AM5="",IPC_Trimestriel!AJ5="",IPC_Trimestriel!AF5=""),"",AVERAGE(IPC_Trimestriel!AJ5:AM5)/AVERAGE(IPC_Trimestriel!AF5:AI5)-1)</f>
        <v/>
      </c>
      <c r="AJ5" s="31" t="str">
        <f>IF(OR(IPC_Trimestriel!AN5="",IPC_Trimestriel!AK5="",IPC_Trimestriel!AG5=""),"",AVERAGE(IPC_Trimestriel!AK5:AN5)/AVERAGE(IPC_Trimestriel!AG5:AJ5)-1)</f>
        <v/>
      </c>
      <c r="AK5" s="31" t="str">
        <f>IF(OR(IPC_Trimestriel!AO5="",IPC_Trimestriel!AL5="",IPC_Trimestriel!AH5=""),"",AVERAGE(IPC_Trimestriel!AL5:AO5)/AVERAGE(IPC_Trimestriel!AH5:AK5)-1)</f>
        <v/>
      </c>
      <c r="AL5" s="31" t="str">
        <f>IF(OR(IPC_Trimestriel!AP5="",IPC_Trimestriel!AM5="",IPC_Trimestriel!AI5=""),"",AVERAGE(IPC_Trimestriel!AM5:AP5)/AVERAGE(IPC_Trimestriel!AI5:AL5)-1)</f>
        <v/>
      </c>
      <c r="AM5" s="31" t="str">
        <f>IF(OR(IPC_Trimestriel!AQ5="",IPC_Trimestriel!AN5="",IPC_Trimestriel!AJ5=""),"",AVERAGE(IPC_Trimestriel!AN5:AQ5)/AVERAGE(IPC_Trimestriel!AJ5:AM5)-1)</f>
        <v/>
      </c>
      <c r="AN5" s="31" t="str">
        <f>IF(OR(IPC_Trimestriel!AR5="",IPC_Trimestriel!AO5="",IPC_Trimestriel!AK5=""),"",AVERAGE(IPC_Trimestriel!AO5:AR5)/AVERAGE(IPC_Trimestriel!AK5:AN5)-1)</f>
        <v/>
      </c>
      <c r="AO5" s="31" t="str">
        <f>IF(OR(IPC_Trimestriel!AS5="",IPC_Trimestriel!AP5="",IPC_Trimestriel!AL5=""),"",AVERAGE(IPC_Trimestriel!AP5:AS5)/AVERAGE(IPC_Trimestriel!AL5:AO5)-1)</f>
        <v/>
      </c>
      <c r="AP5" s="31" t="str">
        <f>IF(OR(IPC_Trimestriel!AT5="",IPC_Trimestriel!AQ5="",IPC_Trimestriel!AM5=""),"",AVERAGE(IPC_Trimestriel!AQ5:AT5)/AVERAGE(IPC_Trimestriel!AM5:AP5)-1)</f>
        <v/>
      </c>
      <c r="AQ5" s="31" t="str">
        <f>IF(OR(IPC_Trimestriel!AU5="",IPC_Trimestriel!AR5="",IPC_Trimestriel!AN5=""),"",AVERAGE(IPC_Trimestriel!AR5:AU5)/AVERAGE(IPC_Trimestriel!AN5:AQ5)-1)</f>
        <v/>
      </c>
      <c r="AR5" s="31" t="str">
        <f>IF(OR(IPC_Trimestriel!AV5="",IPC_Trimestriel!AS5="",IPC_Trimestriel!AO5=""),"",AVERAGE(IPC_Trimestriel!AS5:AV5)/AVERAGE(IPC_Trimestriel!AO5:AR5)-1)</f>
        <v/>
      </c>
      <c r="AS5" s="31" t="str">
        <f>IF(OR(IPC_Trimestriel!AW5="",IPC_Trimestriel!AT5="",IPC_Trimestriel!AP5=""),"",AVERAGE(IPC_Trimestriel!AT5:AW5)/AVERAGE(IPC_Trimestriel!AP5:AS5)-1)</f>
        <v/>
      </c>
      <c r="AT5" s="31" t="str">
        <f>IF(OR(IPC_Trimestriel!AX5="",IPC_Trimestriel!AU5="",IPC_Trimestriel!AQ5=""),"",AVERAGE(IPC_Trimestriel!AU5:AX5)/AVERAGE(IPC_Trimestriel!AQ5:AT5)-1)</f>
        <v/>
      </c>
      <c r="AU5" s="31" t="str">
        <f>IF(OR(IPC_Trimestriel!AY5="",IPC_Trimestriel!AV5="",IPC_Trimestriel!AR5=""),"",AVERAGE(IPC_Trimestriel!AV5:AY5)/AVERAGE(IPC_Trimestriel!AR5:AU5)-1)</f>
        <v/>
      </c>
      <c r="AV5" s="31" t="str">
        <f>IF(OR(IPC_Trimestriel!AZ5="",IPC_Trimestriel!AW5="",IPC_Trimestriel!AS5=""),"",AVERAGE(IPC_Trimestriel!AW5:AZ5)/AVERAGE(IPC_Trimestriel!AS5:AV5)-1)</f>
        <v/>
      </c>
      <c r="AW5" s="31" t="str">
        <f>IF(OR(IPC_Trimestriel!BA5="",IPC_Trimestriel!AX5="",IPC_Trimestriel!AT5=""),"",AVERAGE(IPC_Trimestriel!AX5:BA5)/AVERAGE(IPC_Trimestriel!AT5:AW5)-1)</f>
        <v/>
      </c>
      <c r="AX5" s="31" t="str">
        <f>IF(OR(IPC_Trimestriel!BB5="",IPC_Trimestriel!AY5="",IPC_Trimestriel!AU5=""),"",AVERAGE(IPC_Trimestriel!AY5:BB5)/AVERAGE(IPC_Trimestriel!AU5:AX5)-1)</f>
        <v/>
      </c>
      <c r="AY5" s="31" t="str">
        <f>IF(OR(IPC_Trimestriel!BC5="",IPC_Trimestriel!AZ5="",IPC_Trimestriel!AV5=""),"",AVERAGE(IPC_Trimestriel!AZ5:BC5)/AVERAGE(IPC_Trimestriel!AV5:AY5)-1)</f>
        <v/>
      </c>
      <c r="AZ5" s="31" t="str">
        <f>IF(OR(IPC_Trimestriel!BD5="",IPC_Trimestriel!BA5="",IPC_Trimestriel!AW5=""),"",AVERAGE(IPC_Trimestriel!BA5:BD5)/AVERAGE(IPC_Trimestriel!AW5:AZ5)-1)</f>
        <v/>
      </c>
      <c r="BA5" s="31" t="str">
        <f>IF(OR(IPC_Trimestriel!BE5="",IPC_Trimestriel!BB5="",IPC_Trimestriel!AX5=""),"",AVERAGE(IPC_Trimestriel!BB5:BE5)/AVERAGE(IPC_Trimestriel!AX5:BA5)-1)</f>
        <v/>
      </c>
      <c r="BB5" s="31" t="str">
        <f>IF(OR(IPC_Trimestriel!BF5="",IPC_Trimestriel!BC5="",IPC_Trimestriel!AY5=""),"",AVERAGE(IPC_Trimestriel!BC5:BF5)/AVERAGE(IPC_Trimestriel!AY5:BB5)-1)</f>
        <v/>
      </c>
      <c r="BC5" s="31">
        <f>IF(OR(IPC_Trimestriel!BG5="",IPC_Trimestriel!BD5="",IPC_Trimestriel!AZ5=""),"",AVERAGE(IPC_Trimestriel!BD5:BG5)/AVERAGE(IPC_Trimestriel!AZ5:BC5)-1)</f>
        <v>3.2552212868777408E-2</v>
      </c>
      <c r="BD5" s="31">
        <f>IF(OR(IPC_Trimestriel!BH5="",IPC_Trimestriel!BE5="",IPC_Trimestriel!BA5=""),"",AVERAGE(IPC_Trimestriel!BE5:BH5)/AVERAGE(IPC_Trimestriel!BA5:BD5)-1)</f>
        <v>2.5428759609076979E-2</v>
      </c>
      <c r="BE5" s="31">
        <f>IF(OR(IPC_Trimestriel!BI5="",IPC_Trimestriel!BF5="",IPC_Trimestriel!BB5=""),"",AVERAGE(IPC_Trimestriel!BF5:BI5)/AVERAGE(IPC_Trimestriel!BB5:BE5)-1)</f>
        <v>2.0480570055068759E-2</v>
      </c>
      <c r="BF5" s="31">
        <f>IF(OR(IPC_Trimestriel!BJ5="",IPC_Trimestriel!BG5="",IPC_Trimestriel!BC5=""),"",AVERAGE(IPC_Trimestriel!BG5:BJ5)/AVERAGE(IPC_Trimestriel!BC5:BF5)-1)</f>
        <v>1.5833633315246454E-2</v>
      </c>
      <c r="BG5" s="31">
        <f>IF(OR(IPC_Trimestriel!BK5="",IPC_Trimestriel!BH5="",IPC_Trimestriel!BD5=""),"",AVERAGE(IPC_Trimestriel!BH5:BK5)/AVERAGE(IPC_Trimestriel!BD5:BG5)-1)</f>
        <v>7.571032989933224E-3</v>
      </c>
      <c r="BH5" s="31">
        <f>IF(OR(IPC_Trimestriel!BL5="",IPC_Trimestriel!BI5="",IPC_Trimestriel!BE5=""),"",AVERAGE(IPC_Trimestriel!BI5:BL5)/AVERAGE(IPC_Trimestriel!BE5:BH5)-1)</f>
        <v>6.5152800315939619E-3</v>
      </c>
      <c r="BI5" s="31">
        <f>IF(OR(IPC_Trimestriel!BM5="",IPC_Trimestriel!BJ5="",IPC_Trimestriel!BF5=""),"",AVERAGE(IPC_Trimestriel!BJ5:BM5)/AVERAGE(IPC_Trimestriel!BF5:BI5)-1)</f>
        <v>1.038242737826045E-2</v>
      </c>
      <c r="BJ5" s="31">
        <f>IF(OR(IPC_Trimestriel!BN5="",IPC_Trimestriel!BK5="",IPC_Trimestriel!BG5=""),"",AVERAGE(IPC_Trimestriel!BK5:BN5)/AVERAGE(IPC_Trimestriel!BG5:BJ5)-1)</f>
        <v>1.4565903295514104E-2</v>
      </c>
      <c r="BK5" s="31">
        <f>IF(OR(IPC_Trimestriel!BO5="",IPC_Trimestriel!BL5="",IPC_Trimestriel!BH5=""),"",AVERAGE(IPC_Trimestriel!BL5:BO5)/AVERAGE(IPC_Trimestriel!BH5:BK5)-1)</f>
        <v>2.0371714654395356E-2</v>
      </c>
      <c r="BL5" s="31">
        <f>IF(OR(IPC_Trimestriel!BP5="",IPC_Trimestriel!BM5="",IPC_Trimestriel!BI5=""),"",AVERAGE(IPC_Trimestriel!BM5:BP5)/AVERAGE(IPC_Trimestriel!BI5:BL5)-1)</f>
        <v>2.2751482961880232E-2</v>
      </c>
      <c r="BM5" s="31">
        <f>IF(OR(IPC_Trimestriel!BQ5="",IPC_Trimestriel!BN5="",IPC_Trimestriel!BJ5=""),"",AVERAGE(IPC_Trimestriel!BN5:BQ5)/AVERAGE(IPC_Trimestriel!BJ5:BM5)-1)</f>
        <v>2.1206374047092247E-2</v>
      </c>
      <c r="BN5" s="31">
        <f>IF(OR(IPC_Trimestriel!BR5="",IPC_Trimestriel!BO5="",IPC_Trimestriel!BK5=""),"",AVERAGE(IPC_Trimestriel!BO5:BR5)/AVERAGE(IPC_Trimestriel!BK5:BN5)-1)</f>
        <v>1.6969032986854371E-2</v>
      </c>
      <c r="BO5" s="31">
        <f>IF(OR(IPC_Trimestriel!BS5="",IPC_Trimestriel!BP5="",IPC_Trimestriel!BL5=""),"",AVERAGE(IPC_Trimestriel!BP5:BS5)/AVERAGE(IPC_Trimestriel!BL5:BO5)-1)</f>
        <v>1.0791610280630026E-2</v>
      </c>
      <c r="BP5" s="31">
        <f>IF(OR(IPC_Trimestriel!BT5="",IPC_Trimestriel!BQ5="",IPC_Trimestriel!BM5=""),"",AVERAGE(IPC_Trimestriel!BQ5:BT5)/AVERAGE(IPC_Trimestriel!BM5:BP5)-1)</f>
        <v>4.233730725887952E-3</v>
      </c>
      <c r="BQ5" s="31">
        <f>IF(OR(IPC_Trimestriel!BU5="",IPC_Trimestriel!BR5="",IPC_Trimestriel!BN5=""),"",AVERAGE(IPC_Trimestriel!BR5:BU5)/AVERAGE(IPC_Trimestriel!BN5:BQ5)-1)</f>
        <v>-1.4209740197237419E-3</v>
      </c>
      <c r="BR5" s="31">
        <f>IF(OR(IPC_Trimestriel!BV5="",IPC_Trimestriel!BS5="",IPC_Trimestriel!BO5=""),"",AVERAGE(IPC_Trimestriel!BS5:BV5)/AVERAGE(IPC_Trimestriel!BO5:BR5)-1)</f>
        <v>-3.2289032553824981E-3</v>
      </c>
      <c r="BS5" s="31">
        <f>IF(OR(IPC_Trimestriel!BW5="",IPC_Trimestriel!BT5="",IPC_Trimestriel!BP5=""),"",AVERAGE(IPC_Trimestriel!BT5:BW5)/AVERAGE(IPC_Trimestriel!BP5:BS5)-1)</f>
        <v>1.5897451224078374E-4</v>
      </c>
      <c r="BT5" s="31">
        <f>IF(OR(IPC_Trimestriel!BX5="",IPC_Trimestriel!BU5="",IPC_Trimestriel!BQ5=""),"",AVERAGE(IPC_Trimestriel!BU5:BX5)/AVERAGE(IPC_Trimestriel!BQ5:BT5)-1)</f>
        <v>5.4642606952497452E-3</v>
      </c>
      <c r="BU5" s="31">
        <f>IF(OR(IPC_Trimestriel!BY5="",IPC_Trimestriel!BV5="",IPC_Trimestriel!BR5=""),"",AVERAGE(IPC_Trimestriel!BV5:BY5)/AVERAGE(IPC_Trimestriel!BR5:BU5)-1)</f>
        <v>9.3655648764885413E-3</v>
      </c>
      <c r="BV5" s="31">
        <f>IF(OR(IPC_Trimestriel!BZ5="",IPC_Trimestriel!BW5="",IPC_Trimestriel!BS5=""),"",AVERAGE(IPC_Trimestriel!BW5:BZ5)/AVERAGE(IPC_Trimestriel!BS5:BV5)-1)</f>
        <v>9.595411411888799E-3</v>
      </c>
      <c r="BW5" s="31">
        <f>IF(OR(IPC_Trimestriel!CA5="",IPC_Trimestriel!BX5="",IPC_Trimestriel!BT5=""),"",AVERAGE(IPC_Trimestriel!BX5:CA5)/AVERAGE(IPC_Trimestriel!BT5:BW5)-1)</f>
        <v>1.214420118508297E-2</v>
      </c>
      <c r="BX5" s="31">
        <f>IF(OR(IPC_Trimestriel!CB5="",IPC_Trimestriel!BY5="",IPC_Trimestriel!BU5=""),"",AVERAGE(IPC_Trimestriel!BY5:CB5)/AVERAGE(IPC_Trimestriel!BU5:BX5)-1)</f>
        <v>1.5122660494737872E-2</v>
      </c>
      <c r="BY5" s="31">
        <f>IF(OR(IPC_Trimestriel!CC5="",IPC_Trimestriel!BZ5="",IPC_Trimestriel!BV5=""),"",AVERAGE(IPC_Trimestriel!BZ5:CC5)/AVERAGE(IPC_Trimestriel!BV5:BY5)-1)</f>
        <v>1.9108572389102685E-2</v>
      </c>
      <c r="BZ5" s="31">
        <f>IF(OR(IPC_Trimestriel!CD5="",IPC_Trimestriel!CA5="",IPC_Trimestriel!BW5=""),"",AVERAGE(IPC_Trimestriel!CA5:CD5)/AVERAGE(IPC_Trimestriel!BW5:BZ5)-1)</f>
        <v>2.6145175512431562E-2</v>
      </c>
      <c r="CA5" s="31">
        <f>IF(OR(IPC_Trimestriel!CE5="",IPC_Trimestriel!CB5="",IPC_Trimestriel!BX5=""),"",AVERAGE(IPC_Trimestriel!CB5:CE5)/AVERAGE(IPC_Trimestriel!BX5:CA5)-1)</f>
        <v>2.4692997358256363E-2</v>
      </c>
      <c r="CB5" s="31">
        <f>IF(OR(IPC_Trimestriel!CF5="",IPC_Trimestriel!CC5="",IPC_Trimestriel!BY5=""),"",AVERAGE(IPC_Trimestriel!CC5:CF5)/AVERAGE(IPC_Trimestriel!BY5:CB5)-1)</f>
        <v>2.2968205336127978E-2</v>
      </c>
      <c r="CC5" s="31">
        <f>IF(OR(IPC_Trimestriel!CG5="",IPC_Trimestriel!CD5="",IPC_Trimestriel!BZ5=""),"",AVERAGE(IPC_Trimestriel!CD5:CG5)/AVERAGE(IPC_Trimestriel!BZ5:CC5)-1)</f>
        <v>2.3563173002242976E-2</v>
      </c>
      <c r="CD5" s="31">
        <f>IF(OR(IPC_Trimestriel!CH5="",IPC_Trimestriel!CE5="",IPC_Trimestriel!CA5=""),"",AVERAGE(IPC_Trimestriel!CE5:CH5)/AVERAGE(IPC_Trimestriel!CA5:CD5)-1)</f>
        <v>2.7453314804472662E-2</v>
      </c>
      <c r="CE5" s="31">
        <f>IF(OR(IPC_Trimestriel!CI5="",IPC_Trimestriel!CF5="",IPC_Trimestriel!CB5=""),"",AVERAGE(IPC_Trimestriel!CF5:CI5)/AVERAGE(IPC_Trimestriel!CB5:CE5)-1)</f>
        <v>3.5890726400540807E-2</v>
      </c>
      <c r="CF5" s="31">
        <f>IF(OR(IPC_Trimestriel!CJ5="",IPC_Trimestriel!CG5="",IPC_Trimestriel!CC5=""),"",AVERAGE(IPC_Trimestriel!CG5:CJ5)/AVERAGE(IPC_Trimestriel!CC5:CF5)-1)</f>
        <v>4.2061290955135E-2</v>
      </c>
      <c r="CG5" s="31">
        <f>IF(OR(IPC_Trimestriel!CK5="",IPC_Trimestriel!CH5="",IPC_Trimestriel!CD5=""),"",AVERAGE(IPC_Trimestriel!CH5:CK5)/AVERAGE(IPC_Trimestriel!CD5:CG5)-1)</f>
        <v>4.5487929301048613E-2</v>
      </c>
      <c r="CH5" s="31">
        <f>IF(OR(IPC_Trimestriel!CL5="",IPC_Trimestriel!CI5="",IPC_Trimestriel!CE5=""),"",AVERAGE(IPC_Trimestriel!CI5:CL5)/AVERAGE(IPC_Trimestriel!CE5:CH5)-1)</f>
        <v>4.5044572061879062E-2</v>
      </c>
      <c r="CI5" s="31">
        <f>IF(OR(IPC_Trimestriel!CM5="",IPC_Trimestriel!CJ5="",IPC_Trimestriel!CF5=""),"",AVERAGE(IPC_Trimestriel!CJ5:CM5)/AVERAGE(IPC_Trimestriel!CF5:CI5)-1)</f>
        <v>4.6586710483991656E-2</v>
      </c>
      <c r="CJ5" s="31">
        <f>IF(OR(IPC_Trimestriel!CN5="",IPC_Trimestriel!CK5="",IPC_Trimestriel!CG5=""),"",AVERAGE(IPC_Trimestriel!CK5:CN5)/AVERAGE(IPC_Trimestriel!CG5:CJ5)-1)</f>
        <v>5.943209680357997E-2</v>
      </c>
      <c r="CK5" s="31">
        <f>IF(OR(IPC_Trimestriel!CO5="",IPC_Trimestriel!CL5="",IPC_Trimestriel!CH5=""),"",AVERAGE(IPC_Trimestriel!CL5:CO5)/AVERAGE(IPC_Trimestriel!CH5:CK5)-1)</f>
        <v>7.8706977768790098E-2</v>
      </c>
      <c r="CL5" s="31">
        <f>IF(OR(IPC_Trimestriel!CP5="",IPC_Trimestriel!CM5="",IPC_Trimestriel!CI5=""),"",AVERAGE(IPC_Trimestriel!CM5:CP5)/AVERAGE(IPC_Trimestriel!CI5:CL5)-1)</f>
        <v>0.10315625482793589</v>
      </c>
      <c r="CM5" s="31">
        <f>IF(OR(IPC_Trimestriel!CQ5="",IPC_Trimestriel!CN5="",IPC_Trimestriel!CJ5=""),"",AVERAGE(IPC_Trimestriel!CN5:CQ5)/AVERAGE(IPC_Trimestriel!CJ5:CM5)-1)</f>
        <v>0.12748550009337656</v>
      </c>
      <c r="CN5" s="31">
        <f>IF(OR(IPC_Trimestriel!CR5="",IPC_Trimestriel!CO5="",IPC_Trimestriel!CK5=""),"",AVERAGE(IPC_Trimestriel!CO5:CR5)/AVERAGE(IPC_Trimestriel!CK5:CN5)-1)</f>
        <v>0.13654784128190567</v>
      </c>
      <c r="CO5" s="31">
        <f>IF(OR(IPC_Trimestriel!CS5="",IPC_Trimestriel!CP5="",IPC_Trimestriel!CL5=""),"",AVERAGE(IPC_Trimestriel!CP5:CS5)/AVERAGE(IPC_Trimestriel!CL5:CO5)-1)</f>
        <v>0.134825349454474</v>
      </c>
      <c r="CP5" s="31">
        <f>IF(OR(IPC_Trimestriel!CT5="",IPC_Trimestriel!CQ5="",IPC_Trimestriel!CM5=""),"",AVERAGE(IPC_Trimestriel!CQ5:CT5)/AVERAGE(IPC_Trimestriel!CM5:CP5)-1)</f>
        <v>0.12528671854081197</v>
      </c>
    </row>
    <row r="6" spans="1:94" s="1" customFormat="1" ht="10.199999999999999" x14ac:dyDescent="0.2">
      <c r="A6" s="11"/>
      <c r="B6" s="1" t="s">
        <v>97</v>
      </c>
      <c r="C6" s="8"/>
      <c r="D6" s="31"/>
      <c r="E6" s="31"/>
      <c r="F6" s="31"/>
      <c r="G6" s="31" t="str">
        <f>IF(OR(IPC_Trimestriel!K6="",IPC_Trimestriel!H6="",IPC_Trimestriel!D6=""),"",AVERAGE(IPC_Trimestriel!H6:K6)/AVERAGE(IPC_Trimestriel!D6:G6)-1)</f>
        <v/>
      </c>
      <c r="H6" s="31" t="str">
        <f>IF(OR(IPC_Trimestriel!L6="",IPC_Trimestriel!I6="",IPC_Trimestriel!E6=""),"",AVERAGE(IPC_Trimestriel!I6:L6)/AVERAGE(IPC_Trimestriel!E6:H6)-1)</f>
        <v/>
      </c>
      <c r="I6" s="31" t="str">
        <f>IF(OR(IPC_Trimestriel!M6="",IPC_Trimestriel!J6="",IPC_Trimestriel!F6=""),"",AVERAGE(IPC_Trimestriel!J6:M6)/AVERAGE(IPC_Trimestriel!F6:I6)-1)</f>
        <v/>
      </c>
      <c r="J6" s="31" t="str">
        <f>IF(OR(IPC_Trimestriel!N6="",IPC_Trimestriel!K6="",IPC_Trimestriel!G6=""),"",AVERAGE(IPC_Trimestriel!K6:N6)/AVERAGE(IPC_Trimestriel!G6:J6)-1)</f>
        <v/>
      </c>
      <c r="K6" s="31" t="str">
        <f>IF(OR(IPC_Trimestriel!O6="",IPC_Trimestriel!L6="",IPC_Trimestriel!H6=""),"",AVERAGE(IPC_Trimestriel!L6:O6)/AVERAGE(IPC_Trimestriel!H6:K6)-1)</f>
        <v/>
      </c>
      <c r="L6" s="31" t="str">
        <f>IF(OR(IPC_Trimestriel!P6="",IPC_Trimestriel!M6="",IPC_Trimestriel!I6=""),"",AVERAGE(IPC_Trimestriel!M6:P6)/AVERAGE(IPC_Trimestriel!I6:L6)-1)</f>
        <v/>
      </c>
      <c r="M6" s="31" t="str">
        <f>IF(OR(IPC_Trimestriel!Q6="",IPC_Trimestriel!N6="",IPC_Trimestriel!J6=""),"",AVERAGE(IPC_Trimestriel!N6:Q6)/AVERAGE(IPC_Trimestriel!J6:M6)-1)</f>
        <v/>
      </c>
      <c r="N6" s="31" t="str">
        <f>IF(OR(IPC_Trimestriel!R6="",IPC_Trimestriel!O6="",IPC_Trimestriel!K6=""),"",AVERAGE(IPC_Trimestriel!O6:R6)/AVERAGE(IPC_Trimestriel!K6:N6)-1)</f>
        <v/>
      </c>
      <c r="O6" s="31" t="str">
        <f>IF(OR(IPC_Trimestriel!S6="",IPC_Trimestriel!P6="",IPC_Trimestriel!L6=""),"",AVERAGE(IPC_Trimestriel!P6:S6)/AVERAGE(IPC_Trimestriel!L6:O6)-1)</f>
        <v/>
      </c>
      <c r="P6" s="31" t="str">
        <f>IF(OR(IPC_Trimestriel!T6="",IPC_Trimestriel!Q6="",IPC_Trimestriel!M6=""),"",AVERAGE(IPC_Trimestriel!Q6:T6)/AVERAGE(IPC_Trimestriel!M6:P6)-1)</f>
        <v/>
      </c>
      <c r="Q6" s="31" t="str">
        <f>IF(OR(IPC_Trimestriel!U6="",IPC_Trimestriel!R6="",IPC_Trimestriel!N6=""),"",AVERAGE(IPC_Trimestriel!R6:U6)/AVERAGE(IPC_Trimestriel!N6:Q6)-1)</f>
        <v/>
      </c>
      <c r="R6" s="31" t="str">
        <f>IF(OR(IPC_Trimestriel!V6="",IPC_Trimestriel!S6="",IPC_Trimestriel!O6=""),"",AVERAGE(IPC_Trimestriel!S6:V6)/AVERAGE(IPC_Trimestriel!O6:R6)-1)</f>
        <v/>
      </c>
      <c r="S6" s="31" t="str">
        <f>IF(OR(IPC_Trimestriel!W6="",IPC_Trimestriel!T6="",IPC_Trimestriel!P6=""),"",AVERAGE(IPC_Trimestriel!T6:W6)/AVERAGE(IPC_Trimestriel!P6:S6)-1)</f>
        <v/>
      </c>
      <c r="T6" s="31" t="str">
        <f>IF(OR(IPC_Trimestriel!X6="",IPC_Trimestriel!U6="",IPC_Trimestriel!Q6=""),"",AVERAGE(IPC_Trimestriel!U6:X6)/AVERAGE(IPC_Trimestriel!Q6:T6)-1)</f>
        <v/>
      </c>
      <c r="U6" s="31" t="str">
        <f>IF(OR(IPC_Trimestriel!Y6="",IPC_Trimestriel!V6="",IPC_Trimestriel!R6=""),"",AVERAGE(IPC_Trimestriel!V6:Y6)/AVERAGE(IPC_Trimestriel!R6:U6)-1)</f>
        <v/>
      </c>
      <c r="V6" s="31" t="str">
        <f>IF(OR(IPC_Trimestriel!Z6="",IPC_Trimestriel!W6="",IPC_Trimestriel!S6=""),"",AVERAGE(IPC_Trimestriel!W6:Z6)/AVERAGE(IPC_Trimestriel!S6:V6)-1)</f>
        <v/>
      </c>
      <c r="W6" s="31" t="str">
        <f>IF(OR(IPC_Trimestriel!AA6="",IPC_Trimestriel!X6="",IPC_Trimestriel!T6=""),"",AVERAGE(IPC_Trimestriel!X6:AA6)/AVERAGE(IPC_Trimestriel!T6:W6)-1)</f>
        <v/>
      </c>
      <c r="X6" s="31" t="str">
        <f>IF(OR(IPC_Trimestriel!AB6="",IPC_Trimestriel!Y6="",IPC_Trimestriel!U6=""),"",AVERAGE(IPC_Trimestriel!Y6:AB6)/AVERAGE(IPC_Trimestriel!U6:X6)-1)</f>
        <v/>
      </c>
      <c r="Y6" s="31" t="str">
        <f>IF(OR(IPC_Trimestriel!AC6="",IPC_Trimestriel!Z6="",IPC_Trimestriel!V6=""),"",AVERAGE(IPC_Trimestriel!Z6:AC6)/AVERAGE(IPC_Trimestriel!V6:Y6)-1)</f>
        <v/>
      </c>
      <c r="Z6" s="31" t="str">
        <f>IF(OR(IPC_Trimestriel!AD6="",IPC_Trimestriel!AA6="",IPC_Trimestriel!W6=""),"",AVERAGE(IPC_Trimestriel!AA6:AD6)/AVERAGE(IPC_Trimestriel!W6:Z6)-1)</f>
        <v/>
      </c>
      <c r="AA6" s="31" t="str">
        <f>IF(OR(IPC_Trimestriel!AE6="",IPC_Trimestriel!AB6="",IPC_Trimestriel!X6=""),"",AVERAGE(IPC_Trimestriel!AB6:AE6)/AVERAGE(IPC_Trimestriel!X6:AA6)-1)</f>
        <v/>
      </c>
      <c r="AB6" s="31" t="str">
        <f>IF(OR(IPC_Trimestriel!AF6="",IPC_Trimestriel!AC6="",IPC_Trimestriel!Y6=""),"",AVERAGE(IPC_Trimestriel!AC6:AF6)/AVERAGE(IPC_Trimestriel!Y6:AB6)-1)</f>
        <v/>
      </c>
      <c r="AC6" s="31" t="str">
        <f>IF(OR(IPC_Trimestriel!AG6="",IPC_Trimestriel!AD6="",IPC_Trimestriel!Z6=""),"",AVERAGE(IPC_Trimestriel!AD6:AG6)/AVERAGE(IPC_Trimestriel!Z6:AC6)-1)</f>
        <v/>
      </c>
      <c r="AD6" s="31" t="str">
        <f>IF(OR(IPC_Trimestriel!AH6="",IPC_Trimestriel!AE6="",IPC_Trimestriel!AA6=""),"",AVERAGE(IPC_Trimestriel!AE6:AH6)/AVERAGE(IPC_Trimestriel!AA6:AD6)-1)</f>
        <v/>
      </c>
      <c r="AE6" s="31" t="str">
        <f>IF(OR(IPC_Trimestriel!AI6="",IPC_Trimestriel!AF6="",IPC_Trimestriel!AB6=""),"",AVERAGE(IPC_Trimestriel!AF6:AI6)/AVERAGE(IPC_Trimestriel!AB6:AE6)-1)</f>
        <v/>
      </c>
      <c r="AF6" s="31" t="str">
        <f>IF(OR(IPC_Trimestriel!AJ6="",IPC_Trimestriel!AG6="",IPC_Trimestriel!AC6=""),"",AVERAGE(IPC_Trimestriel!AG6:AJ6)/AVERAGE(IPC_Trimestriel!AC6:AF6)-1)</f>
        <v/>
      </c>
      <c r="AG6" s="31" t="str">
        <f>IF(OR(IPC_Trimestriel!AK6="",IPC_Trimestriel!AH6="",IPC_Trimestriel!AD6=""),"",AVERAGE(IPC_Trimestriel!AH6:AK6)/AVERAGE(IPC_Trimestriel!AD6:AG6)-1)</f>
        <v/>
      </c>
      <c r="AH6" s="31" t="str">
        <f>IF(OR(IPC_Trimestriel!AL6="",IPC_Trimestriel!AI6="",IPC_Trimestriel!AE6=""),"",AVERAGE(IPC_Trimestriel!AI6:AL6)/AVERAGE(IPC_Trimestriel!AE6:AH6)-1)</f>
        <v/>
      </c>
      <c r="AI6" s="31" t="str">
        <f>IF(OR(IPC_Trimestriel!AM6="",IPC_Trimestriel!AJ6="",IPC_Trimestriel!AF6=""),"",AVERAGE(IPC_Trimestriel!AJ6:AM6)/AVERAGE(IPC_Trimestriel!AF6:AI6)-1)</f>
        <v/>
      </c>
      <c r="AJ6" s="31" t="str">
        <f>IF(OR(IPC_Trimestriel!AN6="",IPC_Trimestriel!AK6="",IPC_Trimestriel!AG6=""),"",AVERAGE(IPC_Trimestriel!AK6:AN6)/AVERAGE(IPC_Trimestriel!AG6:AJ6)-1)</f>
        <v/>
      </c>
      <c r="AK6" s="31" t="str">
        <f>IF(OR(IPC_Trimestriel!AO6="",IPC_Trimestriel!AL6="",IPC_Trimestriel!AH6=""),"",AVERAGE(IPC_Trimestriel!AL6:AO6)/AVERAGE(IPC_Trimestriel!AH6:AK6)-1)</f>
        <v/>
      </c>
      <c r="AL6" s="31" t="str">
        <f>IF(OR(IPC_Trimestriel!AP6="",IPC_Trimestriel!AM6="",IPC_Trimestriel!AI6=""),"",AVERAGE(IPC_Trimestriel!AM6:AP6)/AVERAGE(IPC_Trimestriel!AI6:AL6)-1)</f>
        <v/>
      </c>
      <c r="AM6" s="31" t="str">
        <f>IF(OR(IPC_Trimestriel!AQ6="",IPC_Trimestriel!AN6="",IPC_Trimestriel!AJ6=""),"",AVERAGE(IPC_Trimestriel!AN6:AQ6)/AVERAGE(IPC_Trimestriel!AJ6:AM6)-1)</f>
        <v/>
      </c>
      <c r="AN6" s="31" t="str">
        <f>IF(OR(IPC_Trimestriel!AR6="",IPC_Trimestriel!AO6="",IPC_Trimestriel!AK6=""),"",AVERAGE(IPC_Trimestriel!AO6:AR6)/AVERAGE(IPC_Trimestriel!AK6:AN6)-1)</f>
        <v/>
      </c>
      <c r="AO6" s="31" t="str">
        <f>IF(OR(IPC_Trimestriel!AS6="",IPC_Trimestriel!AP6="",IPC_Trimestriel!AL6=""),"",AVERAGE(IPC_Trimestriel!AP6:AS6)/AVERAGE(IPC_Trimestriel!AL6:AO6)-1)</f>
        <v/>
      </c>
      <c r="AP6" s="31" t="str">
        <f>IF(OR(IPC_Trimestriel!AT6="",IPC_Trimestriel!AQ6="",IPC_Trimestriel!AM6=""),"",AVERAGE(IPC_Trimestriel!AQ6:AT6)/AVERAGE(IPC_Trimestriel!AM6:AP6)-1)</f>
        <v/>
      </c>
      <c r="AQ6" s="31" t="str">
        <f>IF(OR(IPC_Trimestriel!AU6="",IPC_Trimestriel!AR6="",IPC_Trimestriel!AN6=""),"",AVERAGE(IPC_Trimestriel!AR6:AU6)/AVERAGE(IPC_Trimestriel!AN6:AQ6)-1)</f>
        <v/>
      </c>
      <c r="AR6" s="31" t="str">
        <f>IF(OR(IPC_Trimestriel!AV6="",IPC_Trimestriel!AS6="",IPC_Trimestriel!AO6=""),"",AVERAGE(IPC_Trimestriel!AS6:AV6)/AVERAGE(IPC_Trimestriel!AO6:AR6)-1)</f>
        <v/>
      </c>
      <c r="AS6" s="31" t="str">
        <f>IF(OR(IPC_Trimestriel!AW6="",IPC_Trimestriel!AT6="",IPC_Trimestriel!AP6=""),"",AVERAGE(IPC_Trimestriel!AT6:AW6)/AVERAGE(IPC_Trimestriel!AP6:AS6)-1)</f>
        <v/>
      </c>
      <c r="AT6" s="31" t="str">
        <f>IF(OR(IPC_Trimestriel!AX6="",IPC_Trimestriel!AU6="",IPC_Trimestriel!AQ6=""),"",AVERAGE(IPC_Trimestriel!AU6:AX6)/AVERAGE(IPC_Trimestriel!AQ6:AT6)-1)</f>
        <v/>
      </c>
      <c r="AU6" s="31" t="str">
        <f>IF(OR(IPC_Trimestriel!AY6="",IPC_Trimestriel!AV6="",IPC_Trimestriel!AR6=""),"",AVERAGE(IPC_Trimestriel!AV6:AY6)/AVERAGE(IPC_Trimestriel!AR6:AU6)-1)</f>
        <v/>
      </c>
      <c r="AV6" s="31" t="str">
        <f>IF(OR(IPC_Trimestriel!AZ6="",IPC_Trimestriel!AW6="",IPC_Trimestriel!AS6=""),"",AVERAGE(IPC_Trimestriel!AW6:AZ6)/AVERAGE(IPC_Trimestriel!AS6:AV6)-1)</f>
        <v/>
      </c>
      <c r="AW6" s="31" t="str">
        <f>IF(OR(IPC_Trimestriel!BA6="",IPC_Trimestriel!AX6="",IPC_Trimestriel!AT6=""),"",AVERAGE(IPC_Trimestriel!AX6:BA6)/AVERAGE(IPC_Trimestriel!AT6:AW6)-1)</f>
        <v/>
      </c>
      <c r="AX6" s="31" t="str">
        <f>IF(OR(IPC_Trimestriel!BB6="",IPC_Trimestriel!AY6="",IPC_Trimestriel!AU6=""),"",AVERAGE(IPC_Trimestriel!AY6:BB6)/AVERAGE(IPC_Trimestriel!AU6:AX6)-1)</f>
        <v/>
      </c>
      <c r="AY6" s="31" t="str">
        <f>IF(OR(IPC_Trimestriel!BC6="",IPC_Trimestriel!AZ6="",IPC_Trimestriel!AV6=""),"",AVERAGE(IPC_Trimestriel!AZ6:BC6)/AVERAGE(IPC_Trimestriel!AV6:AY6)-1)</f>
        <v/>
      </c>
      <c r="AZ6" s="31" t="str">
        <f>IF(OR(IPC_Trimestriel!BD6="",IPC_Trimestriel!BA6="",IPC_Trimestriel!AW6=""),"",AVERAGE(IPC_Trimestriel!BA6:BD6)/AVERAGE(IPC_Trimestriel!AW6:AZ6)-1)</f>
        <v/>
      </c>
      <c r="BA6" s="31" t="str">
        <f>IF(OR(IPC_Trimestriel!BE6="",IPC_Trimestriel!BB6="",IPC_Trimestriel!AX6=""),"",AVERAGE(IPC_Trimestriel!BB6:BE6)/AVERAGE(IPC_Trimestriel!AX6:BA6)-1)</f>
        <v/>
      </c>
      <c r="BB6" s="31" t="str">
        <f>IF(OR(IPC_Trimestriel!BF6="",IPC_Trimestriel!BC6="",IPC_Trimestriel!AY6=""),"",AVERAGE(IPC_Trimestriel!BC6:BF6)/AVERAGE(IPC_Trimestriel!AY6:BB6)-1)</f>
        <v/>
      </c>
      <c r="BC6" s="31">
        <f>IF(OR(IPC_Trimestriel!BG6="",IPC_Trimestriel!BD6="",IPC_Trimestriel!AZ6=""),"",AVERAGE(IPC_Trimestriel!BD6:BG6)/AVERAGE(IPC_Trimestriel!AZ6:BC6)-1)</f>
        <v>3.2860626053980546E-2</v>
      </c>
      <c r="BD6" s="31">
        <f>IF(OR(IPC_Trimestriel!BH6="",IPC_Trimestriel!BE6="",IPC_Trimestriel!BA6=""),"",AVERAGE(IPC_Trimestriel!BE6:BH6)/AVERAGE(IPC_Trimestriel!BA6:BD6)-1)</f>
        <v>2.5736312621646329E-2</v>
      </c>
      <c r="BE6" s="31">
        <f>IF(OR(IPC_Trimestriel!BI6="",IPC_Trimestriel!BF6="",IPC_Trimestriel!BB6=""),"",AVERAGE(IPC_Trimestriel!BF6:BI6)/AVERAGE(IPC_Trimestriel!BB6:BE6)-1)</f>
        <v>2.0862733318520288E-2</v>
      </c>
      <c r="BF6" s="31">
        <f>IF(OR(IPC_Trimestriel!BJ6="",IPC_Trimestriel!BG6="",IPC_Trimestriel!BC6=""),"",AVERAGE(IPC_Trimestriel!BG6:BJ6)/AVERAGE(IPC_Trimestriel!BC6:BF6)-1)</f>
        <v>1.6166855553817694E-2</v>
      </c>
      <c r="BG6" s="31">
        <f>IF(OR(IPC_Trimestriel!BK6="",IPC_Trimestriel!BH6="",IPC_Trimestriel!BD6=""),"",AVERAGE(IPC_Trimestriel!BH6:BK6)/AVERAGE(IPC_Trimestriel!BD6:BG6)-1)</f>
        <v>7.692217288923775E-3</v>
      </c>
      <c r="BH6" s="31">
        <f>IF(OR(IPC_Trimestriel!BL6="",IPC_Trimestriel!BI6="",IPC_Trimestriel!BE6=""),"",AVERAGE(IPC_Trimestriel!BI6:BL6)/AVERAGE(IPC_Trimestriel!BE6:BH6)-1)</f>
        <v>6.4709572314753938E-3</v>
      </c>
      <c r="BI6" s="31">
        <f>IF(OR(IPC_Trimestriel!BM6="",IPC_Trimestriel!BJ6="",IPC_Trimestriel!BF6=""),"",AVERAGE(IPC_Trimestriel!BJ6:BM6)/AVERAGE(IPC_Trimestriel!BF6:BI6)-1)</f>
        <v>1.0150141442270888E-2</v>
      </c>
      <c r="BJ6" s="31">
        <f>IF(OR(IPC_Trimestriel!BN6="",IPC_Trimestriel!BK6="",IPC_Trimestriel!BG6=""),"",AVERAGE(IPC_Trimestriel!BK6:BN6)/AVERAGE(IPC_Trimestriel!BG6:BJ6)-1)</f>
        <v>1.4243056825896216E-2</v>
      </c>
      <c r="BK6" s="31">
        <f>IF(OR(IPC_Trimestriel!BO6="",IPC_Trimestriel!BL6="",IPC_Trimestriel!BH6=""),"",AVERAGE(IPC_Trimestriel!BL6:BO6)/AVERAGE(IPC_Trimestriel!BH6:BK6)-1)</f>
        <v>2.0042754691496523E-2</v>
      </c>
      <c r="BL6" s="31">
        <f>IF(OR(IPC_Trimestriel!BP6="",IPC_Trimestriel!BM6="",IPC_Trimestriel!BI6=""),"",AVERAGE(IPC_Trimestriel!BM6:BP6)/AVERAGE(IPC_Trimestriel!BI6:BL6)-1)</f>
        <v>2.2445801054715053E-2</v>
      </c>
      <c r="BM6" s="31">
        <f>IF(OR(IPC_Trimestriel!BQ6="",IPC_Trimestriel!BN6="",IPC_Trimestriel!BJ6=""),"",AVERAGE(IPC_Trimestriel!BN6:BQ6)/AVERAGE(IPC_Trimestriel!BJ6:BM6)-1)</f>
        <v>2.111262265769831E-2</v>
      </c>
      <c r="BN6" s="31">
        <f>IF(OR(IPC_Trimestriel!BR6="",IPC_Trimestriel!BO6="",IPC_Trimestriel!BK6=""),"",AVERAGE(IPC_Trimestriel!BO6:BR6)/AVERAGE(IPC_Trimestriel!BK6:BN6)-1)</f>
        <v>1.7039746642212972E-2</v>
      </c>
      <c r="BO6" s="31">
        <f>IF(OR(IPC_Trimestriel!BS6="",IPC_Trimestriel!BP6="",IPC_Trimestriel!BL6=""),"",AVERAGE(IPC_Trimestriel!BP6:BS6)/AVERAGE(IPC_Trimestriel!BL6:BO6)-1)</f>
        <v>1.0944226180149341E-2</v>
      </c>
      <c r="BP6" s="31">
        <f>IF(OR(IPC_Trimestriel!BT6="",IPC_Trimestriel!BQ6="",IPC_Trimestriel!BM6=""),"",AVERAGE(IPC_Trimestriel!BQ6:BT6)/AVERAGE(IPC_Trimestriel!BM6:BP6)-1)</f>
        <v>4.4005758720992993E-3</v>
      </c>
      <c r="BQ6" s="31">
        <f>IF(OR(IPC_Trimestriel!BU6="",IPC_Trimestriel!BR6="",IPC_Trimestriel!BN6=""),"",AVERAGE(IPC_Trimestriel!BR6:BU6)/AVERAGE(IPC_Trimestriel!BN6:BQ6)-1)</f>
        <v>-1.4150635426607439E-3</v>
      </c>
      <c r="BR6" s="31">
        <f>IF(OR(IPC_Trimestriel!BV6="",IPC_Trimestriel!BS6="",IPC_Trimestriel!BO6=""),"",AVERAGE(IPC_Trimestriel!BS6:BV6)/AVERAGE(IPC_Trimestriel!BO6:BR6)-1)</f>
        <v>-3.3305560019165625E-3</v>
      </c>
      <c r="BS6" s="31">
        <f>IF(OR(IPC_Trimestriel!BW6="",IPC_Trimestriel!BT6="",IPC_Trimestriel!BP6=""),"",AVERAGE(IPC_Trimestriel!BT6:BW6)/AVERAGE(IPC_Trimestriel!BP6:BS6)-1)</f>
        <v>8.1837579554377982E-5</v>
      </c>
      <c r="BT6" s="31">
        <f>IF(OR(IPC_Trimestriel!BX6="",IPC_Trimestriel!BU6="",IPC_Trimestriel!BQ6=""),"",AVERAGE(IPC_Trimestriel!BU6:BX6)/AVERAGE(IPC_Trimestriel!BQ6:BT6)-1)</f>
        <v>5.4688581391222346E-3</v>
      </c>
      <c r="BU6" s="31">
        <f>IF(OR(IPC_Trimestriel!BY6="",IPC_Trimestriel!BV6="",IPC_Trimestriel!BR6=""),"",AVERAGE(IPC_Trimestriel!BV6:BY6)/AVERAGE(IPC_Trimestriel!BR6:BU6)-1)</f>
        <v>9.42510947172015E-3</v>
      </c>
      <c r="BV6" s="31">
        <f>IF(OR(IPC_Trimestriel!BZ6="",IPC_Trimestriel!BW6="",IPC_Trimestriel!BS6=""),"",AVERAGE(IPC_Trimestriel!BW6:BZ6)/AVERAGE(IPC_Trimestriel!BS6:BV6)-1)</f>
        <v>9.6505611383723711E-3</v>
      </c>
      <c r="BW6" s="31">
        <f>IF(OR(IPC_Trimestriel!CA6="",IPC_Trimestriel!BX6="",IPC_Trimestriel!BT6=""),"",AVERAGE(IPC_Trimestriel!BX6:CA6)/AVERAGE(IPC_Trimestriel!BT6:BW6)-1)</f>
        <v>1.2191808186510666E-2</v>
      </c>
      <c r="BX6" s="31">
        <f>IF(OR(IPC_Trimestriel!CB6="",IPC_Trimestriel!BY6="",IPC_Trimestriel!BU6=""),"",AVERAGE(IPC_Trimestriel!BY6:CB6)/AVERAGE(IPC_Trimestriel!BU6:BX6)-1)</f>
        <v>1.5128784427423492E-2</v>
      </c>
      <c r="BY6" s="31">
        <f>IF(OR(IPC_Trimestriel!CC6="",IPC_Trimestriel!BZ6="",IPC_Trimestriel!BV6=""),"",AVERAGE(IPC_Trimestriel!BZ6:CC6)/AVERAGE(IPC_Trimestriel!BV6:BY6)-1)</f>
        <v>1.9060854060567456E-2</v>
      </c>
      <c r="BZ6" s="31">
        <f>IF(OR(IPC_Trimestriel!CD6="",IPC_Trimestriel!CA6="",IPC_Trimestriel!BW6=""),"",AVERAGE(IPC_Trimestriel!CA6:CD6)/AVERAGE(IPC_Trimestriel!BW6:BZ6)-1)</f>
        <v>2.6112643686656778E-2</v>
      </c>
      <c r="CA6" s="31">
        <f>IF(OR(IPC_Trimestriel!CE6="",IPC_Trimestriel!CB6="",IPC_Trimestriel!BX6=""),"",AVERAGE(IPC_Trimestriel!CB6:CE6)/AVERAGE(IPC_Trimestriel!BX6:CA6)-1)</f>
        <v>2.4564858306341364E-2</v>
      </c>
      <c r="CB6" s="31">
        <f>IF(OR(IPC_Trimestriel!CF6="",IPC_Trimestriel!CC6="",IPC_Trimestriel!BY6=""),"",AVERAGE(IPC_Trimestriel!CC6:CF6)/AVERAGE(IPC_Trimestriel!BY6:CB6)-1)</f>
        <v>2.2812147453727949E-2</v>
      </c>
      <c r="CC6" s="31">
        <f>IF(OR(IPC_Trimestriel!CG6="",IPC_Trimestriel!CD6="",IPC_Trimestriel!BZ6=""),"",AVERAGE(IPC_Trimestriel!CD6:CG6)/AVERAGE(IPC_Trimestriel!BZ6:CC6)-1)</f>
        <v>2.3506398288730468E-2</v>
      </c>
      <c r="CD6" s="31">
        <f>IF(OR(IPC_Trimestriel!CH6="",IPC_Trimestriel!CE6="",IPC_Trimestriel!CA6=""),"",AVERAGE(IPC_Trimestriel!CE6:CH6)/AVERAGE(IPC_Trimestriel!CA6:CD6)-1)</f>
        <v>2.7515515234178167E-2</v>
      </c>
      <c r="CE6" s="31">
        <f>IF(OR(IPC_Trimestriel!CI6="",IPC_Trimestriel!CF6="",IPC_Trimestriel!CB6=""),"",AVERAGE(IPC_Trimestriel!CF6:CI6)/AVERAGE(IPC_Trimestriel!CB6:CE6)-1)</f>
        <v>3.611926179913616E-2</v>
      </c>
      <c r="CF6" s="31">
        <f>IF(OR(IPC_Trimestriel!CJ6="",IPC_Trimestriel!CG6="",IPC_Trimestriel!CC6=""),"",AVERAGE(IPC_Trimestriel!CG6:CJ6)/AVERAGE(IPC_Trimestriel!CC6:CF6)-1)</f>
        <v>4.2372375389905681E-2</v>
      </c>
      <c r="CG6" s="31">
        <f>IF(OR(IPC_Trimestriel!CK6="",IPC_Trimestriel!CH6="",IPC_Trimestriel!CD6=""),"",AVERAGE(IPC_Trimestriel!CH6:CK6)/AVERAGE(IPC_Trimestriel!CD6:CG6)-1)</f>
        <v>4.5878305847747436E-2</v>
      </c>
      <c r="CH6" s="31">
        <f>IF(OR(IPC_Trimestriel!CL6="",IPC_Trimestriel!CI6="",IPC_Trimestriel!CE6=""),"",AVERAGE(IPC_Trimestriel!CI6:CL6)/AVERAGE(IPC_Trimestriel!CE6:CH6)-1)</f>
        <v>4.5450826715841552E-2</v>
      </c>
      <c r="CI6" s="31">
        <f>IF(OR(IPC_Trimestriel!CM6="",IPC_Trimestriel!CJ6="",IPC_Trimestriel!CF6=""),"",AVERAGE(IPC_Trimestriel!CJ6:CM6)/AVERAGE(IPC_Trimestriel!CF6:CI6)-1)</f>
        <v>4.7071912394799575E-2</v>
      </c>
      <c r="CJ6" s="31">
        <f>IF(OR(IPC_Trimestriel!CN6="",IPC_Trimestriel!CK6="",IPC_Trimestriel!CG6=""),"",AVERAGE(IPC_Trimestriel!CK6:CN6)/AVERAGE(IPC_Trimestriel!CG6:CJ6)-1)</f>
        <v>6.0157769732442246E-2</v>
      </c>
      <c r="CK6" s="31">
        <f>IF(OR(IPC_Trimestriel!CO6="",IPC_Trimestriel!CL6="",IPC_Trimestriel!CH6=""),"",AVERAGE(IPC_Trimestriel!CL6:CO6)/AVERAGE(IPC_Trimestriel!CH6:CK6)-1)</f>
        <v>7.9697480131344589E-2</v>
      </c>
      <c r="CL6" s="31">
        <f>IF(OR(IPC_Trimestriel!CP6="",IPC_Trimestriel!CM6="",IPC_Trimestriel!CI6=""),"",AVERAGE(IPC_Trimestriel!CM6:CP6)/AVERAGE(IPC_Trimestriel!CI6:CL6)-1)</f>
        <v>0.10451490167613975</v>
      </c>
      <c r="CM6" s="31">
        <f>IF(OR(IPC_Trimestriel!CQ6="",IPC_Trimestriel!CN6="",IPC_Trimestriel!CJ6=""),"",AVERAGE(IPC_Trimestriel!CN6:CQ6)/AVERAGE(IPC_Trimestriel!CJ6:CM6)-1)</f>
        <v>0.12919687055247109</v>
      </c>
      <c r="CN6" s="31">
        <f>IF(OR(IPC_Trimestriel!CR6="",IPC_Trimestriel!CO6="",IPC_Trimestriel!CK6=""),"",AVERAGE(IPC_Trimestriel!CO6:CR6)/AVERAGE(IPC_Trimestriel!CK6:CN6)-1)</f>
        <v>0.13861047883331334</v>
      </c>
      <c r="CO6" s="31">
        <f>IF(OR(IPC_Trimestriel!CS6="",IPC_Trimestriel!CP6="",IPC_Trimestriel!CL6=""),"",AVERAGE(IPC_Trimestriel!CP6:CS6)/AVERAGE(IPC_Trimestriel!CL6:CO6)-1)</f>
        <v>0.13708047803140322</v>
      </c>
      <c r="CP6" s="31">
        <f>IF(OR(IPC_Trimestriel!CT6="",IPC_Trimestriel!CQ6="",IPC_Trimestriel!CM6=""),"",AVERAGE(IPC_Trimestriel!CQ6:CT6)/AVERAGE(IPC_Trimestriel!CM6:CP6)-1)</f>
        <v>0.12781833222891414</v>
      </c>
    </row>
    <row r="7" spans="1:94" s="1" customFormat="1" ht="10.199999999999999" x14ac:dyDescent="0.2">
      <c r="A7" s="11"/>
      <c r="B7" s="1" t="s">
        <v>98</v>
      </c>
      <c r="C7" s="8"/>
      <c r="D7" s="31"/>
      <c r="E7" s="31"/>
      <c r="F7" s="31"/>
      <c r="G7" s="31" t="str">
        <f>IF(OR(IPC_Trimestriel!K7="",IPC_Trimestriel!H7="",IPC_Trimestriel!D7=""),"",AVERAGE(IPC_Trimestriel!H7:K7)/AVERAGE(IPC_Trimestriel!D7:G7)-1)</f>
        <v/>
      </c>
      <c r="H7" s="31" t="str">
        <f>IF(OR(IPC_Trimestriel!L7="",IPC_Trimestriel!I7="",IPC_Trimestriel!E7=""),"",AVERAGE(IPC_Trimestriel!I7:L7)/AVERAGE(IPC_Trimestriel!E7:H7)-1)</f>
        <v/>
      </c>
      <c r="I7" s="31" t="str">
        <f>IF(OR(IPC_Trimestriel!M7="",IPC_Trimestriel!J7="",IPC_Trimestriel!F7=""),"",AVERAGE(IPC_Trimestriel!J7:M7)/AVERAGE(IPC_Trimestriel!F7:I7)-1)</f>
        <v/>
      </c>
      <c r="J7" s="31" t="str">
        <f>IF(OR(IPC_Trimestriel!N7="",IPC_Trimestriel!K7="",IPC_Trimestriel!G7=""),"",AVERAGE(IPC_Trimestriel!K7:N7)/AVERAGE(IPC_Trimestriel!G7:J7)-1)</f>
        <v/>
      </c>
      <c r="K7" s="31" t="str">
        <f>IF(OR(IPC_Trimestriel!O7="",IPC_Trimestriel!L7="",IPC_Trimestriel!H7=""),"",AVERAGE(IPC_Trimestriel!L7:O7)/AVERAGE(IPC_Trimestriel!H7:K7)-1)</f>
        <v/>
      </c>
      <c r="L7" s="31" t="str">
        <f>IF(OR(IPC_Trimestriel!P7="",IPC_Trimestriel!M7="",IPC_Trimestriel!I7=""),"",AVERAGE(IPC_Trimestriel!M7:P7)/AVERAGE(IPC_Trimestriel!I7:L7)-1)</f>
        <v/>
      </c>
      <c r="M7" s="31" t="str">
        <f>IF(OR(IPC_Trimestriel!Q7="",IPC_Trimestriel!N7="",IPC_Trimestriel!J7=""),"",AVERAGE(IPC_Trimestriel!N7:Q7)/AVERAGE(IPC_Trimestriel!J7:M7)-1)</f>
        <v/>
      </c>
      <c r="N7" s="31" t="str">
        <f>IF(OR(IPC_Trimestriel!R7="",IPC_Trimestriel!O7="",IPC_Trimestriel!K7=""),"",AVERAGE(IPC_Trimestriel!O7:R7)/AVERAGE(IPC_Trimestriel!K7:N7)-1)</f>
        <v/>
      </c>
      <c r="O7" s="31" t="str">
        <f>IF(OR(IPC_Trimestriel!S7="",IPC_Trimestriel!P7="",IPC_Trimestriel!L7=""),"",AVERAGE(IPC_Trimestriel!P7:S7)/AVERAGE(IPC_Trimestriel!L7:O7)-1)</f>
        <v/>
      </c>
      <c r="P7" s="31" t="str">
        <f>IF(OR(IPC_Trimestriel!T7="",IPC_Trimestriel!Q7="",IPC_Trimestriel!M7=""),"",AVERAGE(IPC_Trimestriel!Q7:T7)/AVERAGE(IPC_Trimestriel!M7:P7)-1)</f>
        <v/>
      </c>
      <c r="Q7" s="31" t="str">
        <f>IF(OR(IPC_Trimestriel!U7="",IPC_Trimestriel!R7="",IPC_Trimestriel!N7=""),"",AVERAGE(IPC_Trimestriel!R7:U7)/AVERAGE(IPC_Trimestriel!N7:Q7)-1)</f>
        <v/>
      </c>
      <c r="R7" s="31" t="str">
        <f>IF(OR(IPC_Trimestriel!V7="",IPC_Trimestriel!S7="",IPC_Trimestriel!O7=""),"",AVERAGE(IPC_Trimestriel!S7:V7)/AVERAGE(IPC_Trimestriel!O7:R7)-1)</f>
        <v/>
      </c>
      <c r="S7" s="31" t="str">
        <f>IF(OR(IPC_Trimestriel!W7="",IPC_Trimestriel!T7="",IPC_Trimestriel!P7=""),"",AVERAGE(IPC_Trimestriel!T7:W7)/AVERAGE(IPC_Trimestriel!P7:S7)-1)</f>
        <v/>
      </c>
      <c r="T7" s="31" t="str">
        <f>IF(OR(IPC_Trimestriel!X7="",IPC_Trimestriel!U7="",IPC_Trimestriel!Q7=""),"",AVERAGE(IPC_Trimestriel!U7:X7)/AVERAGE(IPC_Trimestriel!Q7:T7)-1)</f>
        <v/>
      </c>
      <c r="U7" s="31" t="str">
        <f>IF(OR(IPC_Trimestriel!Y7="",IPC_Trimestriel!V7="",IPC_Trimestriel!R7=""),"",AVERAGE(IPC_Trimestriel!V7:Y7)/AVERAGE(IPC_Trimestriel!R7:U7)-1)</f>
        <v/>
      </c>
      <c r="V7" s="31" t="str">
        <f>IF(OR(IPC_Trimestriel!Z7="",IPC_Trimestriel!W7="",IPC_Trimestriel!S7=""),"",AVERAGE(IPC_Trimestriel!W7:Z7)/AVERAGE(IPC_Trimestriel!S7:V7)-1)</f>
        <v/>
      </c>
      <c r="W7" s="31" t="str">
        <f>IF(OR(IPC_Trimestriel!AA7="",IPC_Trimestriel!X7="",IPC_Trimestriel!T7=""),"",AVERAGE(IPC_Trimestriel!X7:AA7)/AVERAGE(IPC_Trimestriel!T7:W7)-1)</f>
        <v/>
      </c>
      <c r="X7" s="31" t="str">
        <f>IF(OR(IPC_Trimestriel!AB7="",IPC_Trimestriel!Y7="",IPC_Trimestriel!U7=""),"",AVERAGE(IPC_Trimestriel!Y7:AB7)/AVERAGE(IPC_Trimestriel!U7:X7)-1)</f>
        <v/>
      </c>
      <c r="Y7" s="31" t="str">
        <f>IF(OR(IPC_Trimestriel!AC7="",IPC_Trimestriel!Z7="",IPC_Trimestriel!V7=""),"",AVERAGE(IPC_Trimestriel!Z7:AC7)/AVERAGE(IPC_Trimestriel!V7:Y7)-1)</f>
        <v/>
      </c>
      <c r="Z7" s="31" t="str">
        <f>IF(OR(IPC_Trimestriel!AD7="",IPC_Trimestriel!AA7="",IPC_Trimestriel!W7=""),"",AVERAGE(IPC_Trimestriel!AA7:AD7)/AVERAGE(IPC_Trimestriel!W7:Z7)-1)</f>
        <v/>
      </c>
      <c r="AA7" s="31" t="str">
        <f>IF(OR(IPC_Trimestriel!AE7="",IPC_Trimestriel!AB7="",IPC_Trimestriel!X7=""),"",AVERAGE(IPC_Trimestriel!AB7:AE7)/AVERAGE(IPC_Trimestriel!X7:AA7)-1)</f>
        <v/>
      </c>
      <c r="AB7" s="31" t="str">
        <f>IF(OR(IPC_Trimestriel!AF7="",IPC_Trimestriel!AC7="",IPC_Trimestriel!Y7=""),"",AVERAGE(IPC_Trimestriel!AC7:AF7)/AVERAGE(IPC_Trimestriel!Y7:AB7)-1)</f>
        <v/>
      </c>
      <c r="AC7" s="31" t="str">
        <f>IF(OR(IPC_Trimestriel!AG7="",IPC_Trimestriel!AD7="",IPC_Trimestriel!Z7=""),"",AVERAGE(IPC_Trimestriel!AD7:AG7)/AVERAGE(IPC_Trimestriel!Z7:AC7)-1)</f>
        <v/>
      </c>
      <c r="AD7" s="31" t="str">
        <f>IF(OR(IPC_Trimestriel!AH7="",IPC_Trimestriel!AE7="",IPC_Trimestriel!AA7=""),"",AVERAGE(IPC_Trimestriel!AE7:AH7)/AVERAGE(IPC_Trimestriel!AA7:AD7)-1)</f>
        <v/>
      </c>
      <c r="AE7" s="31" t="str">
        <f>IF(OR(IPC_Trimestriel!AI7="",IPC_Trimestriel!AF7="",IPC_Trimestriel!AB7=""),"",AVERAGE(IPC_Trimestriel!AF7:AI7)/AVERAGE(IPC_Trimestriel!AB7:AE7)-1)</f>
        <v/>
      </c>
      <c r="AF7" s="31" t="str">
        <f>IF(OR(IPC_Trimestriel!AJ7="",IPC_Trimestriel!AG7="",IPC_Trimestriel!AC7=""),"",AVERAGE(IPC_Trimestriel!AG7:AJ7)/AVERAGE(IPC_Trimestriel!AC7:AF7)-1)</f>
        <v/>
      </c>
      <c r="AG7" s="31" t="str">
        <f>IF(OR(IPC_Trimestriel!AK7="",IPC_Trimestriel!AH7="",IPC_Trimestriel!AD7=""),"",AVERAGE(IPC_Trimestriel!AH7:AK7)/AVERAGE(IPC_Trimestriel!AD7:AG7)-1)</f>
        <v/>
      </c>
      <c r="AH7" s="31" t="str">
        <f>IF(OR(IPC_Trimestriel!AL7="",IPC_Trimestriel!AI7="",IPC_Trimestriel!AE7=""),"",AVERAGE(IPC_Trimestriel!AI7:AL7)/AVERAGE(IPC_Trimestriel!AE7:AH7)-1)</f>
        <v/>
      </c>
      <c r="AI7" s="31" t="str">
        <f>IF(OR(IPC_Trimestriel!AM7="",IPC_Trimestriel!AJ7="",IPC_Trimestriel!AF7=""),"",AVERAGE(IPC_Trimestriel!AJ7:AM7)/AVERAGE(IPC_Trimestriel!AF7:AI7)-1)</f>
        <v/>
      </c>
      <c r="AJ7" s="31" t="str">
        <f>IF(OR(IPC_Trimestriel!AN7="",IPC_Trimestriel!AK7="",IPC_Trimestriel!AG7=""),"",AVERAGE(IPC_Trimestriel!AK7:AN7)/AVERAGE(IPC_Trimestriel!AG7:AJ7)-1)</f>
        <v/>
      </c>
      <c r="AK7" s="31" t="str">
        <f>IF(OR(IPC_Trimestriel!AO7="",IPC_Trimestriel!AL7="",IPC_Trimestriel!AH7=""),"",AVERAGE(IPC_Trimestriel!AL7:AO7)/AVERAGE(IPC_Trimestriel!AH7:AK7)-1)</f>
        <v/>
      </c>
      <c r="AL7" s="31" t="str">
        <f>IF(OR(IPC_Trimestriel!AP7="",IPC_Trimestriel!AM7="",IPC_Trimestriel!AI7=""),"",AVERAGE(IPC_Trimestriel!AM7:AP7)/AVERAGE(IPC_Trimestriel!AI7:AL7)-1)</f>
        <v/>
      </c>
      <c r="AM7" s="31" t="str">
        <f>IF(OR(IPC_Trimestriel!AQ7="",IPC_Trimestriel!AN7="",IPC_Trimestriel!AJ7=""),"",AVERAGE(IPC_Trimestriel!AN7:AQ7)/AVERAGE(IPC_Trimestriel!AJ7:AM7)-1)</f>
        <v/>
      </c>
      <c r="AN7" s="31" t="str">
        <f>IF(OR(IPC_Trimestriel!AR7="",IPC_Trimestriel!AO7="",IPC_Trimestriel!AK7=""),"",AVERAGE(IPC_Trimestriel!AO7:AR7)/AVERAGE(IPC_Trimestriel!AK7:AN7)-1)</f>
        <v/>
      </c>
      <c r="AO7" s="31" t="str">
        <f>IF(OR(IPC_Trimestriel!AS7="",IPC_Trimestriel!AP7="",IPC_Trimestriel!AL7=""),"",AVERAGE(IPC_Trimestriel!AP7:AS7)/AVERAGE(IPC_Trimestriel!AL7:AO7)-1)</f>
        <v/>
      </c>
      <c r="AP7" s="31" t="str">
        <f>IF(OR(IPC_Trimestriel!AT7="",IPC_Trimestriel!AQ7="",IPC_Trimestriel!AM7=""),"",AVERAGE(IPC_Trimestriel!AQ7:AT7)/AVERAGE(IPC_Trimestriel!AM7:AP7)-1)</f>
        <v/>
      </c>
      <c r="AQ7" s="31" t="str">
        <f>IF(OR(IPC_Trimestriel!AU7="",IPC_Trimestriel!AR7="",IPC_Trimestriel!AN7=""),"",AVERAGE(IPC_Trimestriel!AR7:AU7)/AVERAGE(IPC_Trimestriel!AN7:AQ7)-1)</f>
        <v/>
      </c>
      <c r="AR7" s="31" t="str">
        <f>IF(OR(IPC_Trimestriel!AV7="",IPC_Trimestriel!AS7="",IPC_Trimestriel!AO7=""),"",AVERAGE(IPC_Trimestriel!AS7:AV7)/AVERAGE(IPC_Trimestriel!AO7:AR7)-1)</f>
        <v/>
      </c>
      <c r="AS7" s="31" t="str">
        <f>IF(OR(IPC_Trimestriel!AW7="",IPC_Trimestriel!AT7="",IPC_Trimestriel!AP7=""),"",AVERAGE(IPC_Trimestriel!AT7:AW7)/AVERAGE(IPC_Trimestriel!AP7:AS7)-1)</f>
        <v/>
      </c>
      <c r="AT7" s="31" t="str">
        <f>IF(OR(IPC_Trimestriel!AX7="",IPC_Trimestriel!AU7="",IPC_Trimestriel!AQ7=""),"",AVERAGE(IPC_Trimestriel!AU7:AX7)/AVERAGE(IPC_Trimestriel!AQ7:AT7)-1)</f>
        <v/>
      </c>
      <c r="AU7" s="31" t="str">
        <f>IF(OR(IPC_Trimestriel!AY7="",IPC_Trimestriel!AV7="",IPC_Trimestriel!AR7=""),"",AVERAGE(IPC_Trimestriel!AV7:AY7)/AVERAGE(IPC_Trimestriel!AR7:AU7)-1)</f>
        <v/>
      </c>
      <c r="AV7" s="31" t="str">
        <f>IF(OR(IPC_Trimestriel!AZ7="",IPC_Trimestriel!AW7="",IPC_Trimestriel!AS7=""),"",AVERAGE(IPC_Trimestriel!AW7:AZ7)/AVERAGE(IPC_Trimestriel!AS7:AV7)-1)</f>
        <v/>
      </c>
      <c r="AW7" s="31" t="str">
        <f>IF(OR(IPC_Trimestriel!BA7="",IPC_Trimestriel!AX7="",IPC_Trimestriel!AT7=""),"",AVERAGE(IPC_Trimestriel!AX7:BA7)/AVERAGE(IPC_Trimestriel!AT7:AW7)-1)</f>
        <v/>
      </c>
      <c r="AX7" s="31" t="str">
        <f>IF(OR(IPC_Trimestriel!BB7="",IPC_Trimestriel!AY7="",IPC_Trimestriel!AU7=""),"",AVERAGE(IPC_Trimestriel!AY7:BB7)/AVERAGE(IPC_Trimestriel!AU7:AX7)-1)</f>
        <v/>
      </c>
      <c r="AY7" s="31" t="str">
        <f>IF(OR(IPC_Trimestriel!BC7="",IPC_Trimestriel!AZ7="",IPC_Trimestriel!AV7=""),"",AVERAGE(IPC_Trimestriel!AZ7:BC7)/AVERAGE(IPC_Trimestriel!AV7:AY7)-1)</f>
        <v/>
      </c>
      <c r="AZ7" s="31" t="str">
        <f>IF(OR(IPC_Trimestriel!BD7="",IPC_Trimestriel!BA7="",IPC_Trimestriel!AW7=""),"",AVERAGE(IPC_Trimestriel!BA7:BD7)/AVERAGE(IPC_Trimestriel!AW7:AZ7)-1)</f>
        <v/>
      </c>
      <c r="BA7" s="31" t="str">
        <f>IF(OR(IPC_Trimestriel!BE7="",IPC_Trimestriel!BB7="",IPC_Trimestriel!AX7=""),"",AVERAGE(IPC_Trimestriel!BB7:BE7)/AVERAGE(IPC_Trimestriel!AX7:BA7)-1)</f>
        <v/>
      </c>
      <c r="BB7" s="31" t="str">
        <f>IF(OR(IPC_Trimestriel!BF7="",IPC_Trimestriel!BC7="",IPC_Trimestriel!AY7=""),"",AVERAGE(IPC_Trimestriel!BC7:BF7)/AVERAGE(IPC_Trimestriel!AY7:BB7)-1)</f>
        <v/>
      </c>
      <c r="BC7" s="31">
        <f>IF(OR(IPC_Trimestriel!BG7="",IPC_Trimestriel!BD7="",IPC_Trimestriel!AZ7=""),"",AVERAGE(IPC_Trimestriel!BD7:BG7)/AVERAGE(IPC_Trimestriel!AZ7:BC7)-1)</f>
        <v>1.89550133956502E-2</v>
      </c>
      <c r="BD7" s="31">
        <f>IF(OR(IPC_Trimestriel!BH7="",IPC_Trimestriel!BE7="",IPC_Trimestriel!BA7=""),"",AVERAGE(IPC_Trimestriel!BE7:BH7)/AVERAGE(IPC_Trimestriel!BA7:BD7)-1)</f>
        <v>1.1904399742292071E-2</v>
      </c>
      <c r="BE7" s="31">
        <f>IF(OR(IPC_Trimestriel!BI7="",IPC_Trimestriel!BF7="",IPC_Trimestriel!BB7=""),"",AVERAGE(IPC_Trimestriel!BF7:BI7)/AVERAGE(IPC_Trimestriel!BB7:BE7)-1)</f>
        <v>3.5457214175593776E-3</v>
      </c>
      <c r="BF7" s="31">
        <f>IF(OR(IPC_Trimestriel!BJ7="",IPC_Trimestriel!BG7="",IPC_Trimestriel!BC7=""),"",AVERAGE(IPC_Trimestriel!BG7:BJ7)/AVERAGE(IPC_Trimestriel!BC7:BF7)-1)</f>
        <v>1.3684912400158122E-3</v>
      </c>
      <c r="BG7" s="31">
        <f>IF(OR(IPC_Trimestriel!BK7="",IPC_Trimestriel!BH7="",IPC_Trimestriel!BD7=""),"",AVERAGE(IPC_Trimestriel!BH7:BK7)/AVERAGE(IPC_Trimestriel!BD7:BG7)-1)</f>
        <v>2.5623402509791227E-3</v>
      </c>
      <c r="BH7" s="31">
        <f>IF(OR(IPC_Trimestriel!BL7="",IPC_Trimestriel!BI7="",IPC_Trimestriel!BE7=""),"",AVERAGE(IPC_Trimestriel!BI7:BL7)/AVERAGE(IPC_Trimestriel!BE7:BH7)-1)</f>
        <v>9.3679095308520921E-3</v>
      </c>
      <c r="BI7" s="31">
        <f>IF(OR(IPC_Trimestriel!BM7="",IPC_Trimestriel!BJ7="",IPC_Trimestriel!BF7=""),"",AVERAGE(IPC_Trimestriel!BJ7:BM7)/AVERAGE(IPC_Trimestriel!BF7:BI7)-1)</f>
        <v>2.1992364648419249E-2</v>
      </c>
      <c r="BJ7" s="31">
        <f>IF(OR(IPC_Trimestriel!BN7="",IPC_Trimestriel!BK7="",IPC_Trimestriel!BG7=""),"",AVERAGE(IPC_Trimestriel!BK7:BN7)/AVERAGE(IPC_Trimestriel!BG7:BJ7)-1)</f>
        <v>2.9696241100051868E-2</v>
      </c>
      <c r="BK7" s="31">
        <f>IF(OR(IPC_Trimestriel!BO7="",IPC_Trimestriel!BL7="",IPC_Trimestriel!BH7=""),"",AVERAGE(IPC_Trimestriel!BL7:BO7)/AVERAGE(IPC_Trimestriel!BH7:BK7)-1)</f>
        <v>3.5829139466821536E-2</v>
      </c>
      <c r="BL7" s="31">
        <f>IF(OR(IPC_Trimestriel!BP7="",IPC_Trimestriel!BM7="",IPC_Trimestriel!BI7=""),"",AVERAGE(IPC_Trimestriel!BM7:BP7)/AVERAGE(IPC_Trimestriel!BI7:BL7)-1)</f>
        <v>3.6744628365492193E-2</v>
      </c>
      <c r="BM7" s="31">
        <f>IF(OR(IPC_Trimestriel!BQ7="",IPC_Trimestriel!BN7="",IPC_Trimestriel!BJ7=""),"",AVERAGE(IPC_Trimestriel!BN7:BQ7)/AVERAGE(IPC_Trimestriel!BJ7:BM7)-1)</f>
        <v>2.5456868602196758E-2</v>
      </c>
      <c r="BN7" s="31">
        <f>IF(OR(IPC_Trimestriel!BR7="",IPC_Trimestriel!BO7="",IPC_Trimestriel!BK7=""),"",AVERAGE(IPC_Trimestriel!BO7:BR7)/AVERAGE(IPC_Trimestriel!BK7:BN7)-1)</f>
        <v>1.3980669851133554E-2</v>
      </c>
      <c r="BO7" s="31">
        <f>IF(OR(IPC_Trimestriel!BS7="",IPC_Trimestriel!BP7="",IPC_Trimestriel!BL7=""),"",AVERAGE(IPC_Trimestriel!BP7:BS7)/AVERAGE(IPC_Trimestriel!BL7:BO7)-1)</f>
        <v>4.5396308681171504E-3</v>
      </c>
      <c r="BP7" s="31">
        <f>IF(OR(IPC_Trimestriel!BT7="",IPC_Trimestriel!BQ7="",IPC_Trimestriel!BM7=""),"",AVERAGE(IPC_Trimestriel!BQ7:BT7)/AVERAGE(IPC_Trimestriel!BM7:BP7)-1)</f>
        <v>-1.9125441928585785E-3</v>
      </c>
      <c r="BQ7" s="31">
        <f>IF(OR(IPC_Trimestriel!BU7="",IPC_Trimestriel!BR7="",IPC_Trimestriel!BN7=""),"",AVERAGE(IPC_Trimestriel!BR7:BU7)/AVERAGE(IPC_Trimestriel!BN7:BQ7)-1)</f>
        <v>8.6223990684919372E-5</v>
      </c>
      <c r="BR7" s="31">
        <f>IF(OR(IPC_Trimestriel!BV7="",IPC_Trimestriel!BS7="",IPC_Trimestriel!BO7=""),"",AVERAGE(IPC_Trimestriel!BS7:BV7)/AVERAGE(IPC_Trimestriel!BO7:BR7)-1)</f>
        <v>3.277943318076959E-3</v>
      </c>
      <c r="BS7" s="31">
        <f>IF(OR(IPC_Trimestriel!BW7="",IPC_Trimestriel!BT7="",IPC_Trimestriel!BP7=""),"",AVERAGE(IPC_Trimestriel!BT7:BW7)/AVERAGE(IPC_Trimestriel!BP7:BS7)-1)</f>
        <v>4.6607066360069282E-3</v>
      </c>
      <c r="BT7" s="31">
        <f>IF(OR(IPC_Trimestriel!BX7="",IPC_Trimestriel!BU7="",IPC_Trimestriel!BQ7=""),"",AVERAGE(IPC_Trimestriel!BU7:BX7)/AVERAGE(IPC_Trimestriel!BQ7:BT7)-1)</f>
        <v>5.0218972574291865E-3</v>
      </c>
      <c r="BU7" s="31">
        <f>IF(OR(IPC_Trimestriel!BY7="",IPC_Trimestriel!BV7="",IPC_Trimestriel!BR7=""),"",AVERAGE(IPC_Trimestriel!BV7:BY7)/AVERAGE(IPC_Trimestriel!BR7:BU7)-1)</f>
        <v>5.6778193804478683E-3</v>
      </c>
      <c r="BV7" s="31">
        <f>IF(OR(IPC_Trimestriel!BZ7="",IPC_Trimestriel!BW7="",IPC_Trimestriel!BS7=""),"",AVERAGE(IPC_Trimestriel!BW7:BZ7)/AVERAGE(IPC_Trimestriel!BS7:BV7)-1)</f>
        <v>6.1324289124882192E-3</v>
      </c>
      <c r="BW7" s="31">
        <f>IF(OR(IPC_Trimestriel!CA7="",IPC_Trimestriel!BX7="",IPC_Trimestriel!BT7=""),"",AVERAGE(IPC_Trimestriel!BX7:CA7)/AVERAGE(IPC_Trimestriel!BT7:BW7)-1)</f>
        <v>9.7245295108374652E-3</v>
      </c>
      <c r="BX7" s="31">
        <f>IF(OR(IPC_Trimestriel!CB7="",IPC_Trimestriel!BY7="",IPC_Trimestriel!BU7=""),"",AVERAGE(IPC_Trimestriel!BY7:CB7)/AVERAGE(IPC_Trimestriel!BU7:BX7)-1)</f>
        <v>1.5523472494076929E-2</v>
      </c>
      <c r="BY7" s="31">
        <f>IF(OR(IPC_Trimestriel!CC7="",IPC_Trimestriel!BZ7="",IPC_Trimestriel!BV7=""),"",AVERAGE(IPC_Trimestriel!BZ7:CC7)/AVERAGE(IPC_Trimestriel!BV7:BY7)-1)</f>
        <v>2.2488532932100513E-2</v>
      </c>
      <c r="BZ7" s="31">
        <f>IF(OR(IPC_Trimestriel!CD7="",IPC_Trimestriel!CA7="",IPC_Trimestriel!BW7=""),"",AVERAGE(IPC_Trimestriel!CA7:CD7)/AVERAGE(IPC_Trimestriel!BW7:BZ7)-1)</f>
        <v>2.9006448570571663E-2</v>
      </c>
      <c r="CA7" s="31">
        <f>IF(OR(IPC_Trimestriel!CE7="",IPC_Trimestriel!CB7="",IPC_Trimestriel!BX7=""),"",AVERAGE(IPC_Trimestriel!CB7:CE7)/AVERAGE(IPC_Trimestriel!BX7:CA7)-1)</f>
        <v>3.1702214387638428E-2</v>
      </c>
      <c r="CB7" s="31">
        <f>IF(OR(IPC_Trimestriel!CF7="",IPC_Trimestriel!CC7="",IPC_Trimestriel!BY7=""),"",AVERAGE(IPC_Trimestriel!CC7:CF7)/AVERAGE(IPC_Trimestriel!BY7:CB7)-1)</f>
        <v>3.0792578189762221E-2</v>
      </c>
      <c r="CC7" s="31">
        <f>IF(OR(IPC_Trimestriel!CG7="",IPC_Trimestriel!CD7="",IPC_Trimestriel!BZ7=""),"",AVERAGE(IPC_Trimestriel!CD7:CG7)/AVERAGE(IPC_Trimestriel!BZ7:CC7)-1)</f>
        <v>2.6951896747765769E-2</v>
      </c>
      <c r="CD7" s="31">
        <f>IF(OR(IPC_Trimestriel!CH7="",IPC_Trimestriel!CE7="",IPC_Trimestriel!CA7=""),"",AVERAGE(IPC_Trimestriel!CE7:CH7)/AVERAGE(IPC_Trimestriel!CA7:CD7)-1)</f>
        <v>2.5179882371365814E-2</v>
      </c>
      <c r="CE7" s="31">
        <f>IF(OR(IPC_Trimestriel!CI7="",IPC_Trimestriel!CF7="",IPC_Trimestriel!CB7=""),"",AVERAGE(IPC_Trimestriel!CF7:CI7)/AVERAGE(IPC_Trimestriel!CB7:CE7)-1)</f>
        <v>2.6211055633678093E-2</v>
      </c>
      <c r="CF7" s="31">
        <f>IF(OR(IPC_Trimestriel!CJ7="",IPC_Trimestriel!CG7="",IPC_Trimestriel!CC7=""),"",AVERAGE(IPC_Trimestriel!CG7:CJ7)/AVERAGE(IPC_Trimestriel!CC7:CF7)-1)</f>
        <v>2.9187768950276416E-2</v>
      </c>
      <c r="CG7" s="31">
        <f>IF(OR(IPC_Trimestriel!CK7="",IPC_Trimestriel!CH7="",IPC_Trimestriel!CD7=""),"",AVERAGE(IPC_Trimestriel!CH7:CK7)/AVERAGE(IPC_Trimestriel!CD7:CG7)-1)</f>
        <v>2.8218320661874907E-2</v>
      </c>
      <c r="CH7" s="31">
        <f>IF(OR(IPC_Trimestriel!CL7="",IPC_Trimestriel!CI7="",IPC_Trimestriel!CE7=""),"",AVERAGE(IPC_Trimestriel!CI7:CL7)/AVERAGE(IPC_Trimestriel!CE7:CH7)-1)</f>
        <v>2.63522490735979E-2</v>
      </c>
      <c r="CI7" s="31">
        <f>IF(OR(IPC_Trimestriel!CM7="",IPC_Trimestriel!CJ7="",IPC_Trimestriel!CF7=""),"",AVERAGE(IPC_Trimestriel!CJ7:CM7)/AVERAGE(IPC_Trimestriel!CF7:CI7)-1)</f>
        <v>2.3074607250060719E-2</v>
      </c>
      <c r="CJ7" s="31">
        <f>IF(OR(IPC_Trimestriel!CN7="",IPC_Trimestriel!CK7="",IPC_Trimestriel!CG7=""),"",AVERAGE(IPC_Trimestriel!CK7:CN7)/AVERAGE(IPC_Trimestriel!CG7:CJ7)-1)</f>
        <v>2.2786639025620614E-2</v>
      </c>
      <c r="CK7" s="31">
        <f>IF(OR(IPC_Trimestriel!CO7="",IPC_Trimestriel!CL7="",IPC_Trimestriel!CH7=""),"",AVERAGE(IPC_Trimestriel!CL7:CO7)/AVERAGE(IPC_Trimestriel!CH7:CK7)-1)</f>
        <v>2.8751336207091471E-2</v>
      </c>
      <c r="CL7" s="31">
        <f>IF(OR(IPC_Trimestriel!CP7="",IPC_Trimestriel!CM7="",IPC_Trimestriel!CI7=""),"",AVERAGE(IPC_Trimestriel!CM7:CP7)/AVERAGE(IPC_Trimestriel!CI7:CL7)-1)</f>
        <v>3.5052857380706515E-2</v>
      </c>
      <c r="CM7" s="31">
        <f>IF(OR(IPC_Trimestriel!CQ7="",IPC_Trimestriel!CN7="",IPC_Trimestriel!CJ7=""),"",AVERAGE(IPC_Trimestriel!CN7:CQ7)/AVERAGE(IPC_Trimestriel!CJ7:CM7)-1)</f>
        <v>4.1944936099468588E-2</v>
      </c>
      <c r="CN7" s="31">
        <f>IF(OR(IPC_Trimestriel!CR7="",IPC_Trimestriel!CO7="",IPC_Trimestriel!CK7=""),"",AVERAGE(IPC_Trimestriel!CO7:CR7)/AVERAGE(IPC_Trimestriel!CK7:CN7)-1)</f>
        <v>4.4134936319004225E-2</v>
      </c>
      <c r="CO7" s="31">
        <f>IF(OR(IPC_Trimestriel!CS7="",IPC_Trimestriel!CP7="",IPC_Trimestriel!CL7=""),"",AVERAGE(IPC_Trimestriel!CP7:CS7)/AVERAGE(IPC_Trimestriel!CL7:CO7)-1)</f>
        <v>4.151613642253893E-2</v>
      </c>
      <c r="CP7" s="31">
        <f>IF(OR(IPC_Trimestriel!CT7="",IPC_Trimestriel!CQ7="",IPC_Trimestriel!CM7=""),"",AVERAGE(IPC_Trimestriel!CQ7:CT7)/AVERAGE(IPC_Trimestriel!CM7:CP7)-1)</f>
        <v>3.5597259183553831E-2</v>
      </c>
    </row>
    <row r="8" spans="1:94" s="1" customFormat="1" ht="10.199999999999999" x14ac:dyDescent="0.2">
      <c r="A8" s="11" t="s">
        <v>11</v>
      </c>
      <c r="B8" s="1" t="s">
        <v>12</v>
      </c>
      <c r="C8" s="5"/>
      <c r="D8" s="31"/>
      <c r="E8" s="31"/>
      <c r="F8" s="31"/>
      <c r="G8" s="31" t="str">
        <f>IF(OR(IPC_Trimestriel!K8="",IPC_Trimestriel!H8="",IPC_Trimestriel!D8=""),"",AVERAGE(IPC_Trimestriel!H8:K8)/AVERAGE(IPC_Trimestriel!D8:G8)-1)</f>
        <v/>
      </c>
      <c r="H8" s="31" t="str">
        <f>IF(OR(IPC_Trimestriel!L8="",IPC_Trimestriel!I8="",IPC_Trimestriel!E8=""),"",AVERAGE(IPC_Trimestriel!I8:L8)/AVERAGE(IPC_Trimestriel!E8:H8)-1)</f>
        <v/>
      </c>
      <c r="I8" s="31" t="str">
        <f>IF(OR(IPC_Trimestriel!M8="",IPC_Trimestriel!J8="",IPC_Trimestriel!F8=""),"",AVERAGE(IPC_Trimestriel!J8:M8)/AVERAGE(IPC_Trimestriel!F8:I8)-1)</f>
        <v/>
      </c>
      <c r="J8" s="31" t="str">
        <f>IF(OR(IPC_Trimestriel!N8="",IPC_Trimestriel!K8="",IPC_Trimestriel!G8=""),"",AVERAGE(IPC_Trimestriel!K8:N8)/AVERAGE(IPC_Trimestriel!G8:J8)-1)</f>
        <v/>
      </c>
      <c r="K8" s="31" t="str">
        <f>IF(OR(IPC_Trimestriel!O8="",IPC_Trimestriel!L8="",IPC_Trimestriel!H8=""),"",AVERAGE(IPC_Trimestriel!L8:O8)/AVERAGE(IPC_Trimestriel!H8:K8)-1)</f>
        <v/>
      </c>
      <c r="L8" s="31" t="str">
        <f>IF(OR(IPC_Trimestriel!P8="",IPC_Trimestriel!M8="",IPC_Trimestriel!I8=""),"",AVERAGE(IPC_Trimestriel!M8:P8)/AVERAGE(IPC_Trimestriel!I8:L8)-1)</f>
        <v/>
      </c>
      <c r="M8" s="31" t="str">
        <f>IF(OR(IPC_Trimestriel!Q8="",IPC_Trimestriel!N8="",IPC_Trimestriel!J8=""),"",AVERAGE(IPC_Trimestriel!N8:Q8)/AVERAGE(IPC_Trimestriel!J8:M8)-1)</f>
        <v/>
      </c>
      <c r="N8" s="31" t="str">
        <f>IF(OR(IPC_Trimestriel!R8="",IPC_Trimestriel!O8="",IPC_Trimestriel!K8=""),"",AVERAGE(IPC_Trimestriel!O8:R8)/AVERAGE(IPC_Trimestriel!K8:N8)-1)</f>
        <v/>
      </c>
      <c r="O8" s="31" t="str">
        <f>IF(OR(IPC_Trimestriel!S8="",IPC_Trimestriel!P8="",IPC_Trimestriel!L8=""),"",AVERAGE(IPC_Trimestriel!P8:S8)/AVERAGE(IPC_Trimestriel!L8:O8)-1)</f>
        <v/>
      </c>
      <c r="P8" s="31" t="str">
        <f>IF(OR(IPC_Trimestriel!T8="",IPC_Trimestriel!Q8="",IPC_Trimestriel!M8=""),"",AVERAGE(IPC_Trimestriel!Q8:T8)/AVERAGE(IPC_Trimestriel!M8:P8)-1)</f>
        <v/>
      </c>
      <c r="Q8" s="31" t="str">
        <f>IF(OR(IPC_Trimestriel!U8="",IPC_Trimestriel!R8="",IPC_Trimestriel!N8=""),"",AVERAGE(IPC_Trimestriel!R8:U8)/AVERAGE(IPC_Trimestriel!N8:Q8)-1)</f>
        <v/>
      </c>
      <c r="R8" s="31" t="str">
        <f>IF(OR(IPC_Trimestriel!V8="",IPC_Trimestriel!S8="",IPC_Trimestriel!O8=""),"",AVERAGE(IPC_Trimestriel!S8:V8)/AVERAGE(IPC_Trimestriel!O8:R8)-1)</f>
        <v/>
      </c>
      <c r="S8" s="31" t="str">
        <f>IF(OR(IPC_Trimestriel!W8="",IPC_Trimestriel!T8="",IPC_Trimestriel!P8=""),"",AVERAGE(IPC_Trimestriel!T8:W8)/AVERAGE(IPC_Trimestriel!P8:S8)-1)</f>
        <v/>
      </c>
      <c r="T8" s="31" t="str">
        <f>IF(OR(IPC_Trimestriel!X8="",IPC_Trimestriel!U8="",IPC_Trimestriel!Q8=""),"",AVERAGE(IPC_Trimestriel!U8:X8)/AVERAGE(IPC_Trimestriel!Q8:T8)-1)</f>
        <v/>
      </c>
      <c r="U8" s="31" t="str">
        <f>IF(OR(IPC_Trimestriel!Y8="",IPC_Trimestriel!V8="",IPC_Trimestriel!R8=""),"",AVERAGE(IPC_Trimestriel!V8:Y8)/AVERAGE(IPC_Trimestriel!R8:U8)-1)</f>
        <v/>
      </c>
      <c r="V8" s="31" t="str">
        <f>IF(OR(IPC_Trimestriel!Z8="",IPC_Trimestriel!W8="",IPC_Trimestriel!S8=""),"",AVERAGE(IPC_Trimestriel!W8:Z8)/AVERAGE(IPC_Trimestriel!S8:V8)-1)</f>
        <v/>
      </c>
      <c r="W8" s="31" t="str">
        <f>IF(OR(IPC_Trimestriel!AA8="",IPC_Trimestriel!X8="",IPC_Trimestriel!T8=""),"",AVERAGE(IPC_Trimestriel!X8:AA8)/AVERAGE(IPC_Trimestriel!T8:W8)-1)</f>
        <v/>
      </c>
      <c r="X8" s="31" t="str">
        <f>IF(OR(IPC_Trimestriel!AB8="",IPC_Trimestriel!Y8="",IPC_Trimestriel!U8=""),"",AVERAGE(IPC_Trimestriel!Y8:AB8)/AVERAGE(IPC_Trimestriel!U8:X8)-1)</f>
        <v/>
      </c>
      <c r="Y8" s="31" t="str">
        <f>IF(OR(IPC_Trimestriel!AC8="",IPC_Trimestriel!Z8="",IPC_Trimestriel!V8=""),"",AVERAGE(IPC_Trimestriel!Z8:AC8)/AVERAGE(IPC_Trimestriel!V8:Y8)-1)</f>
        <v/>
      </c>
      <c r="Z8" s="31" t="str">
        <f>IF(OR(IPC_Trimestriel!AD8="",IPC_Trimestriel!AA8="",IPC_Trimestriel!W8=""),"",AVERAGE(IPC_Trimestriel!AA8:AD8)/AVERAGE(IPC_Trimestriel!W8:Z8)-1)</f>
        <v/>
      </c>
      <c r="AA8" s="31" t="str">
        <f>IF(OR(IPC_Trimestriel!AE8="",IPC_Trimestriel!AB8="",IPC_Trimestriel!X8=""),"",AVERAGE(IPC_Trimestriel!AB8:AE8)/AVERAGE(IPC_Trimestriel!X8:AA8)-1)</f>
        <v/>
      </c>
      <c r="AB8" s="31" t="str">
        <f>IF(OR(IPC_Trimestriel!AF8="",IPC_Trimestriel!AC8="",IPC_Trimestriel!Y8=""),"",AVERAGE(IPC_Trimestriel!AC8:AF8)/AVERAGE(IPC_Trimestriel!Y8:AB8)-1)</f>
        <v/>
      </c>
      <c r="AC8" s="31" t="str">
        <f>IF(OR(IPC_Trimestriel!AG8="",IPC_Trimestriel!AD8="",IPC_Trimestriel!Z8=""),"",AVERAGE(IPC_Trimestriel!AD8:AG8)/AVERAGE(IPC_Trimestriel!Z8:AC8)-1)</f>
        <v/>
      </c>
      <c r="AD8" s="31" t="str">
        <f>IF(OR(IPC_Trimestriel!AH8="",IPC_Trimestriel!AE8="",IPC_Trimestriel!AA8=""),"",AVERAGE(IPC_Trimestriel!AE8:AH8)/AVERAGE(IPC_Trimestriel!AA8:AD8)-1)</f>
        <v/>
      </c>
      <c r="AE8" s="31" t="str">
        <f>IF(OR(IPC_Trimestriel!AI8="",IPC_Trimestriel!AF8="",IPC_Trimestriel!AB8=""),"",AVERAGE(IPC_Trimestriel!AF8:AI8)/AVERAGE(IPC_Trimestriel!AB8:AE8)-1)</f>
        <v/>
      </c>
      <c r="AF8" s="31" t="str">
        <f>IF(OR(IPC_Trimestriel!AJ8="",IPC_Trimestriel!AG8="",IPC_Trimestriel!AC8=""),"",AVERAGE(IPC_Trimestriel!AG8:AJ8)/AVERAGE(IPC_Trimestriel!AC8:AF8)-1)</f>
        <v/>
      </c>
      <c r="AG8" s="31" t="str">
        <f>IF(OR(IPC_Trimestriel!AK8="",IPC_Trimestriel!AH8="",IPC_Trimestriel!AD8=""),"",AVERAGE(IPC_Trimestriel!AH8:AK8)/AVERAGE(IPC_Trimestriel!AD8:AG8)-1)</f>
        <v/>
      </c>
      <c r="AH8" s="31" t="str">
        <f>IF(OR(IPC_Trimestriel!AL8="",IPC_Trimestriel!AI8="",IPC_Trimestriel!AE8=""),"",AVERAGE(IPC_Trimestriel!AI8:AL8)/AVERAGE(IPC_Trimestriel!AE8:AH8)-1)</f>
        <v/>
      </c>
      <c r="AI8" s="31" t="str">
        <f>IF(OR(IPC_Trimestriel!AM8="",IPC_Trimestriel!AJ8="",IPC_Trimestriel!AF8=""),"",AVERAGE(IPC_Trimestriel!AJ8:AM8)/AVERAGE(IPC_Trimestriel!AF8:AI8)-1)</f>
        <v/>
      </c>
      <c r="AJ8" s="31" t="str">
        <f>IF(OR(IPC_Trimestriel!AN8="",IPC_Trimestriel!AK8="",IPC_Trimestriel!AG8=""),"",AVERAGE(IPC_Trimestriel!AK8:AN8)/AVERAGE(IPC_Trimestriel!AG8:AJ8)-1)</f>
        <v/>
      </c>
      <c r="AK8" s="31" t="str">
        <f>IF(OR(IPC_Trimestriel!AO8="",IPC_Trimestriel!AL8="",IPC_Trimestriel!AH8=""),"",AVERAGE(IPC_Trimestriel!AL8:AO8)/AVERAGE(IPC_Trimestriel!AH8:AK8)-1)</f>
        <v/>
      </c>
      <c r="AL8" s="31" t="str">
        <f>IF(OR(IPC_Trimestriel!AP8="",IPC_Trimestriel!AM8="",IPC_Trimestriel!AI8=""),"",AVERAGE(IPC_Trimestriel!AM8:AP8)/AVERAGE(IPC_Trimestriel!AI8:AL8)-1)</f>
        <v/>
      </c>
      <c r="AM8" s="31" t="str">
        <f>IF(OR(IPC_Trimestriel!AQ8="",IPC_Trimestriel!AN8="",IPC_Trimestriel!AJ8=""),"",AVERAGE(IPC_Trimestriel!AN8:AQ8)/AVERAGE(IPC_Trimestriel!AJ8:AM8)-1)</f>
        <v/>
      </c>
      <c r="AN8" s="31" t="str">
        <f>IF(OR(IPC_Trimestriel!AR8="",IPC_Trimestriel!AO8="",IPC_Trimestriel!AK8=""),"",AVERAGE(IPC_Trimestriel!AO8:AR8)/AVERAGE(IPC_Trimestriel!AK8:AN8)-1)</f>
        <v/>
      </c>
      <c r="AO8" s="31" t="str">
        <f>IF(OR(IPC_Trimestriel!AS8="",IPC_Trimestriel!AP8="",IPC_Trimestriel!AL8=""),"",AVERAGE(IPC_Trimestriel!AP8:AS8)/AVERAGE(IPC_Trimestriel!AL8:AO8)-1)</f>
        <v/>
      </c>
      <c r="AP8" s="31" t="str">
        <f>IF(OR(IPC_Trimestriel!AT8="",IPC_Trimestriel!AQ8="",IPC_Trimestriel!AM8=""),"",AVERAGE(IPC_Trimestriel!AQ8:AT8)/AVERAGE(IPC_Trimestriel!AM8:AP8)-1)</f>
        <v/>
      </c>
      <c r="AQ8" s="31" t="str">
        <f>IF(OR(IPC_Trimestriel!AU8="",IPC_Trimestriel!AR8="",IPC_Trimestriel!AN8=""),"",AVERAGE(IPC_Trimestriel!AR8:AU8)/AVERAGE(IPC_Trimestriel!AN8:AQ8)-1)</f>
        <v/>
      </c>
      <c r="AR8" s="31" t="str">
        <f>IF(OR(IPC_Trimestriel!AV8="",IPC_Trimestriel!AS8="",IPC_Trimestriel!AO8=""),"",AVERAGE(IPC_Trimestriel!AS8:AV8)/AVERAGE(IPC_Trimestriel!AO8:AR8)-1)</f>
        <v/>
      </c>
      <c r="AS8" s="31" t="str">
        <f>IF(OR(IPC_Trimestriel!AW8="",IPC_Trimestriel!AT8="",IPC_Trimestriel!AP8=""),"",AVERAGE(IPC_Trimestriel!AT8:AW8)/AVERAGE(IPC_Trimestriel!AP8:AS8)-1)</f>
        <v/>
      </c>
      <c r="AT8" s="31" t="str">
        <f>IF(OR(IPC_Trimestriel!AX8="",IPC_Trimestriel!AU8="",IPC_Trimestriel!AQ8=""),"",AVERAGE(IPC_Trimestriel!AU8:AX8)/AVERAGE(IPC_Trimestriel!AQ8:AT8)-1)</f>
        <v/>
      </c>
      <c r="AU8" s="31" t="str">
        <f>IF(OR(IPC_Trimestriel!AY8="",IPC_Trimestriel!AV8="",IPC_Trimestriel!AR8=""),"",AVERAGE(IPC_Trimestriel!AV8:AY8)/AVERAGE(IPC_Trimestriel!AR8:AU8)-1)</f>
        <v/>
      </c>
      <c r="AV8" s="31" t="str">
        <f>IF(OR(IPC_Trimestriel!AZ8="",IPC_Trimestriel!AW8="",IPC_Trimestriel!AS8=""),"",AVERAGE(IPC_Trimestriel!AW8:AZ8)/AVERAGE(IPC_Trimestriel!AS8:AV8)-1)</f>
        <v/>
      </c>
      <c r="AW8" s="31" t="str">
        <f>IF(OR(IPC_Trimestriel!BA8="",IPC_Trimestriel!AX8="",IPC_Trimestriel!AT8=""),"",AVERAGE(IPC_Trimestriel!AX8:BA8)/AVERAGE(IPC_Trimestriel!AT8:AW8)-1)</f>
        <v/>
      </c>
      <c r="AX8" s="31" t="str">
        <f>IF(OR(IPC_Trimestriel!BB8="",IPC_Trimestriel!AY8="",IPC_Trimestriel!AU8=""),"",AVERAGE(IPC_Trimestriel!AY8:BB8)/AVERAGE(IPC_Trimestriel!AU8:AX8)-1)</f>
        <v/>
      </c>
      <c r="AY8" s="31" t="str">
        <f>IF(OR(IPC_Trimestriel!BC8="",IPC_Trimestriel!AZ8="",IPC_Trimestriel!AV8=""),"",AVERAGE(IPC_Trimestriel!AZ8:BC8)/AVERAGE(IPC_Trimestriel!AV8:AY8)-1)</f>
        <v/>
      </c>
      <c r="AZ8" s="31" t="str">
        <f>IF(OR(IPC_Trimestriel!BD8="",IPC_Trimestriel!BA8="",IPC_Trimestriel!AW8=""),"",AVERAGE(IPC_Trimestriel!BA8:BD8)/AVERAGE(IPC_Trimestriel!AW8:AZ8)-1)</f>
        <v/>
      </c>
      <c r="BA8" s="31" t="str">
        <f>IF(OR(IPC_Trimestriel!BE8="",IPC_Trimestriel!BB8="",IPC_Trimestriel!AX8=""),"",AVERAGE(IPC_Trimestriel!BB8:BE8)/AVERAGE(IPC_Trimestriel!AX8:BA8)-1)</f>
        <v/>
      </c>
      <c r="BB8" s="31" t="str">
        <f>IF(OR(IPC_Trimestriel!BF8="",IPC_Trimestriel!BC8="",IPC_Trimestriel!AY8=""),"",AVERAGE(IPC_Trimestriel!BC8:BF8)/AVERAGE(IPC_Trimestriel!AY8:BB8)-1)</f>
        <v/>
      </c>
      <c r="BC8" s="31">
        <f>IF(OR(IPC_Trimestriel!BG8="",IPC_Trimestriel!BD8="",IPC_Trimestriel!AZ8=""),"",AVERAGE(IPC_Trimestriel!BD8:BG8)/AVERAGE(IPC_Trimestriel!AZ8:BC8)-1)</f>
        <v>3.0071127295494993E-2</v>
      </c>
      <c r="BD8" s="31">
        <f>IF(OR(IPC_Trimestriel!BH8="",IPC_Trimestriel!BE8="",IPC_Trimestriel!BA8=""),"",AVERAGE(IPC_Trimestriel!BE8:BH8)/AVERAGE(IPC_Trimestriel!BA8:BD8)-1)</f>
        <v>3.2727821433130355E-2</v>
      </c>
      <c r="BE8" s="31">
        <f>IF(OR(IPC_Trimestriel!BI8="",IPC_Trimestriel!BF8="",IPC_Trimestriel!BB8=""),"",AVERAGE(IPC_Trimestriel!BF8:BI8)/AVERAGE(IPC_Trimestriel!BB8:BE8)-1)</f>
        <v>2.8336290250372764E-2</v>
      </c>
      <c r="BF8" s="31">
        <f>IF(OR(IPC_Trimestriel!BJ8="",IPC_Trimestriel!BG8="",IPC_Trimestriel!BC8=""),"",AVERAGE(IPC_Trimestriel!BG8:BJ8)/AVERAGE(IPC_Trimestriel!BC8:BF8)-1)</f>
        <v>2.1012784929456796E-2</v>
      </c>
      <c r="BG8" s="31">
        <f>IF(OR(IPC_Trimestriel!BK8="",IPC_Trimestriel!BH8="",IPC_Trimestriel!BD8=""),"",AVERAGE(IPC_Trimestriel!BH8:BK8)/AVERAGE(IPC_Trimestriel!BD8:BG8)-1)</f>
        <v>1.3811772015847712E-2</v>
      </c>
      <c r="BH8" s="31">
        <f>IF(OR(IPC_Trimestriel!BL8="",IPC_Trimestriel!BI8="",IPC_Trimestriel!BE8=""),"",AVERAGE(IPC_Trimestriel!BI8:BL8)/AVERAGE(IPC_Trimestriel!BE8:BH8)-1)</f>
        <v>1.9340322460709158E-2</v>
      </c>
      <c r="BI8" s="31">
        <f>IF(OR(IPC_Trimestriel!BM8="",IPC_Trimestriel!BJ8="",IPC_Trimestriel!BF8=""),"",AVERAGE(IPC_Trimestriel!BJ8:BM8)/AVERAGE(IPC_Trimestriel!BF8:BI8)-1)</f>
        <v>4.0774092977332588E-2</v>
      </c>
      <c r="BJ8" s="31">
        <f>IF(OR(IPC_Trimestriel!BN8="",IPC_Trimestriel!BK8="",IPC_Trimestriel!BG8=""),"",AVERAGE(IPC_Trimestriel!BK8:BN8)/AVERAGE(IPC_Trimestriel!BG8:BJ8)-1)</f>
        <v>6.4303756816759927E-2</v>
      </c>
      <c r="BK8" s="31">
        <f>IF(OR(IPC_Trimestriel!BO8="",IPC_Trimestriel!BL8="",IPC_Trimestriel!BH8=""),"",AVERAGE(IPC_Trimestriel!BL8:BO8)/AVERAGE(IPC_Trimestriel!BH8:BK8)-1)</f>
        <v>8.9402215757026227E-2</v>
      </c>
      <c r="BL8" s="31">
        <f>IF(OR(IPC_Trimestriel!BP8="",IPC_Trimestriel!BM8="",IPC_Trimestriel!BI8=""),"",AVERAGE(IPC_Trimestriel!BM8:BP8)/AVERAGE(IPC_Trimestriel!BI8:BL8)-1)</f>
        <v>9.3755063000920069E-2</v>
      </c>
      <c r="BM8" s="31">
        <f>IF(OR(IPC_Trimestriel!BQ8="",IPC_Trimestriel!BN8="",IPC_Trimestriel!BJ8=""),"",AVERAGE(IPC_Trimestriel!BN8:BQ8)/AVERAGE(IPC_Trimestriel!BJ8:BM8)-1)</f>
        <v>7.3978799393441319E-2</v>
      </c>
      <c r="BN8" s="31">
        <f>IF(OR(IPC_Trimestriel!BR8="",IPC_Trimestriel!BO8="",IPC_Trimestriel!BK8=""),"",AVERAGE(IPC_Trimestriel!BO8:BR8)/AVERAGE(IPC_Trimestriel!BK8:BN8)-1)</f>
        <v>5.3640353819527364E-2</v>
      </c>
      <c r="BO8" s="31">
        <f>IF(OR(IPC_Trimestriel!BS8="",IPC_Trimestriel!BP8="",IPC_Trimestriel!BL8=""),"",AVERAGE(IPC_Trimestriel!BP8:BS8)/AVERAGE(IPC_Trimestriel!BL8:BO8)-1)</f>
        <v>2.9984055729697978E-2</v>
      </c>
      <c r="BP8" s="31">
        <f>IF(OR(IPC_Trimestriel!BT8="",IPC_Trimestriel!BQ8="",IPC_Trimestriel!BM8=""),"",AVERAGE(IPC_Trimestriel!BQ8:BT8)/AVERAGE(IPC_Trimestriel!BM8:BP8)-1)</f>
        <v>1.7453615821044099E-2</v>
      </c>
      <c r="BQ8" s="31">
        <f>IF(OR(IPC_Trimestriel!BU8="",IPC_Trimestriel!BR8="",IPC_Trimestriel!BN8=""),"",AVERAGE(IPC_Trimestriel!BR8:BU8)/AVERAGE(IPC_Trimestriel!BN8:BQ8)-1)</f>
        <v>1.4190106351579024E-2</v>
      </c>
      <c r="BR8" s="31">
        <f>IF(OR(IPC_Trimestriel!BV8="",IPC_Trimestriel!BS8="",IPC_Trimestriel!BO8=""),"",AVERAGE(IPC_Trimestriel!BS8:BV8)/AVERAGE(IPC_Trimestriel!BO8:BR8)-1)</f>
        <v>1.2904172006593218E-2</v>
      </c>
      <c r="BS8" s="31">
        <f>IF(OR(IPC_Trimestriel!BW8="",IPC_Trimestriel!BT8="",IPC_Trimestriel!BP8=""),"",AVERAGE(IPC_Trimestriel!BT8:BW8)/AVERAGE(IPC_Trimestriel!BP8:BS8)-1)</f>
        <v>1.4323577285009881E-2</v>
      </c>
      <c r="BT8" s="31">
        <f>IF(OR(IPC_Trimestriel!BX8="",IPC_Trimestriel!BU8="",IPC_Trimestriel!BQ8=""),"",AVERAGE(IPC_Trimestriel!BU8:BX8)/AVERAGE(IPC_Trimestriel!BQ8:BT8)-1)</f>
        <v>1.1496368096731935E-2</v>
      </c>
      <c r="BU8" s="31">
        <f>IF(OR(IPC_Trimestriel!BY8="",IPC_Trimestriel!BV8="",IPC_Trimestriel!BR8=""),"",AVERAGE(IPC_Trimestriel!BV8:BY8)/AVERAGE(IPC_Trimestriel!BR8:BU8)-1)</f>
        <v>1.2422081514221528E-2</v>
      </c>
      <c r="BV8" s="31">
        <f>IF(OR(IPC_Trimestriel!BZ8="",IPC_Trimestriel!BW8="",IPC_Trimestriel!BS8=""),"",AVERAGE(IPC_Trimestriel!BW8:BZ8)/AVERAGE(IPC_Trimestriel!BS8:BV8)-1)</f>
        <v>1.3466634584481385E-2</v>
      </c>
      <c r="BW8" s="31">
        <f>IF(OR(IPC_Trimestriel!CA8="",IPC_Trimestriel!BX8="",IPC_Trimestriel!BT8=""),"",AVERAGE(IPC_Trimestriel!BX8:CA8)/AVERAGE(IPC_Trimestriel!BT8:BW8)-1)</f>
        <v>1.4711851185643221E-2</v>
      </c>
      <c r="BX8" s="31">
        <f>IF(OR(IPC_Trimestriel!CB8="",IPC_Trimestriel!BY8="",IPC_Trimestriel!BU8=""),"",AVERAGE(IPC_Trimestriel!BY8:CB8)/AVERAGE(IPC_Trimestriel!BU8:BX8)-1)</f>
        <v>2.2125940364635444E-2</v>
      </c>
      <c r="BY8" s="31">
        <f>IF(OR(IPC_Trimestriel!CC8="",IPC_Trimestriel!BZ8="",IPC_Trimestriel!BV8=""),"",AVERAGE(IPC_Trimestriel!BZ8:CC8)/AVERAGE(IPC_Trimestriel!BV8:BY8)-1)</f>
        <v>3.2436980169810337E-2</v>
      </c>
      <c r="BZ8" s="31">
        <f>IF(OR(IPC_Trimestriel!CD8="",IPC_Trimestriel!CA8="",IPC_Trimestriel!BW8=""),"",AVERAGE(IPC_Trimestriel!CA8:CD8)/AVERAGE(IPC_Trimestriel!BW8:BZ8)-1)</f>
        <v>3.9588769467477691E-2</v>
      </c>
      <c r="CA8" s="31">
        <f>IF(OR(IPC_Trimestriel!CE8="",IPC_Trimestriel!CB8="",IPC_Trimestriel!BX8=""),"",AVERAGE(IPC_Trimestriel!CB8:CE8)/AVERAGE(IPC_Trimestriel!BX8:CA8)-1)</f>
        <v>4.527937841686458E-2</v>
      </c>
      <c r="CB8" s="31">
        <f>IF(OR(IPC_Trimestriel!CF8="",IPC_Trimestriel!CC8="",IPC_Trimestriel!BY8=""),"",AVERAGE(IPC_Trimestriel!CC8:CF8)/AVERAGE(IPC_Trimestriel!BY8:CB8)-1)</f>
        <v>4.3801668117983139E-2</v>
      </c>
      <c r="CC8" s="31">
        <f>IF(OR(IPC_Trimestriel!CG8="",IPC_Trimestriel!CD8="",IPC_Trimestriel!BZ8=""),"",AVERAGE(IPC_Trimestriel!CD8:CG8)/AVERAGE(IPC_Trimestriel!BZ8:CC8)-1)</f>
        <v>3.5883710140579339E-2</v>
      </c>
      <c r="CD8" s="31">
        <f>IF(OR(IPC_Trimestriel!CH8="",IPC_Trimestriel!CE8="",IPC_Trimestriel!CA8=""),"",AVERAGE(IPC_Trimestriel!CE8:CH8)/AVERAGE(IPC_Trimestriel!CA8:CD8)-1)</f>
        <v>3.041893021379849E-2</v>
      </c>
      <c r="CE8" s="31">
        <f>IF(OR(IPC_Trimestriel!CI8="",IPC_Trimestriel!CF8="",IPC_Trimestriel!CB8=""),"",AVERAGE(IPC_Trimestriel!CF8:CI8)/AVERAGE(IPC_Trimestriel!CB8:CE8)-1)</f>
        <v>2.8515663019354376E-2</v>
      </c>
      <c r="CF8" s="31">
        <f>IF(OR(IPC_Trimestriel!CJ8="",IPC_Trimestriel!CG8="",IPC_Trimestriel!CC8=""),"",AVERAGE(IPC_Trimestriel!CG8:CJ8)/AVERAGE(IPC_Trimestriel!CC8:CF8)-1)</f>
        <v>2.9751555206027236E-2</v>
      </c>
      <c r="CG8" s="31">
        <f>IF(OR(IPC_Trimestriel!CK8="",IPC_Trimestriel!CH8="",IPC_Trimestriel!CD8=""),"",AVERAGE(IPC_Trimestriel!CH8:CK8)/AVERAGE(IPC_Trimestriel!CD8:CG8)-1)</f>
        <v>2.9188605861977246E-2</v>
      </c>
      <c r="CH8" s="31">
        <f>IF(OR(IPC_Trimestriel!CL8="",IPC_Trimestriel!CI8="",IPC_Trimestriel!CE8=""),"",AVERAGE(IPC_Trimestriel!CI8:CL8)/AVERAGE(IPC_Trimestriel!CE8:CH8)-1)</f>
        <v>2.8215011329622453E-2</v>
      </c>
      <c r="CI8" s="31">
        <f>IF(OR(IPC_Trimestriel!CM8="",IPC_Trimestriel!CJ8="",IPC_Trimestriel!CF8=""),"",AVERAGE(IPC_Trimestriel!CJ8:CM8)/AVERAGE(IPC_Trimestriel!CF8:CI8)-1)</f>
        <v>2.4596507297101278E-2</v>
      </c>
      <c r="CJ8" s="31">
        <f>IF(OR(IPC_Trimestriel!CN8="",IPC_Trimestriel!CK8="",IPC_Trimestriel!CG8=""),"",AVERAGE(IPC_Trimestriel!CK8:CN8)/AVERAGE(IPC_Trimestriel!CG8:CJ8)-1)</f>
        <v>2.4496193871995864E-2</v>
      </c>
      <c r="CK8" s="31">
        <f>IF(OR(IPC_Trimestriel!CO8="",IPC_Trimestriel!CL8="",IPC_Trimestriel!CH8=""),"",AVERAGE(IPC_Trimestriel!CL8:CO8)/AVERAGE(IPC_Trimestriel!CH8:CK8)-1)</f>
        <v>2.8818133039513194E-2</v>
      </c>
      <c r="CL8" s="31">
        <f>IF(OR(IPC_Trimestriel!CP8="",IPC_Trimestriel!CM8="",IPC_Trimestriel!CI8=""),"",AVERAGE(IPC_Trimestriel!CM8:CP8)/AVERAGE(IPC_Trimestriel!CI8:CL8)-1)</f>
        <v>3.5101718064904031E-2</v>
      </c>
      <c r="CM8" s="31">
        <f>IF(OR(IPC_Trimestriel!CQ8="",IPC_Trimestriel!CN8="",IPC_Trimestriel!CJ8=""),"",AVERAGE(IPC_Trimestriel!CN8:CQ8)/AVERAGE(IPC_Trimestriel!CJ8:CM8)-1)</f>
        <v>4.1290195655695916E-2</v>
      </c>
      <c r="CN8" s="31">
        <f>IF(OR(IPC_Trimestriel!CR8="",IPC_Trimestriel!CO8="",IPC_Trimestriel!CK8=""),"",AVERAGE(IPC_Trimestriel!CO8:CR8)/AVERAGE(IPC_Trimestriel!CK8:CN8)-1)</f>
        <v>4.1762393221330019E-2</v>
      </c>
      <c r="CO8" s="31">
        <f>IF(OR(IPC_Trimestriel!CS8="",IPC_Trimestriel!CP8="",IPC_Trimestriel!CL8=""),"",AVERAGE(IPC_Trimestriel!CP8:CS8)/AVERAGE(IPC_Trimestriel!CL8:CO8)-1)</f>
        <v>4.2999803516659441E-2</v>
      </c>
      <c r="CP8" s="31">
        <f>IF(OR(IPC_Trimestriel!CT8="",IPC_Trimestriel!CQ8="",IPC_Trimestriel!CM8=""),"",AVERAGE(IPC_Trimestriel!CQ8:CT8)/AVERAGE(IPC_Trimestriel!CM8:CP8)-1)</f>
        <v>3.9565667617899702E-2</v>
      </c>
    </row>
    <row r="9" spans="1:94" s="1" customFormat="1" ht="10.199999999999999" x14ac:dyDescent="0.2">
      <c r="A9" s="11" t="s">
        <v>13</v>
      </c>
      <c r="B9" s="1" t="s">
        <v>14</v>
      </c>
      <c r="C9" s="5"/>
      <c r="D9" s="31"/>
      <c r="E9" s="31"/>
      <c r="F9" s="31"/>
      <c r="G9" s="31" t="str">
        <f>IF(OR(IPC_Trimestriel!K9="",IPC_Trimestriel!H9="",IPC_Trimestriel!D9=""),"",AVERAGE(IPC_Trimestriel!H9:K9)/AVERAGE(IPC_Trimestriel!D9:G9)-1)</f>
        <v/>
      </c>
      <c r="H9" s="31" t="str">
        <f>IF(OR(IPC_Trimestriel!L9="",IPC_Trimestriel!I9="",IPC_Trimestriel!E9=""),"",AVERAGE(IPC_Trimestriel!I9:L9)/AVERAGE(IPC_Trimestriel!E9:H9)-1)</f>
        <v/>
      </c>
      <c r="I9" s="31" t="str">
        <f>IF(OR(IPC_Trimestriel!M9="",IPC_Trimestriel!J9="",IPC_Trimestriel!F9=""),"",AVERAGE(IPC_Trimestriel!J9:M9)/AVERAGE(IPC_Trimestriel!F9:I9)-1)</f>
        <v/>
      </c>
      <c r="J9" s="31" t="str">
        <f>IF(OR(IPC_Trimestriel!N9="",IPC_Trimestriel!K9="",IPC_Trimestriel!G9=""),"",AVERAGE(IPC_Trimestriel!K9:N9)/AVERAGE(IPC_Trimestriel!G9:J9)-1)</f>
        <v/>
      </c>
      <c r="K9" s="31" t="str">
        <f>IF(OR(IPC_Trimestriel!O9="",IPC_Trimestriel!L9="",IPC_Trimestriel!H9=""),"",AVERAGE(IPC_Trimestriel!L9:O9)/AVERAGE(IPC_Trimestriel!H9:K9)-1)</f>
        <v/>
      </c>
      <c r="L9" s="31" t="str">
        <f>IF(OR(IPC_Trimestriel!P9="",IPC_Trimestriel!M9="",IPC_Trimestriel!I9=""),"",AVERAGE(IPC_Trimestriel!M9:P9)/AVERAGE(IPC_Trimestriel!I9:L9)-1)</f>
        <v/>
      </c>
      <c r="M9" s="31" t="str">
        <f>IF(OR(IPC_Trimestriel!Q9="",IPC_Trimestriel!N9="",IPC_Trimestriel!J9=""),"",AVERAGE(IPC_Trimestriel!N9:Q9)/AVERAGE(IPC_Trimestriel!J9:M9)-1)</f>
        <v/>
      </c>
      <c r="N9" s="31" t="str">
        <f>IF(OR(IPC_Trimestriel!R9="",IPC_Trimestriel!O9="",IPC_Trimestriel!K9=""),"",AVERAGE(IPC_Trimestriel!O9:R9)/AVERAGE(IPC_Trimestriel!K9:N9)-1)</f>
        <v/>
      </c>
      <c r="O9" s="31" t="str">
        <f>IF(OR(IPC_Trimestriel!S9="",IPC_Trimestriel!P9="",IPC_Trimestriel!L9=""),"",AVERAGE(IPC_Trimestriel!P9:S9)/AVERAGE(IPC_Trimestriel!L9:O9)-1)</f>
        <v/>
      </c>
      <c r="P9" s="31" t="str">
        <f>IF(OR(IPC_Trimestriel!T9="",IPC_Trimestriel!Q9="",IPC_Trimestriel!M9=""),"",AVERAGE(IPC_Trimestriel!Q9:T9)/AVERAGE(IPC_Trimestriel!M9:P9)-1)</f>
        <v/>
      </c>
      <c r="Q9" s="31" t="str">
        <f>IF(OR(IPC_Trimestriel!U9="",IPC_Trimestriel!R9="",IPC_Trimestriel!N9=""),"",AVERAGE(IPC_Trimestriel!R9:U9)/AVERAGE(IPC_Trimestriel!N9:Q9)-1)</f>
        <v/>
      </c>
      <c r="R9" s="31" t="str">
        <f>IF(OR(IPC_Trimestriel!V9="",IPC_Trimestriel!S9="",IPC_Trimestriel!O9=""),"",AVERAGE(IPC_Trimestriel!S9:V9)/AVERAGE(IPC_Trimestriel!O9:R9)-1)</f>
        <v/>
      </c>
      <c r="S9" s="31" t="str">
        <f>IF(OR(IPC_Trimestriel!W9="",IPC_Trimestriel!T9="",IPC_Trimestriel!P9=""),"",AVERAGE(IPC_Trimestriel!T9:W9)/AVERAGE(IPC_Trimestriel!P9:S9)-1)</f>
        <v/>
      </c>
      <c r="T9" s="31" t="str">
        <f>IF(OR(IPC_Trimestriel!X9="",IPC_Trimestriel!U9="",IPC_Trimestriel!Q9=""),"",AVERAGE(IPC_Trimestriel!U9:X9)/AVERAGE(IPC_Trimestriel!Q9:T9)-1)</f>
        <v/>
      </c>
      <c r="U9" s="31" t="str">
        <f>IF(OR(IPC_Trimestriel!Y9="",IPC_Trimestriel!V9="",IPC_Trimestriel!R9=""),"",AVERAGE(IPC_Trimestriel!V9:Y9)/AVERAGE(IPC_Trimestriel!R9:U9)-1)</f>
        <v/>
      </c>
      <c r="V9" s="31" t="str">
        <f>IF(OR(IPC_Trimestriel!Z9="",IPC_Trimestriel!W9="",IPC_Trimestriel!S9=""),"",AVERAGE(IPC_Trimestriel!W9:Z9)/AVERAGE(IPC_Trimestriel!S9:V9)-1)</f>
        <v/>
      </c>
      <c r="W9" s="31" t="str">
        <f>IF(OR(IPC_Trimestriel!AA9="",IPC_Trimestriel!X9="",IPC_Trimestriel!T9=""),"",AVERAGE(IPC_Trimestriel!X9:AA9)/AVERAGE(IPC_Trimestriel!T9:W9)-1)</f>
        <v/>
      </c>
      <c r="X9" s="31" t="str">
        <f>IF(OR(IPC_Trimestriel!AB9="",IPC_Trimestriel!Y9="",IPC_Trimestriel!U9=""),"",AVERAGE(IPC_Trimestriel!Y9:AB9)/AVERAGE(IPC_Trimestriel!U9:X9)-1)</f>
        <v/>
      </c>
      <c r="Y9" s="31" t="str">
        <f>IF(OR(IPC_Trimestriel!AC9="",IPC_Trimestriel!Z9="",IPC_Trimestriel!V9=""),"",AVERAGE(IPC_Trimestriel!Z9:AC9)/AVERAGE(IPC_Trimestriel!V9:Y9)-1)</f>
        <v/>
      </c>
      <c r="Z9" s="31" t="str">
        <f>IF(OR(IPC_Trimestriel!AD9="",IPC_Trimestriel!AA9="",IPC_Trimestriel!W9=""),"",AVERAGE(IPC_Trimestriel!AA9:AD9)/AVERAGE(IPC_Trimestriel!W9:Z9)-1)</f>
        <v/>
      </c>
      <c r="AA9" s="31" t="str">
        <f>IF(OR(IPC_Trimestriel!AE9="",IPC_Trimestriel!AB9="",IPC_Trimestriel!X9=""),"",AVERAGE(IPC_Trimestriel!AB9:AE9)/AVERAGE(IPC_Trimestriel!X9:AA9)-1)</f>
        <v/>
      </c>
      <c r="AB9" s="31" t="str">
        <f>IF(OR(IPC_Trimestriel!AF9="",IPC_Trimestriel!AC9="",IPC_Trimestriel!Y9=""),"",AVERAGE(IPC_Trimestriel!AC9:AF9)/AVERAGE(IPC_Trimestriel!Y9:AB9)-1)</f>
        <v/>
      </c>
      <c r="AC9" s="31" t="str">
        <f>IF(OR(IPC_Trimestriel!AG9="",IPC_Trimestriel!AD9="",IPC_Trimestriel!Z9=""),"",AVERAGE(IPC_Trimestriel!AD9:AG9)/AVERAGE(IPC_Trimestriel!Z9:AC9)-1)</f>
        <v/>
      </c>
      <c r="AD9" s="31" t="str">
        <f>IF(OR(IPC_Trimestriel!AH9="",IPC_Trimestriel!AE9="",IPC_Trimestriel!AA9=""),"",AVERAGE(IPC_Trimestriel!AE9:AH9)/AVERAGE(IPC_Trimestriel!AA9:AD9)-1)</f>
        <v/>
      </c>
      <c r="AE9" s="31" t="str">
        <f>IF(OR(IPC_Trimestriel!AI9="",IPC_Trimestriel!AF9="",IPC_Trimestriel!AB9=""),"",AVERAGE(IPC_Trimestriel!AF9:AI9)/AVERAGE(IPC_Trimestriel!AB9:AE9)-1)</f>
        <v/>
      </c>
      <c r="AF9" s="31" t="str">
        <f>IF(OR(IPC_Trimestriel!AJ9="",IPC_Trimestriel!AG9="",IPC_Trimestriel!AC9=""),"",AVERAGE(IPC_Trimestriel!AG9:AJ9)/AVERAGE(IPC_Trimestriel!AC9:AF9)-1)</f>
        <v/>
      </c>
      <c r="AG9" s="31" t="str">
        <f>IF(OR(IPC_Trimestriel!AK9="",IPC_Trimestriel!AH9="",IPC_Trimestriel!AD9=""),"",AVERAGE(IPC_Trimestriel!AH9:AK9)/AVERAGE(IPC_Trimestriel!AD9:AG9)-1)</f>
        <v/>
      </c>
      <c r="AH9" s="31" t="str">
        <f>IF(OR(IPC_Trimestriel!AL9="",IPC_Trimestriel!AI9="",IPC_Trimestriel!AE9=""),"",AVERAGE(IPC_Trimestriel!AI9:AL9)/AVERAGE(IPC_Trimestriel!AE9:AH9)-1)</f>
        <v/>
      </c>
      <c r="AI9" s="31" t="str">
        <f>IF(OR(IPC_Trimestriel!AM9="",IPC_Trimestriel!AJ9="",IPC_Trimestriel!AF9=""),"",AVERAGE(IPC_Trimestriel!AJ9:AM9)/AVERAGE(IPC_Trimestriel!AF9:AI9)-1)</f>
        <v/>
      </c>
      <c r="AJ9" s="31" t="str">
        <f>IF(OR(IPC_Trimestriel!AN9="",IPC_Trimestriel!AK9="",IPC_Trimestriel!AG9=""),"",AVERAGE(IPC_Trimestriel!AK9:AN9)/AVERAGE(IPC_Trimestriel!AG9:AJ9)-1)</f>
        <v/>
      </c>
      <c r="AK9" s="31" t="str">
        <f>IF(OR(IPC_Trimestriel!AO9="",IPC_Trimestriel!AL9="",IPC_Trimestriel!AH9=""),"",AVERAGE(IPC_Trimestriel!AL9:AO9)/AVERAGE(IPC_Trimestriel!AH9:AK9)-1)</f>
        <v/>
      </c>
      <c r="AL9" s="31" t="str">
        <f>IF(OR(IPC_Trimestriel!AP9="",IPC_Trimestriel!AM9="",IPC_Trimestriel!AI9=""),"",AVERAGE(IPC_Trimestriel!AM9:AP9)/AVERAGE(IPC_Trimestriel!AI9:AL9)-1)</f>
        <v/>
      </c>
      <c r="AM9" s="31" t="str">
        <f>IF(OR(IPC_Trimestriel!AQ9="",IPC_Trimestriel!AN9="",IPC_Trimestriel!AJ9=""),"",AVERAGE(IPC_Trimestriel!AN9:AQ9)/AVERAGE(IPC_Trimestriel!AJ9:AM9)-1)</f>
        <v/>
      </c>
      <c r="AN9" s="31" t="str">
        <f>IF(OR(IPC_Trimestriel!AR9="",IPC_Trimestriel!AO9="",IPC_Trimestriel!AK9=""),"",AVERAGE(IPC_Trimestriel!AO9:AR9)/AVERAGE(IPC_Trimestriel!AK9:AN9)-1)</f>
        <v/>
      </c>
      <c r="AO9" s="31" t="str">
        <f>IF(OR(IPC_Trimestriel!AS9="",IPC_Trimestriel!AP9="",IPC_Trimestriel!AL9=""),"",AVERAGE(IPC_Trimestriel!AP9:AS9)/AVERAGE(IPC_Trimestriel!AL9:AO9)-1)</f>
        <v/>
      </c>
      <c r="AP9" s="31" t="str">
        <f>IF(OR(IPC_Trimestriel!AT9="",IPC_Trimestriel!AQ9="",IPC_Trimestriel!AM9=""),"",AVERAGE(IPC_Trimestriel!AQ9:AT9)/AVERAGE(IPC_Trimestriel!AM9:AP9)-1)</f>
        <v/>
      </c>
      <c r="AQ9" s="31" t="str">
        <f>IF(OR(IPC_Trimestriel!AU9="",IPC_Trimestriel!AR9="",IPC_Trimestriel!AN9=""),"",AVERAGE(IPC_Trimestriel!AR9:AU9)/AVERAGE(IPC_Trimestriel!AN9:AQ9)-1)</f>
        <v/>
      </c>
      <c r="AR9" s="31" t="str">
        <f>IF(OR(IPC_Trimestriel!AV9="",IPC_Trimestriel!AS9="",IPC_Trimestriel!AO9=""),"",AVERAGE(IPC_Trimestriel!AS9:AV9)/AVERAGE(IPC_Trimestriel!AO9:AR9)-1)</f>
        <v/>
      </c>
      <c r="AS9" s="31" t="str">
        <f>IF(OR(IPC_Trimestriel!AW9="",IPC_Trimestriel!AT9="",IPC_Trimestriel!AP9=""),"",AVERAGE(IPC_Trimestriel!AT9:AW9)/AVERAGE(IPC_Trimestriel!AP9:AS9)-1)</f>
        <v/>
      </c>
      <c r="AT9" s="31" t="str">
        <f>IF(OR(IPC_Trimestriel!AX9="",IPC_Trimestriel!AU9="",IPC_Trimestriel!AQ9=""),"",AVERAGE(IPC_Trimestriel!AU9:AX9)/AVERAGE(IPC_Trimestriel!AQ9:AT9)-1)</f>
        <v/>
      </c>
      <c r="AU9" s="31" t="str">
        <f>IF(OR(IPC_Trimestriel!AY9="",IPC_Trimestriel!AV9="",IPC_Trimestriel!AR9=""),"",AVERAGE(IPC_Trimestriel!AV9:AY9)/AVERAGE(IPC_Trimestriel!AR9:AU9)-1)</f>
        <v/>
      </c>
      <c r="AV9" s="31" t="str">
        <f>IF(OR(IPC_Trimestriel!AZ9="",IPC_Trimestriel!AW9="",IPC_Trimestriel!AS9=""),"",AVERAGE(IPC_Trimestriel!AW9:AZ9)/AVERAGE(IPC_Trimestriel!AS9:AV9)-1)</f>
        <v/>
      </c>
      <c r="AW9" s="31" t="str">
        <f>IF(OR(IPC_Trimestriel!BA9="",IPC_Trimestriel!AX9="",IPC_Trimestriel!AT9=""),"",AVERAGE(IPC_Trimestriel!AX9:BA9)/AVERAGE(IPC_Trimestriel!AT9:AW9)-1)</f>
        <v/>
      </c>
      <c r="AX9" s="31" t="str">
        <f>IF(OR(IPC_Trimestriel!BB9="",IPC_Trimestriel!AY9="",IPC_Trimestriel!AU9=""),"",AVERAGE(IPC_Trimestriel!AY9:BB9)/AVERAGE(IPC_Trimestriel!AU9:AX9)-1)</f>
        <v/>
      </c>
      <c r="AY9" s="31" t="str">
        <f>IF(OR(IPC_Trimestriel!BC9="",IPC_Trimestriel!AZ9="",IPC_Trimestriel!AV9=""),"",AVERAGE(IPC_Trimestriel!AZ9:BC9)/AVERAGE(IPC_Trimestriel!AV9:AY9)-1)</f>
        <v/>
      </c>
      <c r="AZ9" s="31" t="str">
        <f>IF(OR(IPC_Trimestriel!BD9="",IPC_Trimestriel!BA9="",IPC_Trimestriel!AW9=""),"",AVERAGE(IPC_Trimestriel!BA9:BD9)/AVERAGE(IPC_Trimestriel!AW9:AZ9)-1)</f>
        <v/>
      </c>
      <c r="BA9" s="31" t="str">
        <f>IF(OR(IPC_Trimestriel!BE9="",IPC_Trimestriel!BB9="",IPC_Trimestriel!AX9=""),"",AVERAGE(IPC_Trimestriel!BB9:BE9)/AVERAGE(IPC_Trimestriel!AX9:BA9)-1)</f>
        <v/>
      </c>
      <c r="BB9" s="31" t="str">
        <f>IF(OR(IPC_Trimestriel!BF9="",IPC_Trimestriel!BC9="",IPC_Trimestriel!AY9=""),"",AVERAGE(IPC_Trimestriel!BC9:BF9)/AVERAGE(IPC_Trimestriel!AY9:BB9)-1)</f>
        <v/>
      </c>
      <c r="BC9" s="31">
        <f>IF(OR(IPC_Trimestriel!BG9="",IPC_Trimestriel!BD9="",IPC_Trimestriel!AZ9=""),"",AVERAGE(IPC_Trimestriel!BD9:BG9)/AVERAGE(IPC_Trimestriel!AZ9:BC9)-1)</f>
        <v>1.267404275294215E-2</v>
      </c>
      <c r="BD9" s="31">
        <f>IF(OR(IPC_Trimestriel!BH9="",IPC_Trimestriel!BE9="",IPC_Trimestriel!BA9=""),"",AVERAGE(IPC_Trimestriel!BE9:BH9)/AVERAGE(IPC_Trimestriel!BA9:BD9)-1)</f>
        <v>1.2251390623238656E-2</v>
      </c>
      <c r="BE9" s="31">
        <f>IF(OR(IPC_Trimestriel!BI9="",IPC_Trimestriel!BF9="",IPC_Trimestriel!BB9=""),"",AVERAGE(IPC_Trimestriel!BF9:BI9)/AVERAGE(IPC_Trimestriel!BB9:BE9)-1)</f>
        <v>1.3456930507944387E-2</v>
      </c>
      <c r="BF9" s="31">
        <f>IF(OR(IPC_Trimestriel!BJ9="",IPC_Trimestriel!BG9="",IPC_Trimestriel!BC9=""),"",AVERAGE(IPC_Trimestriel!BG9:BJ9)/AVERAGE(IPC_Trimestriel!BC9:BF9)-1)</f>
        <v>1.5145900763225528E-2</v>
      </c>
      <c r="BG9" s="31">
        <f>IF(OR(IPC_Trimestriel!BK9="",IPC_Trimestriel!BH9="",IPC_Trimestriel!BD9=""),"",AVERAGE(IPC_Trimestriel!BH9:BK9)/AVERAGE(IPC_Trimestriel!BD9:BG9)-1)</f>
        <v>1.5552044535412701E-2</v>
      </c>
      <c r="BH9" s="31">
        <f>IF(OR(IPC_Trimestriel!BL9="",IPC_Trimestriel!BI9="",IPC_Trimestriel!BE9=""),"",AVERAGE(IPC_Trimestriel!BI9:BL9)/AVERAGE(IPC_Trimestriel!BE9:BH9)-1)</f>
        <v>1.5503273556429109E-2</v>
      </c>
      <c r="BI9" s="31">
        <f>IF(OR(IPC_Trimestriel!BM9="",IPC_Trimestriel!BJ9="",IPC_Trimestriel!BF9=""),"",AVERAGE(IPC_Trimestriel!BJ9:BM9)/AVERAGE(IPC_Trimestriel!BF9:BI9)-1)</f>
        <v>1.2248349255772784E-2</v>
      </c>
      <c r="BJ9" s="31">
        <f>IF(OR(IPC_Trimestriel!BN9="",IPC_Trimestriel!BK9="",IPC_Trimestriel!BG9=""),"",AVERAGE(IPC_Trimestriel!BK9:BN9)/AVERAGE(IPC_Trimestriel!BG9:BJ9)-1)</f>
        <v>7.7326045832009083E-3</v>
      </c>
      <c r="BK9" s="31">
        <f>IF(OR(IPC_Trimestriel!BO9="",IPC_Trimestriel!BL9="",IPC_Trimestriel!BH9=""),"",AVERAGE(IPC_Trimestriel!BL9:BO9)/AVERAGE(IPC_Trimestriel!BH9:BK9)-1)</f>
        <v>1.6311906071897475E-3</v>
      </c>
      <c r="BL9" s="31">
        <f>IF(OR(IPC_Trimestriel!BP9="",IPC_Trimestriel!BM9="",IPC_Trimestriel!BI9=""),"",AVERAGE(IPC_Trimestriel!BM9:BP9)/AVERAGE(IPC_Trimestriel!BI9:BL9)-1)</f>
        <v>-2.2418489628514005E-3</v>
      </c>
      <c r="BM9" s="31">
        <f>IF(OR(IPC_Trimestriel!BQ9="",IPC_Trimestriel!BN9="",IPC_Trimestriel!BJ9=""),"",AVERAGE(IPC_Trimestriel!BN9:BQ9)/AVERAGE(IPC_Trimestriel!BJ9:BM9)-1)</f>
        <v>-3.7229430588515688E-3</v>
      </c>
      <c r="BN9" s="31">
        <f>IF(OR(IPC_Trimestriel!BR9="",IPC_Trimestriel!BO9="",IPC_Trimestriel!BK9=""),"",AVERAGE(IPC_Trimestriel!BO9:BR9)/AVERAGE(IPC_Trimestriel!BK9:BN9)-1)</f>
        <v>-2.6616949490636532E-3</v>
      </c>
      <c r="BO9" s="31">
        <f>IF(OR(IPC_Trimestriel!BS9="",IPC_Trimestriel!BP9="",IPC_Trimestriel!BL9=""),"",AVERAGE(IPC_Trimestriel!BP9:BS9)/AVERAGE(IPC_Trimestriel!BL9:BO9)-1)</f>
        <v>7.0759236615680621E-4</v>
      </c>
      <c r="BP9" s="31">
        <f>IF(OR(IPC_Trimestriel!BT9="",IPC_Trimestriel!BQ9="",IPC_Trimestriel!BM9=""),"",AVERAGE(IPC_Trimestriel!BQ9:BT9)/AVERAGE(IPC_Trimestriel!BM9:BP9)-1)</f>
        <v>4.3638084742656513E-3</v>
      </c>
      <c r="BQ9" s="31">
        <f>IF(OR(IPC_Trimestriel!BU9="",IPC_Trimestriel!BR9="",IPC_Trimestriel!BN9=""),"",AVERAGE(IPC_Trimestriel!BR9:BU9)/AVERAGE(IPC_Trimestriel!BN9:BQ9)-1)</f>
        <v>8.3942612748755252E-3</v>
      </c>
      <c r="BR9" s="31">
        <f>IF(OR(IPC_Trimestriel!BV9="",IPC_Trimestriel!BS9="",IPC_Trimestriel!BO9=""),"",AVERAGE(IPC_Trimestriel!BS9:BV9)/AVERAGE(IPC_Trimestriel!BO9:BR9)-1)</f>
        <v>9.0836683555541864E-3</v>
      </c>
      <c r="BS9" s="31">
        <f>IF(OR(IPC_Trimestriel!BW9="",IPC_Trimestriel!BT9="",IPC_Trimestriel!BP9=""),"",AVERAGE(IPC_Trimestriel!BT9:BW9)/AVERAGE(IPC_Trimestriel!BP9:BS9)-1)</f>
        <v>9.5773017903528768E-3</v>
      </c>
      <c r="BT9" s="31">
        <f>IF(OR(IPC_Trimestriel!BX9="",IPC_Trimestriel!BU9="",IPC_Trimestriel!BQ9=""),"",AVERAGE(IPC_Trimestriel!BU9:BX9)/AVERAGE(IPC_Trimestriel!BQ9:BT9)-1)</f>
        <v>9.3448626886072361E-3</v>
      </c>
      <c r="BU9" s="31">
        <f>IF(OR(IPC_Trimestriel!BY9="",IPC_Trimestriel!BV9="",IPC_Trimestriel!BR9=""),"",AVERAGE(IPC_Trimestriel!BV9:BY9)/AVERAGE(IPC_Trimestriel!BR9:BU9)-1)</f>
        <v>1.0391790105499732E-2</v>
      </c>
      <c r="BV9" s="31">
        <f>IF(OR(IPC_Trimestriel!BZ9="",IPC_Trimestriel!BW9="",IPC_Trimestriel!BS9=""),"",AVERAGE(IPC_Trimestriel!BW9:BZ9)/AVERAGE(IPC_Trimestriel!BS9:BV9)-1)</f>
        <v>1.3672182244826692E-2</v>
      </c>
      <c r="BW9" s="31">
        <f>IF(OR(IPC_Trimestriel!CA9="",IPC_Trimestriel!BX9="",IPC_Trimestriel!BT9=""),"",AVERAGE(IPC_Trimestriel!BX9:CA9)/AVERAGE(IPC_Trimestriel!BT9:BW9)-1)</f>
        <v>1.8907095264522278E-2</v>
      </c>
      <c r="BX9" s="31">
        <f>IF(OR(IPC_Trimestriel!CB9="",IPC_Trimestriel!BY9="",IPC_Trimestriel!BU9=""),"",AVERAGE(IPC_Trimestriel!BY9:CB9)/AVERAGE(IPC_Trimestriel!BU9:BX9)-1)</f>
        <v>2.3261663336328287E-2</v>
      </c>
      <c r="BY9" s="31">
        <f>IF(OR(IPC_Trimestriel!CC9="",IPC_Trimestriel!BZ9="",IPC_Trimestriel!BV9=""),"",AVERAGE(IPC_Trimestriel!BZ9:CC9)/AVERAGE(IPC_Trimestriel!BV9:BY9)-1)</f>
        <v>2.6015081169070697E-2</v>
      </c>
      <c r="BZ9" s="31">
        <f>IF(OR(IPC_Trimestriel!CD9="",IPC_Trimestriel!CA9="",IPC_Trimestriel!BW9=""),"",AVERAGE(IPC_Trimestriel!CA9:CD9)/AVERAGE(IPC_Trimestriel!BW9:BZ9)-1)</f>
        <v>2.7331363241242634E-2</v>
      </c>
      <c r="CA9" s="31">
        <f>IF(OR(IPC_Trimestriel!CE9="",IPC_Trimestriel!CB9="",IPC_Trimestriel!BX9=""),"",AVERAGE(IPC_Trimestriel!CB9:CE9)/AVERAGE(IPC_Trimestriel!BX9:CA9)-1)</f>
        <v>2.4463095484427155E-2</v>
      </c>
      <c r="CB9" s="31">
        <f>IF(OR(IPC_Trimestriel!CF9="",IPC_Trimestriel!CC9="",IPC_Trimestriel!BY9=""),"",AVERAGE(IPC_Trimestriel!CC9:CF9)/AVERAGE(IPC_Trimestriel!BY9:CB9)-1)</f>
        <v>2.09472599079914E-2</v>
      </c>
      <c r="CC9" s="31">
        <f>IF(OR(IPC_Trimestriel!CG9="",IPC_Trimestriel!CD9="",IPC_Trimestriel!BZ9=""),"",AVERAGE(IPC_Trimestriel!CD9:CG9)/AVERAGE(IPC_Trimestriel!BZ9:CC9)-1)</f>
        <v>2.0215732103583184E-2</v>
      </c>
      <c r="CD9" s="31">
        <f>IF(OR(IPC_Trimestriel!CH9="",IPC_Trimestriel!CE9="",IPC_Trimestriel!CA9=""),"",AVERAGE(IPC_Trimestriel!CE9:CH9)/AVERAGE(IPC_Trimestriel!CA9:CD9)-1)</f>
        <v>2.0738471028850292E-2</v>
      </c>
      <c r="CE9" s="31">
        <f>IF(OR(IPC_Trimestriel!CI9="",IPC_Trimestriel!CF9="",IPC_Trimestriel!CB9=""),"",AVERAGE(IPC_Trimestriel!CF9:CI9)/AVERAGE(IPC_Trimestriel!CB9:CE9)-1)</f>
        <v>2.4295049605172148E-2</v>
      </c>
      <c r="CF9" s="31">
        <f>IF(OR(IPC_Trimestriel!CJ9="",IPC_Trimestriel!CG9="",IPC_Trimestriel!CC9=""),"",AVERAGE(IPC_Trimestriel!CG9:CJ9)/AVERAGE(IPC_Trimestriel!CC9:CF9)-1)</f>
        <v>2.9785642178914884E-2</v>
      </c>
      <c r="CG9" s="31">
        <f>IF(OR(IPC_Trimestriel!CK9="",IPC_Trimestriel!CH9="",IPC_Trimestriel!CD9=""),"",AVERAGE(IPC_Trimestriel!CH9:CK9)/AVERAGE(IPC_Trimestriel!CD9:CG9)-1)</f>
        <v>2.844471987419861E-2</v>
      </c>
      <c r="CH9" s="31">
        <f>IF(OR(IPC_Trimestriel!CL9="",IPC_Trimestriel!CI9="",IPC_Trimestriel!CE9=""),"",AVERAGE(IPC_Trimestriel!CI9:CL9)/AVERAGE(IPC_Trimestriel!CE9:CH9)-1)</f>
        <v>2.7229589914937735E-2</v>
      </c>
      <c r="CI9" s="31">
        <f>IF(OR(IPC_Trimestriel!CM9="",IPC_Trimestriel!CJ9="",IPC_Trimestriel!CF9=""),"",AVERAGE(IPC_Trimestriel!CJ9:CM9)/AVERAGE(IPC_Trimestriel!CF9:CI9)-1)</f>
        <v>2.50608207529468E-2</v>
      </c>
      <c r="CJ9" s="31">
        <f>IF(OR(IPC_Trimestriel!CN9="",IPC_Trimestriel!CK9="",IPC_Trimestriel!CG9=""),"",AVERAGE(IPC_Trimestriel!CK9:CN9)/AVERAGE(IPC_Trimestriel!CG9:CJ9)-1)</f>
        <v>2.3340843424442426E-2</v>
      </c>
      <c r="CK9" s="31">
        <f>IF(OR(IPC_Trimestriel!CO9="",IPC_Trimestriel!CL9="",IPC_Trimestriel!CH9=""),"",AVERAGE(IPC_Trimestriel!CL9:CO9)/AVERAGE(IPC_Trimestriel!CH9:CK9)-1)</f>
        <v>2.9073320675008452E-2</v>
      </c>
      <c r="CL9" s="31">
        <f>IF(OR(IPC_Trimestriel!CP9="",IPC_Trimestriel!CM9="",IPC_Trimestriel!CI9=""),"",AVERAGE(IPC_Trimestriel!CM9:CP9)/AVERAGE(IPC_Trimestriel!CI9:CL9)-1)</f>
        <v>3.4038708153545816E-2</v>
      </c>
      <c r="CM9" s="31">
        <f>IF(OR(IPC_Trimestriel!CQ9="",IPC_Trimestriel!CN9="",IPC_Trimestriel!CJ9=""),"",AVERAGE(IPC_Trimestriel!CN9:CQ9)/AVERAGE(IPC_Trimestriel!CJ9:CM9)-1)</f>
        <v>3.9572792402795098E-2</v>
      </c>
      <c r="CN9" s="31">
        <f>IF(OR(IPC_Trimestriel!CR9="",IPC_Trimestriel!CO9="",IPC_Trimestriel!CK9=""),"",AVERAGE(IPC_Trimestriel!CO9:CR9)/AVERAGE(IPC_Trimestriel!CK9:CN9)-1)</f>
        <v>4.3744578656044864E-2</v>
      </c>
      <c r="CO9" s="31">
        <f>IF(OR(IPC_Trimestriel!CS9="",IPC_Trimestriel!CP9="",IPC_Trimestriel!CL9=""),"",AVERAGE(IPC_Trimestriel!CP9:CS9)/AVERAGE(IPC_Trimestriel!CL9:CO9)-1)</f>
        <v>4.3759740866242902E-2</v>
      </c>
      <c r="CP9" s="31">
        <f>IF(OR(IPC_Trimestriel!CT9="",IPC_Trimestriel!CQ9="",IPC_Trimestriel!CM9=""),"",AVERAGE(IPC_Trimestriel!CQ9:CT9)/AVERAGE(IPC_Trimestriel!CM9:CP9)-1)</f>
        <v>4.4167173903814083E-2</v>
      </c>
    </row>
    <row r="10" spans="1:94" s="1" customFormat="1" ht="10.199999999999999" x14ac:dyDescent="0.2">
      <c r="A10" s="11" t="s">
        <v>15</v>
      </c>
      <c r="B10" s="12" t="s">
        <v>79</v>
      </c>
      <c r="C10" s="5"/>
      <c r="D10" s="31"/>
      <c r="E10" s="31"/>
      <c r="F10" s="31"/>
      <c r="G10" s="31" t="str">
        <f>IF(OR(IPC_Trimestriel!K10="",IPC_Trimestriel!H10="",IPC_Trimestriel!D10=""),"",AVERAGE(IPC_Trimestriel!H10:K10)/AVERAGE(IPC_Trimestriel!D10:G10)-1)</f>
        <v/>
      </c>
      <c r="H10" s="31" t="str">
        <f>IF(OR(IPC_Trimestriel!L10="",IPC_Trimestriel!I10="",IPC_Trimestriel!E10=""),"",AVERAGE(IPC_Trimestriel!I10:L10)/AVERAGE(IPC_Trimestriel!E10:H10)-1)</f>
        <v/>
      </c>
      <c r="I10" s="31" t="str">
        <f>IF(OR(IPC_Trimestriel!M10="",IPC_Trimestriel!J10="",IPC_Trimestriel!F10=""),"",AVERAGE(IPC_Trimestriel!J10:M10)/AVERAGE(IPC_Trimestriel!F10:I10)-1)</f>
        <v/>
      </c>
      <c r="J10" s="31" t="str">
        <f>IF(OR(IPC_Trimestriel!N10="",IPC_Trimestriel!K10="",IPC_Trimestriel!G10=""),"",AVERAGE(IPC_Trimestriel!K10:N10)/AVERAGE(IPC_Trimestriel!G10:J10)-1)</f>
        <v/>
      </c>
      <c r="K10" s="31" t="str">
        <f>IF(OR(IPC_Trimestriel!O10="",IPC_Trimestriel!L10="",IPC_Trimestriel!H10=""),"",AVERAGE(IPC_Trimestriel!L10:O10)/AVERAGE(IPC_Trimestriel!H10:K10)-1)</f>
        <v/>
      </c>
      <c r="L10" s="31" t="str">
        <f>IF(OR(IPC_Trimestriel!P10="",IPC_Trimestriel!M10="",IPC_Trimestriel!I10=""),"",AVERAGE(IPC_Trimestriel!M10:P10)/AVERAGE(IPC_Trimestriel!I10:L10)-1)</f>
        <v/>
      </c>
      <c r="M10" s="31" t="str">
        <f>IF(OR(IPC_Trimestriel!Q10="",IPC_Trimestriel!N10="",IPC_Trimestriel!J10=""),"",AVERAGE(IPC_Trimestriel!N10:Q10)/AVERAGE(IPC_Trimestriel!J10:M10)-1)</f>
        <v/>
      </c>
      <c r="N10" s="31" t="str">
        <f>IF(OR(IPC_Trimestriel!R10="",IPC_Trimestriel!O10="",IPC_Trimestriel!K10=""),"",AVERAGE(IPC_Trimestriel!O10:R10)/AVERAGE(IPC_Trimestriel!K10:N10)-1)</f>
        <v/>
      </c>
      <c r="O10" s="31" t="str">
        <f>IF(OR(IPC_Trimestriel!S10="",IPC_Trimestriel!P10="",IPC_Trimestriel!L10=""),"",AVERAGE(IPC_Trimestriel!P10:S10)/AVERAGE(IPC_Trimestriel!L10:O10)-1)</f>
        <v/>
      </c>
      <c r="P10" s="31" t="str">
        <f>IF(OR(IPC_Trimestriel!T10="",IPC_Trimestriel!Q10="",IPC_Trimestriel!M10=""),"",AVERAGE(IPC_Trimestriel!Q10:T10)/AVERAGE(IPC_Trimestriel!M10:P10)-1)</f>
        <v/>
      </c>
      <c r="Q10" s="31" t="str">
        <f>IF(OR(IPC_Trimestriel!U10="",IPC_Trimestriel!R10="",IPC_Trimestriel!N10=""),"",AVERAGE(IPC_Trimestriel!R10:U10)/AVERAGE(IPC_Trimestriel!N10:Q10)-1)</f>
        <v/>
      </c>
      <c r="R10" s="31" t="str">
        <f>IF(OR(IPC_Trimestriel!V10="",IPC_Trimestriel!S10="",IPC_Trimestriel!O10=""),"",AVERAGE(IPC_Trimestriel!S10:V10)/AVERAGE(IPC_Trimestriel!O10:R10)-1)</f>
        <v/>
      </c>
      <c r="S10" s="31" t="str">
        <f>IF(OR(IPC_Trimestriel!W10="",IPC_Trimestriel!T10="",IPC_Trimestriel!P10=""),"",AVERAGE(IPC_Trimestriel!T10:W10)/AVERAGE(IPC_Trimestriel!P10:S10)-1)</f>
        <v/>
      </c>
      <c r="T10" s="31" t="str">
        <f>IF(OR(IPC_Trimestriel!X10="",IPC_Trimestriel!U10="",IPC_Trimestriel!Q10=""),"",AVERAGE(IPC_Trimestriel!U10:X10)/AVERAGE(IPC_Trimestriel!Q10:T10)-1)</f>
        <v/>
      </c>
      <c r="U10" s="31" t="str">
        <f>IF(OR(IPC_Trimestriel!Y10="",IPC_Trimestriel!V10="",IPC_Trimestriel!R10=""),"",AVERAGE(IPC_Trimestriel!V10:Y10)/AVERAGE(IPC_Trimestriel!R10:U10)-1)</f>
        <v/>
      </c>
      <c r="V10" s="31" t="str">
        <f>IF(OR(IPC_Trimestriel!Z10="",IPC_Trimestriel!W10="",IPC_Trimestriel!S10=""),"",AVERAGE(IPC_Trimestriel!W10:Z10)/AVERAGE(IPC_Trimestriel!S10:V10)-1)</f>
        <v/>
      </c>
      <c r="W10" s="31" t="str">
        <f>IF(OR(IPC_Trimestriel!AA10="",IPC_Trimestriel!X10="",IPC_Trimestriel!T10=""),"",AVERAGE(IPC_Trimestriel!X10:AA10)/AVERAGE(IPC_Trimestriel!T10:W10)-1)</f>
        <v/>
      </c>
      <c r="X10" s="31" t="str">
        <f>IF(OR(IPC_Trimestriel!AB10="",IPC_Trimestriel!Y10="",IPC_Trimestriel!U10=""),"",AVERAGE(IPC_Trimestriel!Y10:AB10)/AVERAGE(IPC_Trimestriel!U10:X10)-1)</f>
        <v/>
      </c>
      <c r="Y10" s="31" t="str">
        <f>IF(OR(IPC_Trimestriel!AC10="",IPC_Trimestriel!Z10="",IPC_Trimestriel!V10=""),"",AVERAGE(IPC_Trimestriel!Z10:AC10)/AVERAGE(IPC_Trimestriel!V10:Y10)-1)</f>
        <v/>
      </c>
      <c r="Z10" s="31" t="str">
        <f>IF(OR(IPC_Trimestriel!AD10="",IPC_Trimestriel!AA10="",IPC_Trimestriel!W10=""),"",AVERAGE(IPC_Trimestriel!AA10:AD10)/AVERAGE(IPC_Trimestriel!W10:Z10)-1)</f>
        <v/>
      </c>
      <c r="AA10" s="31" t="str">
        <f>IF(OR(IPC_Trimestriel!AE10="",IPC_Trimestriel!AB10="",IPC_Trimestriel!X10=""),"",AVERAGE(IPC_Trimestriel!AB10:AE10)/AVERAGE(IPC_Trimestriel!X10:AA10)-1)</f>
        <v/>
      </c>
      <c r="AB10" s="31" t="str">
        <f>IF(OR(IPC_Trimestriel!AF10="",IPC_Trimestriel!AC10="",IPC_Trimestriel!Y10=""),"",AVERAGE(IPC_Trimestriel!AC10:AF10)/AVERAGE(IPC_Trimestriel!Y10:AB10)-1)</f>
        <v/>
      </c>
      <c r="AC10" s="31" t="str">
        <f>IF(OR(IPC_Trimestriel!AG10="",IPC_Trimestriel!AD10="",IPC_Trimestriel!Z10=""),"",AVERAGE(IPC_Trimestriel!AD10:AG10)/AVERAGE(IPC_Trimestriel!Z10:AC10)-1)</f>
        <v/>
      </c>
      <c r="AD10" s="31" t="str">
        <f>IF(OR(IPC_Trimestriel!AH10="",IPC_Trimestriel!AE10="",IPC_Trimestriel!AA10=""),"",AVERAGE(IPC_Trimestriel!AE10:AH10)/AVERAGE(IPC_Trimestriel!AA10:AD10)-1)</f>
        <v/>
      </c>
      <c r="AE10" s="31" t="str">
        <f>IF(OR(IPC_Trimestriel!AI10="",IPC_Trimestriel!AF10="",IPC_Trimestriel!AB10=""),"",AVERAGE(IPC_Trimestriel!AF10:AI10)/AVERAGE(IPC_Trimestriel!AB10:AE10)-1)</f>
        <v/>
      </c>
      <c r="AF10" s="31" t="str">
        <f>IF(OR(IPC_Trimestriel!AJ10="",IPC_Trimestriel!AG10="",IPC_Trimestriel!AC10=""),"",AVERAGE(IPC_Trimestriel!AG10:AJ10)/AVERAGE(IPC_Trimestriel!AC10:AF10)-1)</f>
        <v/>
      </c>
      <c r="AG10" s="31" t="str">
        <f>IF(OR(IPC_Trimestriel!AK10="",IPC_Trimestriel!AH10="",IPC_Trimestriel!AD10=""),"",AVERAGE(IPC_Trimestriel!AH10:AK10)/AVERAGE(IPC_Trimestriel!AD10:AG10)-1)</f>
        <v/>
      </c>
      <c r="AH10" s="31" t="str">
        <f>IF(OR(IPC_Trimestriel!AL10="",IPC_Trimestriel!AI10="",IPC_Trimestriel!AE10=""),"",AVERAGE(IPC_Trimestriel!AI10:AL10)/AVERAGE(IPC_Trimestriel!AE10:AH10)-1)</f>
        <v/>
      </c>
      <c r="AI10" s="31" t="str">
        <f>IF(OR(IPC_Trimestriel!AM10="",IPC_Trimestriel!AJ10="",IPC_Trimestriel!AF10=""),"",AVERAGE(IPC_Trimestriel!AJ10:AM10)/AVERAGE(IPC_Trimestriel!AF10:AI10)-1)</f>
        <v/>
      </c>
      <c r="AJ10" s="31" t="str">
        <f>IF(OR(IPC_Trimestriel!AN10="",IPC_Trimestriel!AK10="",IPC_Trimestriel!AG10=""),"",AVERAGE(IPC_Trimestriel!AK10:AN10)/AVERAGE(IPC_Trimestriel!AG10:AJ10)-1)</f>
        <v/>
      </c>
      <c r="AK10" s="31" t="str">
        <f>IF(OR(IPC_Trimestriel!AO10="",IPC_Trimestriel!AL10="",IPC_Trimestriel!AH10=""),"",AVERAGE(IPC_Trimestriel!AL10:AO10)/AVERAGE(IPC_Trimestriel!AH10:AK10)-1)</f>
        <v/>
      </c>
      <c r="AL10" s="31" t="str">
        <f>IF(OR(IPC_Trimestriel!AP10="",IPC_Trimestriel!AM10="",IPC_Trimestriel!AI10=""),"",AVERAGE(IPC_Trimestriel!AM10:AP10)/AVERAGE(IPC_Trimestriel!AI10:AL10)-1)</f>
        <v/>
      </c>
      <c r="AM10" s="31" t="str">
        <f>IF(OR(IPC_Trimestriel!AQ10="",IPC_Trimestriel!AN10="",IPC_Trimestriel!AJ10=""),"",AVERAGE(IPC_Trimestriel!AN10:AQ10)/AVERAGE(IPC_Trimestriel!AJ10:AM10)-1)</f>
        <v/>
      </c>
      <c r="AN10" s="31" t="str">
        <f>IF(OR(IPC_Trimestriel!AR10="",IPC_Trimestriel!AO10="",IPC_Trimestriel!AK10=""),"",AVERAGE(IPC_Trimestriel!AO10:AR10)/AVERAGE(IPC_Trimestriel!AK10:AN10)-1)</f>
        <v/>
      </c>
      <c r="AO10" s="31" t="str">
        <f>IF(OR(IPC_Trimestriel!AS10="",IPC_Trimestriel!AP10="",IPC_Trimestriel!AL10=""),"",AVERAGE(IPC_Trimestriel!AP10:AS10)/AVERAGE(IPC_Trimestriel!AL10:AO10)-1)</f>
        <v/>
      </c>
      <c r="AP10" s="31" t="str">
        <f>IF(OR(IPC_Trimestriel!AT10="",IPC_Trimestriel!AQ10="",IPC_Trimestriel!AM10=""),"",AVERAGE(IPC_Trimestriel!AQ10:AT10)/AVERAGE(IPC_Trimestriel!AM10:AP10)-1)</f>
        <v/>
      </c>
      <c r="AQ10" s="31" t="str">
        <f>IF(OR(IPC_Trimestriel!AU10="",IPC_Trimestriel!AR10="",IPC_Trimestriel!AN10=""),"",AVERAGE(IPC_Trimestriel!AR10:AU10)/AVERAGE(IPC_Trimestriel!AN10:AQ10)-1)</f>
        <v/>
      </c>
      <c r="AR10" s="31" t="str">
        <f>IF(OR(IPC_Trimestriel!AV10="",IPC_Trimestriel!AS10="",IPC_Trimestriel!AO10=""),"",AVERAGE(IPC_Trimestriel!AS10:AV10)/AVERAGE(IPC_Trimestriel!AO10:AR10)-1)</f>
        <v/>
      </c>
      <c r="AS10" s="31" t="str">
        <f>IF(OR(IPC_Trimestriel!AW10="",IPC_Trimestriel!AT10="",IPC_Trimestriel!AP10=""),"",AVERAGE(IPC_Trimestriel!AT10:AW10)/AVERAGE(IPC_Trimestriel!AP10:AS10)-1)</f>
        <v/>
      </c>
      <c r="AT10" s="31" t="str">
        <f>IF(OR(IPC_Trimestriel!AX10="",IPC_Trimestriel!AU10="",IPC_Trimestriel!AQ10=""),"",AVERAGE(IPC_Trimestriel!AU10:AX10)/AVERAGE(IPC_Trimestriel!AQ10:AT10)-1)</f>
        <v/>
      </c>
      <c r="AU10" s="31" t="str">
        <f>IF(OR(IPC_Trimestriel!AY10="",IPC_Trimestriel!AV10="",IPC_Trimestriel!AR10=""),"",AVERAGE(IPC_Trimestriel!AV10:AY10)/AVERAGE(IPC_Trimestriel!AR10:AU10)-1)</f>
        <v/>
      </c>
      <c r="AV10" s="31" t="str">
        <f>IF(OR(IPC_Trimestriel!AZ10="",IPC_Trimestriel!AW10="",IPC_Trimestriel!AS10=""),"",AVERAGE(IPC_Trimestriel!AW10:AZ10)/AVERAGE(IPC_Trimestriel!AS10:AV10)-1)</f>
        <v/>
      </c>
      <c r="AW10" s="31" t="str">
        <f>IF(OR(IPC_Trimestriel!BA10="",IPC_Trimestriel!AX10="",IPC_Trimestriel!AT10=""),"",AVERAGE(IPC_Trimestriel!AX10:BA10)/AVERAGE(IPC_Trimestriel!AT10:AW10)-1)</f>
        <v/>
      </c>
      <c r="AX10" s="31" t="str">
        <f>IF(OR(IPC_Trimestriel!BB10="",IPC_Trimestriel!AY10="",IPC_Trimestriel!AU10=""),"",AVERAGE(IPC_Trimestriel!AY10:BB10)/AVERAGE(IPC_Trimestriel!AU10:AX10)-1)</f>
        <v/>
      </c>
      <c r="AY10" s="31" t="str">
        <f>IF(OR(IPC_Trimestriel!BC10="",IPC_Trimestriel!AZ10="",IPC_Trimestriel!AV10=""),"",AVERAGE(IPC_Trimestriel!AZ10:BC10)/AVERAGE(IPC_Trimestriel!AV10:AY10)-1)</f>
        <v/>
      </c>
      <c r="AZ10" s="31" t="str">
        <f>IF(OR(IPC_Trimestriel!BD10="",IPC_Trimestriel!BA10="",IPC_Trimestriel!AW10=""),"",AVERAGE(IPC_Trimestriel!BA10:BD10)/AVERAGE(IPC_Trimestriel!AW10:AZ10)-1)</f>
        <v/>
      </c>
      <c r="BA10" s="31" t="str">
        <f>IF(OR(IPC_Trimestriel!BE10="",IPC_Trimestriel!BB10="",IPC_Trimestriel!AX10=""),"",AVERAGE(IPC_Trimestriel!BB10:BE10)/AVERAGE(IPC_Trimestriel!AX10:BA10)-1)</f>
        <v/>
      </c>
      <c r="BB10" s="31" t="str">
        <f>IF(OR(IPC_Trimestriel!BF10="",IPC_Trimestriel!BC10="",IPC_Trimestriel!AY10=""),"",AVERAGE(IPC_Trimestriel!BC10:BF10)/AVERAGE(IPC_Trimestriel!AY10:BB10)-1)</f>
        <v/>
      </c>
      <c r="BC10" s="31">
        <f>IF(OR(IPC_Trimestriel!BG10="",IPC_Trimestriel!BD10="",IPC_Trimestriel!AZ10=""),"",AVERAGE(IPC_Trimestriel!BD10:BG10)/AVERAGE(IPC_Trimestriel!AZ10:BC10)-1)</f>
        <v>2.7524364841493565E-2</v>
      </c>
      <c r="BD10" s="31">
        <f>IF(OR(IPC_Trimestriel!BH10="",IPC_Trimestriel!BE10="",IPC_Trimestriel!BA10=""),"",AVERAGE(IPC_Trimestriel!BE10:BH10)/AVERAGE(IPC_Trimestriel!BA10:BD10)-1)</f>
        <v>2.5690769016740278E-2</v>
      </c>
      <c r="BE10" s="31">
        <f>IF(OR(IPC_Trimestriel!BI10="",IPC_Trimestriel!BF10="",IPC_Trimestriel!BB10=""),"",AVERAGE(IPC_Trimestriel!BF10:BI10)/AVERAGE(IPC_Trimestriel!BB10:BE10)-1)</f>
        <v>2.4013109557027512E-2</v>
      </c>
      <c r="BF10" s="31">
        <f>IF(OR(IPC_Trimestriel!BJ10="",IPC_Trimestriel!BG10="",IPC_Trimestriel!BC10=""),"",AVERAGE(IPC_Trimestriel!BG10:BJ10)/AVERAGE(IPC_Trimestriel!BC10:BF10)-1)</f>
        <v>2.2379694689425689E-2</v>
      </c>
      <c r="BG10" s="31">
        <f>IF(OR(IPC_Trimestriel!BK10="",IPC_Trimestriel!BH10="",IPC_Trimestriel!BD10=""),"",AVERAGE(IPC_Trimestriel!BH10:BK10)/AVERAGE(IPC_Trimestriel!BD10:BG10)-1)</f>
        <v>2.0048508196809145E-2</v>
      </c>
      <c r="BH10" s="31">
        <f>IF(OR(IPC_Trimestriel!BL10="",IPC_Trimestriel!BI10="",IPC_Trimestriel!BE10=""),"",AVERAGE(IPC_Trimestriel!BI10:BL10)/AVERAGE(IPC_Trimestriel!BE10:BH10)-1)</f>
        <v>1.825430405816042E-2</v>
      </c>
      <c r="BI10" s="31">
        <f>IF(OR(IPC_Trimestriel!BM10="",IPC_Trimestriel!BJ10="",IPC_Trimestriel!BF10=""),"",AVERAGE(IPC_Trimestriel!BJ10:BM10)/AVERAGE(IPC_Trimestriel!BF10:BI10)-1)</f>
        <v>2.579225192464607E-2</v>
      </c>
      <c r="BJ10" s="31">
        <f>IF(OR(IPC_Trimestriel!BN10="",IPC_Trimestriel!BK10="",IPC_Trimestriel!BG10=""),"",AVERAGE(IPC_Trimestriel!BK10:BN10)/AVERAGE(IPC_Trimestriel!BG10:BJ10)-1)</f>
        <v>3.0382184097971443E-2</v>
      </c>
      <c r="BK10" s="31">
        <f>IF(OR(IPC_Trimestriel!BO10="",IPC_Trimestriel!BL10="",IPC_Trimestriel!BH10=""),"",AVERAGE(IPC_Trimestriel!BL10:BO10)/AVERAGE(IPC_Trimestriel!BH10:BK10)-1)</f>
        <v>2.9330815108731478E-2</v>
      </c>
      <c r="BL10" s="31">
        <f>IF(OR(IPC_Trimestriel!BP10="",IPC_Trimestriel!BM10="",IPC_Trimestriel!BI10=""),"",AVERAGE(IPC_Trimestriel!BM10:BP10)/AVERAGE(IPC_Trimestriel!BI10:BL10)-1)</f>
        <v>2.9611082948219236E-2</v>
      </c>
      <c r="BM10" s="31">
        <f>IF(OR(IPC_Trimestriel!BQ10="",IPC_Trimestriel!BN10="",IPC_Trimestriel!BJ10=""),"",AVERAGE(IPC_Trimestriel!BN10:BQ10)/AVERAGE(IPC_Trimestriel!BJ10:BM10)-1)</f>
        <v>2.2445303359658331E-2</v>
      </c>
      <c r="BN10" s="31">
        <f>IF(OR(IPC_Trimestriel!BR10="",IPC_Trimestriel!BO10="",IPC_Trimestriel!BK10=""),"",AVERAGE(IPC_Trimestriel!BO10:BR10)/AVERAGE(IPC_Trimestriel!BK10:BN10)-1)</f>
        <v>1.5563458350464687E-2</v>
      </c>
      <c r="BO10" s="31">
        <f>IF(OR(IPC_Trimestriel!BS10="",IPC_Trimestriel!BP10="",IPC_Trimestriel!BL10=""),"",AVERAGE(IPC_Trimestriel!BP10:BS10)/AVERAGE(IPC_Trimestriel!BL10:BO10)-1)</f>
        <v>1.4383087083127855E-2</v>
      </c>
      <c r="BP10" s="31">
        <f>IF(OR(IPC_Trimestriel!BT10="",IPC_Trimestriel!BQ10="",IPC_Trimestriel!BM10=""),"",AVERAGE(IPC_Trimestriel!BQ10:BT10)/AVERAGE(IPC_Trimestriel!BM10:BP10)-1)</f>
        <v>1.2375484027461692E-2</v>
      </c>
      <c r="BQ10" s="31">
        <f>IF(OR(IPC_Trimestriel!BU10="",IPC_Trimestriel!BR10="",IPC_Trimestriel!BN10=""),"",AVERAGE(IPC_Trimestriel!BR10:BU10)/AVERAGE(IPC_Trimestriel!BN10:BQ10)-1)</f>
        <v>1.1585528580183135E-2</v>
      </c>
      <c r="BR10" s="31">
        <f>IF(OR(IPC_Trimestriel!BV10="",IPC_Trimestriel!BS10="",IPC_Trimestriel!BO10=""),"",AVERAGE(IPC_Trimestriel!BS10:BV10)/AVERAGE(IPC_Trimestriel!BO10:BR10)-1)</f>
        <v>1.2487872075376938E-2</v>
      </c>
      <c r="BS10" s="31">
        <f>IF(OR(IPC_Trimestriel!BW10="",IPC_Trimestriel!BT10="",IPC_Trimestriel!BP10=""),"",AVERAGE(IPC_Trimestriel!BT10:BW10)/AVERAGE(IPC_Trimestriel!BP10:BS10)-1)</f>
        <v>1.1899042827887341E-2</v>
      </c>
      <c r="BT10" s="31">
        <f>IF(OR(IPC_Trimestriel!BX10="",IPC_Trimestriel!BU10="",IPC_Trimestriel!BQ10=""),"",AVERAGE(IPC_Trimestriel!BU10:BX10)/AVERAGE(IPC_Trimestriel!BQ10:BT10)-1)</f>
        <v>1.0347494437249916E-2</v>
      </c>
      <c r="BU10" s="31">
        <f>IF(OR(IPC_Trimestriel!BY10="",IPC_Trimestriel!BV10="",IPC_Trimestriel!BR10=""),"",AVERAGE(IPC_Trimestriel!BV10:BY10)/AVERAGE(IPC_Trimestriel!BR10:BU10)-1)</f>
        <v>7.9949591019825572E-3</v>
      </c>
      <c r="BV10" s="31">
        <f>IF(OR(IPC_Trimestriel!BZ10="",IPC_Trimestriel!BW10="",IPC_Trimestriel!BS10=""),"",AVERAGE(IPC_Trimestriel!BW10:BZ10)/AVERAGE(IPC_Trimestriel!BS10:BV10)-1)</f>
        <v>5.3195652496764723E-3</v>
      </c>
      <c r="BW10" s="31">
        <f>IF(OR(IPC_Trimestriel!CA10="",IPC_Trimestriel!BX10="",IPC_Trimestriel!BT10=""),"",AVERAGE(IPC_Trimestriel!BX10:CA10)/AVERAGE(IPC_Trimestriel!BT10:BW10)-1)</f>
        <v>4.0426180950599022E-3</v>
      </c>
      <c r="BX10" s="31">
        <f>IF(OR(IPC_Trimestriel!CB10="",IPC_Trimestriel!BY10="",IPC_Trimestriel!BU10=""),"",AVERAGE(IPC_Trimestriel!BY10:CB10)/AVERAGE(IPC_Trimestriel!BU10:BX10)-1)</f>
        <v>5.3278930077167441E-3</v>
      </c>
      <c r="BY10" s="31">
        <f>IF(OR(IPC_Trimestriel!CC10="",IPC_Trimestriel!BZ10="",IPC_Trimestriel!BV10=""),"",AVERAGE(IPC_Trimestriel!BZ10:CC10)/AVERAGE(IPC_Trimestriel!BV10:BY10)-1)</f>
        <v>6.9477879296973022E-3</v>
      </c>
      <c r="BZ10" s="31">
        <f>IF(OR(IPC_Trimestriel!CD10="",IPC_Trimestriel!CA10="",IPC_Trimestriel!BW10=""),"",AVERAGE(IPC_Trimestriel!CA10:CD10)/AVERAGE(IPC_Trimestriel!BW10:BZ10)-1)</f>
        <v>8.4388868162301733E-3</v>
      </c>
      <c r="CA10" s="31">
        <f>IF(OR(IPC_Trimestriel!CE10="",IPC_Trimestriel!CB10="",IPC_Trimestriel!BX10=""),"",AVERAGE(IPC_Trimestriel!CB10:CE10)/AVERAGE(IPC_Trimestriel!BX10:CA10)-1)</f>
        <v>7.8008023840385743E-3</v>
      </c>
      <c r="CB10" s="31">
        <f>IF(OR(IPC_Trimestriel!CF10="",IPC_Trimestriel!CC10="",IPC_Trimestriel!BY10=""),"",AVERAGE(IPC_Trimestriel!CC10:CF10)/AVERAGE(IPC_Trimestriel!BY10:CB10)-1)</f>
        <v>6.9857535336577126E-3</v>
      </c>
      <c r="CC10" s="31">
        <f>IF(OR(IPC_Trimestriel!CG10="",IPC_Trimestriel!CD10="",IPC_Trimestriel!BZ10=""),"",AVERAGE(IPC_Trimestriel!CD10:CG10)/AVERAGE(IPC_Trimestriel!BZ10:CC10)-1)</f>
        <v>1.4805216432727475E-2</v>
      </c>
      <c r="CD10" s="31">
        <f>IF(OR(IPC_Trimestriel!CH10="",IPC_Trimestriel!CE10="",IPC_Trimestriel!CA10=""),"",AVERAGE(IPC_Trimestriel!CE10:CH10)/AVERAGE(IPC_Trimestriel!CA10:CD10)-1)</f>
        <v>2.2475544706883621E-2</v>
      </c>
      <c r="CE10" s="31">
        <f>IF(OR(IPC_Trimestriel!CI10="",IPC_Trimestriel!CF10="",IPC_Trimestriel!CB10=""),"",AVERAGE(IPC_Trimestriel!CF10:CI10)/AVERAGE(IPC_Trimestriel!CB10:CE10)-1)</f>
        <v>3.2274578509702279E-2</v>
      </c>
      <c r="CF10" s="31">
        <f>IF(OR(IPC_Trimestriel!CJ10="",IPC_Trimestriel!CG10="",IPC_Trimestriel!CC10=""),"",AVERAGE(IPC_Trimestriel!CG10:CJ10)/AVERAGE(IPC_Trimestriel!CC10:CF10)-1)</f>
        <v>4.1496387370800081E-2</v>
      </c>
      <c r="CG10" s="31">
        <f>IF(OR(IPC_Trimestriel!CK10="",IPC_Trimestriel!CH10="",IPC_Trimestriel!CD10=""),"",AVERAGE(IPC_Trimestriel!CH10:CK10)/AVERAGE(IPC_Trimestriel!CD10:CG10)-1)</f>
        <v>3.6214874871316027E-2</v>
      </c>
      <c r="CH10" s="31">
        <f>IF(OR(IPC_Trimestriel!CL10="",IPC_Trimestriel!CI10="",IPC_Trimestriel!CE10=""),"",AVERAGE(IPC_Trimestriel!CI10:CL10)/AVERAGE(IPC_Trimestriel!CE10:CH10)-1)</f>
        <v>3.2331693422016805E-2</v>
      </c>
      <c r="CI10" s="31">
        <f>IF(OR(IPC_Trimestriel!CM10="",IPC_Trimestriel!CJ10="",IPC_Trimestriel!CF10=""),"",AVERAGE(IPC_Trimestriel!CJ10:CM10)/AVERAGE(IPC_Trimestriel!CF10:CI10)-1)</f>
        <v>2.51840282335829E-2</v>
      </c>
      <c r="CJ10" s="31">
        <f>IF(OR(IPC_Trimestriel!CN10="",IPC_Trimestriel!CK10="",IPC_Trimestriel!CG10=""),"",AVERAGE(IPC_Trimestriel!CK10:CN10)/AVERAGE(IPC_Trimestriel!CG10:CJ10)-1)</f>
        <v>1.8534299931376452E-2</v>
      </c>
      <c r="CK10" s="31">
        <f>IF(OR(IPC_Trimestriel!CO10="",IPC_Trimestriel!CL10="",IPC_Trimestriel!CH10=""),"",AVERAGE(IPC_Trimestriel!CL10:CO10)/AVERAGE(IPC_Trimestriel!CH10:CK10)-1)</f>
        <v>1.769994656935503E-2</v>
      </c>
      <c r="CL10" s="31">
        <f>IF(OR(IPC_Trimestriel!CP10="",IPC_Trimestriel!CM10="",IPC_Trimestriel!CI10=""),"",AVERAGE(IPC_Trimestriel!CM10:CP10)/AVERAGE(IPC_Trimestriel!CI10:CL10)-1)</f>
        <v>1.492331200590935E-2</v>
      </c>
      <c r="CM10" s="31">
        <f>IF(OR(IPC_Trimestriel!CQ10="",IPC_Trimestriel!CN10="",IPC_Trimestriel!CJ10=""),"",AVERAGE(IPC_Trimestriel!CN10:CQ10)/AVERAGE(IPC_Trimestriel!CJ10:CM10)-1)</f>
        <v>1.855822245693628E-2</v>
      </c>
      <c r="CN10" s="31">
        <f>IF(OR(IPC_Trimestriel!CR10="",IPC_Trimestriel!CO10="",IPC_Trimestriel!CK10=""),"",AVERAGE(IPC_Trimestriel!CO10:CR10)/AVERAGE(IPC_Trimestriel!CK10:CN10)-1)</f>
        <v>2.153778416432961E-2</v>
      </c>
      <c r="CO10" s="31">
        <f>IF(OR(IPC_Trimestriel!CS10="",IPC_Trimestriel!CP10="",IPC_Trimestriel!CL10=""),"",AVERAGE(IPC_Trimestriel!CP10:CS10)/AVERAGE(IPC_Trimestriel!CL10:CO10)-1)</f>
        <v>2.566878649872284E-2</v>
      </c>
      <c r="CP10" s="31">
        <f>IF(OR(IPC_Trimestriel!CT10="",IPC_Trimestriel!CQ10="",IPC_Trimestriel!CM10=""),"",AVERAGE(IPC_Trimestriel!CQ10:CT10)/AVERAGE(IPC_Trimestriel!CM10:CP10)-1)</f>
        <v>3.3498949982602833E-2</v>
      </c>
    </row>
    <row r="11" spans="1:94" s="1" customFormat="1" ht="10.199999999999999" x14ac:dyDescent="0.2">
      <c r="A11" s="11" t="s">
        <v>17</v>
      </c>
      <c r="B11" s="13" t="s">
        <v>78</v>
      </c>
      <c r="C11" s="5"/>
      <c r="D11" s="31"/>
      <c r="E11" s="31"/>
      <c r="F11" s="31"/>
      <c r="G11" s="31" t="str">
        <f>IF(OR(IPC_Trimestriel!K11="",IPC_Trimestriel!H11="",IPC_Trimestriel!D11=""),"",AVERAGE(IPC_Trimestriel!H11:K11)/AVERAGE(IPC_Trimestriel!D11:G11)-1)</f>
        <v/>
      </c>
      <c r="H11" s="31" t="str">
        <f>IF(OR(IPC_Trimestriel!L11="",IPC_Trimestriel!I11="",IPC_Trimestriel!E11=""),"",AVERAGE(IPC_Trimestriel!I11:L11)/AVERAGE(IPC_Trimestriel!E11:H11)-1)</f>
        <v/>
      </c>
      <c r="I11" s="31" t="str">
        <f>IF(OR(IPC_Trimestriel!M11="",IPC_Trimestriel!J11="",IPC_Trimestriel!F11=""),"",AVERAGE(IPC_Trimestriel!J11:M11)/AVERAGE(IPC_Trimestriel!F11:I11)-1)</f>
        <v/>
      </c>
      <c r="J11" s="31" t="str">
        <f>IF(OR(IPC_Trimestriel!N11="",IPC_Trimestriel!K11="",IPC_Trimestriel!G11=""),"",AVERAGE(IPC_Trimestriel!K11:N11)/AVERAGE(IPC_Trimestriel!G11:J11)-1)</f>
        <v/>
      </c>
      <c r="K11" s="31" t="str">
        <f>IF(OR(IPC_Trimestriel!O11="",IPC_Trimestriel!L11="",IPC_Trimestriel!H11=""),"",AVERAGE(IPC_Trimestriel!L11:O11)/AVERAGE(IPC_Trimestriel!H11:K11)-1)</f>
        <v/>
      </c>
      <c r="L11" s="31" t="str">
        <f>IF(OR(IPC_Trimestriel!P11="",IPC_Trimestriel!M11="",IPC_Trimestriel!I11=""),"",AVERAGE(IPC_Trimestriel!M11:P11)/AVERAGE(IPC_Trimestriel!I11:L11)-1)</f>
        <v/>
      </c>
      <c r="M11" s="31" t="str">
        <f>IF(OR(IPC_Trimestriel!Q11="",IPC_Trimestriel!N11="",IPC_Trimestriel!J11=""),"",AVERAGE(IPC_Trimestriel!N11:Q11)/AVERAGE(IPC_Trimestriel!J11:M11)-1)</f>
        <v/>
      </c>
      <c r="N11" s="31" t="str">
        <f>IF(OR(IPC_Trimestriel!R11="",IPC_Trimestriel!O11="",IPC_Trimestriel!K11=""),"",AVERAGE(IPC_Trimestriel!O11:R11)/AVERAGE(IPC_Trimestriel!K11:N11)-1)</f>
        <v/>
      </c>
      <c r="O11" s="31" t="str">
        <f>IF(OR(IPC_Trimestriel!S11="",IPC_Trimestriel!P11="",IPC_Trimestriel!L11=""),"",AVERAGE(IPC_Trimestriel!P11:S11)/AVERAGE(IPC_Trimestriel!L11:O11)-1)</f>
        <v/>
      </c>
      <c r="P11" s="31" t="str">
        <f>IF(OR(IPC_Trimestriel!T11="",IPC_Trimestriel!Q11="",IPC_Trimestriel!M11=""),"",AVERAGE(IPC_Trimestriel!Q11:T11)/AVERAGE(IPC_Trimestriel!M11:P11)-1)</f>
        <v/>
      </c>
      <c r="Q11" s="31" t="str">
        <f>IF(OR(IPC_Trimestriel!U11="",IPC_Trimestriel!R11="",IPC_Trimestriel!N11=""),"",AVERAGE(IPC_Trimestriel!R11:U11)/AVERAGE(IPC_Trimestriel!N11:Q11)-1)</f>
        <v/>
      </c>
      <c r="R11" s="31" t="str">
        <f>IF(OR(IPC_Trimestriel!V11="",IPC_Trimestriel!S11="",IPC_Trimestriel!O11=""),"",AVERAGE(IPC_Trimestriel!S11:V11)/AVERAGE(IPC_Trimestriel!O11:R11)-1)</f>
        <v/>
      </c>
      <c r="S11" s="31" t="str">
        <f>IF(OR(IPC_Trimestriel!W11="",IPC_Trimestriel!T11="",IPC_Trimestriel!P11=""),"",AVERAGE(IPC_Trimestriel!T11:W11)/AVERAGE(IPC_Trimestriel!P11:S11)-1)</f>
        <v/>
      </c>
      <c r="T11" s="31" t="str">
        <f>IF(OR(IPC_Trimestriel!X11="",IPC_Trimestriel!U11="",IPC_Trimestriel!Q11=""),"",AVERAGE(IPC_Trimestriel!U11:X11)/AVERAGE(IPC_Trimestriel!Q11:T11)-1)</f>
        <v/>
      </c>
      <c r="U11" s="31" t="str">
        <f>IF(OR(IPC_Trimestriel!Y11="",IPC_Trimestriel!V11="",IPC_Trimestriel!R11=""),"",AVERAGE(IPC_Trimestriel!V11:Y11)/AVERAGE(IPC_Trimestriel!R11:U11)-1)</f>
        <v/>
      </c>
      <c r="V11" s="31" t="str">
        <f>IF(OR(IPC_Trimestriel!Z11="",IPC_Trimestriel!W11="",IPC_Trimestriel!S11=""),"",AVERAGE(IPC_Trimestriel!W11:Z11)/AVERAGE(IPC_Trimestriel!S11:V11)-1)</f>
        <v/>
      </c>
      <c r="W11" s="31" t="str">
        <f>IF(OR(IPC_Trimestriel!AA11="",IPC_Trimestriel!X11="",IPC_Trimestriel!T11=""),"",AVERAGE(IPC_Trimestriel!X11:AA11)/AVERAGE(IPC_Trimestriel!T11:W11)-1)</f>
        <v/>
      </c>
      <c r="X11" s="31" t="str">
        <f>IF(OR(IPC_Trimestriel!AB11="",IPC_Trimestriel!Y11="",IPC_Trimestriel!U11=""),"",AVERAGE(IPC_Trimestriel!Y11:AB11)/AVERAGE(IPC_Trimestriel!U11:X11)-1)</f>
        <v/>
      </c>
      <c r="Y11" s="31" t="str">
        <f>IF(OR(IPC_Trimestriel!AC11="",IPC_Trimestriel!Z11="",IPC_Trimestriel!V11=""),"",AVERAGE(IPC_Trimestriel!Z11:AC11)/AVERAGE(IPC_Trimestriel!V11:Y11)-1)</f>
        <v/>
      </c>
      <c r="Z11" s="31" t="str">
        <f>IF(OR(IPC_Trimestriel!AD11="",IPC_Trimestriel!AA11="",IPC_Trimestriel!W11=""),"",AVERAGE(IPC_Trimestriel!AA11:AD11)/AVERAGE(IPC_Trimestriel!W11:Z11)-1)</f>
        <v/>
      </c>
      <c r="AA11" s="31" t="str">
        <f>IF(OR(IPC_Trimestriel!AE11="",IPC_Trimestriel!AB11="",IPC_Trimestriel!X11=""),"",AVERAGE(IPC_Trimestriel!AB11:AE11)/AVERAGE(IPC_Trimestriel!X11:AA11)-1)</f>
        <v/>
      </c>
      <c r="AB11" s="31" t="str">
        <f>IF(OR(IPC_Trimestriel!AF11="",IPC_Trimestriel!AC11="",IPC_Trimestriel!Y11=""),"",AVERAGE(IPC_Trimestriel!AC11:AF11)/AVERAGE(IPC_Trimestriel!Y11:AB11)-1)</f>
        <v/>
      </c>
      <c r="AC11" s="31" t="str">
        <f>IF(OR(IPC_Trimestriel!AG11="",IPC_Trimestriel!AD11="",IPC_Trimestriel!Z11=""),"",AVERAGE(IPC_Trimestriel!AD11:AG11)/AVERAGE(IPC_Trimestriel!Z11:AC11)-1)</f>
        <v/>
      </c>
      <c r="AD11" s="31" t="str">
        <f>IF(OR(IPC_Trimestriel!AH11="",IPC_Trimestriel!AE11="",IPC_Trimestriel!AA11=""),"",AVERAGE(IPC_Trimestriel!AE11:AH11)/AVERAGE(IPC_Trimestriel!AA11:AD11)-1)</f>
        <v/>
      </c>
      <c r="AE11" s="31" t="str">
        <f>IF(OR(IPC_Trimestriel!AI11="",IPC_Trimestriel!AF11="",IPC_Trimestriel!AB11=""),"",AVERAGE(IPC_Trimestriel!AF11:AI11)/AVERAGE(IPC_Trimestriel!AB11:AE11)-1)</f>
        <v/>
      </c>
      <c r="AF11" s="31" t="str">
        <f>IF(OR(IPC_Trimestriel!AJ11="",IPC_Trimestriel!AG11="",IPC_Trimestriel!AC11=""),"",AVERAGE(IPC_Trimestriel!AG11:AJ11)/AVERAGE(IPC_Trimestriel!AC11:AF11)-1)</f>
        <v/>
      </c>
      <c r="AG11" s="31" t="str">
        <f>IF(OR(IPC_Trimestriel!AK11="",IPC_Trimestriel!AH11="",IPC_Trimestriel!AD11=""),"",AVERAGE(IPC_Trimestriel!AH11:AK11)/AVERAGE(IPC_Trimestriel!AD11:AG11)-1)</f>
        <v/>
      </c>
      <c r="AH11" s="31" t="str">
        <f>IF(OR(IPC_Trimestriel!AL11="",IPC_Trimestriel!AI11="",IPC_Trimestriel!AE11=""),"",AVERAGE(IPC_Trimestriel!AI11:AL11)/AVERAGE(IPC_Trimestriel!AE11:AH11)-1)</f>
        <v/>
      </c>
      <c r="AI11" s="31" t="str">
        <f>IF(OR(IPC_Trimestriel!AM11="",IPC_Trimestriel!AJ11="",IPC_Trimestriel!AF11=""),"",AVERAGE(IPC_Trimestriel!AJ11:AM11)/AVERAGE(IPC_Trimestriel!AF11:AI11)-1)</f>
        <v/>
      </c>
      <c r="AJ11" s="31" t="str">
        <f>IF(OR(IPC_Trimestriel!AN11="",IPC_Trimestriel!AK11="",IPC_Trimestriel!AG11=""),"",AVERAGE(IPC_Trimestriel!AK11:AN11)/AVERAGE(IPC_Trimestriel!AG11:AJ11)-1)</f>
        <v/>
      </c>
      <c r="AK11" s="31" t="str">
        <f>IF(OR(IPC_Trimestriel!AO11="",IPC_Trimestriel!AL11="",IPC_Trimestriel!AH11=""),"",AVERAGE(IPC_Trimestriel!AL11:AO11)/AVERAGE(IPC_Trimestriel!AH11:AK11)-1)</f>
        <v/>
      </c>
      <c r="AL11" s="31" t="str">
        <f>IF(OR(IPC_Trimestriel!AP11="",IPC_Trimestriel!AM11="",IPC_Trimestriel!AI11=""),"",AVERAGE(IPC_Trimestriel!AM11:AP11)/AVERAGE(IPC_Trimestriel!AI11:AL11)-1)</f>
        <v/>
      </c>
      <c r="AM11" s="31" t="str">
        <f>IF(OR(IPC_Trimestriel!AQ11="",IPC_Trimestriel!AN11="",IPC_Trimestriel!AJ11=""),"",AVERAGE(IPC_Trimestriel!AN11:AQ11)/AVERAGE(IPC_Trimestriel!AJ11:AM11)-1)</f>
        <v/>
      </c>
      <c r="AN11" s="31" t="str">
        <f>IF(OR(IPC_Trimestriel!AR11="",IPC_Trimestriel!AO11="",IPC_Trimestriel!AK11=""),"",AVERAGE(IPC_Trimestriel!AO11:AR11)/AVERAGE(IPC_Trimestriel!AK11:AN11)-1)</f>
        <v/>
      </c>
      <c r="AO11" s="31" t="str">
        <f>IF(OR(IPC_Trimestriel!AS11="",IPC_Trimestriel!AP11="",IPC_Trimestriel!AL11=""),"",AVERAGE(IPC_Trimestriel!AP11:AS11)/AVERAGE(IPC_Trimestriel!AL11:AO11)-1)</f>
        <v/>
      </c>
      <c r="AP11" s="31" t="str">
        <f>IF(OR(IPC_Trimestriel!AT11="",IPC_Trimestriel!AQ11="",IPC_Trimestriel!AM11=""),"",AVERAGE(IPC_Trimestriel!AQ11:AT11)/AVERAGE(IPC_Trimestriel!AM11:AP11)-1)</f>
        <v/>
      </c>
      <c r="AQ11" s="31" t="str">
        <f>IF(OR(IPC_Trimestriel!AU11="",IPC_Trimestriel!AR11="",IPC_Trimestriel!AN11=""),"",AVERAGE(IPC_Trimestriel!AR11:AU11)/AVERAGE(IPC_Trimestriel!AN11:AQ11)-1)</f>
        <v/>
      </c>
      <c r="AR11" s="31" t="str">
        <f>IF(OR(IPC_Trimestriel!AV11="",IPC_Trimestriel!AS11="",IPC_Trimestriel!AO11=""),"",AVERAGE(IPC_Trimestriel!AS11:AV11)/AVERAGE(IPC_Trimestriel!AO11:AR11)-1)</f>
        <v/>
      </c>
      <c r="AS11" s="31" t="str">
        <f>IF(OR(IPC_Trimestriel!AW11="",IPC_Trimestriel!AT11="",IPC_Trimestriel!AP11=""),"",AVERAGE(IPC_Trimestriel!AT11:AW11)/AVERAGE(IPC_Trimestriel!AP11:AS11)-1)</f>
        <v/>
      </c>
      <c r="AT11" s="31" t="str">
        <f>IF(OR(IPC_Trimestriel!AX11="",IPC_Trimestriel!AU11="",IPC_Trimestriel!AQ11=""),"",AVERAGE(IPC_Trimestriel!AU11:AX11)/AVERAGE(IPC_Trimestriel!AQ11:AT11)-1)</f>
        <v/>
      </c>
      <c r="AU11" s="31" t="str">
        <f>IF(OR(IPC_Trimestriel!AY11="",IPC_Trimestriel!AV11="",IPC_Trimestriel!AR11=""),"",AVERAGE(IPC_Trimestriel!AV11:AY11)/AVERAGE(IPC_Trimestriel!AR11:AU11)-1)</f>
        <v/>
      </c>
      <c r="AV11" s="31" t="str">
        <f>IF(OR(IPC_Trimestriel!AZ11="",IPC_Trimestriel!AW11="",IPC_Trimestriel!AS11=""),"",AVERAGE(IPC_Trimestriel!AW11:AZ11)/AVERAGE(IPC_Trimestriel!AS11:AV11)-1)</f>
        <v/>
      </c>
      <c r="AW11" s="31" t="str">
        <f>IF(OR(IPC_Trimestriel!BA11="",IPC_Trimestriel!AX11="",IPC_Trimestriel!AT11=""),"",AVERAGE(IPC_Trimestriel!AX11:BA11)/AVERAGE(IPC_Trimestriel!AT11:AW11)-1)</f>
        <v/>
      </c>
      <c r="AX11" s="31" t="str">
        <f>IF(OR(IPC_Trimestriel!BB11="",IPC_Trimestriel!AY11="",IPC_Trimestriel!AU11=""),"",AVERAGE(IPC_Trimestriel!AY11:BB11)/AVERAGE(IPC_Trimestriel!AU11:AX11)-1)</f>
        <v/>
      </c>
      <c r="AY11" s="31" t="str">
        <f>IF(OR(IPC_Trimestriel!BC11="",IPC_Trimestriel!AZ11="",IPC_Trimestriel!AV11=""),"",AVERAGE(IPC_Trimestriel!AZ11:BC11)/AVERAGE(IPC_Trimestriel!AV11:AY11)-1)</f>
        <v/>
      </c>
      <c r="AZ11" s="31" t="str">
        <f>IF(OR(IPC_Trimestriel!BD11="",IPC_Trimestriel!BA11="",IPC_Trimestriel!AW11=""),"",AVERAGE(IPC_Trimestriel!BA11:BD11)/AVERAGE(IPC_Trimestriel!AW11:AZ11)-1)</f>
        <v/>
      </c>
      <c r="BA11" s="31" t="str">
        <f>IF(OR(IPC_Trimestriel!BE11="",IPC_Trimestriel!BB11="",IPC_Trimestriel!AX11=""),"",AVERAGE(IPC_Trimestriel!BB11:BE11)/AVERAGE(IPC_Trimestriel!AX11:BA11)-1)</f>
        <v/>
      </c>
      <c r="BB11" s="31" t="str">
        <f>IF(OR(IPC_Trimestriel!BF11="",IPC_Trimestriel!BC11="",IPC_Trimestriel!AY11=""),"",AVERAGE(IPC_Trimestriel!BC11:BF11)/AVERAGE(IPC_Trimestriel!AY11:BB11)-1)</f>
        <v/>
      </c>
      <c r="BC11" s="31">
        <f>IF(OR(IPC_Trimestriel!BG11="",IPC_Trimestriel!BD11="",IPC_Trimestriel!AZ11=""),"",AVERAGE(IPC_Trimestriel!BD11:BG11)/AVERAGE(IPC_Trimestriel!AZ11:BC11)-1)</f>
        <v>2.0741145450781762E-2</v>
      </c>
      <c r="BD11" s="31">
        <f>IF(OR(IPC_Trimestriel!BH11="",IPC_Trimestriel!BE11="",IPC_Trimestriel!BA11=""),"",AVERAGE(IPC_Trimestriel!BE11:BH11)/AVERAGE(IPC_Trimestriel!BA11:BD11)-1)</f>
        <v>1.828436318671578E-2</v>
      </c>
      <c r="BE11" s="31">
        <f>IF(OR(IPC_Trimestriel!BI11="",IPC_Trimestriel!BF11="",IPC_Trimestriel!BB11=""),"",AVERAGE(IPC_Trimestriel!BF11:BI11)/AVERAGE(IPC_Trimestriel!BB11:BE11)-1)</f>
        <v>1.485002629538057E-2</v>
      </c>
      <c r="BF11" s="31">
        <f>IF(OR(IPC_Trimestriel!BJ11="",IPC_Trimestriel!BG11="",IPC_Trimestriel!BC11=""),"",AVERAGE(IPC_Trimestriel!BG11:BJ11)/AVERAGE(IPC_Trimestriel!BC11:BF11)-1)</f>
        <v>9.1048407276776988E-3</v>
      </c>
      <c r="BG11" s="31">
        <f>IF(OR(IPC_Trimestriel!BK11="",IPC_Trimestriel!BH11="",IPC_Trimestriel!BD11=""),"",AVERAGE(IPC_Trimestriel!BH11:BK11)/AVERAGE(IPC_Trimestriel!BD11:BG11)-1)</f>
        <v>3.9180462024801521E-3</v>
      </c>
      <c r="BH11" s="31">
        <f>IF(OR(IPC_Trimestriel!BL11="",IPC_Trimestriel!BI11="",IPC_Trimestriel!BE11=""),"",AVERAGE(IPC_Trimestriel!BI11:BL11)/AVERAGE(IPC_Trimestriel!BE11:BH11)-1)</f>
        <v>4.4219851176841019E-3</v>
      </c>
      <c r="BI11" s="31">
        <f>IF(OR(IPC_Trimestriel!BM11="",IPC_Trimestriel!BJ11="",IPC_Trimestriel!BF11=""),"",AVERAGE(IPC_Trimestriel!BJ11:BM11)/AVERAGE(IPC_Trimestriel!BF11:BI11)-1)</f>
        <v>7.4457916789267831E-3</v>
      </c>
      <c r="BJ11" s="31">
        <f>IF(OR(IPC_Trimestriel!BN11="",IPC_Trimestriel!BK11="",IPC_Trimestriel!BG11=""),"",AVERAGE(IPC_Trimestriel!BK11:BN11)/AVERAGE(IPC_Trimestriel!BG11:BJ11)-1)</f>
        <v>1.0673518530754933E-2</v>
      </c>
      <c r="BK11" s="31">
        <f>IF(OR(IPC_Trimestriel!BO11="",IPC_Trimestriel!BL11="",IPC_Trimestriel!BH11=""),"",AVERAGE(IPC_Trimestriel!BL11:BO11)/AVERAGE(IPC_Trimestriel!BH11:BK11)-1)</f>
        <v>1.4577809896017202E-2</v>
      </c>
      <c r="BL11" s="31">
        <f>IF(OR(IPC_Trimestriel!BP11="",IPC_Trimestriel!BM11="",IPC_Trimestriel!BI11=""),"",AVERAGE(IPC_Trimestriel!BM11:BP11)/AVERAGE(IPC_Trimestriel!BI11:BL11)-1)</f>
        <v>1.5781572287603129E-2</v>
      </c>
      <c r="BM11" s="31">
        <f>IF(OR(IPC_Trimestriel!BQ11="",IPC_Trimestriel!BN11="",IPC_Trimestriel!BJ11=""),"",AVERAGE(IPC_Trimestriel!BN11:BQ11)/AVERAGE(IPC_Trimestriel!BJ11:BM11)-1)</f>
        <v>1.3222188301497129E-2</v>
      </c>
      <c r="BN11" s="31">
        <f>IF(OR(IPC_Trimestriel!BR11="",IPC_Trimestriel!BO11="",IPC_Trimestriel!BK11=""),"",AVERAGE(IPC_Trimestriel!BO11:BR11)/AVERAGE(IPC_Trimestriel!BK11:BN11)-1)</f>
        <v>8.7478303537134039E-3</v>
      </c>
      <c r="BO11" s="31">
        <f>IF(OR(IPC_Trimestriel!BS11="",IPC_Trimestriel!BP11="",IPC_Trimestriel!BL11=""),"",AVERAGE(IPC_Trimestriel!BP11:BS11)/AVERAGE(IPC_Trimestriel!BL11:BO11)-1)</f>
        <v>6.2979133783318542E-3</v>
      </c>
      <c r="BP11" s="31">
        <f>IF(OR(IPC_Trimestriel!BT11="",IPC_Trimestriel!BQ11="",IPC_Trimestriel!BM11=""),"",AVERAGE(IPC_Trimestriel!BQ11:BT11)/AVERAGE(IPC_Trimestriel!BM11:BP11)-1)</f>
        <v>4.0377551190753369E-3</v>
      </c>
      <c r="BQ11" s="31">
        <f>IF(OR(IPC_Trimestriel!BU11="",IPC_Trimestriel!BR11="",IPC_Trimestriel!BN11=""),"",AVERAGE(IPC_Trimestriel!BR11:BU11)/AVERAGE(IPC_Trimestriel!BN11:BQ11)-1)</f>
        <v>2.6747250038272607E-3</v>
      </c>
      <c r="BR11" s="31">
        <f>IF(OR(IPC_Trimestriel!BV11="",IPC_Trimestriel!BS11="",IPC_Trimestriel!BO11=""),"",AVERAGE(IPC_Trimestriel!BS11:BV11)/AVERAGE(IPC_Trimestriel!BO11:BR11)-1)</f>
        <v>4.4332747445738896E-3</v>
      </c>
      <c r="BS11" s="31">
        <f>IF(OR(IPC_Trimestriel!BW11="",IPC_Trimestriel!BT11="",IPC_Trimestriel!BP11=""),"",AVERAGE(IPC_Trimestriel!BT11:BW11)/AVERAGE(IPC_Trimestriel!BP11:BS11)-1)</f>
        <v>2.9976660396560106E-3</v>
      </c>
      <c r="BT11" s="31">
        <f>IF(OR(IPC_Trimestriel!BX11="",IPC_Trimestriel!BU11="",IPC_Trimestriel!BQ11=""),"",AVERAGE(IPC_Trimestriel!BU11:BX11)/AVERAGE(IPC_Trimestriel!BQ11:BT11)-1)</f>
        <v>2.3384531521839502E-3</v>
      </c>
      <c r="BU11" s="31">
        <f>IF(OR(IPC_Trimestriel!BY11="",IPC_Trimestriel!BV11="",IPC_Trimestriel!BR11=""),"",AVERAGE(IPC_Trimestriel!BV11:BY11)/AVERAGE(IPC_Trimestriel!BR11:BU11)-1)</f>
        <v>4.4446594720246591E-3</v>
      </c>
      <c r="BV11" s="31">
        <f>IF(OR(IPC_Trimestriel!BZ11="",IPC_Trimestriel!BW11="",IPC_Trimestriel!BS11=""),"",AVERAGE(IPC_Trimestriel!BW11:BZ11)/AVERAGE(IPC_Trimestriel!BS11:BV11)-1)</f>
        <v>5.725799692676059E-3</v>
      </c>
      <c r="BW11" s="31">
        <f>IF(OR(IPC_Trimestriel!CA11="",IPC_Trimestriel!BX11="",IPC_Trimestriel!BT11=""),"",AVERAGE(IPC_Trimestriel!BX11:CA11)/AVERAGE(IPC_Trimestriel!BT11:BW11)-1)</f>
        <v>8.9199001162083569E-3</v>
      </c>
      <c r="BX11" s="31">
        <f>IF(OR(IPC_Trimestriel!CB11="",IPC_Trimestriel!BY11="",IPC_Trimestriel!BU11=""),"",AVERAGE(IPC_Trimestriel!BY11:CB11)/AVERAGE(IPC_Trimestriel!BU11:BX11)-1)</f>
        <v>1.3409443732145476E-2</v>
      </c>
      <c r="BY11" s="31">
        <f>IF(OR(IPC_Trimestriel!CC11="",IPC_Trimestriel!BZ11="",IPC_Trimestriel!BV11=""),"",AVERAGE(IPC_Trimestriel!BZ11:CC11)/AVERAGE(IPC_Trimestriel!BV11:BY11)-1)</f>
        <v>1.6063706848631121E-2</v>
      </c>
      <c r="BZ11" s="31">
        <f>IF(OR(IPC_Trimestriel!CD11="",IPC_Trimestriel!CA11="",IPC_Trimestriel!BW11=""),"",AVERAGE(IPC_Trimestriel!CA11:CD11)/AVERAGE(IPC_Trimestriel!BW11:BZ11)-1)</f>
        <v>1.7628316743825145E-2</v>
      </c>
      <c r="CA11" s="31">
        <f>IF(OR(IPC_Trimestriel!CE11="",IPC_Trimestriel!CB11="",IPC_Trimestriel!BX11=""),"",AVERAGE(IPC_Trimestriel!CB11:CE11)/AVERAGE(IPC_Trimestriel!BX11:CA11)-1)</f>
        <v>1.7306864827947965E-2</v>
      </c>
      <c r="CB11" s="31">
        <f>IF(OR(IPC_Trimestriel!CF11="",IPC_Trimestriel!CC11="",IPC_Trimestriel!BY11=""),"",AVERAGE(IPC_Trimestriel!CC11:CF11)/AVERAGE(IPC_Trimestriel!BY11:CB11)-1)</f>
        <v>1.4368467426768783E-2</v>
      </c>
      <c r="CC11" s="31">
        <f>IF(OR(IPC_Trimestriel!CG11="",IPC_Trimestriel!CD11="",IPC_Trimestriel!BZ11=""),"",AVERAGE(IPC_Trimestriel!CD11:CG11)/AVERAGE(IPC_Trimestriel!BZ11:CC11)-1)</f>
        <v>1.2675945038247427E-2</v>
      </c>
      <c r="CD11" s="31">
        <f>IF(OR(IPC_Trimestriel!CH11="",IPC_Trimestriel!CE11="",IPC_Trimestriel!CA11=""),"",AVERAGE(IPC_Trimestriel!CE11:CH11)/AVERAGE(IPC_Trimestriel!CA11:CD11)-1)</f>
        <v>1.2737017708833953E-2</v>
      </c>
      <c r="CE11" s="31">
        <f>IF(OR(IPC_Trimestriel!CI11="",IPC_Trimestriel!CF11="",IPC_Trimestriel!CB11=""),"",AVERAGE(IPC_Trimestriel!CF11:CI11)/AVERAGE(IPC_Trimestriel!CB11:CE11)-1)</f>
        <v>1.5250877956753728E-2</v>
      </c>
      <c r="CF11" s="31">
        <f>IF(OR(IPC_Trimestriel!CJ11="",IPC_Trimestriel!CG11="",IPC_Trimestriel!CC11=""),"",AVERAGE(IPC_Trimestriel!CG11:CJ11)/AVERAGE(IPC_Trimestriel!CC11:CF11)-1)</f>
        <v>1.9444820230672066E-2</v>
      </c>
      <c r="CG11" s="31">
        <f>IF(OR(IPC_Trimestriel!CK11="",IPC_Trimestriel!CH11="",IPC_Trimestriel!CD11=""),"",AVERAGE(IPC_Trimestriel!CH11:CK11)/AVERAGE(IPC_Trimestriel!CD11:CG11)-1)</f>
        <v>1.9783789461405021E-2</v>
      </c>
      <c r="CH11" s="31">
        <f>IF(OR(IPC_Trimestriel!CL11="",IPC_Trimestriel!CI11="",IPC_Trimestriel!CE11=""),"",AVERAGE(IPC_Trimestriel!CI11:CL11)/AVERAGE(IPC_Trimestriel!CE11:CH11)-1)</f>
        <v>1.8761751864811771E-2</v>
      </c>
      <c r="CI11" s="31">
        <f>IF(OR(IPC_Trimestriel!CM11="",IPC_Trimestriel!CJ11="",IPC_Trimestriel!CF11=""),"",AVERAGE(IPC_Trimestriel!CJ11:CM11)/AVERAGE(IPC_Trimestriel!CF11:CI11)-1)</f>
        <v>1.5722241570344186E-2</v>
      </c>
      <c r="CJ11" s="31">
        <f>IF(OR(IPC_Trimestriel!CN11="",IPC_Trimestriel!CK11="",IPC_Trimestriel!CG11=""),"",AVERAGE(IPC_Trimestriel!CK11:CN11)/AVERAGE(IPC_Trimestriel!CG11:CJ11)-1)</f>
        <v>1.4524839202360917E-2</v>
      </c>
      <c r="CK11" s="31">
        <f>IF(OR(IPC_Trimestriel!CO11="",IPC_Trimestriel!CL11="",IPC_Trimestriel!CH11=""),"",AVERAGE(IPC_Trimestriel!CL11:CO11)/AVERAGE(IPC_Trimestriel!CH11:CK11)-1)</f>
        <v>2.2369611015242041E-2</v>
      </c>
      <c r="CL11" s="31">
        <f>IF(OR(IPC_Trimestriel!CP11="",IPC_Trimestriel!CM11="",IPC_Trimestriel!CI11=""),"",AVERAGE(IPC_Trimestriel!CM11:CP11)/AVERAGE(IPC_Trimestriel!CI11:CL11)-1)</f>
        <v>3.6442101975473706E-2</v>
      </c>
      <c r="CM11" s="31">
        <f>IF(OR(IPC_Trimestriel!CQ11="",IPC_Trimestriel!CN11="",IPC_Trimestriel!CJ11=""),"",AVERAGE(IPC_Trimestriel!CN11:CQ11)/AVERAGE(IPC_Trimestriel!CJ11:CM11)-1)</f>
        <v>5.6403716384749947E-2</v>
      </c>
      <c r="CN11" s="31">
        <f>IF(OR(IPC_Trimestriel!CR11="",IPC_Trimestriel!CO11="",IPC_Trimestriel!CK11=""),"",AVERAGE(IPC_Trimestriel!CO11:CR11)/AVERAGE(IPC_Trimestriel!CK11:CN11)-1)</f>
        <v>7.6529306623548621E-2</v>
      </c>
      <c r="CO11" s="31">
        <f>IF(OR(IPC_Trimestriel!CS11="",IPC_Trimestriel!CP11="",IPC_Trimestriel!CL11=""),"",AVERAGE(IPC_Trimestriel!CP11:CS11)/AVERAGE(IPC_Trimestriel!CL11:CO11)-1)</f>
        <v>8.6200782228158745E-2</v>
      </c>
      <c r="CP11" s="31">
        <f>IF(OR(IPC_Trimestriel!CT11="",IPC_Trimestriel!CQ11="",IPC_Trimestriel!CM11=""),"",AVERAGE(IPC_Trimestriel!CQ11:CT11)/AVERAGE(IPC_Trimestriel!CM11:CP11)-1)</f>
        <v>8.3980651413109841E-2</v>
      </c>
    </row>
    <row r="12" spans="1:94" s="1" customFormat="1" ht="10.199999999999999" x14ac:dyDescent="0.2">
      <c r="A12" s="11" t="s">
        <v>19</v>
      </c>
      <c r="B12" s="1" t="s">
        <v>33</v>
      </c>
      <c r="C12" s="5"/>
      <c r="D12" s="31"/>
      <c r="E12" s="31"/>
      <c r="F12" s="31"/>
      <c r="G12" s="31" t="str">
        <f>IF(OR(IPC_Trimestriel!K12="",IPC_Trimestriel!H12="",IPC_Trimestriel!D12=""),"",AVERAGE(IPC_Trimestriel!H12:K12)/AVERAGE(IPC_Trimestriel!D12:G12)-1)</f>
        <v/>
      </c>
      <c r="H12" s="31" t="str">
        <f>IF(OR(IPC_Trimestriel!L12="",IPC_Trimestriel!I12="",IPC_Trimestriel!E12=""),"",AVERAGE(IPC_Trimestriel!I12:L12)/AVERAGE(IPC_Trimestriel!E12:H12)-1)</f>
        <v/>
      </c>
      <c r="I12" s="31" t="str">
        <f>IF(OR(IPC_Trimestriel!M12="",IPC_Trimestriel!J12="",IPC_Trimestriel!F12=""),"",AVERAGE(IPC_Trimestriel!J12:M12)/AVERAGE(IPC_Trimestriel!F12:I12)-1)</f>
        <v/>
      </c>
      <c r="J12" s="31" t="str">
        <f>IF(OR(IPC_Trimestriel!N12="",IPC_Trimestriel!K12="",IPC_Trimestriel!G12=""),"",AVERAGE(IPC_Trimestriel!K12:N12)/AVERAGE(IPC_Trimestriel!G12:J12)-1)</f>
        <v/>
      </c>
      <c r="K12" s="31" t="str">
        <f>IF(OR(IPC_Trimestriel!O12="",IPC_Trimestriel!L12="",IPC_Trimestriel!H12=""),"",AVERAGE(IPC_Trimestriel!L12:O12)/AVERAGE(IPC_Trimestriel!H12:K12)-1)</f>
        <v/>
      </c>
      <c r="L12" s="31" t="str">
        <f>IF(OR(IPC_Trimestriel!P12="",IPC_Trimestriel!M12="",IPC_Trimestriel!I12=""),"",AVERAGE(IPC_Trimestriel!M12:P12)/AVERAGE(IPC_Trimestriel!I12:L12)-1)</f>
        <v/>
      </c>
      <c r="M12" s="31" t="str">
        <f>IF(OR(IPC_Trimestriel!Q12="",IPC_Trimestriel!N12="",IPC_Trimestriel!J12=""),"",AVERAGE(IPC_Trimestriel!N12:Q12)/AVERAGE(IPC_Trimestriel!J12:M12)-1)</f>
        <v/>
      </c>
      <c r="N12" s="31" t="str">
        <f>IF(OR(IPC_Trimestriel!R12="",IPC_Trimestriel!O12="",IPC_Trimestriel!K12=""),"",AVERAGE(IPC_Trimestriel!O12:R12)/AVERAGE(IPC_Trimestriel!K12:N12)-1)</f>
        <v/>
      </c>
      <c r="O12" s="31" t="str">
        <f>IF(OR(IPC_Trimestriel!S12="",IPC_Trimestriel!P12="",IPC_Trimestriel!L12=""),"",AVERAGE(IPC_Trimestriel!P12:S12)/AVERAGE(IPC_Trimestriel!L12:O12)-1)</f>
        <v/>
      </c>
      <c r="P12" s="31" t="str">
        <f>IF(OR(IPC_Trimestriel!T12="",IPC_Trimestriel!Q12="",IPC_Trimestriel!M12=""),"",AVERAGE(IPC_Trimestriel!Q12:T12)/AVERAGE(IPC_Trimestriel!M12:P12)-1)</f>
        <v/>
      </c>
      <c r="Q12" s="31" t="str">
        <f>IF(OR(IPC_Trimestriel!U12="",IPC_Trimestriel!R12="",IPC_Trimestriel!N12=""),"",AVERAGE(IPC_Trimestriel!R12:U12)/AVERAGE(IPC_Trimestriel!N12:Q12)-1)</f>
        <v/>
      </c>
      <c r="R12" s="31" t="str">
        <f>IF(OR(IPC_Trimestriel!V12="",IPC_Trimestriel!S12="",IPC_Trimestriel!O12=""),"",AVERAGE(IPC_Trimestriel!S12:V12)/AVERAGE(IPC_Trimestriel!O12:R12)-1)</f>
        <v/>
      </c>
      <c r="S12" s="31" t="str">
        <f>IF(OR(IPC_Trimestriel!W12="",IPC_Trimestriel!T12="",IPC_Trimestriel!P12=""),"",AVERAGE(IPC_Trimestriel!T12:W12)/AVERAGE(IPC_Trimestriel!P12:S12)-1)</f>
        <v/>
      </c>
      <c r="T12" s="31" t="str">
        <f>IF(OR(IPC_Trimestriel!X12="",IPC_Trimestriel!U12="",IPC_Trimestriel!Q12=""),"",AVERAGE(IPC_Trimestriel!U12:X12)/AVERAGE(IPC_Trimestriel!Q12:T12)-1)</f>
        <v/>
      </c>
      <c r="U12" s="31" t="str">
        <f>IF(OR(IPC_Trimestriel!Y12="",IPC_Trimestriel!V12="",IPC_Trimestriel!R12=""),"",AVERAGE(IPC_Trimestriel!V12:Y12)/AVERAGE(IPC_Trimestriel!R12:U12)-1)</f>
        <v/>
      </c>
      <c r="V12" s="31" t="str">
        <f>IF(OR(IPC_Trimestriel!Z12="",IPC_Trimestriel!W12="",IPC_Trimestriel!S12=""),"",AVERAGE(IPC_Trimestriel!W12:Z12)/AVERAGE(IPC_Trimestriel!S12:V12)-1)</f>
        <v/>
      </c>
      <c r="W12" s="31" t="str">
        <f>IF(OR(IPC_Trimestriel!AA12="",IPC_Trimestriel!X12="",IPC_Trimestriel!T12=""),"",AVERAGE(IPC_Trimestriel!X12:AA12)/AVERAGE(IPC_Trimestriel!T12:W12)-1)</f>
        <v/>
      </c>
      <c r="X12" s="31" t="str">
        <f>IF(OR(IPC_Trimestriel!AB12="",IPC_Trimestriel!Y12="",IPC_Trimestriel!U12=""),"",AVERAGE(IPC_Trimestriel!Y12:AB12)/AVERAGE(IPC_Trimestriel!U12:X12)-1)</f>
        <v/>
      </c>
      <c r="Y12" s="31" t="str">
        <f>IF(OR(IPC_Trimestriel!AC12="",IPC_Trimestriel!Z12="",IPC_Trimestriel!V12=""),"",AVERAGE(IPC_Trimestriel!Z12:AC12)/AVERAGE(IPC_Trimestriel!V12:Y12)-1)</f>
        <v/>
      </c>
      <c r="Z12" s="31" t="str">
        <f>IF(OR(IPC_Trimestriel!AD12="",IPC_Trimestriel!AA12="",IPC_Trimestriel!W12=""),"",AVERAGE(IPC_Trimestriel!AA12:AD12)/AVERAGE(IPC_Trimestriel!W12:Z12)-1)</f>
        <v/>
      </c>
      <c r="AA12" s="31" t="str">
        <f>IF(OR(IPC_Trimestriel!AE12="",IPC_Trimestriel!AB12="",IPC_Trimestriel!X12=""),"",AVERAGE(IPC_Trimestriel!AB12:AE12)/AVERAGE(IPC_Trimestriel!X12:AA12)-1)</f>
        <v/>
      </c>
      <c r="AB12" s="31" t="str">
        <f>IF(OR(IPC_Trimestriel!AF12="",IPC_Trimestriel!AC12="",IPC_Trimestriel!Y12=""),"",AVERAGE(IPC_Trimestriel!AC12:AF12)/AVERAGE(IPC_Trimestriel!Y12:AB12)-1)</f>
        <v/>
      </c>
      <c r="AC12" s="31" t="str">
        <f>IF(OR(IPC_Trimestriel!AG12="",IPC_Trimestriel!AD12="",IPC_Trimestriel!Z12=""),"",AVERAGE(IPC_Trimestriel!AD12:AG12)/AVERAGE(IPC_Trimestriel!Z12:AC12)-1)</f>
        <v/>
      </c>
      <c r="AD12" s="31" t="str">
        <f>IF(OR(IPC_Trimestriel!AH12="",IPC_Trimestriel!AE12="",IPC_Trimestriel!AA12=""),"",AVERAGE(IPC_Trimestriel!AE12:AH12)/AVERAGE(IPC_Trimestriel!AA12:AD12)-1)</f>
        <v/>
      </c>
      <c r="AE12" s="31" t="str">
        <f>IF(OR(IPC_Trimestriel!AI12="",IPC_Trimestriel!AF12="",IPC_Trimestriel!AB12=""),"",AVERAGE(IPC_Trimestriel!AF12:AI12)/AVERAGE(IPC_Trimestriel!AB12:AE12)-1)</f>
        <v/>
      </c>
      <c r="AF12" s="31" t="str">
        <f>IF(OR(IPC_Trimestriel!AJ12="",IPC_Trimestriel!AG12="",IPC_Trimestriel!AC12=""),"",AVERAGE(IPC_Trimestriel!AG12:AJ12)/AVERAGE(IPC_Trimestriel!AC12:AF12)-1)</f>
        <v/>
      </c>
      <c r="AG12" s="31" t="str">
        <f>IF(OR(IPC_Trimestriel!AK12="",IPC_Trimestriel!AH12="",IPC_Trimestriel!AD12=""),"",AVERAGE(IPC_Trimestriel!AH12:AK12)/AVERAGE(IPC_Trimestriel!AD12:AG12)-1)</f>
        <v/>
      </c>
      <c r="AH12" s="31" t="str">
        <f>IF(OR(IPC_Trimestriel!AL12="",IPC_Trimestriel!AI12="",IPC_Trimestriel!AE12=""),"",AVERAGE(IPC_Trimestriel!AI12:AL12)/AVERAGE(IPC_Trimestriel!AE12:AH12)-1)</f>
        <v/>
      </c>
      <c r="AI12" s="31" t="str">
        <f>IF(OR(IPC_Trimestriel!AM12="",IPC_Trimestriel!AJ12="",IPC_Trimestriel!AF12=""),"",AVERAGE(IPC_Trimestriel!AJ12:AM12)/AVERAGE(IPC_Trimestriel!AF12:AI12)-1)</f>
        <v/>
      </c>
      <c r="AJ12" s="31" t="str">
        <f>IF(OR(IPC_Trimestriel!AN12="",IPC_Trimestriel!AK12="",IPC_Trimestriel!AG12=""),"",AVERAGE(IPC_Trimestriel!AK12:AN12)/AVERAGE(IPC_Trimestriel!AG12:AJ12)-1)</f>
        <v/>
      </c>
      <c r="AK12" s="31" t="str">
        <f>IF(OR(IPC_Trimestriel!AO12="",IPC_Trimestriel!AL12="",IPC_Trimestriel!AH12=""),"",AVERAGE(IPC_Trimestriel!AL12:AO12)/AVERAGE(IPC_Trimestriel!AH12:AK12)-1)</f>
        <v/>
      </c>
      <c r="AL12" s="31" t="str">
        <f>IF(OR(IPC_Trimestriel!AP12="",IPC_Trimestriel!AM12="",IPC_Trimestriel!AI12=""),"",AVERAGE(IPC_Trimestriel!AM12:AP12)/AVERAGE(IPC_Trimestriel!AI12:AL12)-1)</f>
        <v/>
      </c>
      <c r="AM12" s="31" t="str">
        <f>IF(OR(IPC_Trimestriel!AQ12="",IPC_Trimestriel!AN12="",IPC_Trimestriel!AJ12=""),"",AVERAGE(IPC_Trimestriel!AN12:AQ12)/AVERAGE(IPC_Trimestriel!AJ12:AM12)-1)</f>
        <v/>
      </c>
      <c r="AN12" s="31" t="str">
        <f>IF(OR(IPC_Trimestriel!AR12="",IPC_Trimestriel!AO12="",IPC_Trimestriel!AK12=""),"",AVERAGE(IPC_Trimestriel!AO12:AR12)/AVERAGE(IPC_Trimestriel!AK12:AN12)-1)</f>
        <v/>
      </c>
      <c r="AO12" s="31" t="str">
        <f>IF(OR(IPC_Trimestriel!AS12="",IPC_Trimestriel!AP12="",IPC_Trimestriel!AL12=""),"",AVERAGE(IPC_Trimestriel!AP12:AS12)/AVERAGE(IPC_Trimestriel!AL12:AO12)-1)</f>
        <v/>
      </c>
      <c r="AP12" s="31" t="str">
        <f>IF(OR(IPC_Trimestriel!AT12="",IPC_Trimestriel!AQ12="",IPC_Trimestriel!AM12=""),"",AVERAGE(IPC_Trimestriel!AQ12:AT12)/AVERAGE(IPC_Trimestriel!AM12:AP12)-1)</f>
        <v/>
      </c>
      <c r="AQ12" s="31" t="str">
        <f>IF(OR(IPC_Trimestriel!AU12="",IPC_Trimestriel!AR12="",IPC_Trimestriel!AN12=""),"",AVERAGE(IPC_Trimestriel!AR12:AU12)/AVERAGE(IPC_Trimestriel!AN12:AQ12)-1)</f>
        <v/>
      </c>
      <c r="AR12" s="31" t="str">
        <f>IF(OR(IPC_Trimestriel!AV12="",IPC_Trimestriel!AS12="",IPC_Trimestriel!AO12=""),"",AVERAGE(IPC_Trimestriel!AS12:AV12)/AVERAGE(IPC_Trimestriel!AO12:AR12)-1)</f>
        <v/>
      </c>
      <c r="AS12" s="31" t="str">
        <f>IF(OR(IPC_Trimestriel!AW12="",IPC_Trimestriel!AT12="",IPC_Trimestriel!AP12=""),"",AVERAGE(IPC_Trimestriel!AT12:AW12)/AVERAGE(IPC_Trimestriel!AP12:AS12)-1)</f>
        <v/>
      </c>
      <c r="AT12" s="31" t="str">
        <f>IF(OR(IPC_Trimestriel!AX12="",IPC_Trimestriel!AU12="",IPC_Trimestriel!AQ12=""),"",AVERAGE(IPC_Trimestriel!AU12:AX12)/AVERAGE(IPC_Trimestriel!AQ12:AT12)-1)</f>
        <v/>
      </c>
      <c r="AU12" s="31" t="str">
        <f>IF(OR(IPC_Trimestriel!AY12="",IPC_Trimestriel!AV12="",IPC_Trimestriel!AR12=""),"",AVERAGE(IPC_Trimestriel!AV12:AY12)/AVERAGE(IPC_Trimestriel!AR12:AU12)-1)</f>
        <v/>
      </c>
      <c r="AV12" s="31" t="str">
        <f>IF(OR(IPC_Trimestriel!AZ12="",IPC_Trimestriel!AW12="",IPC_Trimestriel!AS12=""),"",AVERAGE(IPC_Trimestriel!AW12:AZ12)/AVERAGE(IPC_Trimestriel!AS12:AV12)-1)</f>
        <v/>
      </c>
      <c r="AW12" s="31" t="str">
        <f>IF(OR(IPC_Trimestriel!BA12="",IPC_Trimestriel!AX12="",IPC_Trimestriel!AT12=""),"",AVERAGE(IPC_Trimestriel!AX12:BA12)/AVERAGE(IPC_Trimestriel!AT12:AW12)-1)</f>
        <v/>
      </c>
      <c r="AX12" s="31" t="str">
        <f>IF(OR(IPC_Trimestriel!BB12="",IPC_Trimestriel!AY12="",IPC_Trimestriel!AU12=""),"",AVERAGE(IPC_Trimestriel!AY12:BB12)/AVERAGE(IPC_Trimestriel!AU12:AX12)-1)</f>
        <v/>
      </c>
      <c r="AY12" s="31" t="str">
        <f>IF(OR(IPC_Trimestriel!BC12="",IPC_Trimestriel!AZ12="",IPC_Trimestriel!AV12=""),"",AVERAGE(IPC_Trimestriel!AZ12:BC12)/AVERAGE(IPC_Trimestriel!AV12:AY12)-1)</f>
        <v/>
      </c>
      <c r="AZ12" s="31" t="str">
        <f>IF(OR(IPC_Trimestriel!BD12="",IPC_Trimestriel!BA12="",IPC_Trimestriel!AW12=""),"",AVERAGE(IPC_Trimestriel!BA12:BD12)/AVERAGE(IPC_Trimestriel!AW12:AZ12)-1)</f>
        <v/>
      </c>
      <c r="BA12" s="31" t="str">
        <f>IF(OR(IPC_Trimestriel!BE12="",IPC_Trimestriel!BB12="",IPC_Trimestriel!AX12=""),"",AVERAGE(IPC_Trimestriel!BB12:BE12)/AVERAGE(IPC_Trimestriel!AX12:BA12)-1)</f>
        <v/>
      </c>
      <c r="BB12" s="31" t="str">
        <f>IF(OR(IPC_Trimestriel!BF12="",IPC_Trimestriel!BC12="",IPC_Trimestriel!AY12=""),"",AVERAGE(IPC_Trimestriel!BC12:BF12)/AVERAGE(IPC_Trimestriel!AY12:BB12)-1)</f>
        <v/>
      </c>
      <c r="BC12" s="31">
        <f>IF(OR(IPC_Trimestriel!BG12="",IPC_Trimestriel!BD12="",IPC_Trimestriel!AZ12=""),"",AVERAGE(IPC_Trimestriel!BD12:BG12)/AVERAGE(IPC_Trimestriel!AZ12:BC12)-1)</f>
        <v>5.5283352776323014E-3</v>
      </c>
      <c r="BD12" s="31">
        <f>IF(OR(IPC_Trimestriel!BH12="",IPC_Trimestriel!BE12="",IPC_Trimestriel!BA12=""),"",AVERAGE(IPC_Trimestriel!BE12:BH12)/AVERAGE(IPC_Trimestriel!BA12:BD12)-1)</f>
        <v>7.4857759341799834E-3</v>
      </c>
      <c r="BE12" s="31">
        <f>IF(OR(IPC_Trimestriel!BI12="",IPC_Trimestriel!BF12="",IPC_Trimestriel!BB12=""),"",AVERAGE(IPC_Trimestriel!BF12:BI12)/AVERAGE(IPC_Trimestriel!BB12:BE12)-1)</f>
        <v>7.9723399562512398E-3</v>
      </c>
      <c r="BF12" s="31">
        <f>IF(OR(IPC_Trimestriel!BJ12="",IPC_Trimestriel!BG12="",IPC_Trimestriel!BC12=""),"",AVERAGE(IPC_Trimestriel!BG12:BJ12)/AVERAGE(IPC_Trimestriel!BC12:BF12)-1)</f>
        <v>9.9944177044468674E-3</v>
      </c>
      <c r="BG12" s="31">
        <f>IF(OR(IPC_Trimestriel!BK12="",IPC_Trimestriel!BH12="",IPC_Trimestriel!BD12=""),"",AVERAGE(IPC_Trimestriel!BH12:BK12)/AVERAGE(IPC_Trimestriel!BD12:BG12)-1)</f>
        <v>7.3801743035544209E-3</v>
      </c>
      <c r="BH12" s="31">
        <f>IF(OR(IPC_Trimestriel!BL12="",IPC_Trimestriel!BI12="",IPC_Trimestriel!BE12=""),"",AVERAGE(IPC_Trimestriel!BI12:BL12)/AVERAGE(IPC_Trimestriel!BE12:BH12)-1)</f>
        <v>6.22749931929234E-3</v>
      </c>
      <c r="BI12" s="31">
        <f>IF(OR(IPC_Trimestriel!BM12="",IPC_Trimestriel!BJ12="",IPC_Trimestriel!BF12=""),"",AVERAGE(IPC_Trimestriel!BJ12:BM12)/AVERAGE(IPC_Trimestriel!BF12:BI12)-1)</f>
        <v>5.6072529841830754E-3</v>
      </c>
      <c r="BJ12" s="31">
        <f>IF(OR(IPC_Trimestriel!BN12="",IPC_Trimestriel!BK12="",IPC_Trimestriel!BG12=""),"",AVERAGE(IPC_Trimestriel!BK12:BN12)/AVERAGE(IPC_Trimestriel!BG12:BJ12)-1)</f>
        <v>3.4395170639835992E-3</v>
      </c>
      <c r="BK12" s="31">
        <f>IF(OR(IPC_Trimestriel!BO12="",IPC_Trimestriel!BL12="",IPC_Trimestriel!BH12=""),"",AVERAGE(IPC_Trimestriel!BL12:BO12)/AVERAGE(IPC_Trimestriel!BH12:BK12)-1)</f>
        <v>4.7521614463512662E-3</v>
      </c>
      <c r="BL12" s="31">
        <f>IF(OR(IPC_Trimestriel!BP12="",IPC_Trimestriel!BM12="",IPC_Trimestriel!BI12=""),"",AVERAGE(IPC_Trimestriel!BM12:BP12)/AVERAGE(IPC_Trimestriel!BI12:BL12)-1)</f>
        <v>2.7657788314301435E-3</v>
      </c>
      <c r="BM12" s="31">
        <f>IF(OR(IPC_Trimestriel!BQ12="",IPC_Trimestriel!BN12="",IPC_Trimestriel!BJ12=""),"",AVERAGE(IPC_Trimestriel!BN12:BQ12)/AVERAGE(IPC_Trimestriel!BJ12:BM12)-1)</f>
        <v>4.5440749959202442E-4</v>
      </c>
      <c r="BN12" s="31">
        <f>IF(OR(IPC_Trimestriel!BR12="",IPC_Trimestriel!BO12="",IPC_Trimestriel!BK12=""),"",AVERAGE(IPC_Trimestriel!BO12:BR12)/AVERAGE(IPC_Trimestriel!BK12:BN12)-1)</f>
        <v>-6.2354871877290385E-4</v>
      </c>
      <c r="BO12" s="31">
        <f>IF(OR(IPC_Trimestriel!BS12="",IPC_Trimestriel!BP12="",IPC_Trimestriel!BL12=""),"",AVERAGE(IPC_Trimestriel!BP12:BS12)/AVERAGE(IPC_Trimestriel!BL12:BO12)-1)</f>
        <v>-3.1418364529888221E-3</v>
      </c>
      <c r="BP12" s="31">
        <f>IF(OR(IPC_Trimestriel!BT12="",IPC_Trimestriel!BQ12="",IPC_Trimestriel!BM12=""),"",AVERAGE(IPC_Trimestriel!BQ12:BT12)/AVERAGE(IPC_Trimestriel!BM12:BP12)-1)</f>
        <v>-2.1179655841202516E-3</v>
      </c>
      <c r="BQ12" s="31">
        <f>IF(OR(IPC_Trimestriel!BU12="",IPC_Trimestriel!BR12="",IPC_Trimestriel!BN12=""),"",AVERAGE(IPC_Trimestriel!BR12:BU12)/AVERAGE(IPC_Trimestriel!BN12:BQ12)-1)</f>
        <v>-3.6625220841779438E-4</v>
      </c>
      <c r="BR12" s="31">
        <f>IF(OR(IPC_Trimestriel!BV12="",IPC_Trimestriel!BS12="",IPC_Trimestriel!BO12=""),"",AVERAGE(IPC_Trimestriel!BS12:BV12)/AVERAGE(IPC_Trimestriel!BO12:BR12)-1)</f>
        <v>1.4750138674752833E-3</v>
      </c>
      <c r="BS12" s="31">
        <f>IF(OR(IPC_Trimestriel!BW12="",IPC_Trimestriel!BT12="",IPC_Trimestriel!BP12=""),"",AVERAGE(IPC_Trimestriel!BT12:BW12)/AVERAGE(IPC_Trimestriel!BP12:BS12)-1)</f>
        <v>3.0022810613277162E-3</v>
      </c>
      <c r="BT12" s="31">
        <f>IF(OR(IPC_Trimestriel!BX12="",IPC_Trimestriel!BU12="",IPC_Trimestriel!BQ12=""),"",AVERAGE(IPC_Trimestriel!BU12:BX12)/AVERAGE(IPC_Trimestriel!BQ12:BT12)-1)</f>
        <v>2.8817869092496728E-3</v>
      </c>
      <c r="BU12" s="31">
        <f>IF(OR(IPC_Trimestriel!BY12="",IPC_Trimestriel!BV12="",IPC_Trimestriel!BR12=""),"",AVERAGE(IPC_Trimestriel!BV12:BY12)/AVERAGE(IPC_Trimestriel!BR12:BU12)-1)</f>
        <v>2.9437057470629302E-3</v>
      </c>
      <c r="BV12" s="31">
        <f>IF(OR(IPC_Trimestriel!BZ12="",IPC_Trimestriel!BW12="",IPC_Trimestriel!BS12=""),"",AVERAGE(IPC_Trimestriel!BW12:BZ12)/AVERAGE(IPC_Trimestriel!BS12:BV12)-1)</f>
        <v>3.5157968852608246E-3</v>
      </c>
      <c r="BW12" s="31">
        <f>IF(OR(IPC_Trimestriel!CA12="",IPC_Trimestriel!BX12="",IPC_Trimestriel!BT12=""),"",AVERAGE(IPC_Trimestriel!BX12:CA12)/AVERAGE(IPC_Trimestriel!BT12:BW12)-1)</f>
        <v>4.4734334851472823E-3</v>
      </c>
      <c r="BX12" s="31">
        <f>IF(OR(IPC_Trimestriel!CB12="",IPC_Trimestriel!BY12="",IPC_Trimestriel!BU12=""),"",AVERAGE(IPC_Trimestriel!BY12:CB12)/AVERAGE(IPC_Trimestriel!BU12:BX12)-1)</f>
        <v>6.2236095792906898E-3</v>
      </c>
      <c r="BY12" s="31">
        <f>IF(OR(IPC_Trimestriel!CC12="",IPC_Trimestriel!BZ12="",IPC_Trimestriel!BV12=""),"",AVERAGE(IPC_Trimestriel!BZ12:CC12)/AVERAGE(IPC_Trimestriel!BV12:BY12)-1)</f>
        <v>7.1685581408174048E-3</v>
      </c>
      <c r="BZ12" s="31">
        <f>IF(OR(IPC_Trimestriel!CD12="",IPC_Trimestriel!CA12="",IPC_Trimestriel!BW12=""),"",AVERAGE(IPC_Trimestriel!CA12:CD12)/AVERAGE(IPC_Trimestriel!BW12:BZ12)-1)</f>
        <v>6.277718259446452E-3</v>
      </c>
      <c r="CA12" s="31">
        <f>IF(OR(IPC_Trimestriel!CE12="",IPC_Trimestriel!CB12="",IPC_Trimestriel!BX12=""),"",AVERAGE(IPC_Trimestriel!CB12:CE12)/AVERAGE(IPC_Trimestriel!BX12:CA12)-1)</f>
        <v>5.5559286680644249E-3</v>
      </c>
      <c r="CB12" s="31">
        <f>IF(OR(IPC_Trimestriel!CF12="",IPC_Trimestriel!CC12="",IPC_Trimestriel!BY12=""),"",AVERAGE(IPC_Trimestriel!CC12:CF12)/AVERAGE(IPC_Trimestriel!BY12:CB12)-1)</f>
        <v>4.2132889409620677E-3</v>
      </c>
      <c r="CC12" s="31">
        <f>IF(OR(IPC_Trimestriel!CG12="",IPC_Trimestriel!CD12="",IPC_Trimestriel!BZ12=""),"",AVERAGE(IPC_Trimestriel!CD12:CG12)/AVERAGE(IPC_Trimestriel!BZ12:CC12)-1)</f>
        <v>2.9003350652099247E-3</v>
      </c>
      <c r="CD12" s="31">
        <f>IF(OR(IPC_Trimestriel!CH12="",IPC_Trimestriel!CE12="",IPC_Trimestriel!CA12=""),"",AVERAGE(IPC_Trimestriel!CE12:CH12)/AVERAGE(IPC_Trimestriel!CA12:CD12)-1)</f>
        <v>2.4437437653885841E-3</v>
      </c>
      <c r="CE12" s="31">
        <f>IF(OR(IPC_Trimestriel!CI12="",IPC_Trimestriel!CF12="",IPC_Trimestriel!CB12=""),"",AVERAGE(IPC_Trimestriel!CF12:CI12)/AVERAGE(IPC_Trimestriel!CB12:CE12)-1)</f>
        <v>2.2391878646650376E-3</v>
      </c>
      <c r="CF12" s="31">
        <f>IF(OR(IPC_Trimestriel!CJ12="",IPC_Trimestriel!CG12="",IPC_Trimestriel!CC12=""),"",AVERAGE(IPC_Trimestriel!CG12:CJ12)/AVERAGE(IPC_Trimestriel!CC12:CF12)-1)</f>
        <v>2.1941948539261347E-3</v>
      </c>
      <c r="CG12" s="31">
        <f>IF(OR(IPC_Trimestriel!CK12="",IPC_Trimestriel!CH12="",IPC_Trimestriel!CD12=""),"",AVERAGE(IPC_Trimestriel!CH12:CK12)/AVERAGE(IPC_Trimestriel!CD12:CG12)-1)</f>
        <v>1.9867678737954808E-3</v>
      </c>
      <c r="CH12" s="31">
        <f>IF(OR(IPC_Trimestriel!CL12="",IPC_Trimestriel!CI12="",IPC_Trimestriel!CE12=""),"",AVERAGE(IPC_Trimestriel!CI12:CL12)/AVERAGE(IPC_Trimestriel!CE12:CH12)-1)</f>
        <v>1.9805964578498703E-3</v>
      </c>
      <c r="CI12" s="31">
        <f>IF(OR(IPC_Trimestriel!CM12="",IPC_Trimestriel!CJ12="",IPC_Trimestriel!CF12=""),"",AVERAGE(IPC_Trimestriel!CJ12:CM12)/AVERAGE(IPC_Trimestriel!CF12:CI12)-1)</f>
        <v>1.6219297351347528E-3</v>
      </c>
      <c r="CJ12" s="31">
        <f>IF(OR(IPC_Trimestriel!CN12="",IPC_Trimestriel!CK12="",IPC_Trimestriel!CG12=""),"",AVERAGE(IPC_Trimestriel!CK12:CN12)/AVERAGE(IPC_Trimestriel!CG12:CJ12)-1)</f>
        <v>1.5513497430581502E-3</v>
      </c>
      <c r="CK12" s="31">
        <f>IF(OR(IPC_Trimestriel!CO12="",IPC_Trimestriel!CL12="",IPC_Trimestriel!CH12=""),"",AVERAGE(IPC_Trimestriel!CL12:CO12)/AVERAGE(IPC_Trimestriel!CH12:CK12)-1)</f>
        <v>2.3268147923802829E-3</v>
      </c>
      <c r="CL12" s="31">
        <f>IF(OR(IPC_Trimestriel!CP12="",IPC_Trimestriel!CM12="",IPC_Trimestriel!CI12=""),"",AVERAGE(IPC_Trimestriel!CM12:CP12)/AVERAGE(IPC_Trimestriel!CI12:CL12)-1)</f>
        <v>3.0931464270913533E-3</v>
      </c>
      <c r="CM12" s="31">
        <f>IF(OR(IPC_Trimestriel!CQ12="",IPC_Trimestriel!CN12="",IPC_Trimestriel!CJ12=""),"",AVERAGE(IPC_Trimestriel!CN12:CQ12)/AVERAGE(IPC_Trimestriel!CJ12:CM12)-1)</f>
        <v>4.2547502334819853E-3</v>
      </c>
      <c r="CN12" s="31">
        <f>IF(OR(IPC_Trimestriel!CR12="",IPC_Trimestriel!CO12="",IPC_Trimestriel!CK12=""),"",AVERAGE(IPC_Trimestriel!CO12:CR12)/AVERAGE(IPC_Trimestriel!CK12:CN12)-1)</f>
        <v>5.8574619430524777E-3</v>
      </c>
      <c r="CO12" s="31">
        <f>IF(OR(IPC_Trimestriel!CS12="",IPC_Trimestriel!CP12="",IPC_Trimestriel!CL12=""),"",AVERAGE(IPC_Trimestriel!CP12:CS12)/AVERAGE(IPC_Trimestriel!CL12:CO12)-1)</f>
        <v>6.9889941575893566E-3</v>
      </c>
      <c r="CP12" s="31">
        <f>IF(OR(IPC_Trimestriel!CT12="",IPC_Trimestriel!CQ12="",IPC_Trimestriel!CM12=""),"",AVERAGE(IPC_Trimestriel!CQ12:CT12)/AVERAGE(IPC_Trimestriel!CM12:CP12)-1)</f>
        <v>7.9922996780310562E-3</v>
      </c>
    </row>
    <row r="13" spans="1:94" s="1" customFormat="1" ht="10.199999999999999" x14ac:dyDescent="0.2">
      <c r="A13" s="11" t="s">
        <v>21</v>
      </c>
      <c r="B13" s="1" t="s">
        <v>22</v>
      </c>
      <c r="C13" s="5"/>
      <c r="D13" s="31"/>
      <c r="E13" s="31"/>
      <c r="F13" s="31"/>
      <c r="G13" s="31" t="str">
        <f>IF(OR(IPC_Trimestriel!K13="",IPC_Trimestriel!H13="",IPC_Trimestriel!D13=""),"",AVERAGE(IPC_Trimestriel!H13:K13)/AVERAGE(IPC_Trimestriel!D13:G13)-1)</f>
        <v/>
      </c>
      <c r="H13" s="31" t="str">
        <f>IF(OR(IPC_Trimestriel!L13="",IPC_Trimestriel!I13="",IPC_Trimestriel!E13=""),"",AVERAGE(IPC_Trimestriel!I13:L13)/AVERAGE(IPC_Trimestriel!E13:H13)-1)</f>
        <v/>
      </c>
      <c r="I13" s="31" t="str">
        <f>IF(OR(IPC_Trimestriel!M13="",IPC_Trimestriel!J13="",IPC_Trimestriel!F13=""),"",AVERAGE(IPC_Trimestriel!J13:M13)/AVERAGE(IPC_Trimestriel!F13:I13)-1)</f>
        <v/>
      </c>
      <c r="J13" s="31" t="str">
        <f>IF(OR(IPC_Trimestriel!N13="",IPC_Trimestriel!K13="",IPC_Trimestriel!G13=""),"",AVERAGE(IPC_Trimestriel!K13:N13)/AVERAGE(IPC_Trimestriel!G13:J13)-1)</f>
        <v/>
      </c>
      <c r="K13" s="31" t="str">
        <f>IF(OR(IPC_Trimestriel!O13="",IPC_Trimestriel!L13="",IPC_Trimestriel!H13=""),"",AVERAGE(IPC_Trimestriel!L13:O13)/AVERAGE(IPC_Trimestriel!H13:K13)-1)</f>
        <v/>
      </c>
      <c r="L13" s="31" t="str">
        <f>IF(OR(IPC_Trimestriel!P13="",IPC_Trimestriel!M13="",IPC_Trimestriel!I13=""),"",AVERAGE(IPC_Trimestriel!M13:P13)/AVERAGE(IPC_Trimestriel!I13:L13)-1)</f>
        <v/>
      </c>
      <c r="M13" s="31" t="str">
        <f>IF(OR(IPC_Trimestriel!Q13="",IPC_Trimestriel!N13="",IPC_Trimestriel!J13=""),"",AVERAGE(IPC_Trimestriel!N13:Q13)/AVERAGE(IPC_Trimestriel!J13:M13)-1)</f>
        <v/>
      </c>
      <c r="N13" s="31" t="str">
        <f>IF(OR(IPC_Trimestriel!R13="",IPC_Trimestriel!O13="",IPC_Trimestriel!K13=""),"",AVERAGE(IPC_Trimestriel!O13:R13)/AVERAGE(IPC_Trimestriel!K13:N13)-1)</f>
        <v/>
      </c>
      <c r="O13" s="31" t="str">
        <f>IF(OR(IPC_Trimestriel!S13="",IPC_Trimestriel!P13="",IPC_Trimestriel!L13=""),"",AVERAGE(IPC_Trimestriel!P13:S13)/AVERAGE(IPC_Trimestriel!L13:O13)-1)</f>
        <v/>
      </c>
      <c r="P13" s="31" t="str">
        <f>IF(OR(IPC_Trimestriel!T13="",IPC_Trimestriel!Q13="",IPC_Trimestriel!M13=""),"",AVERAGE(IPC_Trimestriel!Q13:T13)/AVERAGE(IPC_Trimestriel!M13:P13)-1)</f>
        <v/>
      </c>
      <c r="Q13" s="31" t="str">
        <f>IF(OR(IPC_Trimestriel!U13="",IPC_Trimestriel!R13="",IPC_Trimestriel!N13=""),"",AVERAGE(IPC_Trimestriel!R13:U13)/AVERAGE(IPC_Trimestriel!N13:Q13)-1)</f>
        <v/>
      </c>
      <c r="R13" s="31" t="str">
        <f>IF(OR(IPC_Trimestriel!V13="",IPC_Trimestriel!S13="",IPC_Trimestriel!O13=""),"",AVERAGE(IPC_Trimestriel!S13:V13)/AVERAGE(IPC_Trimestriel!O13:R13)-1)</f>
        <v/>
      </c>
      <c r="S13" s="31" t="str">
        <f>IF(OR(IPC_Trimestriel!W13="",IPC_Trimestriel!T13="",IPC_Trimestriel!P13=""),"",AVERAGE(IPC_Trimestriel!T13:W13)/AVERAGE(IPC_Trimestriel!P13:S13)-1)</f>
        <v/>
      </c>
      <c r="T13" s="31" t="str">
        <f>IF(OR(IPC_Trimestriel!X13="",IPC_Trimestriel!U13="",IPC_Trimestriel!Q13=""),"",AVERAGE(IPC_Trimestriel!U13:X13)/AVERAGE(IPC_Trimestriel!Q13:T13)-1)</f>
        <v/>
      </c>
      <c r="U13" s="31" t="str">
        <f>IF(OR(IPC_Trimestriel!Y13="",IPC_Trimestriel!V13="",IPC_Trimestriel!R13=""),"",AVERAGE(IPC_Trimestriel!V13:Y13)/AVERAGE(IPC_Trimestriel!R13:U13)-1)</f>
        <v/>
      </c>
      <c r="V13" s="31" t="str">
        <f>IF(OR(IPC_Trimestriel!Z13="",IPC_Trimestriel!W13="",IPC_Trimestriel!S13=""),"",AVERAGE(IPC_Trimestriel!W13:Z13)/AVERAGE(IPC_Trimestriel!S13:V13)-1)</f>
        <v/>
      </c>
      <c r="W13" s="31" t="str">
        <f>IF(OR(IPC_Trimestriel!AA13="",IPC_Trimestriel!X13="",IPC_Trimestriel!T13=""),"",AVERAGE(IPC_Trimestriel!X13:AA13)/AVERAGE(IPC_Trimestriel!T13:W13)-1)</f>
        <v/>
      </c>
      <c r="X13" s="31" t="str">
        <f>IF(OR(IPC_Trimestriel!AB13="",IPC_Trimestriel!Y13="",IPC_Trimestriel!U13=""),"",AVERAGE(IPC_Trimestriel!Y13:AB13)/AVERAGE(IPC_Trimestriel!U13:X13)-1)</f>
        <v/>
      </c>
      <c r="Y13" s="31" t="str">
        <f>IF(OR(IPC_Trimestriel!AC13="",IPC_Trimestriel!Z13="",IPC_Trimestriel!V13=""),"",AVERAGE(IPC_Trimestriel!Z13:AC13)/AVERAGE(IPC_Trimestriel!V13:Y13)-1)</f>
        <v/>
      </c>
      <c r="Z13" s="31" t="str">
        <f>IF(OR(IPC_Trimestriel!AD13="",IPC_Trimestriel!AA13="",IPC_Trimestriel!W13=""),"",AVERAGE(IPC_Trimestriel!AA13:AD13)/AVERAGE(IPC_Trimestriel!W13:Z13)-1)</f>
        <v/>
      </c>
      <c r="AA13" s="31" t="str">
        <f>IF(OR(IPC_Trimestriel!AE13="",IPC_Trimestriel!AB13="",IPC_Trimestriel!X13=""),"",AVERAGE(IPC_Trimestriel!AB13:AE13)/AVERAGE(IPC_Trimestriel!X13:AA13)-1)</f>
        <v/>
      </c>
      <c r="AB13" s="31" t="str">
        <f>IF(OR(IPC_Trimestriel!AF13="",IPC_Trimestriel!AC13="",IPC_Trimestriel!Y13=""),"",AVERAGE(IPC_Trimestriel!AC13:AF13)/AVERAGE(IPC_Trimestriel!Y13:AB13)-1)</f>
        <v/>
      </c>
      <c r="AC13" s="31" t="str">
        <f>IF(OR(IPC_Trimestriel!AG13="",IPC_Trimestriel!AD13="",IPC_Trimestriel!Z13=""),"",AVERAGE(IPC_Trimestriel!AD13:AG13)/AVERAGE(IPC_Trimestriel!Z13:AC13)-1)</f>
        <v/>
      </c>
      <c r="AD13" s="31" t="str">
        <f>IF(OR(IPC_Trimestriel!AH13="",IPC_Trimestriel!AE13="",IPC_Trimestriel!AA13=""),"",AVERAGE(IPC_Trimestriel!AE13:AH13)/AVERAGE(IPC_Trimestriel!AA13:AD13)-1)</f>
        <v/>
      </c>
      <c r="AE13" s="31" t="str">
        <f>IF(OR(IPC_Trimestriel!AI13="",IPC_Trimestriel!AF13="",IPC_Trimestriel!AB13=""),"",AVERAGE(IPC_Trimestriel!AF13:AI13)/AVERAGE(IPC_Trimestriel!AB13:AE13)-1)</f>
        <v/>
      </c>
      <c r="AF13" s="31" t="str">
        <f>IF(OR(IPC_Trimestriel!AJ13="",IPC_Trimestriel!AG13="",IPC_Trimestriel!AC13=""),"",AVERAGE(IPC_Trimestriel!AG13:AJ13)/AVERAGE(IPC_Trimestriel!AC13:AF13)-1)</f>
        <v/>
      </c>
      <c r="AG13" s="31" t="str">
        <f>IF(OR(IPC_Trimestriel!AK13="",IPC_Trimestriel!AH13="",IPC_Trimestriel!AD13=""),"",AVERAGE(IPC_Trimestriel!AH13:AK13)/AVERAGE(IPC_Trimestriel!AD13:AG13)-1)</f>
        <v/>
      </c>
      <c r="AH13" s="31" t="str">
        <f>IF(OR(IPC_Trimestriel!AL13="",IPC_Trimestriel!AI13="",IPC_Trimestriel!AE13=""),"",AVERAGE(IPC_Trimestriel!AI13:AL13)/AVERAGE(IPC_Trimestriel!AE13:AH13)-1)</f>
        <v/>
      </c>
      <c r="AI13" s="31" t="str">
        <f>IF(OR(IPC_Trimestriel!AM13="",IPC_Trimestriel!AJ13="",IPC_Trimestriel!AF13=""),"",AVERAGE(IPC_Trimestriel!AJ13:AM13)/AVERAGE(IPC_Trimestriel!AF13:AI13)-1)</f>
        <v/>
      </c>
      <c r="AJ13" s="31" t="str">
        <f>IF(OR(IPC_Trimestriel!AN13="",IPC_Trimestriel!AK13="",IPC_Trimestriel!AG13=""),"",AVERAGE(IPC_Trimestriel!AK13:AN13)/AVERAGE(IPC_Trimestriel!AG13:AJ13)-1)</f>
        <v/>
      </c>
      <c r="AK13" s="31" t="str">
        <f>IF(OR(IPC_Trimestriel!AO13="",IPC_Trimestriel!AL13="",IPC_Trimestriel!AH13=""),"",AVERAGE(IPC_Trimestriel!AL13:AO13)/AVERAGE(IPC_Trimestriel!AH13:AK13)-1)</f>
        <v/>
      </c>
      <c r="AL13" s="31" t="str">
        <f>IF(OR(IPC_Trimestriel!AP13="",IPC_Trimestriel!AM13="",IPC_Trimestriel!AI13=""),"",AVERAGE(IPC_Trimestriel!AM13:AP13)/AVERAGE(IPC_Trimestriel!AI13:AL13)-1)</f>
        <v/>
      </c>
      <c r="AM13" s="31" t="str">
        <f>IF(OR(IPC_Trimestriel!AQ13="",IPC_Trimestriel!AN13="",IPC_Trimestriel!AJ13=""),"",AVERAGE(IPC_Trimestriel!AN13:AQ13)/AVERAGE(IPC_Trimestriel!AJ13:AM13)-1)</f>
        <v/>
      </c>
      <c r="AN13" s="31" t="str">
        <f>IF(OR(IPC_Trimestriel!AR13="",IPC_Trimestriel!AO13="",IPC_Trimestriel!AK13=""),"",AVERAGE(IPC_Trimestriel!AO13:AR13)/AVERAGE(IPC_Trimestriel!AK13:AN13)-1)</f>
        <v/>
      </c>
      <c r="AO13" s="31" t="str">
        <f>IF(OR(IPC_Trimestriel!AS13="",IPC_Trimestriel!AP13="",IPC_Trimestriel!AL13=""),"",AVERAGE(IPC_Trimestriel!AP13:AS13)/AVERAGE(IPC_Trimestriel!AL13:AO13)-1)</f>
        <v/>
      </c>
      <c r="AP13" s="31" t="str">
        <f>IF(OR(IPC_Trimestriel!AT13="",IPC_Trimestriel!AQ13="",IPC_Trimestriel!AM13=""),"",AVERAGE(IPC_Trimestriel!AQ13:AT13)/AVERAGE(IPC_Trimestriel!AM13:AP13)-1)</f>
        <v/>
      </c>
      <c r="AQ13" s="31" t="str">
        <f>IF(OR(IPC_Trimestriel!AU13="",IPC_Trimestriel!AR13="",IPC_Trimestriel!AN13=""),"",AVERAGE(IPC_Trimestriel!AR13:AU13)/AVERAGE(IPC_Trimestriel!AN13:AQ13)-1)</f>
        <v/>
      </c>
      <c r="AR13" s="31" t="str">
        <f>IF(OR(IPC_Trimestriel!AV13="",IPC_Trimestriel!AS13="",IPC_Trimestriel!AO13=""),"",AVERAGE(IPC_Trimestriel!AS13:AV13)/AVERAGE(IPC_Trimestriel!AO13:AR13)-1)</f>
        <v/>
      </c>
      <c r="AS13" s="31" t="str">
        <f>IF(OR(IPC_Trimestriel!AW13="",IPC_Trimestriel!AT13="",IPC_Trimestriel!AP13=""),"",AVERAGE(IPC_Trimestriel!AT13:AW13)/AVERAGE(IPC_Trimestriel!AP13:AS13)-1)</f>
        <v/>
      </c>
      <c r="AT13" s="31" t="str">
        <f>IF(OR(IPC_Trimestriel!AX13="",IPC_Trimestriel!AU13="",IPC_Trimestriel!AQ13=""),"",AVERAGE(IPC_Trimestriel!AU13:AX13)/AVERAGE(IPC_Trimestriel!AQ13:AT13)-1)</f>
        <v/>
      </c>
      <c r="AU13" s="31" t="str">
        <f>IF(OR(IPC_Trimestriel!AY13="",IPC_Trimestriel!AV13="",IPC_Trimestriel!AR13=""),"",AVERAGE(IPC_Trimestriel!AV13:AY13)/AVERAGE(IPC_Trimestriel!AR13:AU13)-1)</f>
        <v/>
      </c>
      <c r="AV13" s="31" t="str">
        <f>IF(OR(IPC_Trimestriel!AZ13="",IPC_Trimestriel!AW13="",IPC_Trimestriel!AS13=""),"",AVERAGE(IPC_Trimestriel!AW13:AZ13)/AVERAGE(IPC_Trimestriel!AS13:AV13)-1)</f>
        <v/>
      </c>
      <c r="AW13" s="31" t="str">
        <f>IF(OR(IPC_Trimestriel!BA13="",IPC_Trimestriel!AX13="",IPC_Trimestriel!AT13=""),"",AVERAGE(IPC_Trimestriel!AX13:BA13)/AVERAGE(IPC_Trimestriel!AT13:AW13)-1)</f>
        <v/>
      </c>
      <c r="AX13" s="31" t="str">
        <f>IF(OR(IPC_Trimestriel!BB13="",IPC_Trimestriel!AY13="",IPC_Trimestriel!AU13=""),"",AVERAGE(IPC_Trimestriel!AY13:BB13)/AVERAGE(IPC_Trimestriel!AU13:AX13)-1)</f>
        <v/>
      </c>
      <c r="AY13" s="31" t="str">
        <f>IF(OR(IPC_Trimestriel!BC13="",IPC_Trimestriel!AZ13="",IPC_Trimestriel!AV13=""),"",AVERAGE(IPC_Trimestriel!AZ13:BC13)/AVERAGE(IPC_Trimestriel!AV13:AY13)-1)</f>
        <v/>
      </c>
      <c r="AZ13" s="31" t="str">
        <f>IF(OR(IPC_Trimestriel!BD13="",IPC_Trimestriel!BA13="",IPC_Trimestriel!AW13=""),"",AVERAGE(IPC_Trimestriel!BA13:BD13)/AVERAGE(IPC_Trimestriel!AW13:AZ13)-1)</f>
        <v/>
      </c>
      <c r="BA13" s="31" t="str">
        <f>IF(OR(IPC_Trimestriel!BE13="",IPC_Trimestriel!BB13="",IPC_Trimestriel!AX13=""),"",AVERAGE(IPC_Trimestriel!BB13:BE13)/AVERAGE(IPC_Trimestriel!AX13:BA13)-1)</f>
        <v/>
      </c>
      <c r="BB13" s="31" t="str">
        <f>IF(OR(IPC_Trimestriel!BF13="",IPC_Trimestriel!BC13="",IPC_Trimestriel!AY13=""),"",AVERAGE(IPC_Trimestriel!BC13:BF13)/AVERAGE(IPC_Trimestriel!AY13:BB13)-1)</f>
        <v/>
      </c>
      <c r="BC13" s="31">
        <f>IF(OR(IPC_Trimestriel!BG13="",IPC_Trimestriel!BD13="",IPC_Trimestriel!AZ13=""),"",AVERAGE(IPC_Trimestriel!BD13:BG13)/AVERAGE(IPC_Trimestriel!AZ13:BC13)-1)</f>
        <v>1.8812207067406383E-2</v>
      </c>
      <c r="BD13" s="31">
        <f>IF(OR(IPC_Trimestriel!BH13="",IPC_Trimestriel!BE13="",IPC_Trimestriel!BA13=""),"",AVERAGE(IPC_Trimestriel!BE13:BH13)/AVERAGE(IPC_Trimestriel!BA13:BD13)-1)</f>
        <v>1.4602584011698783E-2</v>
      </c>
      <c r="BE13" s="31">
        <f>IF(OR(IPC_Trimestriel!BI13="",IPC_Trimestriel!BF13="",IPC_Trimestriel!BB13=""),"",AVERAGE(IPC_Trimestriel!BF13:BI13)/AVERAGE(IPC_Trimestriel!BB13:BE13)-1)</f>
        <v>1.0447613717033288E-2</v>
      </c>
      <c r="BF13" s="31">
        <f>IF(OR(IPC_Trimestriel!BJ13="",IPC_Trimestriel!BG13="",IPC_Trimestriel!BC13=""),"",AVERAGE(IPC_Trimestriel!BG13:BJ13)/AVERAGE(IPC_Trimestriel!BC13:BF13)-1)</f>
        <v>4.3871384778829015E-2</v>
      </c>
      <c r="BG13" s="31">
        <f>IF(OR(IPC_Trimestriel!BK13="",IPC_Trimestriel!BH13="",IPC_Trimestriel!BD13=""),"",AVERAGE(IPC_Trimestriel!BH13:BK13)/AVERAGE(IPC_Trimestriel!BD13:BG13)-1)</f>
        <v>7.7159678684415534E-2</v>
      </c>
      <c r="BH13" s="31">
        <f>IF(OR(IPC_Trimestriel!BL13="",IPC_Trimestriel!BI13="",IPC_Trimestriel!BE13=""),"",AVERAGE(IPC_Trimestriel!BI13:BL13)/AVERAGE(IPC_Trimestriel!BE13:BH13)-1)</f>
        <v>0.11045246104346162</v>
      </c>
      <c r="BI13" s="31">
        <f>IF(OR(IPC_Trimestriel!BM13="",IPC_Trimestriel!BJ13="",IPC_Trimestriel!BF13=""),"",AVERAGE(IPC_Trimestriel!BJ13:BM13)/AVERAGE(IPC_Trimestriel!BF13:BI13)-1)</f>
        <v>0.14534563105167342</v>
      </c>
      <c r="BJ13" s="31">
        <f>IF(OR(IPC_Trimestriel!BN13="",IPC_Trimestriel!BK13="",IPC_Trimestriel!BG13=""),"",AVERAGE(IPC_Trimestriel!BK13:BN13)/AVERAGE(IPC_Trimestriel!BG13:BJ13)-1)</f>
        <v>0.11005156102930402</v>
      </c>
      <c r="BK13" s="31">
        <f>IF(OR(IPC_Trimestriel!BO13="",IPC_Trimestriel!BL13="",IPC_Trimestriel!BH13=""),"",AVERAGE(IPC_Trimestriel!BL13:BO13)/AVERAGE(IPC_Trimestriel!BH13:BK13)-1)</f>
        <v>7.5200889420316663E-2</v>
      </c>
      <c r="BL13" s="31">
        <f>IF(OR(IPC_Trimestriel!BP13="",IPC_Trimestriel!BM13="",IPC_Trimestriel!BI13=""),"",AVERAGE(IPC_Trimestriel!BM13:BP13)/AVERAGE(IPC_Trimestriel!BI13:BL13)-1)</f>
        <v>3.8063362910540466E-2</v>
      </c>
      <c r="BM13" s="31">
        <f>IF(OR(IPC_Trimestriel!BQ13="",IPC_Trimestriel!BN13="",IPC_Trimestriel!BJ13=""),"",AVERAGE(IPC_Trimestriel!BN13:BQ13)/AVERAGE(IPC_Trimestriel!BJ13:BM13)-1)</f>
        <v>2.0826113584078154E-3</v>
      </c>
      <c r="BN13" s="31">
        <f>IF(OR(IPC_Trimestriel!BR13="",IPC_Trimestriel!BO13="",IPC_Trimestriel!BK13=""),"",AVERAGE(IPC_Trimestriel!BO13:BR13)/AVERAGE(IPC_Trimestriel!BK13:BN13)-1)</f>
        <v>-3.4500547474740628E-3</v>
      </c>
      <c r="BO13" s="31">
        <f>IF(OR(IPC_Trimestriel!BS13="",IPC_Trimestriel!BP13="",IPC_Trimestriel!BL13=""),"",AVERAGE(IPC_Trimestriel!BP13:BS13)/AVERAGE(IPC_Trimestriel!BL13:BO13)-1)</f>
        <v>-7.053139899716232E-3</v>
      </c>
      <c r="BP13" s="31">
        <f>IF(OR(IPC_Trimestriel!BT13="",IPC_Trimestriel!BQ13="",IPC_Trimestriel!BM13=""),"",AVERAGE(IPC_Trimestriel!BQ13:BT13)/AVERAGE(IPC_Trimestriel!BM13:BP13)-1)</f>
        <v>-3.2262545400688625E-3</v>
      </c>
      <c r="BQ13" s="31">
        <f>IF(OR(IPC_Trimestriel!BU13="",IPC_Trimestriel!BR13="",IPC_Trimestriel!BN13=""),"",AVERAGE(IPC_Trimestriel!BR13:BU13)/AVERAGE(IPC_Trimestriel!BN13:BQ13)-1)</f>
        <v>1.0285468099064943E-3</v>
      </c>
      <c r="BR13" s="31">
        <f>IF(OR(IPC_Trimestriel!BV13="",IPC_Trimestriel!BS13="",IPC_Trimestriel!BO13=""),"",AVERAGE(IPC_Trimestriel!BS13:BV13)/AVERAGE(IPC_Trimestriel!BO13:BR13)-1)</f>
        <v>4.9432482883171591E-3</v>
      </c>
      <c r="BS13" s="31">
        <f>IF(OR(IPC_Trimestriel!BW13="",IPC_Trimestriel!BT13="",IPC_Trimestriel!BP13=""),"",AVERAGE(IPC_Trimestriel!BT13:BW13)/AVERAGE(IPC_Trimestriel!BP13:BS13)-1)</f>
        <v>7.8522861451706394E-3</v>
      </c>
      <c r="BT13" s="31">
        <f>IF(OR(IPC_Trimestriel!BX13="",IPC_Trimestriel!BU13="",IPC_Trimestriel!BQ13=""),"",AVERAGE(IPC_Trimestriel!BU13:BX13)/AVERAGE(IPC_Trimestriel!BQ13:BT13)-1)</f>
        <v>5.464724520112707E-3</v>
      </c>
      <c r="BU13" s="31">
        <f>IF(OR(IPC_Trimestriel!BY13="",IPC_Trimestriel!BV13="",IPC_Trimestriel!BR13=""),"",AVERAGE(IPC_Trimestriel!BV13:BY13)/AVERAGE(IPC_Trimestriel!BR13:BU13)-1)</f>
        <v>2.9895697613944172E-3</v>
      </c>
      <c r="BV13" s="31">
        <f>IF(OR(IPC_Trimestriel!BZ13="",IPC_Trimestriel!BW13="",IPC_Trimestriel!BS13=""),"",AVERAGE(IPC_Trimestriel!BW13:BZ13)/AVERAGE(IPC_Trimestriel!BS13:BV13)-1)</f>
        <v>3.8395149578642762E-3</v>
      </c>
      <c r="BW13" s="31">
        <f>IF(OR(IPC_Trimestriel!CA13="",IPC_Trimestriel!BX13="",IPC_Trimestriel!BT13=""),"",AVERAGE(IPC_Trimestriel!BX13:CA13)/AVERAGE(IPC_Trimestriel!BT13:BW13)-1)</f>
        <v>6.8619007282033628E-3</v>
      </c>
      <c r="BX13" s="31">
        <f>IF(OR(IPC_Trimestriel!CB13="",IPC_Trimestriel!BY13="",IPC_Trimestriel!BU13=""),"",AVERAGE(IPC_Trimestriel!BY13:CB13)/AVERAGE(IPC_Trimestriel!BU13:BX13)-1)</f>
        <v>1.2322144119643719E-2</v>
      </c>
      <c r="BY13" s="31">
        <f>IF(OR(IPC_Trimestriel!CC13="",IPC_Trimestriel!BZ13="",IPC_Trimestriel!BV13=""),"",AVERAGE(IPC_Trimestriel!BZ13:CC13)/AVERAGE(IPC_Trimestriel!BV13:BY13)-1)</f>
        <v>1.8716905978168219E-2</v>
      </c>
      <c r="BZ13" s="31">
        <f>IF(OR(IPC_Trimestriel!CD13="",IPC_Trimestriel!CA13="",IPC_Trimestriel!BW13=""),"",AVERAGE(IPC_Trimestriel!CA13:CD13)/AVERAGE(IPC_Trimestriel!BW13:BZ13)-1)</f>
        <v>1.9624794783567712E-2</v>
      </c>
      <c r="CA13" s="31">
        <f>IF(OR(IPC_Trimestriel!CE13="",IPC_Trimestriel!CB13="",IPC_Trimestriel!BX13=""),"",AVERAGE(IPC_Trimestriel!CB13:CE13)/AVERAGE(IPC_Trimestriel!BX13:CA13)-1)</f>
        <v>1.7929472705592531E-2</v>
      </c>
      <c r="CB13" s="31">
        <f>IF(OR(IPC_Trimestriel!CF13="",IPC_Trimestriel!CC13="",IPC_Trimestriel!BY13=""),"",AVERAGE(IPC_Trimestriel!CC13:CF13)/AVERAGE(IPC_Trimestriel!BY13:CB13)-1)</f>
        <v>1.4357364380994442E-2</v>
      </c>
      <c r="CC13" s="31">
        <f>IF(OR(IPC_Trimestriel!CG13="",IPC_Trimestriel!CD13="",IPC_Trimestriel!BZ13=""),"",AVERAGE(IPC_Trimestriel!CD13:CG13)/AVERAGE(IPC_Trimestriel!BZ13:CC13)-1)</f>
        <v>1.5936499589693787E-2</v>
      </c>
      <c r="CD13" s="31">
        <f>IF(OR(IPC_Trimestriel!CH13="",IPC_Trimestriel!CE13="",IPC_Trimestriel!CA13=""),"",AVERAGE(IPC_Trimestriel!CE13:CH13)/AVERAGE(IPC_Trimestriel!CA13:CD13)-1)</f>
        <v>1.6772229822640705E-2</v>
      </c>
      <c r="CE13" s="31">
        <f>IF(OR(IPC_Trimestriel!CI13="",IPC_Trimestriel!CF13="",IPC_Trimestriel!CB13=""),"",AVERAGE(IPC_Trimestriel!CF13:CI13)/AVERAGE(IPC_Trimestriel!CB13:CE13)-1)</f>
        <v>1.9620394653095952E-2</v>
      </c>
      <c r="CF13" s="31">
        <f>IF(OR(IPC_Trimestriel!CJ13="",IPC_Trimestriel!CG13="",IPC_Trimestriel!CC13=""),"",AVERAGE(IPC_Trimestriel!CG13:CJ13)/AVERAGE(IPC_Trimestriel!CC13:CF13)-1)</f>
        <v>2.3157286349693162E-2</v>
      </c>
      <c r="CG13" s="31">
        <f>IF(OR(IPC_Trimestriel!CK13="",IPC_Trimestriel!CH13="",IPC_Trimestriel!CD13=""),"",AVERAGE(IPC_Trimestriel!CH13:CK13)/AVERAGE(IPC_Trimestriel!CD13:CG13)-1)</f>
        <v>1.4098807420122483E-2</v>
      </c>
      <c r="CH13" s="31">
        <f>IF(OR(IPC_Trimestriel!CL13="",IPC_Trimestriel!CI13="",IPC_Trimestriel!CE13=""),"",AVERAGE(IPC_Trimestriel!CI13:CL13)/AVERAGE(IPC_Trimestriel!CE13:CH13)-1)</f>
        <v>1.2602705835319306E-2</v>
      </c>
      <c r="CI13" s="31">
        <f>IF(OR(IPC_Trimestriel!CM13="",IPC_Trimestriel!CJ13="",IPC_Trimestriel!CF13=""),"",AVERAGE(IPC_Trimestriel!CJ13:CM13)/AVERAGE(IPC_Trimestriel!CF13:CI13)-1)</f>
        <v>1.0139212852683599E-2</v>
      </c>
      <c r="CJ13" s="31">
        <f>IF(OR(IPC_Trimestriel!CN13="",IPC_Trimestriel!CK13="",IPC_Trimestriel!CG13=""),"",AVERAGE(IPC_Trimestriel!CK13:CN13)/AVERAGE(IPC_Trimestriel!CG13:CJ13)-1)</f>
        <v>9.8346018283741454E-3</v>
      </c>
      <c r="CK13" s="31">
        <f>IF(OR(IPC_Trimestriel!CO13="",IPC_Trimestriel!CL13="",IPC_Trimestriel!CH13=""),"",AVERAGE(IPC_Trimestriel!CL13:CO13)/AVERAGE(IPC_Trimestriel!CH13:CK13)-1)</f>
        <v>1.7877802291220712E-2</v>
      </c>
      <c r="CL13" s="31">
        <f>IF(OR(IPC_Trimestriel!CP13="",IPC_Trimestriel!CM13="",IPC_Trimestriel!CI13=""),"",AVERAGE(IPC_Trimestriel!CM13:CP13)/AVERAGE(IPC_Trimestriel!CI13:CL13)-1)</f>
        <v>2.2636694454652551E-2</v>
      </c>
      <c r="CM13" s="31">
        <f>IF(OR(IPC_Trimestriel!CQ13="",IPC_Trimestriel!CN13="",IPC_Trimestriel!CJ13=""),"",AVERAGE(IPC_Trimestriel!CN13:CQ13)/AVERAGE(IPC_Trimestriel!CJ13:CM13)-1)</f>
        <v>2.6820627424683829E-2</v>
      </c>
      <c r="CN13" s="31">
        <f>IF(OR(IPC_Trimestriel!CR13="",IPC_Trimestriel!CO13="",IPC_Trimestriel!CK13=""),"",AVERAGE(IPC_Trimestriel!CO13:CR13)/AVERAGE(IPC_Trimestriel!CK13:CN13)-1)</f>
        <v>4.6573969205170984E-2</v>
      </c>
      <c r="CO13" s="31">
        <f>IF(OR(IPC_Trimestriel!CS13="",IPC_Trimestriel!CP13="",IPC_Trimestriel!CL13=""),"",AVERAGE(IPC_Trimestriel!CP13:CS13)/AVERAGE(IPC_Trimestriel!CL13:CO13)-1)</f>
        <v>8.0875124687636024E-2</v>
      </c>
      <c r="CP13" s="31">
        <f>IF(OR(IPC_Trimestriel!CT13="",IPC_Trimestriel!CQ13="",IPC_Trimestriel!CM13=""),"",AVERAGE(IPC_Trimestriel!CQ13:CT13)/AVERAGE(IPC_Trimestriel!CM13:CP13)-1)</f>
        <v>0.11526587039037395</v>
      </c>
    </row>
    <row r="14" spans="1:94" s="1" customFormat="1" ht="10.199999999999999" x14ac:dyDescent="0.2">
      <c r="A14" s="11" t="s">
        <v>23</v>
      </c>
      <c r="B14" s="1" t="s">
        <v>24</v>
      </c>
      <c r="C14" s="5"/>
      <c r="D14" s="31"/>
      <c r="E14" s="31"/>
      <c r="F14" s="31"/>
      <c r="G14" s="31" t="str">
        <f>IF(OR(IPC_Trimestriel!K14="",IPC_Trimestriel!H14="",IPC_Trimestriel!D14=""),"",AVERAGE(IPC_Trimestriel!H14:K14)/AVERAGE(IPC_Trimestriel!D14:G14)-1)</f>
        <v/>
      </c>
      <c r="H14" s="31" t="str">
        <f>IF(OR(IPC_Trimestriel!L14="",IPC_Trimestriel!I14="",IPC_Trimestriel!E14=""),"",AVERAGE(IPC_Trimestriel!I14:L14)/AVERAGE(IPC_Trimestriel!E14:H14)-1)</f>
        <v/>
      </c>
      <c r="I14" s="31" t="str">
        <f>IF(OR(IPC_Trimestriel!M14="",IPC_Trimestriel!J14="",IPC_Trimestriel!F14=""),"",AVERAGE(IPC_Trimestriel!J14:M14)/AVERAGE(IPC_Trimestriel!F14:I14)-1)</f>
        <v/>
      </c>
      <c r="J14" s="31" t="str">
        <f>IF(OR(IPC_Trimestriel!N14="",IPC_Trimestriel!K14="",IPC_Trimestriel!G14=""),"",AVERAGE(IPC_Trimestriel!K14:N14)/AVERAGE(IPC_Trimestriel!G14:J14)-1)</f>
        <v/>
      </c>
      <c r="K14" s="31" t="str">
        <f>IF(OR(IPC_Trimestriel!O14="",IPC_Trimestriel!L14="",IPC_Trimestriel!H14=""),"",AVERAGE(IPC_Trimestriel!L14:O14)/AVERAGE(IPC_Trimestriel!H14:K14)-1)</f>
        <v/>
      </c>
      <c r="L14" s="31" t="str">
        <f>IF(OR(IPC_Trimestriel!P14="",IPC_Trimestriel!M14="",IPC_Trimestriel!I14=""),"",AVERAGE(IPC_Trimestriel!M14:P14)/AVERAGE(IPC_Trimestriel!I14:L14)-1)</f>
        <v/>
      </c>
      <c r="M14" s="31" t="str">
        <f>IF(OR(IPC_Trimestriel!Q14="",IPC_Trimestriel!N14="",IPC_Trimestriel!J14=""),"",AVERAGE(IPC_Trimestriel!N14:Q14)/AVERAGE(IPC_Trimestriel!J14:M14)-1)</f>
        <v/>
      </c>
      <c r="N14" s="31" t="str">
        <f>IF(OR(IPC_Trimestriel!R14="",IPC_Trimestriel!O14="",IPC_Trimestriel!K14=""),"",AVERAGE(IPC_Trimestriel!O14:R14)/AVERAGE(IPC_Trimestriel!K14:N14)-1)</f>
        <v/>
      </c>
      <c r="O14" s="31" t="str">
        <f>IF(OR(IPC_Trimestriel!S14="",IPC_Trimestriel!P14="",IPC_Trimestriel!L14=""),"",AVERAGE(IPC_Trimestriel!P14:S14)/AVERAGE(IPC_Trimestriel!L14:O14)-1)</f>
        <v/>
      </c>
      <c r="P14" s="31" t="str">
        <f>IF(OR(IPC_Trimestriel!T14="",IPC_Trimestriel!Q14="",IPC_Trimestriel!M14=""),"",AVERAGE(IPC_Trimestriel!Q14:T14)/AVERAGE(IPC_Trimestriel!M14:P14)-1)</f>
        <v/>
      </c>
      <c r="Q14" s="31" t="str">
        <f>IF(OR(IPC_Trimestriel!U14="",IPC_Trimestriel!R14="",IPC_Trimestriel!N14=""),"",AVERAGE(IPC_Trimestriel!R14:U14)/AVERAGE(IPC_Trimestriel!N14:Q14)-1)</f>
        <v/>
      </c>
      <c r="R14" s="31" t="str">
        <f>IF(OR(IPC_Trimestriel!V14="",IPC_Trimestriel!S14="",IPC_Trimestriel!O14=""),"",AVERAGE(IPC_Trimestriel!S14:V14)/AVERAGE(IPC_Trimestriel!O14:R14)-1)</f>
        <v/>
      </c>
      <c r="S14" s="31" t="str">
        <f>IF(OR(IPC_Trimestriel!W14="",IPC_Trimestriel!T14="",IPC_Trimestriel!P14=""),"",AVERAGE(IPC_Trimestriel!T14:W14)/AVERAGE(IPC_Trimestriel!P14:S14)-1)</f>
        <v/>
      </c>
      <c r="T14" s="31" t="str">
        <f>IF(OR(IPC_Trimestriel!X14="",IPC_Trimestriel!U14="",IPC_Trimestriel!Q14=""),"",AVERAGE(IPC_Trimestriel!U14:X14)/AVERAGE(IPC_Trimestriel!Q14:T14)-1)</f>
        <v/>
      </c>
      <c r="U14" s="31" t="str">
        <f>IF(OR(IPC_Trimestriel!Y14="",IPC_Trimestriel!V14="",IPC_Trimestriel!R14=""),"",AVERAGE(IPC_Trimestriel!V14:Y14)/AVERAGE(IPC_Trimestriel!R14:U14)-1)</f>
        <v/>
      </c>
      <c r="V14" s="31" t="str">
        <f>IF(OR(IPC_Trimestriel!Z14="",IPC_Trimestriel!W14="",IPC_Trimestriel!S14=""),"",AVERAGE(IPC_Trimestriel!W14:Z14)/AVERAGE(IPC_Trimestriel!S14:V14)-1)</f>
        <v/>
      </c>
      <c r="W14" s="31" t="str">
        <f>IF(OR(IPC_Trimestriel!AA14="",IPC_Trimestriel!X14="",IPC_Trimestriel!T14=""),"",AVERAGE(IPC_Trimestriel!X14:AA14)/AVERAGE(IPC_Trimestriel!T14:W14)-1)</f>
        <v/>
      </c>
      <c r="X14" s="31" t="str">
        <f>IF(OR(IPC_Trimestriel!AB14="",IPC_Trimestriel!Y14="",IPC_Trimestriel!U14=""),"",AVERAGE(IPC_Trimestriel!Y14:AB14)/AVERAGE(IPC_Trimestriel!U14:X14)-1)</f>
        <v/>
      </c>
      <c r="Y14" s="31" t="str">
        <f>IF(OR(IPC_Trimestriel!AC14="",IPC_Trimestriel!Z14="",IPC_Trimestriel!V14=""),"",AVERAGE(IPC_Trimestriel!Z14:AC14)/AVERAGE(IPC_Trimestriel!V14:Y14)-1)</f>
        <v/>
      </c>
      <c r="Z14" s="31" t="str">
        <f>IF(OR(IPC_Trimestriel!AD14="",IPC_Trimestriel!AA14="",IPC_Trimestriel!W14=""),"",AVERAGE(IPC_Trimestriel!AA14:AD14)/AVERAGE(IPC_Trimestriel!W14:Z14)-1)</f>
        <v/>
      </c>
      <c r="AA14" s="31" t="str">
        <f>IF(OR(IPC_Trimestriel!AE14="",IPC_Trimestriel!AB14="",IPC_Trimestriel!X14=""),"",AVERAGE(IPC_Trimestriel!AB14:AE14)/AVERAGE(IPC_Trimestriel!X14:AA14)-1)</f>
        <v/>
      </c>
      <c r="AB14" s="31" t="str">
        <f>IF(OR(IPC_Trimestriel!AF14="",IPC_Trimestriel!AC14="",IPC_Trimestriel!Y14=""),"",AVERAGE(IPC_Trimestriel!AC14:AF14)/AVERAGE(IPC_Trimestriel!Y14:AB14)-1)</f>
        <v/>
      </c>
      <c r="AC14" s="31" t="str">
        <f>IF(OR(IPC_Trimestriel!AG14="",IPC_Trimestriel!AD14="",IPC_Trimestriel!Z14=""),"",AVERAGE(IPC_Trimestriel!AD14:AG14)/AVERAGE(IPC_Trimestriel!Z14:AC14)-1)</f>
        <v/>
      </c>
      <c r="AD14" s="31" t="str">
        <f>IF(OR(IPC_Trimestriel!AH14="",IPC_Trimestriel!AE14="",IPC_Trimestriel!AA14=""),"",AVERAGE(IPC_Trimestriel!AE14:AH14)/AVERAGE(IPC_Trimestriel!AA14:AD14)-1)</f>
        <v/>
      </c>
      <c r="AE14" s="31" t="str">
        <f>IF(OR(IPC_Trimestriel!AI14="",IPC_Trimestriel!AF14="",IPC_Trimestriel!AB14=""),"",AVERAGE(IPC_Trimestriel!AF14:AI14)/AVERAGE(IPC_Trimestriel!AB14:AE14)-1)</f>
        <v/>
      </c>
      <c r="AF14" s="31" t="str">
        <f>IF(OR(IPC_Trimestriel!AJ14="",IPC_Trimestriel!AG14="",IPC_Trimestriel!AC14=""),"",AVERAGE(IPC_Trimestriel!AG14:AJ14)/AVERAGE(IPC_Trimestriel!AC14:AF14)-1)</f>
        <v/>
      </c>
      <c r="AG14" s="31" t="str">
        <f>IF(OR(IPC_Trimestriel!AK14="",IPC_Trimestriel!AH14="",IPC_Trimestriel!AD14=""),"",AVERAGE(IPC_Trimestriel!AH14:AK14)/AVERAGE(IPC_Trimestriel!AD14:AG14)-1)</f>
        <v/>
      </c>
      <c r="AH14" s="31" t="str">
        <f>IF(OR(IPC_Trimestriel!AL14="",IPC_Trimestriel!AI14="",IPC_Trimestriel!AE14=""),"",AVERAGE(IPC_Trimestriel!AI14:AL14)/AVERAGE(IPC_Trimestriel!AE14:AH14)-1)</f>
        <v/>
      </c>
      <c r="AI14" s="31" t="str">
        <f>IF(OR(IPC_Trimestriel!AM14="",IPC_Trimestriel!AJ14="",IPC_Trimestriel!AF14=""),"",AVERAGE(IPC_Trimestriel!AJ14:AM14)/AVERAGE(IPC_Trimestriel!AF14:AI14)-1)</f>
        <v/>
      </c>
      <c r="AJ14" s="31" t="str">
        <f>IF(OR(IPC_Trimestriel!AN14="",IPC_Trimestriel!AK14="",IPC_Trimestriel!AG14=""),"",AVERAGE(IPC_Trimestriel!AK14:AN14)/AVERAGE(IPC_Trimestriel!AG14:AJ14)-1)</f>
        <v/>
      </c>
      <c r="AK14" s="31" t="str">
        <f>IF(OR(IPC_Trimestriel!AO14="",IPC_Trimestriel!AL14="",IPC_Trimestriel!AH14=""),"",AVERAGE(IPC_Trimestriel!AL14:AO14)/AVERAGE(IPC_Trimestriel!AH14:AK14)-1)</f>
        <v/>
      </c>
      <c r="AL14" s="31" t="str">
        <f>IF(OR(IPC_Trimestriel!AP14="",IPC_Trimestriel!AM14="",IPC_Trimestriel!AI14=""),"",AVERAGE(IPC_Trimestriel!AM14:AP14)/AVERAGE(IPC_Trimestriel!AI14:AL14)-1)</f>
        <v/>
      </c>
      <c r="AM14" s="31" t="str">
        <f>IF(OR(IPC_Trimestriel!AQ14="",IPC_Trimestriel!AN14="",IPC_Trimestriel!AJ14=""),"",AVERAGE(IPC_Trimestriel!AN14:AQ14)/AVERAGE(IPC_Trimestriel!AJ14:AM14)-1)</f>
        <v/>
      </c>
      <c r="AN14" s="31" t="str">
        <f>IF(OR(IPC_Trimestriel!AR14="",IPC_Trimestriel!AO14="",IPC_Trimestriel!AK14=""),"",AVERAGE(IPC_Trimestriel!AO14:AR14)/AVERAGE(IPC_Trimestriel!AK14:AN14)-1)</f>
        <v/>
      </c>
      <c r="AO14" s="31" t="str">
        <f>IF(OR(IPC_Trimestriel!AS14="",IPC_Trimestriel!AP14="",IPC_Trimestriel!AL14=""),"",AVERAGE(IPC_Trimestriel!AP14:AS14)/AVERAGE(IPC_Trimestriel!AL14:AO14)-1)</f>
        <v/>
      </c>
      <c r="AP14" s="31" t="str">
        <f>IF(OR(IPC_Trimestriel!AT14="",IPC_Trimestriel!AQ14="",IPC_Trimestriel!AM14=""),"",AVERAGE(IPC_Trimestriel!AQ14:AT14)/AVERAGE(IPC_Trimestriel!AM14:AP14)-1)</f>
        <v/>
      </c>
      <c r="AQ14" s="31" t="str">
        <f>IF(OR(IPC_Trimestriel!AU14="",IPC_Trimestriel!AR14="",IPC_Trimestriel!AN14=""),"",AVERAGE(IPC_Trimestriel!AR14:AU14)/AVERAGE(IPC_Trimestriel!AN14:AQ14)-1)</f>
        <v/>
      </c>
      <c r="AR14" s="31" t="str">
        <f>IF(OR(IPC_Trimestriel!AV14="",IPC_Trimestriel!AS14="",IPC_Trimestriel!AO14=""),"",AVERAGE(IPC_Trimestriel!AS14:AV14)/AVERAGE(IPC_Trimestriel!AO14:AR14)-1)</f>
        <v/>
      </c>
      <c r="AS14" s="31" t="str">
        <f>IF(OR(IPC_Trimestriel!AW14="",IPC_Trimestriel!AT14="",IPC_Trimestriel!AP14=""),"",AVERAGE(IPC_Trimestriel!AT14:AW14)/AVERAGE(IPC_Trimestriel!AP14:AS14)-1)</f>
        <v/>
      </c>
      <c r="AT14" s="31" t="str">
        <f>IF(OR(IPC_Trimestriel!AX14="",IPC_Trimestriel!AU14="",IPC_Trimestriel!AQ14=""),"",AVERAGE(IPC_Trimestriel!AU14:AX14)/AVERAGE(IPC_Trimestriel!AQ14:AT14)-1)</f>
        <v/>
      </c>
      <c r="AU14" s="31" t="str">
        <f>IF(OR(IPC_Trimestriel!AY14="",IPC_Trimestriel!AV14="",IPC_Trimestriel!AR14=""),"",AVERAGE(IPC_Trimestriel!AV14:AY14)/AVERAGE(IPC_Trimestriel!AR14:AU14)-1)</f>
        <v/>
      </c>
      <c r="AV14" s="31" t="str">
        <f>IF(OR(IPC_Trimestriel!AZ14="",IPC_Trimestriel!AW14="",IPC_Trimestriel!AS14=""),"",AVERAGE(IPC_Trimestriel!AW14:AZ14)/AVERAGE(IPC_Trimestriel!AS14:AV14)-1)</f>
        <v/>
      </c>
      <c r="AW14" s="31" t="str">
        <f>IF(OR(IPC_Trimestriel!BA14="",IPC_Trimestriel!AX14="",IPC_Trimestriel!AT14=""),"",AVERAGE(IPC_Trimestriel!AX14:BA14)/AVERAGE(IPC_Trimestriel!AT14:AW14)-1)</f>
        <v/>
      </c>
      <c r="AX14" s="31" t="str">
        <f>IF(OR(IPC_Trimestriel!BB14="",IPC_Trimestriel!AY14="",IPC_Trimestriel!AU14=""),"",AVERAGE(IPC_Trimestriel!AY14:BB14)/AVERAGE(IPC_Trimestriel!AU14:AX14)-1)</f>
        <v/>
      </c>
      <c r="AY14" s="31" t="str">
        <f>IF(OR(IPC_Trimestriel!BC14="",IPC_Trimestriel!AZ14="",IPC_Trimestriel!AV14=""),"",AVERAGE(IPC_Trimestriel!AZ14:BC14)/AVERAGE(IPC_Trimestriel!AV14:AY14)-1)</f>
        <v/>
      </c>
      <c r="AZ14" s="31" t="str">
        <f>IF(OR(IPC_Trimestriel!BD14="",IPC_Trimestriel!BA14="",IPC_Trimestriel!AW14=""),"",AVERAGE(IPC_Trimestriel!BA14:BD14)/AVERAGE(IPC_Trimestriel!AW14:AZ14)-1)</f>
        <v/>
      </c>
      <c r="BA14" s="31" t="str">
        <f>IF(OR(IPC_Trimestriel!BE14="",IPC_Trimestriel!BB14="",IPC_Trimestriel!AX14=""),"",AVERAGE(IPC_Trimestriel!BB14:BE14)/AVERAGE(IPC_Trimestriel!AX14:BA14)-1)</f>
        <v/>
      </c>
      <c r="BB14" s="31" t="str">
        <f>IF(OR(IPC_Trimestriel!BF14="",IPC_Trimestriel!BC14="",IPC_Trimestriel!AY14=""),"",AVERAGE(IPC_Trimestriel!BC14:BF14)/AVERAGE(IPC_Trimestriel!AY14:BB14)-1)</f>
        <v/>
      </c>
      <c r="BC14" s="31">
        <f>IF(OR(IPC_Trimestriel!BG14="",IPC_Trimestriel!BD14="",IPC_Trimestriel!AZ14=""),"",AVERAGE(IPC_Trimestriel!BD14:BG14)/AVERAGE(IPC_Trimestriel!AZ14:BC14)-1)</f>
        <v>-2.8959030696436794E-2</v>
      </c>
      <c r="BD14" s="31">
        <f>IF(OR(IPC_Trimestriel!BH14="",IPC_Trimestriel!BE14="",IPC_Trimestriel!BA14=""),"",AVERAGE(IPC_Trimestriel!BE14:BH14)/AVERAGE(IPC_Trimestriel!BA14:BD14)-1)</f>
        <v>-2.8907003561954081E-2</v>
      </c>
      <c r="BE14" s="31">
        <f>IF(OR(IPC_Trimestriel!BI14="",IPC_Trimestriel!BF14="",IPC_Trimestriel!BB14=""),"",AVERAGE(IPC_Trimestriel!BF14:BI14)/AVERAGE(IPC_Trimestriel!BB14:BE14)-1)</f>
        <v>-2.9621257989255079E-2</v>
      </c>
      <c r="BF14" s="31">
        <f>IF(OR(IPC_Trimestriel!BJ14="",IPC_Trimestriel!BG14="",IPC_Trimestriel!BC14=""),"",AVERAGE(IPC_Trimestriel!BG14:BJ14)/AVERAGE(IPC_Trimestriel!BC14:BF14)-1)</f>
        <v>-2.6397458200684953E-2</v>
      </c>
      <c r="BG14" s="31">
        <f>IF(OR(IPC_Trimestriel!BK14="",IPC_Trimestriel!BH14="",IPC_Trimestriel!BD14=""),"",AVERAGE(IPC_Trimestriel!BH14:BK14)/AVERAGE(IPC_Trimestriel!BD14:BG14)-1)</f>
        <v>-2.4908255114184374E-2</v>
      </c>
      <c r="BH14" s="31">
        <f>IF(OR(IPC_Trimestriel!BL14="",IPC_Trimestriel!BI14="",IPC_Trimestriel!BE14=""),"",AVERAGE(IPC_Trimestriel!BI14:BL14)/AVERAGE(IPC_Trimestriel!BE14:BH14)-1)</f>
        <v>-2.6117680699168644E-2</v>
      </c>
      <c r="BI14" s="31">
        <f>IF(OR(IPC_Trimestriel!BM14="",IPC_Trimestriel!BJ14="",IPC_Trimestriel!BF14=""),"",AVERAGE(IPC_Trimestriel!BJ14:BM14)/AVERAGE(IPC_Trimestriel!BF14:BI14)-1)</f>
        <v>-2.4266938246722214E-2</v>
      </c>
      <c r="BJ14" s="31">
        <f>IF(OR(IPC_Trimestriel!BN14="",IPC_Trimestriel!BK14="",IPC_Trimestriel!BG14=""),"",AVERAGE(IPC_Trimestriel!BK14:BN14)/AVERAGE(IPC_Trimestriel!BG14:BJ14)-1)</f>
        <v>-2.5460852526926203E-2</v>
      </c>
      <c r="BK14" s="31">
        <f>IF(OR(IPC_Trimestriel!BO14="",IPC_Trimestriel!BL14="",IPC_Trimestriel!BH14=""),"",AVERAGE(IPC_Trimestriel!BL14:BO14)/AVERAGE(IPC_Trimestriel!BH14:BK14)-1)</f>
        <v>-2.7287453068904566E-2</v>
      </c>
      <c r="BL14" s="31">
        <f>IF(OR(IPC_Trimestriel!BP14="",IPC_Trimestriel!BM14="",IPC_Trimestriel!BI14=""),"",AVERAGE(IPC_Trimestriel!BM14:BP14)/AVERAGE(IPC_Trimestriel!BI14:BL14)-1)</f>
        <v>-2.4295531349268096E-2</v>
      </c>
      <c r="BM14" s="31">
        <f>IF(OR(IPC_Trimestriel!BQ14="",IPC_Trimestriel!BN14="",IPC_Trimestriel!BJ14=""),"",AVERAGE(IPC_Trimestriel!BN14:BQ14)/AVERAGE(IPC_Trimestriel!BJ14:BM14)-1)</f>
        <v>-2.7110044825615853E-2</v>
      </c>
      <c r="BN14" s="31">
        <f>IF(OR(IPC_Trimestriel!BR14="",IPC_Trimestriel!BO14="",IPC_Trimestriel!BK14=""),"",AVERAGE(IPC_Trimestriel!BO14:BR14)/AVERAGE(IPC_Trimestriel!BK14:BN14)-1)</f>
        <v>-2.7912694233395041E-2</v>
      </c>
      <c r="BO14" s="31">
        <f>IF(OR(IPC_Trimestriel!BS14="",IPC_Trimestriel!BP14="",IPC_Trimestriel!BL14=""),"",AVERAGE(IPC_Trimestriel!BP14:BS14)/AVERAGE(IPC_Trimestriel!BL14:BO14)-1)</f>
        <v>-2.2163290667653768E-2</v>
      </c>
      <c r="BP14" s="31">
        <f>IF(OR(IPC_Trimestriel!BT14="",IPC_Trimestriel!BQ14="",IPC_Trimestriel!BM14=""),"",AVERAGE(IPC_Trimestriel!BQ14:BT14)/AVERAGE(IPC_Trimestriel!BM14:BP14)-1)</f>
        <v>-1.8178548309412568E-2</v>
      </c>
      <c r="BQ14" s="31">
        <f>IF(OR(IPC_Trimestriel!BU14="",IPC_Trimestriel!BR14="",IPC_Trimestriel!BN14=""),"",AVERAGE(IPC_Trimestriel!BR14:BU14)/AVERAGE(IPC_Trimestriel!BN14:BQ14)-1)</f>
        <v>-7.029356206610049E-3</v>
      </c>
      <c r="BR14" s="31">
        <f>IF(OR(IPC_Trimestriel!BV14="",IPC_Trimestriel!BS14="",IPC_Trimestriel!BO14=""),"",AVERAGE(IPC_Trimestriel!BS14:BV14)/AVERAGE(IPC_Trimestriel!BO14:BR14)-1)</f>
        <v>2.748439781732781E-3</v>
      </c>
      <c r="BS14" s="31">
        <f>IF(OR(IPC_Trimestriel!BW14="",IPC_Trimestriel!BT14="",IPC_Trimestriel!BP14=""),"",AVERAGE(IPC_Trimestriel!BT14:BW14)/AVERAGE(IPC_Trimestriel!BP14:BS14)-1)</f>
        <v>6.9256620490687482E-3</v>
      </c>
      <c r="BT14" s="31">
        <f>IF(OR(IPC_Trimestriel!BX14="",IPC_Trimestriel!BU14="",IPC_Trimestriel!BQ14=""),"",AVERAGE(IPC_Trimestriel!BU14:BX14)/AVERAGE(IPC_Trimestriel!BQ14:BT14)-1)</f>
        <v>8.0462166765258303E-3</v>
      </c>
      <c r="BU14" s="31">
        <f>IF(OR(IPC_Trimestriel!BY14="",IPC_Trimestriel!BV14="",IPC_Trimestriel!BR14=""),"",AVERAGE(IPC_Trimestriel!BV14:BY14)/AVERAGE(IPC_Trimestriel!BR14:BU14)-1)</f>
        <v>5.7629375171703856E-3</v>
      </c>
      <c r="BV14" s="31">
        <f>IF(OR(IPC_Trimestriel!BZ14="",IPC_Trimestriel!BW14="",IPC_Trimestriel!BS14=""),"",AVERAGE(IPC_Trimestriel!BW14:BZ14)/AVERAGE(IPC_Trimestriel!BS14:BV14)-1)</f>
        <v>3.3312055480265723E-3</v>
      </c>
      <c r="BW14" s="31">
        <f>IF(OR(IPC_Trimestriel!CA14="",IPC_Trimestriel!BX14="",IPC_Trimestriel!BT14=""),"",AVERAGE(IPC_Trimestriel!BX14:CA14)/AVERAGE(IPC_Trimestriel!BT14:BW14)-1)</f>
        <v>2.2617637985771211E-3</v>
      </c>
      <c r="BX14" s="31">
        <f>IF(OR(IPC_Trimestriel!CB14="",IPC_Trimestriel!BY14="",IPC_Trimestriel!BU14=""),"",AVERAGE(IPC_Trimestriel!BY14:CB14)/AVERAGE(IPC_Trimestriel!BU14:BX14)-1)</f>
        <v>2.3298270329679127E-3</v>
      </c>
      <c r="BY14" s="31">
        <f>IF(OR(IPC_Trimestriel!CC14="",IPC_Trimestriel!BZ14="",IPC_Trimestriel!BV14=""),"",AVERAGE(IPC_Trimestriel!BZ14:CC14)/AVERAGE(IPC_Trimestriel!BV14:BY14)-1)</f>
        <v>2.4249395914757166E-3</v>
      </c>
      <c r="BZ14" s="31">
        <f>IF(OR(IPC_Trimestriel!CD14="",IPC_Trimestriel!CA14="",IPC_Trimestriel!BW14=""),"",AVERAGE(IPC_Trimestriel!CA14:CD14)/AVERAGE(IPC_Trimestriel!BW14:BZ14)-1)</f>
        <v>2.5006804891054557E-3</v>
      </c>
      <c r="CA14" s="31">
        <f>IF(OR(IPC_Trimestriel!CE14="",IPC_Trimestriel!CB14="",IPC_Trimestriel!BX14=""),"",AVERAGE(IPC_Trimestriel!CB14:CE14)/AVERAGE(IPC_Trimestriel!BX14:CA14)-1)</f>
        <v>2.001739752213183E-3</v>
      </c>
      <c r="CB14" s="31">
        <f>IF(OR(IPC_Trimestriel!CF14="",IPC_Trimestriel!CC14="",IPC_Trimestriel!BY14=""),"",AVERAGE(IPC_Trimestriel!CC14:CF14)/AVERAGE(IPC_Trimestriel!BY14:CB14)-1)</f>
        <v>2.0020575995136625E-3</v>
      </c>
      <c r="CC14" s="31">
        <f>IF(OR(IPC_Trimestriel!CG14="",IPC_Trimestriel!CD14="",IPC_Trimestriel!BZ14=""),"",AVERAGE(IPC_Trimestriel!CD14:CG14)/AVERAGE(IPC_Trimestriel!BZ14:CC14)-1)</f>
        <v>3.1732491260338946E-3</v>
      </c>
      <c r="CD14" s="31">
        <f>IF(OR(IPC_Trimestriel!CH14="",IPC_Trimestriel!CE14="",IPC_Trimestriel!CA14=""),"",AVERAGE(IPC_Trimestriel!CE14:CH14)/AVERAGE(IPC_Trimestriel!CA14:CD14)-1)</f>
        <v>4.2348028477556809E-3</v>
      </c>
      <c r="CE14" s="31">
        <f>IF(OR(IPC_Trimestriel!CI14="",IPC_Trimestriel!CF14="",IPC_Trimestriel!CB14=""),"",AVERAGE(IPC_Trimestriel!CF14:CI14)/AVERAGE(IPC_Trimestriel!CB14:CE14)-1)</f>
        <v>6.1088058649911847E-3</v>
      </c>
      <c r="CF14" s="31">
        <f>IF(OR(IPC_Trimestriel!CJ14="",IPC_Trimestriel!CG14="",IPC_Trimestriel!CC14=""),"",AVERAGE(IPC_Trimestriel!CG14:CJ14)/AVERAGE(IPC_Trimestriel!CC14:CF14)-1)</f>
        <v>8.1235238722825454E-3</v>
      </c>
      <c r="CG14" s="31">
        <f>IF(OR(IPC_Trimestriel!CK14="",IPC_Trimestriel!CH14="",IPC_Trimestriel!CD14=""),"",AVERAGE(IPC_Trimestriel!CH14:CK14)/AVERAGE(IPC_Trimestriel!CD14:CG14)-1)</f>
        <v>7.5189047712755919E-3</v>
      </c>
      <c r="CH14" s="31">
        <f>IF(OR(IPC_Trimestriel!CL14="",IPC_Trimestriel!CI14="",IPC_Trimestriel!CE14=""),"",AVERAGE(IPC_Trimestriel!CI14:CL14)/AVERAGE(IPC_Trimestriel!CE14:CH14)-1)</f>
        <v>7.09445149464627E-3</v>
      </c>
      <c r="CI14" s="31">
        <f>IF(OR(IPC_Trimestriel!CM14="",IPC_Trimestriel!CJ14="",IPC_Trimestriel!CF14=""),"",AVERAGE(IPC_Trimestriel!CJ14:CM14)/AVERAGE(IPC_Trimestriel!CF14:CI14)-1)</f>
        <v>5.6723645619165541E-3</v>
      </c>
      <c r="CJ14" s="31">
        <f>IF(OR(IPC_Trimestriel!CN14="",IPC_Trimestriel!CK14="",IPC_Trimestriel!CG14=""),"",AVERAGE(IPC_Trimestriel!CK14:CN14)/AVERAGE(IPC_Trimestriel!CG14:CJ14)-1)</f>
        <v>3.9954009716018923E-3</v>
      </c>
      <c r="CK14" s="31">
        <f>IF(OR(IPC_Trimestriel!CO14="",IPC_Trimestriel!CL14="",IPC_Trimestriel!CH14=""),"",AVERAGE(IPC_Trimestriel!CL14:CO14)/AVERAGE(IPC_Trimestriel!CH14:CK14)-1)</f>
        <v>4.4107243917896888E-3</v>
      </c>
      <c r="CL14" s="31">
        <f>IF(OR(IPC_Trimestriel!CP14="",IPC_Trimestriel!CM14="",IPC_Trimestriel!CI14=""),"",AVERAGE(IPC_Trimestriel!CM14:CP14)/AVERAGE(IPC_Trimestriel!CI14:CL14)-1)</f>
        <v>5.7479632557149163E-3</v>
      </c>
      <c r="CM14" s="31">
        <f>IF(OR(IPC_Trimestriel!CQ14="",IPC_Trimestriel!CN14="",IPC_Trimestriel!CJ14=""),"",AVERAGE(IPC_Trimestriel!CN14:CQ14)/AVERAGE(IPC_Trimestriel!CJ14:CM14)-1)</f>
        <v>7.5481795460654588E-3</v>
      </c>
      <c r="CN14" s="31">
        <f>IF(OR(IPC_Trimestriel!CR14="",IPC_Trimestriel!CO14="",IPC_Trimestriel!CK14=""),"",AVERAGE(IPC_Trimestriel!CO14:CR14)/AVERAGE(IPC_Trimestriel!CK14:CN14)-1)</f>
        <v>9.0861473056753628E-3</v>
      </c>
      <c r="CO14" s="31">
        <f>IF(OR(IPC_Trimestriel!CS14="",IPC_Trimestriel!CP14="",IPC_Trimestriel!CL14=""),"",AVERAGE(IPC_Trimestriel!CP14:CS14)/AVERAGE(IPC_Trimestriel!CL14:CO14)-1)</f>
        <v>9.0322455908440347E-3</v>
      </c>
      <c r="CP14" s="31">
        <f>IF(OR(IPC_Trimestriel!CT14="",IPC_Trimestriel!CQ14="",IPC_Trimestriel!CM14=""),"",AVERAGE(IPC_Trimestriel!CQ14:CT14)/AVERAGE(IPC_Trimestriel!CM14:CP14)-1)</f>
        <v>6.5380451956351671E-3</v>
      </c>
    </row>
    <row r="15" spans="1:94" s="1" customFormat="1" ht="10.199999999999999" x14ac:dyDescent="0.2">
      <c r="A15" s="11" t="s">
        <v>25</v>
      </c>
      <c r="B15" s="1" t="s">
        <v>26</v>
      </c>
      <c r="C15" s="5"/>
      <c r="D15" s="31"/>
      <c r="E15" s="31"/>
      <c r="F15" s="31"/>
      <c r="G15" s="31" t="str">
        <f>IF(OR(IPC_Trimestriel!K15="",IPC_Trimestriel!H15="",IPC_Trimestriel!D15=""),"",AVERAGE(IPC_Trimestriel!H15:K15)/AVERAGE(IPC_Trimestriel!D15:G15)-1)</f>
        <v/>
      </c>
      <c r="H15" s="31" t="str">
        <f>IF(OR(IPC_Trimestriel!L15="",IPC_Trimestriel!I15="",IPC_Trimestriel!E15=""),"",AVERAGE(IPC_Trimestriel!I15:L15)/AVERAGE(IPC_Trimestriel!E15:H15)-1)</f>
        <v/>
      </c>
      <c r="I15" s="31" t="str">
        <f>IF(OR(IPC_Trimestriel!M15="",IPC_Trimestriel!J15="",IPC_Trimestriel!F15=""),"",AVERAGE(IPC_Trimestriel!J15:M15)/AVERAGE(IPC_Trimestriel!F15:I15)-1)</f>
        <v/>
      </c>
      <c r="J15" s="31" t="str">
        <f>IF(OR(IPC_Trimestriel!N15="",IPC_Trimestriel!K15="",IPC_Trimestriel!G15=""),"",AVERAGE(IPC_Trimestriel!K15:N15)/AVERAGE(IPC_Trimestriel!G15:J15)-1)</f>
        <v/>
      </c>
      <c r="K15" s="31" t="str">
        <f>IF(OR(IPC_Trimestriel!O15="",IPC_Trimestriel!L15="",IPC_Trimestriel!H15=""),"",AVERAGE(IPC_Trimestriel!L15:O15)/AVERAGE(IPC_Trimestriel!H15:K15)-1)</f>
        <v/>
      </c>
      <c r="L15" s="31" t="str">
        <f>IF(OR(IPC_Trimestriel!P15="",IPC_Trimestriel!M15="",IPC_Trimestriel!I15=""),"",AVERAGE(IPC_Trimestriel!M15:P15)/AVERAGE(IPC_Trimestriel!I15:L15)-1)</f>
        <v/>
      </c>
      <c r="M15" s="31" t="str">
        <f>IF(OR(IPC_Trimestriel!Q15="",IPC_Trimestriel!N15="",IPC_Trimestriel!J15=""),"",AVERAGE(IPC_Trimestriel!N15:Q15)/AVERAGE(IPC_Trimestriel!J15:M15)-1)</f>
        <v/>
      </c>
      <c r="N15" s="31" t="str">
        <f>IF(OR(IPC_Trimestriel!R15="",IPC_Trimestriel!O15="",IPC_Trimestriel!K15=""),"",AVERAGE(IPC_Trimestriel!O15:R15)/AVERAGE(IPC_Trimestriel!K15:N15)-1)</f>
        <v/>
      </c>
      <c r="O15" s="31" t="str">
        <f>IF(OR(IPC_Trimestriel!S15="",IPC_Trimestriel!P15="",IPC_Trimestriel!L15=""),"",AVERAGE(IPC_Trimestriel!P15:S15)/AVERAGE(IPC_Trimestriel!L15:O15)-1)</f>
        <v/>
      </c>
      <c r="P15" s="31" t="str">
        <f>IF(OR(IPC_Trimestriel!T15="",IPC_Trimestriel!Q15="",IPC_Trimestriel!M15=""),"",AVERAGE(IPC_Trimestriel!Q15:T15)/AVERAGE(IPC_Trimestriel!M15:P15)-1)</f>
        <v/>
      </c>
      <c r="Q15" s="31" t="str">
        <f>IF(OR(IPC_Trimestriel!U15="",IPC_Trimestriel!R15="",IPC_Trimestriel!N15=""),"",AVERAGE(IPC_Trimestriel!R15:U15)/AVERAGE(IPC_Trimestriel!N15:Q15)-1)</f>
        <v/>
      </c>
      <c r="R15" s="31" t="str">
        <f>IF(OR(IPC_Trimestriel!V15="",IPC_Trimestriel!S15="",IPC_Trimestriel!O15=""),"",AVERAGE(IPC_Trimestriel!S15:V15)/AVERAGE(IPC_Trimestriel!O15:R15)-1)</f>
        <v/>
      </c>
      <c r="S15" s="31" t="str">
        <f>IF(OR(IPC_Trimestriel!W15="",IPC_Trimestriel!T15="",IPC_Trimestriel!P15=""),"",AVERAGE(IPC_Trimestriel!T15:W15)/AVERAGE(IPC_Trimestriel!P15:S15)-1)</f>
        <v/>
      </c>
      <c r="T15" s="31" t="str">
        <f>IF(OR(IPC_Trimestriel!X15="",IPC_Trimestriel!U15="",IPC_Trimestriel!Q15=""),"",AVERAGE(IPC_Trimestriel!U15:X15)/AVERAGE(IPC_Trimestriel!Q15:T15)-1)</f>
        <v/>
      </c>
      <c r="U15" s="31" t="str">
        <f>IF(OR(IPC_Trimestriel!Y15="",IPC_Trimestriel!V15="",IPC_Trimestriel!R15=""),"",AVERAGE(IPC_Trimestriel!V15:Y15)/AVERAGE(IPC_Trimestriel!R15:U15)-1)</f>
        <v/>
      </c>
      <c r="V15" s="31" t="str">
        <f>IF(OR(IPC_Trimestriel!Z15="",IPC_Trimestriel!W15="",IPC_Trimestriel!S15=""),"",AVERAGE(IPC_Trimestriel!W15:Z15)/AVERAGE(IPC_Trimestriel!S15:V15)-1)</f>
        <v/>
      </c>
      <c r="W15" s="31" t="str">
        <f>IF(OR(IPC_Trimestriel!AA15="",IPC_Trimestriel!X15="",IPC_Trimestriel!T15=""),"",AVERAGE(IPC_Trimestriel!X15:AA15)/AVERAGE(IPC_Trimestriel!T15:W15)-1)</f>
        <v/>
      </c>
      <c r="X15" s="31" t="str">
        <f>IF(OR(IPC_Trimestriel!AB15="",IPC_Trimestriel!Y15="",IPC_Trimestriel!U15=""),"",AVERAGE(IPC_Trimestriel!Y15:AB15)/AVERAGE(IPC_Trimestriel!U15:X15)-1)</f>
        <v/>
      </c>
      <c r="Y15" s="31" t="str">
        <f>IF(OR(IPC_Trimestriel!AC15="",IPC_Trimestriel!Z15="",IPC_Trimestriel!V15=""),"",AVERAGE(IPC_Trimestriel!Z15:AC15)/AVERAGE(IPC_Trimestriel!V15:Y15)-1)</f>
        <v/>
      </c>
      <c r="Z15" s="31" t="str">
        <f>IF(OR(IPC_Trimestriel!AD15="",IPC_Trimestriel!AA15="",IPC_Trimestriel!W15=""),"",AVERAGE(IPC_Trimestriel!AA15:AD15)/AVERAGE(IPC_Trimestriel!W15:Z15)-1)</f>
        <v/>
      </c>
      <c r="AA15" s="31" t="str">
        <f>IF(OR(IPC_Trimestriel!AE15="",IPC_Trimestriel!AB15="",IPC_Trimestriel!X15=""),"",AVERAGE(IPC_Trimestriel!AB15:AE15)/AVERAGE(IPC_Trimestriel!X15:AA15)-1)</f>
        <v/>
      </c>
      <c r="AB15" s="31" t="str">
        <f>IF(OR(IPC_Trimestriel!AF15="",IPC_Trimestriel!AC15="",IPC_Trimestriel!Y15=""),"",AVERAGE(IPC_Trimestriel!AC15:AF15)/AVERAGE(IPC_Trimestriel!Y15:AB15)-1)</f>
        <v/>
      </c>
      <c r="AC15" s="31" t="str">
        <f>IF(OR(IPC_Trimestriel!AG15="",IPC_Trimestriel!AD15="",IPC_Trimestriel!Z15=""),"",AVERAGE(IPC_Trimestriel!AD15:AG15)/AVERAGE(IPC_Trimestriel!Z15:AC15)-1)</f>
        <v/>
      </c>
      <c r="AD15" s="31" t="str">
        <f>IF(OR(IPC_Trimestriel!AH15="",IPC_Trimestriel!AE15="",IPC_Trimestriel!AA15=""),"",AVERAGE(IPC_Trimestriel!AE15:AH15)/AVERAGE(IPC_Trimestriel!AA15:AD15)-1)</f>
        <v/>
      </c>
      <c r="AE15" s="31" t="str">
        <f>IF(OR(IPC_Trimestriel!AI15="",IPC_Trimestriel!AF15="",IPC_Trimestriel!AB15=""),"",AVERAGE(IPC_Trimestriel!AF15:AI15)/AVERAGE(IPC_Trimestriel!AB15:AE15)-1)</f>
        <v/>
      </c>
      <c r="AF15" s="31" t="str">
        <f>IF(OR(IPC_Trimestriel!AJ15="",IPC_Trimestriel!AG15="",IPC_Trimestriel!AC15=""),"",AVERAGE(IPC_Trimestriel!AG15:AJ15)/AVERAGE(IPC_Trimestriel!AC15:AF15)-1)</f>
        <v/>
      </c>
      <c r="AG15" s="31" t="str">
        <f>IF(OR(IPC_Trimestriel!AK15="",IPC_Trimestriel!AH15="",IPC_Trimestriel!AD15=""),"",AVERAGE(IPC_Trimestriel!AH15:AK15)/AVERAGE(IPC_Trimestriel!AD15:AG15)-1)</f>
        <v/>
      </c>
      <c r="AH15" s="31" t="str">
        <f>IF(OR(IPC_Trimestriel!AL15="",IPC_Trimestriel!AI15="",IPC_Trimestriel!AE15=""),"",AVERAGE(IPC_Trimestriel!AI15:AL15)/AVERAGE(IPC_Trimestriel!AE15:AH15)-1)</f>
        <v/>
      </c>
      <c r="AI15" s="31" t="str">
        <f>IF(OR(IPC_Trimestriel!AM15="",IPC_Trimestriel!AJ15="",IPC_Trimestriel!AF15=""),"",AVERAGE(IPC_Trimestriel!AJ15:AM15)/AVERAGE(IPC_Trimestriel!AF15:AI15)-1)</f>
        <v/>
      </c>
      <c r="AJ15" s="31" t="str">
        <f>IF(OR(IPC_Trimestriel!AN15="",IPC_Trimestriel!AK15="",IPC_Trimestriel!AG15=""),"",AVERAGE(IPC_Trimestriel!AK15:AN15)/AVERAGE(IPC_Trimestriel!AG15:AJ15)-1)</f>
        <v/>
      </c>
      <c r="AK15" s="31" t="str">
        <f>IF(OR(IPC_Trimestriel!AO15="",IPC_Trimestriel!AL15="",IPC_Trimestriel!AH15=""),"",AVERAGE(IPC_Trimestriel!AL15:AO15)/AVERAGE(IPC_Trimestriel!AH15:AK15)-1)</f>
        <v/>
      </c>
      <c r="AL15" s="31" t="str">
        <f>IF(OR(IPC_Trimestriel!AP15="",IPC_Trimestriel!AM15="",IPC_Trimestriel!AI15=""),"",AVERAGE(IPC_Trimestriel!AM15:AP15)/AVERAGE(IPC_Trimestriel!AI15:AL15)-1)</f>
        <v/>
      </c>
      <c r="AM15" s="31" t="str">
        <f>IF(OR(IPC_Trimestriel!AQ15="",IPC_Trimestriel!AN15="",IPC_Trimestriel!AJ15=""),"",AVERAGE(IPC_Trimestriel!AN15:AQ15)/AVERAGE(IPC_Trimestriel!AJ15:AM15)-1)</f>
        <v/>
      </c>
      <c r="AN15" s="31" t="str">
        <f>IF(OR(IPC_Trimestriel!AR15="",IPC_Trimestriel!AO15="",IPC_Trimestriel!AK15=""),"",AVERAGE(IPC_Trimestriel!AO15:AR15)/AVERAGE(IPC_Trimestriel!AK15:AN15)-1)</f>
        <v/>
      </c>
      <c r="AO15" s="31" t="str">
        <f>IF(OR(IPC_Trimestriel!AS15="",IPC_Trimestriel!AP15="",IPC_Trimestriel!AL15=""),"",AVERAGE(IPC_Trimestriel!AP15:AS15)/AVERAGE(IPC_Trimestriel!AL15:AO15)-1)</f>
        <v/>
      </c>
      <c r="AP15" s="31" t="str">
        <f>IF(OR(IPC_Trimestriel!AT15="",IPC_Trimestriel!AQ15="",IPC_Trimestriel!AM15=""),"",AVERAGE(IPC_Trimestriel!AQ15:AT15)/AVERAGE(IPC_Trimestriel!AM15:AP15)-1)</f>
        <v/>
      </c>
      <c r="AQ15" s="31" t="str">
        <f>IF(OR(IPC_Trimestriel!AU15="",IPC_Trimestriel!AR15="",IPC_Trimestriel!AN15=""),"",AVERAGE(IPC_Trimestriel!AR15:AU15)/AVERAGE(IPC_Trimestriel!AN15:AQ15)-1)</f>
        <v/>
      </c>
      <c r="AR15" s="31" t="str">
        <f>IF(OR(IPC_Trimestriel!AV15="",IPC_Trimestriel!AS15="",IPC_Trimestriel!AO15=""),"",AVERAGE(IPC_Trimestriel!AS15:AV15)/AVERAGE(IPC_Trimestriel!AO15:AR15)-1)</f>
        <v/>
      </c>
      <c r="AS15" s="31" t="str">
        <f>IF(OR(IPC_Trimestriel!AW15="",IPC_Trimestriel!AT15="",IPC_Trimestriel!AP15=""),"",AVERAGE(IPC_Trimestriel!AT15:AW15)/AVERAGE(IPC_Trimestriel!AP15:AS15)-1)</f>
        <v/>
      </c>
      <c r="AT15" s="31" t="str">
        <f>IF(OR(IPC_Trimestriel!AX15="",IPC_Trimestriel!AU15="",IPC_Trimestriel!AQ15=""),"",AVERAGE(IPC_Trimestriel!AU15:AX15)/AVERAGE(IPC_Trimestriel!AQ15:AT15)-1)</f>
        <v/>
      </c>
      <c r="AU15" s="31" t="str">
        <f>IF(OR(IPC_Trimestriel!AY15="",IPC_Trimestriel!AV15="",IPC_Trimestriel!AR15=""),"",AVERAGE(IPC_Trimestriel!AV15:AY15)/AVERAGE(IPC_Trimestriel!AR15:AU15)-1)</f>
        <v/>
      </c>
      <c r="AV15" s="31" t="str">
        <f>IF(OR(IPC_Trimestriel!AZ15="",IPC_Trimestriel!AW15="",IPC_Trimestriel!AS15=""),"",AVERAGE(IPC_Trimestriel!AW15:AZ15)/AVERAGE(IPC_Trimestriel!AS15:AV15)-1)</f>
        <v/>
      </c>
      <c r="AW15" s="31" t="str">
        <f>IF(OR(IPC_Trimestriel!BA15="",IPC_Trimestriel!AX15="",IPC_Trimestriel!AT15=""),"",AVERAGE(IPC_Trimestriel!AX15:BA15)/AVERAGE(IPC_Trimestriel!AT15:AW15)-1)</f>
        <v/>
      </c>
      <c r="AX15" s="31" t="str">
        <f>IF(OR(IPC_Trimestriel!BB15="",IPC_Trimestriel!AY15="",IPC_Trimestriel!AU15=""),"",AVERAGE(IPC_Trimestriel!AY15:BB15)/AVERAGE(IPC_Trimestriel!AU15:AX15)-1)</f>
        <v/>
      </c>
      <c r="AY15" s="31" t="str">
        <f>IF(OR(IPC_Trimestriel!BC15="",IPC_Trimestriel!AZ15="",IPC_Trimestriel!AV15=""),"",AVERAGE(IPC_Trimestriel!AZ15:BC15)/AVERAGE(IPC_Trimestriel!AV15:AY15)-1)</f>
        <v/>
      </c>
      <c r="AZ15" s="31" t="str">
        <f>IF(OR(IPC_Trimestriel!BD15="",IPC_Trimestriel!BA15="",IPC_Trimestriel!AW15=""),"",AVERAGE(IPC_Trimestriel!BA15:BD15)/AVERAGE(IPC_Trimestriel!AW15:AZ15)-1)</f>
        <v/>
      </c>
      <c r="BA15" s="31" t="str">
        <f>IF(OR(IPC_Trimestriel!BE15="",IPC_Trimestriel!BB15="",IPC_Trimestriel!AX15=""),"",AVERAGE(IPC_Trimestriel!BB15:BE15)/AVERAGE(IPC_Trimestriel!AX15:BA15)-1)</f>
        <v/>
      </c>
      <c r="BB15" s="31" t="str">
        <f>IF(OR(IPC_Trimestriel!BF15="",IPC_Trimestriel!BC15="",IPC_Trimestriel!AY15=""),"",AVERAGE(IPC_Trimestriel!BC15:BF15)/AVERAGE(IPC_Trimestriel!AY15:BB15)-1)</f>
        <v/>
      </c>
      <c r="BC15" s="31">
        <f>IF(OR(IPC_Trimestriel!BG15="",IPC_Trimestriel!BD15="",IPC_Trimestriel!AZ15=""),"",AVERAGE(IPC_Trimestriel!BD15:BG15)/AVERAGE(IPC_Trimestriel!AZ15:BC15)-1)</f>
        <v>2.3753645517750055E-3</v>
      </c>
      <c r="BD15" s="31">
        <f>IF(OR(IPC_Trimestriel!BH15="",IPC_Trimestriel!BE15="",IPC_Trimestriel!BA15=""),"",AVERAGE(IPC_Trimestriel!BE15:BH15)/AVERAGE(IPC_Trimestriel!BA15:BD15)-1)</f>
        <v>2.2036137019907365E-3</v>
      </c>
      <c r="BE15" s="31">
        <f>IF(OR(IPC_Trimestriel!BI15="",IPC_Trimestriel!BF15="",IPC_Trimestriel!BB15=""),"",AVERAGE(IPC_Trimestriel!BF15:BI15)/AVERAGE(IPC_Trimestriel!BB15:BE15)-1)</f>
        <v>2.6547261108400555E-3</v>
      </c>
      <c r="BF15" s="31">
        <f>IF(OR(IPC_Trimestriel!BJ15="",IPC_Trimestriel!BG15="",IPC_Trimestriel!BC15=""),"",AVERAGE(IPC_Trimestriel!BG15:BJ15)/AVERAGE(IPC_Trimestriel!BC15:BF15)-1)</f>
        <v>5.6205168964000851E-3</v>
      </c>
      <c r="BG15" s="31">
        <f>IF(OR(IPC_Trimestriel!BK15="",IPC_Trimestriel!BH15="",IPC_Trimestriel!BD15=""),"",AVERAGE(IPC_Trimestriel!BH15:BK15)/AVERAGE(IPC_Trimestriel!BD15:BG15)-1)</f>
        <v>7.1176020510681504E-3</v>
      </c>
      <c r="BH15" s="31">
        <f>IF(OR(IPC_Trimestriel!BL15="",IPC_Trimestriel!BI15="",IPC_Trimestriel!BE15=""),"",AVERAGE(IPC_Trimestriel!BI15:BL15)/AVERAGE(IPC_Trimestriel!BE15:BH15)-1)</f>
        <v>6.5948522151599853E-3</v>
      </c>
      <c r="BI15" s="31">
        <f>IF(OR(IPC_Trimestriel!BM15="",IPC_Trimestriel!BJ15="",IPC_Trimestriel!BF15=""),"",AVERAGE(IPC_Trimestriel!BJ15:BM15)/AVERAGE(IPC_Trimestriel!BF15:BI15)-1)</f>
        <v>3.201736453453341E-3</v>
      </c>
      <c r="BJ15" s="31">
        <f>IF(OR(IPC_Trimestriel!BN15="",IPC_Trimestriel!BK15="",IPC_Trimestriel!BG15=""),"",AVERAGE(IPC_Trimestriel!BK15:BN15)/AVERAGE(IPC_Trimestriel!BG15:BJ15)-1)</f>
        <v>1.922048395782916E-3</v>
      </c>
      <c r="BK15" s="31">
        <f>IF(OR(IPC_Trimestriel!BO15="",IPC_Trimestriel!BL15="",IPC_Trimestriel!BH15=""),"",AVERAGE(IPC_Trimestriel!BL15:BO15)/AVERAGE(IPC_Trimestriel!BH15:BK15)-1)</f>
        <v>4.2220961871051177E-3</v>
      </c>
      <c r="BL15" s="31">
        <f>IF(OR(IPC_Trimestriel!BP15="",IPC_Trimestriel!BM15="",IPC_Trimestriel!BI15=""),"",AVERAGE(IPC_Trimestriel!BM15:BP15)/AVERAGE(IPC_Trimestriel!BI15:BL15)-1)</f>
        <v>9.2236546089732308E-3</v>
      </c>
      <c r="BM15" s="31">
        <f>IF(OR(IPC_Trimestriel!BQ15="",IPC_Trimestriel!BN15="",IPC_Trimestriel!BJ15=""),"",AVERAGE(IPC_Trimestriel!BN15:BQ15)/AVERAGE(IPC_Trimestriel!BJ15:BM15)-1)</f>
        <v>1.5953912112119939E-2</v>
      </c>
      <c r="BN15" s="31">
        <f>IF(OR(IPC_Trimestriel!BR15="",IPC_Trimestriel!BO15="",IPC_Trimestriel!BK15=""),"",AVERAGE(IPC_Trimestriel!BO15:BR15)/AVERAGE(IPC_Trimestriel!BK15:BN15)-1)</f>
        <v>1.6950452120515713E-2</v>
      </c>
      <c r="BO15" s="31">
        <f>IF(OR(IPC_Trimestriel!BS15="",IPC_Trimestriel!BP15="",IPC_Trimestriel!BL15=""),"",AVERAGE(IPC_Trimestriel!BP15:BS15)/AVERAGE(IPC_Trimestriel!BL15:BO15)-1)</f>
        <v>1.4574416656457867E-2</v>
      </c>
      <c r="BP15" s="31">
        <f>IF(OR(IPC_Trimestriel!BT15="",IPC_Trimestriel!BQ15="",IPC_Trimestriel!BM15=""),"",AVERAGE(IPC_Trimestriel!BQ15:BT15)/AVERAGE(IPC_Trimestriel!BM15:BP15)-1)</f>
        <v>1.1179725270332286E-2</v>
      </c>
      <c r="BQ15" s="31">
        <f>IF(OR(IPC_Trimestriel!BU15="",IPC_Trimestriel!BR15="",IPC_Trimestriel!BN15=""),"",AVERAGE(IPC_Trimestriel!BR15:BU15)/AVERAGE(IPC_Trimestriel!BN15:BQ15)-1)</f>
        <v>7.2914630452052265E-3</v>
      </c>
      <c r="BR15" s="31">
        <f>IF(OR(IPC_Trimestriel!BV15="",IPC_Trimestriel!BS15="",IPC_Trimestriel!BO15=""),"",AVERAGE(IPC_Trimestriel!BS15:BV15)/AVERAGE(IPC_Trimestriel!BO15:BR15)-1)</f>
        <v>6.5140358884361316E-3</v>
      </c>
      <c r="BS15" s="31">
        <f>IF(OR(IPC_Trimestriel!BW15="",IPC_Trimestriel!BT15="",IPC_Trimestriel!BP15=""),"",AVERAGE(IPC_Trimestriel!BT15:BW15)/AVERAGE(IPC_Trimestriel!BP15:BS15)-1)</f>
        <v>6.3828156955969551E-3</v>
      </c>
      <c r="BT15" s="31">
        <f>IF(OR(IPC_Trimestriel!BX15="",IPC_Trimestriel!BU15="",IPC_Trimestriel!BQ15=""),"",AVERAGE(IPC_Trimestriel!BU15:BX15)/AVERAGE(IPC_Trimestriel!BQ15:BT15)-1)</f>
        <v>6.1693244813989523E-3</v>
      </c>
      <c r="BU15" s="31">
        <f>IF(OR(IPC_Trimestriel!BY15="",IPC_Trimestriel!BV15="",IPC_Trimestriel!BR15=""),"",AVERAGE(IPC_Trimestriel!BV15:BY15)/AVERAGE(IPC_Trimestriel!BR15:BU15)-1)</f>
        <v>6.7070734207681504E-3</v>
      </c>
      <c r="BV15" s="31">
        <f>IF(OR(IPC_Trimestriel!BZ15="",IPC_Trimestriel!BW15="",IPC_Trimestriel!BS15=""),"",AVERAGE(IPC_Trimestriel!BW15:BZ15)/AVERAGE(IPC_Trimestriel!BS15:BV15)-1)</f>
        <v>7.5584591038049265E-3</v>
      </c>
      <c r="BW15" s="31">
        <f>IF(OR(IPC_Trimestriel!CA15="",IPC_Trimestriel!BX15="",IPC_Trimestriel!BT15=""),"",AVERAGE(IPC_Trimestriel!BX15:CA15)/AVERAGE(IPC_Trimestriel!BT15:BW15)-1)</f>
        <v>8.3676428390575541E-3</v>
      </c>
      <c r="BX15" s="31">
        <f>IF(OR(IPC_Trimestriel!CB15="",IPC_Trimestriel!BY15="",IPC_Trimestriel!BU15=""),"",AVERAGE(IPC_Trimestriel!BY15:CB15)/AVERAGE(IPC_Trimestriel!BU15:BX15)-1)</f>
        <v>9.2324636292642204E-3</v>
      </c>
      <c r="BY15" s="31">
        <f>IF(OR(IPC_Trimestriel!CC15="",IPC_Trimestriel!BZ15="",IPC_Trimestriel!BV15=""),"",AVERAGE(IPC_Trimestriel!BZ15:CC15)/AVERAGE(IPC_Trimestriel!BV15:BY15)-1)</f>
        <v>1.0651294943400558E-2</v>
      </c>
      <c r="BZ15" s="31">
        <f>IF(OR(IPC_Trimestriel!CD15="",IPC_Trimestriel!CA15="",IPC_Trimestriel!BW15=""),"",AVERAGE(IPC_Trimestriel!CA15:CD15)/AVERAGE(IPC_Trimestriel!BW15:BZ15)-1)</f>
        <v>1.0509245214684881E-2</v>
      </c>
      <c r="CA15" s="31">
        <f>IF(OR(IPC_Trimestriel!CE15="",IPC_Trimestriel!CB15="",IPC_Trimestriel!BX15=""),"",AVERAGE(IPC_Trimestriel!CB15:CE15)/AVERAGE(IPC_Trimestriel!BX15:CA15)-1)</f>
        <v>1.1277262926931098E-2</v>
      </c>
      <c r="CB15" s="31">
        <f>IF(OR(IPC_Trimestriel!CF15="",IPC_Trimestriel!CC15="",IPC_Trimestriel!BY15=""),"",AVERAGE(IPC_Trimestriel!CC15:CF15)/AVERAGE(IPC_Trimestriel!BY15:CB15)-1)</f>
        <v>1.1835148684382402E-2</v>
      </c>
      <c r="CC15" s="31">
        <f>IF(OR(IPC_Trimestriel!CG15="",IPC_Trimestriel!CD15="",IPC_Trimestriel!BZ15=""),"",AVERAGE(IPC_Trimestriel!CD15:CG15)/AVERAGE(IPC_Trimestriel!BZ15:CC15)-1)</f>
        <v>1.283061010014519E-2</v>
      </c>
      <c r="CD15" s="31">
        <f>IF(OR(IPC_Trimestriel!CH15="",IPC_Trimestriel!CE15="",IPC_Trimestriel!CA15=""),"",AVERAGE(IPC_Trimestriel!CE15:CH15)/AVERAGE(IPC_Trimestriel!CA15:CD15)-1)</f>
        <v>1.4508516780821656E-2</v>
      </c>
      <c r="CE15" s="31">
        <f>IF(OR(IPC_Trimestriel!CI15="",IPC_Trimestriel!CF15="",IPC_Trimestriel!CB15=""),"",AVERAGE(IPC_Trimestriel!CF15:CI15)/AVERAGE(IPC_Trimestriel!CB15:CE15)-1)</f>
        <v>1.6403967918880102E-2</v>
      </c>
      <c r="CF15" s="31">
        <f>IF(OR(IPC_Trimestriel!CJ15="",IPC_Trimestriel!CG15="",IPC_Trimestriel!CC15=""),"",AVERAGE(IPC_Trimestriel!CG15:CJ15)/AVERAGE(IPC_Trimestriel!CC15:CF15)-1)</f>
        <v>1.8112201263563499E-2</v>
      </c>
      <c r="CG15" s="31">
        <f>IF(OR(IPC_Trimestriel!CK15="",IPC_Trimestriel!CH15="",IPC_Trimestriel!CD15=""),"",AVERAGE(IPC_Trimestriel!CH15:CK15)/AVERAGE(IPC_Trimestriel!CD15:CG15)-1)</f>
        <v>1.4817501349022155E-2</v>
      </c>
      <c r="CH15" s="31">
        <f>IF(OR(IPC_Trimestriel!CL15="",IPC_Trimestriel!CI15="",IPC_Trimestriel!CE15=""),"",AVERAGE(IPC_Trimestriel!CI15:CL15)/AVERAGE(IPC_Trimestriel!CE15:CH15)-1)</f>
        <v>1.2732594715032297E-2</v>
      </c>
      <c r="CI15" s="31">
        <f>IF(OR(IPC_Trimestriel!CM15="",IPC_Trimestriel!CJ15="",IPC_Trimestriel!CF15=""),"",AVERAGE(IPC_Trimestriel!CJ15:CM15)/AVERAGE(IPC_Trimestriel!CF15:CI15)-1)</f>
        <v>1.0394003368280114E-2</v>
      </c>
      <c r="CJ15" s="31">
        <f>IF(OR(IPC_Trimestriel!CN15="",IPC_Trimestriel!CK15="",IPC_Trimestriel!CG15=""),"",AVERAGE(IPC_Trimestriel!CK15:CN15)/AVERAGE(IPC_Trimestriel!CG15:CJ15)-1)</f>
        <v>9.2194171582780093E-3</v>
      </c>
      <c r="CK15" s="31">
        <f>IF(OR(IPC_Trimestriel!CO15="",IPC_Trimestriel!CL15="",IPC_Trimestriel!CH15=""),"",AVERAGE(IPC_Trimestriel!CL15:CO15)/AVERAGE(IPC_Trimestriel!CH15:CK15)-1)</f>
        <v>1.2728569203209528E-2</v>
      </c>
      <c r="CL15" s="31">
        <f>IF(OR(IPC_Trimestriel!CP15="",IPC_Trimestriel!CM15="",IPC_Trimestriel!CI15=""),"",AVERAGE(IPC_Trimestriel!CM15:CP15)/AVERAGE(IPC_Trimestriel!CI15:CL15)-1)</f>
        <v>1.5016720385037097E-2</v>
      </c>
      <c r="CM15" s="31">
        <f>IF(OR(IPC_Trimestriel!CQ15="",IPC_Trimestriel!CN15="",IPC_Trimestriel!CJ15=""),"",AVERAGE(IPC_Trimestriel!CN15:CQ15)/AVERAGE(IPC_Trimestriel!CJ15:CM15)-1)</f>
        <v>1.6966884277255678E-2</v>
      </c>
      <c r="CN15" s="31">
        <f>IF(OR(IPC_Trimestriel!CR15="",IPC_Trimestriel!CO15="",IPC_Trimestriel!CK15=""),"",AVERAGE(IPC_Trimestriel!CO15:CR15)/AVERAGE(IPC_Trimestriel!CK15:CN15)-1)</f>
        <v>1.8192565969007424E-2</v>
      </c>
      <c r="CO15" s="31">
        <f>IF(OR(IPC_Trimestriel!CS15="",IPC_Trimestriel!CP15="",IPC_Trimestriel!CL15=""),"",AVERAGE(IPC_Trimestriel!CP15:CS15)/AVERAGE(IPC_Trimestriel!CL15:CO15)-1)</f>
        <v>1.7520574216581819E-2</v>
      </c>
      <c r="CP15" s="31">
        <f>IF(OR(IPC_Trimestriel!CT15="",IPC_Trimestriel!CQ15="",IPC_Trimestriel!CM15=""),"",AVERAGE(IPC_Trimestriel!CQ15:CT15)/AVERAGE(IPC_Trimestriel!CM15:CP15)-1)</f>
        <v>1.8176806075606011E-2</v>
      </c>
    </row>
    <row r="16" spans="1:94" s="1" customFormat="1" ht="10.199999999999999" x14ac:dyDescent="0.2">
      <c r="A16" s="11">
        <v>10</v>
      </c>
      <c r="B16" s="1" t="s">
        <v>27</v>
      </c>
      <c r="C16" s="5"/>
      <c r="D16" s="31"/>
      <c r="E16" s="31"/>
      <c r="F16" s="31"/>
      <c r="G16" s="31" t="str">
        <f>IF(OR(IPC_Trimestriel!K16="",IPC_Trimestriel!H16="",IPC_Trimestriel!D16=""),"",AVERAGE(IPC_Trimestriel!H16:K16)/AVERAGE(IPC_Trimestriel!D16:G16)-1)</f>
        <v/>
      </c>
      <c r="H16" s="31" t="str">
        <f>IF(OR(IPC_Trimestriel!L16="",IPC_Trimestriel!I16="",IPC_Trimestriel!E16=""),"",AVERAGE(IPC_Trimestriel!I16:L16)/AVERAGE(IPC_Trimestriel!E16:H16)-1)</f>
        <v/>
      </c>
      <c r="I16" s="31" t="str">
        <f>IF(OR(IPC_Trimestriel!M16="",IPC_Trimestriel!J16="",IPC_Trimestriel!F16=""),"",AVERAGE(IPC_Trimestriel!J16:M16)/AVERAGE(IPC_Trimestriel!F16:I16)-1)</f>
        <v/>
      </c>
      <c r="J16" s="31" t="str">
        <f>IF(OR(IPC_Trimestriel!N16="",IPC_Trimestriel!K16="",IPC_Trimestriel!G16=""),"",AVERAGE(IPC_Trimestriel!K16:N16)/AVERAGE(IPC_Trimestriel!G16:J16)-1)</f>
        <v/>
      </c>
      <c r="K16" s="31" t="str">
        <f>IF(OR(IPC_Trimestriel!O16="",IPC_Trimestriel!L16="",IPC_Trimestriel!H16=""),"",AVERAGE(IPC_Trimestriel!L16:O16)/AVERAGE(IPC_Trimestriel!H16:K16)-1)</f>
        <v/>
      </c>
      <c r="L16" s="31" t="str">
        <f>IF(OR(IPC_Trimestriel!P16="",IPC_Trimestriel!M16="",IPC_Trimestriel!I16=""),"",AVERAGE(IPC_Trimestriel!M16:P16)/AVERAGE(IPC_Trimestriel!I16:L16)-1)</f>
        <v/>
      </c>
      <c r="M16" s="31" t="str">
        <f>IF(OR(IPC_Trimestriel!Q16="",IPC_Trimestriel!N16="",IPC_Trimestriel!J16=""),"",AVERAGE(IPC_Trimestriel!N16:Q16)/AVERAGE(IPC_Trimestriel!J16:M16)-1)</f>
        <v/>
      </c>
      <c r="N16" s="31" t="str">
        <f>IF(OR(IPC_Trimestriel!R16="",IPC_Trimestriel!O16="",IPC_Trimestriel!K16=""),"",AVERAGE(IPC_Trimestriel!O16:R16)/AVERAGE(IPC_Trimestriel!K16:N16)-1)</f>
        <v/>
      </c>
      <c r="O16" s="31" t="str">
        <f>IF(OR(IPC_Trimestriel!S16="",IPC_Trimestriel!P16="",IPC_Trimestriel!L16=""),"",AVERAGE(IPC_Trimestriel!P16:S16)/AVERAGE(IPC_Trimestriel!L16:O16)-1)</f>
        <v/>
      </c>
      <c r="P16" s="31" t="str">
        <f>IF(OR(IPC_Trimestriel!T16="",IPC_Trimestriel!Q16="",IPC_Trimestriel!M16=""),"",AVERAGE(IPC_Trimestriel!Q16:T16)/AVERAGE(IPC_Trimestriel!M16:P16)-1)</f>
        <v/>
      </c>
      <c r="Q16" s="31" t="str">
        <f>IF(OR(IPC_Trimestriel!U16="",IPC_Trimestriel!R16="",IPC_Trimestriel!N16=""),"",AVERAGE(IPC_Trimestriel!R16:U16)/AVERAGE(IPC_Trimestriel!N16:Q16)-1)</f>
        <v/>
      </c>
      <c r="R16" s="31" t="str">
        <f>IF(OR(IPC_Trimestriel!V16="",IPC_Trimestriel!S16="",IPC_Trimestriel!O16=""),"",AVERAGE(IPC_Trimestriel!S16:V16)/AVERAGE(IPC_Trimestriel!O16:R16)-1)</f>
        <v/>
      </c>
      <c r="S16" s="31" t="str">
        <f>IF(OR(IPC_Trimestriel!W16="",IPC_Trimestriel!T16="",IPC_Trimestriel!P16=""),"",AVERAGE(IPC_Trimestriel!T16:W16)/AVERAGE(IPC_Trimestriel!P16:S16)-1)</f>
        <v/>
      </c>
      <c r="T16" s="31" t="str">
        <f>IF(OR(IPC_Trimestriel!X16="",IPC_Trimestriel!U16="",IPC_Trimestriel!Q16=""),"",AVERAGE(IPC_Trimestriel!U16:X16)/AVERAGE(IPC_Trimestriel!Q16:T16)-1)</f>
        <v/>
      </c>
      <c r="U16" s="31" t="str">
        <f>IF(OR(IPC_Trimestriel!Y16="",IPC_Trimestriel!V16="",IPC_Trimestriel!R16=""),"",AVERAGE(IPC_Trimestriel!V16:Y16)/AVERAGE(IPC_Trimestriel!R16:U16)-1)</f>
        <v/>
      </c>
      <c r="V16" s="31" t="str">
        <f>IF(OR(IPC_Trimestriel!Z16="",IPC_Trimestriel!W16="",IPC_Trimestriel!S16=""),"",AVERAGE(IPC_Trimestriel!W16:Z16)/AVERAGE(IPC_Trimestriel!S16:V16)-1)</f>
        <v/>
      </c>
      <c r="W16" s="31" t="str">
        <f>IF(OR(IPC_Trimestriel!AA16="",IPC_Trimestriel!X16="",IPC_Trimestriel!T16=""),"",AVERAGE(IPC_Trimestriel!X16:AA16)/AVERAGE(IPC_Trimestriel!T16:W16)-1)</f>
        <v/>
      </c>
      <c r="X16" s="31" t="str">
        <f>IF(OR(IPC_Trimestriel!AB16="",IPC_Trimestriel!Y16="",IPC_Trimestriel!U16=""),"",AVERAGE(IPC_Trimestriel!Y16:AB16)/AVERAGE(IPC_Trimestriel!U16:X16)-1)</f>
        <v/>
      </c>
      <c r="Y16" s="31" t="str">
        <f>IF(OR(IPC_Trimestriel!AC16="",IPC_Trimestriel!Z16="",IPC_Trimestriel!V16=""),"",AVERAGE(IPC_Trimestriel!Z16:AC16)/AVERAGE(IPC_Trimestriel!V16:Y16)-1)</f>
        <v/>
      </c>
      <c r="Z16" s="31" t="str">
        <f>IF(OR(IPC_Trimestriel!AD16="",IPC_Trimestriel!AA16="",IPC_Trimestriel!W16=""),"",AVERAGE(IPC_Trimestriel!AA16:AD16)/AVERAGE(IPC_Trimestriel!W16:Z16)-1)</f>
        <v/>
      </c>
      <c r="AA16" s="31" t="str">
        <f>IF(OR(IPC_Trimestriel!AE16="",IPC_Trimestriel!AB16="",IPC_Trimestriel!X16=""),"",AVERAGE(IPC_Trimestriel!AB16:AE16)/AVERAGE(IPC_Trimestriel!X16:AA16)-1)</f>
        <v/>
      </c>
      <c r="AB16" s="31" t="str">
        <f>IF(OR(IPC_Trimestriel!AF16="",IPC_Trimestriel!AC16="",IPC_Trimestriel!Y16=""),"",AVERAGE(IPC_Trimestriel!AC16:AF16)/AVERAGE(IPC_Trimestriel!Y16:AB16)-1)</f>
        <v/>
      </c>
      <c r="AC16" s="31" t="str">
        <f>IF(OR(IPC_Trimestriel!AG16="",IPC_Trimestriel!AD16="",IPC_Trimestriel!Z16=""),"",AVERAGE(IPC_Trimestriel!AD16:AG16)/AVERAGE(IPC_Trimestriel!Z16:AC16)-1)</f>
        <v/>
      </c>
      <c r="AD16" s="31" t="str">
        <f>IF(OR(IPC_Trimestriel!AH16="",IPC_Trimestriel!AE16="",IPC_Trimestriel!AA16=""),"",AVERAGE(IPC_Trimestriel!AE16:AH16)/AVERAGE(IPC_Trimestriel!AA16:AD16)-1)</f>
        <v/>
      </c>
      <c r="AE16" s="31" t="str">
        <f>IF(OR(IPC_Trimestriel!AI16="",IPC_Trimestriel!AF16="",IPC_Trimestriel!AB16=""),"",AVERAGE(IPC_Trimestriel!AF16:AI16)/AVERAGE(IPC_Trimestriel!AB16:AE16)-1)</f>
        <v/>
      </c>
      <c r="AF16" s="31" t="str">
        <f>IF(OR(IPC_Trimestriel!AJ16="",IPC_Trimestriel!AG16="",IPC_Trimestriel!AC16=""),"",AVERAGE(IPC_Trimestriel!AG16:AJ16)/AVERAGE(IPC_Trimestriel!AC16:AF16)-1)</f>
        <v/>
      </c>
      <c r="AG16" s="31" t="str">
        <f>IF(OR(IPC_Trimestriel!AK16="",IPC_Trimestriel!AH16="",IPC_Trimestriel!AD16=""),"",AVERAGE(IPC_Trimestriel!AH16:AK16)/AVERAGE(IPC_Trimestriel!AD16:AG16)-1)</f>
        <v/>
      </c>
      <c r="AH16" s="31" t="str">
        <f>IF(OR(IPC_Trimestriel!AL16="",IPC_Trimestriel!AI16="",IPC_Trimestriel!AE16=""),"",AVERAGE(IPC_Trimestriel!AI16:AL16)/AVERAGE(IPC_Trimestriel!AE16:AH16)-1)</f>
        <v/>
      </c>
      <c r="AI16" s="31" t="str">
        <f>IF(OR(IPC_Trimestriel!AM16="",IPC_Trimestriel!AJ16="",IPC_Trimestriel!AF16=""),"",AVERAGE(IPC_Trimestriel!AJ16:AM16)/AVERAGE(IPC_Trimestriel!AF16:AI16)-1)</f>
        <v/>
      </c>
      <c r="AJ16" s="31" t="str">
        <f>IF(OR(IPC_Trimestriel!AN16="",IPC_Trimestriel!AK16="",IPC_Trimestriel!AG16=""),"",AVERAGE(IPC_Trimestriel!AK16:AN16)/AVERAGE(IPC_Trimestriel!AG16:AJ16)-1)</f>
        <v/>
      </c>
      <c r="AK16" s="31" t="str">
        <f>IF(OR(IPC_Trimestriel!AO16="",IPC_Trimestriel!AL16="",IPC_Trimestriel!AH16=""),"",AVERAGE(IPC_Trimestriel!AL16:AO16)/AVERAGE(IPC_Trimestriel!AH16:AK16)-1)</f>
        <v/>
      </c>
      <c r="AL16" s="31" t="str">
        <f>IF(OR(IPC_Trimestriel!AP16="",IPC_Trimestriel!AM16="",IPC_Trimestriel!AI16=""),"",AVERAGE(IPC_Trimestriel!AM16:AP16)/AVERAGE(IPC_Trimestriel!AI16:AL16)-1)</f>
        <v/>
      </c>
      <c r="AM16" s="31" t="str">
        <f>IF(OR(IPC_Trimestriel!AQ16="",IPC_Trimestriel!AN16="",IPC_Trimestriel!AJ16=""),"",AVERAGE(IPC_Trimestriel!AN16:AQ16)/AVERAGE(IPC_Trimestriel!AJ16:AM16)-1)</f>
        <v/>
      </c>
      <c r="AN16" s="31" t="str">
        <f>IF(OR(IPC_Trimestriel!AR16="",IPC_Trimestriel!AO16="",IPC_Trimestriel!AK16=""),"",AVERAGE(IPC_Trimestriel!AO16:AR16)/AVERAGE(IPC_Trimestriel!AK16:AN16)-1)</f>
        <v/>
      </c>
      <c r="AO16" s="31" t="str">
        <f>IF(OR(IPC_Trimestriel!AS16="",IPC_Trimestriel!AP16="",IPC_Trimestriel!AL16=""),"",AVERAGE(IPC_Trimestriel!AP16:AS16)/AVERAGE(IPC_Trimestriel!AL16:AO16)-1)</f>
        <v/>
      </c>
      <c r="AP16" s="31" t="str">
        <f>IF(OR(IPC_Trimestriel!AT16="",IPC_Trimestriel!AQ16="",IPC_Trimestriel!AM16=""),"",AVERAGE(IPC_Trimestriel!AQ16:AT16)/AVERAGE(IPC_Trimestriel!AM16:AP16)-1)</f>
        <v/>
      </c>
      <c r="AQ16" s="31" t="str">
        <f>IF(OR(IPC_Trimestriel!AU16="",IPC_Trimestriel!AR16="",IPC_Trimestriel!AN16=""),"",AVERAGE(IPC_Trimestriel!AR16:AU16)/AVERAGE(IPC_Trimestriel!AN16:AQ16)-1)</f>
        <v/>
      </c>
      <c r="AR16" s="31" t="str">
        <f>IF(OR(IPC_Trimestriel!AV16="",IPC_Trimestriel!AS16="",IPC_Trimestriel!AO16=""),"",AVERAGE(IPC_Trimestriel!AS16:AV16)/AVERAGE(IPC_Trimestriel!AO16:AR16)-1)</f>
        <v/>
      </c>
      <c r="AS16" s="31" t="str">
        <f>IF(OR(IPC_Trimestriel!AW16="",IPC_Trimestriel!AT16="",IPC_Trimestriel!AP16=""),"",AVERAGE(IPC_Trimestriel!AT16:AW16)/AVERAGE(IPC_Trimestriel!AP16:AS16)-1)</f>
        <v/>
      </c>
      <c r="AT16" s="31" t="str">
        <f>IF(OR(IPC_Trimestriel!AX16="",IPC_Trimestriel!AU16="",IPC_Trimestriel!AQ16=""),"",AVERAGE(IPC_Trimestriel!AU16:AX16)/AVERAGE(IPC_Trimestriel!AQ16:AT16)-1)</f>
        <v/>
      </c>
      <c r="AU16" s="31" t="str">
        <f>IF(OR(IPC_Trimestriel!AY16="",IPC_Trimestriel!AV16="",IPC_Trimestriel!AR16=""),"",AVERAGE(IPC_Trimestriel!AV16:AY16)/AVERAGE(IPC_Trimestriel!AR16:AU16)-1)</f>
        <v/>
      </c>
      <c r="AV16" s="31" t="str">
        <f>IF(OR(IPC_Trimestriel!AZ16="",IPC_Trimestriel!AW16="",IPC_Trimestriel!AS16=""),"",AVERAGE(IPC_Trimestriel!AW16:AZ16)/AVERAGE(IPC_Trimestriel!AS16:AV16)-1)</f>
        <v/>
      </c>
      <c r="AW16" s="31" t="str">
        <f>IF(OR(IPC_Trimestriel!BA16="",IPC_Trimestriel!AX16="",IPC_Trimestriel!AT16=""),"",AVERAGE(IPC_Trimestriel!AX16:BA16)/AVERAGE(IPC_Trimestriel!AT16:AW16)-1)</f>
        <v/>
      </c>
      <c r="AX16" s="31" t="str">
        <f>IF(OR(IPC_Trimestriel!BB16="",IPC_Trimestriel!AY16="",IPC_Trimestriel!AU16=""),"",AVERAGE(IPC_Trimestriel!AY16:BB16)/AVERAGE(IPC_Trimestriel!AU16:AX16)-1)</f>
        <v/>
      </c>
      <c r="AY16" s="31" t="str">
        <f>IF(OR(IPC_Trimestriel!BC16="",IPC_Trimestriel!AZ16="",IPC_Trimestriel!AV16=""),"",AVERAGE(IPC_Trimestriel!AZ16:BC16)/AVERAGE(IPC_Trimestriel!AV16:AY16)-1)</f>
        <v/>
      </c>
      <c r="AZ16" s="31" t="str">
        <f>IF(OR(IPC_Trimestriel!BD16="",IPC_Trimestriel!BA16="",IPC_Trimestriel!AW16=""),"",AVERAGE(IPC_Trimestriel!BA16:BD16)/AVERAGE(IPC_Trimestriel!AW16:AZ16)-1)</f>
        <v/>
      </c>
      <c r="BA16" s="31" t="str">
        <f>IF(OR(IPC_Trimestriel!BE16="",IPC_Trimestriel!BB16="",IPC_Trimestriel!AX16=""),"",AVERAGE(IPC_Trimestriel!BB16:BE16)/AVERAGE(IPC_Trimestriel!AX16:BA16)-1)</f>
        <v/>
      </c>
      <c r="BB16" s="31" t="str">
        <f>IF(OR(IPC_Trimestriel!BF16="",IPC_Trimestriel!BC16="",IPC_Trimestriel!AY16=""),"",AVERAGE(IPC_Trimestriel!BC16:BF16)/AVERAGE(IPC_Trimestriel!AY16:BB16)-1)</f>
        <v/>
      </c>
      <c r="BC16" s="31">
        <f>IF(OR(IPC_Trimestriel!BG16="",IPC_Trimestriel!BD16="",IPC_Trimestriel!AZ16=""),"",AVERAGE(IPC_Trimestriel!BD16:BG16)/AVERAGE(IPC_Trimestriel!AZ16:BC16)-1)</f>
        <v>3.0106717831859475E-2</v>
      </c>
      <c r="BD16" s="31">
        <f>IF(OR(IPC_Trimestriel!BH16="",IPC_Trimestriel!BE16="",IPC_Trimestriel!BA16=""),"",AVERAGE(IPC_Trimestriel!BE16:BH16)/AVERAGE(IPC_Trimestriel!BA16:BD16)-1)</f>
        <v>1.9852020687983307E-2</v>
      </c>
      <c r="BE16" s="31">
        <f>IF(OR(IPC_Trimestriel!BI16="",IPC_Trimestriel!BF16="",IPC_Trimestriel!BB16=""),"",AVERAGE(IPC_Trimestriel!BF16:BI16)/AVERAGE(IPC_Trimestriel!BB16:BE16)-1)</f>
        <v>1.0516342158479075E-2</v>
      </c>
      <c r="BF16" s="31">
        <f>IF(OR(IPC_Trimestriel!BJ16="",IPC_Trimestriel!BG16="",IPC_Trimestriel!BC16=""),"",AVERAGE(IPC_Trimestriel!BG16:BJ16)/AVERAGE(IPC_Trimestriel!BC16:BF16)-1)</f>
        <v>8.5776033834772392E-3</v>
      </c>
      <c r="BG16" s="31">
        <f>IF(OR(IPC_Trimestriel!BK16="",IPC_Trimestriel!BH16="",IPC_Trimestriel!BD16=""),"",AVERAGE(IPC_Trimestriel!BH16:BK16)/AVERAGE(IPC_Trimestriel!BD16:BG16)-1)</f>
        <v>1.0613836404757881E-2</v>
      </c>
      <c r="BH16" s="31">
        <f>IF(OR(IPC_Trimestriel!BL16="",IPC_Trimestriel!BI16="",IPC_Trimestriel!BE16=""),"",AVERAGE(IPC_Trimestriel!BI16:BL16)/AVERAGE(IPC_Trimestriel!BE16:BH16)-1)</f>
        <v>1.3313131654862476E-2</v>
      </c>
      <c r="BI16" s="31">
        <f>IF(OR(IPC_Trimestriel!BM16="",IPC_Trimestriel!BJ16="",IPC_Trimestriel!BF16=""),"",AVERAGE(IPC_Trimestriel!BJ16:BM16)/AVERAGE(IPC_Trimestriel!BF16:BI16)-1)</f>
        <v>1.5643381267770096E-2</v>
      </c>
      <c r="BJ16" s="31">
        <f>IF(OR(IPC_Trimestriel!BN16="",IPC_Trimestriel!BK16="",IPC_Trimestriel!BG16=""),"",AVERAGE(IPC_Trimestriel!BK16:BN16)/AVERAGE(IPC_Trimestriel!BG16:BJ16)-1)</f>
        <v>1.7779457358098716E-2</v>
      </c>
      <c r="BK16" s="31">
        <f>IF(OR(IPC_Trimestriel!BO16="",IPC_Trimestriel!BL16="",IPC_Trimestriel!BH16=""),"",AVERAGE(IPC_Trimestriel!BL16:BO16)/AVERAGE(IPC_Trimestriel!BH16:BK16)-1)</f>
        <v>2.2156527111335311E-2</v>
      </c>
      <c r="BL16" s="31">
        <f>IF(OR(IPC_Trimestriel!BP16="",IPC_Trimestriel!BM16="",IPC_Trimestriel!BI16=""),"",AVERAGE(IPC_Trimestriel!BM16:BP16)/AVERAGE(IPC_Trimestriel!BI16:BL16)-1)</f>
        <v>2.5997064827301131E-2</v>
      </c>
      <c r="BM16" s="31">
        <f>IF(OR(IPC_Trimestriel!BQ16="",IPC_Trimestriel!BN16="",IPC_Trimestriel!BJ16=""),"",AVERAGE(IPC_Trimestriel!BN16:BQ16)/AVERAGE(IPC_Trimestriel!BJ16:BM16)-1)</f>
        <v>3.0680779858645479E-2</v>
      </c>
      <c r="BN16" s="31">
        <f>IF(OR(IPC_Trimestriel!BR16="",IPC_Trimestriel!BO16="",IPC_Trimestriel!BK16=""),"",AVERAGE(IPC_Trimestriel!BO16:BR16)/AVERAGE(IPC_Trimestriel!BK16:BN16)-1)</f>
        <v>3.2185225644574933E-2</v>
      </c>
      <c r="BO16" s="31">
        <f>IF(OR(IPC_Trimestriel!BS16="",IPC_Trimestriel!BP16="",IPC_Trimestriel!BL16=""),"",AVERAGE(IPC_Trimestriel!BP16:BS16)/AVERAGE(IPC_Trimestriel!BL16:BO16)-1)</f>
        <v>2.6054954659614493E-2</v>
      </c>
      <c r="BP16" s="31">
        <f>IF(OR(IPC_Trimestriel!BT16="",IPC_Trimestriel!BQ16="",IPC_Trimestriel!BM16=""),"",AVERAGE(IPC_Trimestriel!BQ16:BT16)/AVERAGE(IPC_Trimestriel!BM16:BP16)-1)</f>
        <v>2.0489171306487863E-2</v>
      </c>
      <c r="BQ16" s="31">
        <f>IF(OR(IPC_Trimestriel!BU16="",IPC_Trimestriel!BR16="",IPC_Trimestriel!BN16=""),"",AVERAGE(IPC_Trimestriel!BR16:BU16)/AVERAGE(IPC_Trimestriel!BN16:BQ16)-1)</f>
        <v>1.427224539968619E-2</v>
      </c>
      <c r="BR16" s="31">
        <f>IF(OR(IPC_Trimestriel!BV16="",IPC_Trimestriel!BS16="",IPC_Trimestriel!BO16=""),"",AVERAGE(IPC_Trimestriel!BS16:BV16)/AVERAGE(IPC_Trimestriel!BO16:BR16)-1)</f>
        <v>8.8896705588066283E-3</v>
      </c>
      <c r="BS16" s="31">
        <f>IF(OR(IPC_Trimestriel!BW16="",IPC_Trimestriel!BT16="",IPC_Trimestriel!BP16=""),"",AVERAGE(IPC_Trimestriel!BT16:BW16)/AVERAGE(IPC_Trimestriel!BP16:BS16)-1)</f>
        <v>9.9622595998403174E-3</v>
      </c>
      <c r="BT16" s="31">
        <f>IF(OR(IPC_Trimestriel!BX16="",IPC_Trimestriel!BU16="",IPC_Trimestriel!BQ16=""),"",AVERAGE(IPC_Trimestriel!BU16:BX16)/AVERAGE(IPC_Trimestriel!BQ16:BT16)-1)</f>
        <v>1.025776772729059E-2</v>
      </c>
      <c r="BU16" s="31">
        <f>IF(OR(IPC_Trimestriel!BY16="",IPC_Trimestriel!BV16="",IPC_Trimestriel!BR16=""),"",AVERAGE(IPC_Trimestriel!BV16:BY16)/AVERAGE(IPC_Trimestriel!BR16:BU16)-1)</f>
        <v>1.0283955519825527E-2</v>
      </c>
      <c r="BV16" s="31">
        <f>IF(OR(IPC_Trimestriel!BZ16="",IPC_Trimestriel!BW16="",IPC_Trimestriel!BS16=""),"",AVERAGE(IPC_Trimestriel!BW16:BZ16)/AVERAGE(IPC_Trimestriel!BS16:BV16)-1)</f>
        <v>1.1698890755331259E-2</v>
      </c>
      <c r="BW16" s="31">
        <f>IF(OR(IPC_Trimestriel!CA16="",IPC_Trimestriel!BX16="",IPC_Trimestriel!BT16=""),"",AVERAGE(IPC_Trimestriel!BX16:CA16)/AVERAGE(IPC_Trimestriel!BT16:BW16)-1)</f>
        <v>1.2243874345698069E-2</v>
      </c>
      <c r="BX16" s="31">
        <f>IF(OR(IPC_Trimestriel!CB16="",IPC_Trimestriel!BY16="",IPC_Trimestriel!BU16=""),"",AVERAGE(IPC_Trimestriel!BY16:CB16)/AVERAGE(IPC_Trimestriel!BU16:BX16)-1)</f>
        <v>1.3152705647072827E-2</v>
      </c>
      <c r="BY16" s="31">
        <f>IF(OR(IPC_Trimestriel!CC16="",IPC_Trimestriel!BZ16="",IPC_Trimestriel!BV16=""),"",AVERAGE(IPC_Trimestriel!BZ16:CC16)/AVERAGE(IPC_Trimestriel!BV16:BY16)-1)</f>
        <v>1.4372257479947859E-2</v>
      </c>
      <c r="BZ16" s="31">
        <f>IF(OR(IPC_Trimestriel!CD16="",IPC_Trimestriel!CA16="",IPC_Trimestriel!BW16=""),"",AVERAGE(IPC_Trimestriel!CA16:CD16)/AVERAGE(IPC_Trimestriel!BW16:BZ16)-1)</f>
        <v>1.4302862685905193E-2</v>
      </c>
      <c r="CA16" s="31">
        <f>IF(OR(IPC_Trimestriel!CE16="",IPC_Trimestriel!CB16="",IPC_Trimestriel!BX16=""),"",AVERAGE(IPC_Trimestriel!CB16:CE16)/AVERAGE(IPC_Trimestriel!BX16:CA16)-1)</f>
        <v>1.2335916531023061E-2</v>
      </c>
      <c r="CB16" s="31">
        <f>IF(OR(IPC_Trimestriel!CF16="",IPC_Trimestriel!CC16="",IPC_Trimestriel!BY16=""),"",AVERAGE(IPC_Trimestriel!CC16:CF16)/AVERAGE(IPC_Trimestriel!BY16:CB16)-1)</f>
        <v>9.9554329410431741E-3</v>
      </c>
      <c r="CC16" s="31">
        <f>IF(OR(IPC_Trimestriel!CG16="",IPC_Trimestriel!CD16="",IPC_Trimestriel!BZ16=""),"",AVERAGE(IPC_Trimestriel!CD16:CG16)/AVERAGE(IPC_Trimestriel!BZ16:CC16)-1)</f>
        <v>7.6714998834093162E-3</v>
      </c>
      <c r="CD16" s="31">
        <f>IF(OR(IPC_Trimestriel!CH16="",IPC_Trimestriel!CE16="",IPC_Trimestriel!CA16=""),"",AVERAGE(IPC_Trimestriel!CE16:CH16)/AVERAGE(IPC_Trimestriel!CA16:CD16)-1)</f>
        <v>6.2328744364834598E-3</v>
      </c>
      <c r="CE16" s="31">
        <f>IF(OR(IPC_Trimestriel!CI16="",IPC_Trimestriel!CF16="",IPC_Trimestriel!CB16=""),"",AVERAGE(IPC_Trimestriel!CF16:CI16)/AVERAGE(IPC_Trimestriel!CB16:CE16)-1)</f>
        <v>6.515017903587994E-3</v>
      </c>
      <c r="CF16" s="31">
        <f>IF(OR(IPC_Trimestriel!CJ16="",IPC_Trimestriel!CG16="",IPC_Trimestriel!CC16=""),"",AVERAGE(IPC_Trimestriel!CG16:CJ16)/AVERAGE(IPC_Trimestriel!CC16:CF16)-1)</f>
        <v>7.5348692863399513E-3</v>
      </c>
      <c r="CG16" s="31">
        <f>IF(OR(IPC_Trimestriel!CK16="",IPC_Trimestriel!CH16="",IPC_Trimestriel!CD16=""),"",AVERAGE(IPC_Trimestriel!CH16:CK16)/AVERAGE(IPC_Trimestriel!CD16:CG16)-1)</f>
        <v>8.2625780336018639E-3</v>
      </c>
      <c r="CH16" s="31">
        <f>IF(OR(IPC_Trimestriel!CL16="",IPC_Trimestriel!CI16="",IPC_Trimestriel!CE16=""),"",AVERAGE(IPC_Trimestriel!CI16:CL16)/AVERAGE(IPC_Trimestriel!CE16:CH16)-1)</f>
        <v>1.0167865506987894E-2</v>
      </c>
      <c r="CI16" s="31">
        <f>IF(OR(IPC_Trimestriel!CM16="",IPC_Trimestriel!CJ16="",IPC_Trimestriel!CF16=""),"",AVERAGE(IPC_Trimestriel!CJ16:CM16)/AVERAGE(IPC_Trimestriel!CF16:CI16)-1)</f>
        <v>1.1942185496388147E-2</v>
      </c>
      <c r="CJ16" s="31">
        <f>IF(OR(IPC_Trimestriel!CN16="",IPC_Trimestriel!CK16="",IPC_Trimestriel!CG16=""),"",AVERAGE(IPC_Trimestriel!CK16:CN16)/AVERAGE(IPC_Trimestriel!CG16:CJ16)-1)</f>
        <v>1.3564316691023537E-2</v>
      </c>
      <c r="CK16" s="31">
        <f>IF(OR(IPC_Trimestriel!CO16="",IPC_Trimestriel!CL16="",IPC_Trimestriel!CH16=""),"",AVERAGE(IPC_Trimestriel!CL16:CO16)/AVERAGE(IPC_Trimestriel!CH16:CK16)-1)</f>
        <v>1.5568476360002359E-2</v>
      </c>
      <c r="CL16" s="31">
        <f>IF(OR(IPC_Trimestriel!CP16="",IPC_Trimestriel!CM16="",IPC_Trimestriel!CI16=""),"",AVERAGE(IPC_Trimestriel!CM16:CP16)/AVERAGE(IPC_Trimestriel!CI16:CL16)-1)</f>
        <v>1.9849281651969308E-2</v>
      </c>
      <c r="CM16" s="31">
        <f>IF(OR(IPC_Trimestriel!CQ16="",IPC_Trimestriel!CN16="",IPC_Trimestriel!CJ16=""),"",AVERAGE(IPC_Trimestriel!CN16:CQ16)/AVERAGE(IPC_Trimestriel!CJ16:CM16)-1)</f>
        <v>2.523611899296796E-2</v>
      </c>
      <c r="CN16" s="31">
        <f>IF(OR(IPC_Trimestriel!CR16="",IPC_Trimestriel!CO16="",IPC_Trimestriel!CK16=""),"",AVERAGE(IPC_Trimestriel!CO16:CR16)/AVERAGE(IPC_Trimestriel!CK16:CN16)-1)</f>
        <v>3.0470263447378354E-2</v>
      </c>
      <c r="CO16" s="31">
        <f>IF(OR(IPC_Trimestriel!CS16="",IPC_Trimestriel!CP16="",IPC_Trimestriel!CL16=""),"",AVERAGE(IPC_Trimestriel!CP16:CS16)/AVERAGE(IPC_Trimestriel!CL16:CO16)-1)</f>
        <v>3.5422518850571905E-2</v>
      </c>
      <c r="CP16" s="31">
        <f>IF(OR(IPC_Trimestriel!CT16="",IPC_Trimestriel!CQ16="",IPC_Trimestriel!CM16=""),"",AVERAGE(IPC_Trimestriel!CQ16:CT16)/AVERAGE(IPC_Trimestriel!CM16:CP16)-1)</f>
        <v>3.4805967619393918E-2</v>
      </c>
    </row>
    <row r="17" spans="1:94" s="1" customFormat="1" ht="10.199999999999999" x14ac:dyDescent="0.2">
      <c r="A17" s="11">
        <v>11</v>
      </c>
      <c r="B17" s="1" t="s">
        <v>28</v>
      </c>
      <c r="C17" s="5"/>
      <c r="D17" s="31"/>
      <c r="E17" s="31"/>
      <c r="F17" s="31"/>
      <c r="G17" s="31" t="str">
        <f>IF(OR(IPC_Trimestriel!K17="",IPC_Trimestriel!H17="",IPC_Trimestriel!D17=""),"",AVERAGE(IPC_Trimestriel!H17:K17)/AVERAGE(IPC_Trimestriel!D17:G17)-1)</f>
        <v/>
      </c>
      <c r="H17" s="31" t="str">
        <f>IF(OR(IPC_Trimestriel!L17="",IPC_Trimestriel!I17="",IPC_Trimestriel!E17=""),"",AVERAGE(IPC_Trimestriel!I17:L17)/AVERAGE(IPC_Trimestriel!E17:H17)-1)</f>
        <v/>
      </c>
      <c r="I17" s="31" t="str">
        <f>IF(OR(IPC_Trimestriel!M17="",IPC_Trimestriel!J17="",IPC_Trimestriel!F17=""),"",AVERAGE(IPC_Trimestriel!J17:M17)/AVERAGE(IPC_Trimestriel!F17:I17)-1)</f>
        <v/>
      </c>
      <c r="J17" s="31" t="str">
        <f>IF(OR(IPC_Trimestriel!N17="",IPC_Trimestriel!K17="",IPC_Trimestriel!G17=""),"",AVERAGE(IPC_Trimestriel!K17:N17)/AVERAGE(IPC_Trimestriel!G17:J17)-1)</f>
        <v/>
      </c>
      <c r="K17" s="31" t="str">
        <f>IF(OR(IPC_Trimestriel!O17="",IPC_Trimestriel!L17="",IPC_Trimestriel!H17=""),"",AVERAGE(IPC_Trimestriel!L17:O17)/AVERAGE(IPC_Trimestriel!H17:K17)-1)</f>
        <v/>
      </c>
      <c r="L17" s="31" t="str">
        <f>IF(OR(IPC_Trimestriel!P17="",IPC_Trimestriel!M17="",IPC_Trimestriel!I17=""),"",AVERAGE(IPC_Trimestriel!M17:P17)/AVERAGE(IPC_Trimestriel!I17:L17)-1)</f>
        <v/>
      </c>
      <c r="M17" s="31" t="str">
        <f>IF(OR(IPC_Trimestriel!Q17="",IPC_Trimestriel!N17="",IPC_Trimestriel!J17=""),"",AVERAGE(IPC_Trimestriel!N17:Q17)/AVERAGE(IPC_Trimestriel!J17:M17)-1)</f>
        <v/>
      </c>
      <c r="N17" s="31" t="str">
        <f>IF(OR(IPC_Trimestriel!R17="",IPC_Trimestriel!O17="",IPC_Trimestriel!K17=""),"",AVERAGE(IPC_Trimestriel!O17:R17)/AVERAGE(IPC_Trimestriel!K17:N17)-1)</f>
        <v/>
      </c>
      <c r="O17" s="31" t="str">
        <f>IF(OR(IPC_Trimestriel!S17="",IPC_Trimestriel!P17="",IPC_Trimestriel!L17=""),"",AVERAGE(IPC_Trimestriel!P17:S17)/AVERAGE(IPC_Trimestriel!L17:O17)-1)</f>
        <v/>
      </c>
      <c r="P17" s="31" t="str">
        <f>IF(OR(IPC_Trimestriel!T17="",IPC_Trimestriel!Q17="",IPC_Trimestriel!M17=""),"",AVERAGE(IPC_Trimestriel!Q17:T17)/AVERAGE(IPC_Trimestriel!M17:P17)-1)</f>
        <v/>
      </c>
      <c r="Q17" s="31" t="str">
        <f>IF(OR(IPC_Trimestriel!U17="",IPC_Trimestriel!R17="",IPC_Trimestriel!N17=""),"",AVERAGE(IPC_Trimestriel!R17:U17)/AVERAGE(IPC_Trimestriel!N17:Q17)-1)</f>
        <v/>
      </c>
      <c r="R17" s="31" t="str">
        <f>IF(OR(IPC_Trimestriel!V17="",IPC_Trimestriel!S17="",IPC_Trimestriel!O17=""),"",AVERAGE(IPC_Trimestriel!S17:V17)/AVERAGE(IPC_Trimestriel!O17:R17)-1)</f>
        <v/>
      </c>
      <c r="S17" s="31" t="str">
        <f>IF(OR(IPC_Trimestriel!W17="",IPC_Trimestriel!T17="",IPC_Trimestriel!P17=""),"",AVERAGE(IPC_Trimestriel!T17:W17)/AVERAGE(IPC_Trimestriel!P17:S17)-1)</f>
        <v/>
      </c>
      <c r="T17" s="31" t="str">
        <f>IF(OR(IPC_Trimestriel!X17="",IPC_Trimestriel!U17="",IPC_Trimestriel!Q17=""),"",AVERAGE(IPC_Trimestriel!U17:X17)/AVERAGE(IPC_Trimestriel!Q17:T17)-1)</f>
        <v/>
      </c>
      <c r="U17" s="31" t="str">
        <f>IF(OR(IPC_Trimestriel!Y17="",IPC_Trimestriel!V17="",IPC_Trimestriel!R17=""),"",AVERAGE(IPC_Trimestriel!V17:Y17)/AVERAGE(IPC_Trimestriel!R17:U17)-1)</f>
        <v/>
      </c>
      <c r="V17" s="31" t="str">
        <f>IF(OR(IPC_Trimestriel!Z17="",IPC_Trimestriel!W17="",IPC_Trimestriel!S17=""),"",AVERAGE(IPC_Trimestriel!W17:Z17)/AVERAGE(IPC_Trimestriel!S17:V17)-1)</f>
        <v/>
      </c>
      <c r="W17" s="31" t="str">
        <f>IF(OR(IPC_Trimestriel!AA17="",IPC_Trimestriel!X17="",IPC_Trimestriel!T17=""),"",AVERAGE(IPC_Trimestriel!X17:AA17)/AVERAGE(IPC_Trimestriel!T17:W17)-1)</f>
        <v/>
      </c>
      <c r="X17" s="31" t="str">
        <f>IF(OR(IPC_Trimestriel!AB17="",IPC_Trimestriel!Y17="",IPC_Trimestriel!U17=""),"",AVERAGE(IPC_Trimestriel!Y17:AB17)/AVERAGE(IPC_Trimestriel!U17:X17)-1)</f>
        <v/>
      </c>
      <c r="Y17" s="31" t="str">
        <f>IF(OR(IPC_Trimestriel!AC17="",IPC_Trimestriel!Z17="",IPC_Trimestriel!V17=""),"",AVERAGE(IPC_Trimestriel!Z17:AC17)/AVERAGE(IPC_Trimestriel!V17:Y17)-1)</f>
        <v/>
      </c>
      <c r="Z17" s="31" t="str">
        <f>IF(OR(IPC_Trimestriel!AD17="",IPC_Trimestriel!AA17="",IPC_Trimestriel!W17=""),"",AVERAGE(IPC_Trimestriel!AA17:AD17)/AVERAGE(IPC_Trimestriel!W17:Z17)-1)</f>
        <v/>
      </c>
      <c r="AA17" s="31" t="str">
        <f>IF(OR(IPC_Trimestriel!AE17="",IPC_Trimestriel!AB17="",IPC_Trimestriel!X17=""),"",AVERAGE(IPC_Trimestriel!AB17:AE17)/AVERAGE(IPC_Trimestriel!X17:AA17)-1)</f>
        <v/>
      </c>
      <c r="AB17" s="31" t="str">
        <f>IF(OR(IPC_Trimestriel!AF17="",IPC_Trimestriel!AC17="",IPC_Trimestriel!Y17=""),"",AVERAGE(IPC_Trimestriel!AC17:AF17)/AVERAGE(IPC_Trimestriel!Y17:AB17)-1)</f>
        <v/>
      </c>
      <c r="AC17" s="31" t="str">
        <f>IF(OR(IPC_Trimestriel!AG17="",IPC_Trimestriel!AD17="",IPC_Trimestriel!Z17=""),"",AVERAGE(IPC_Trimestriel!AD17:AG17)/AVERAGE(IPC_Trimestriel!Z17:AC17)-1)</f>
        <v/>
      </c>
      <c r="AD17" s="31" t="str">
        <f>IF(OR(IPC_Trimestriel!AH17="",IPC_Trimestriel!AE17="",IPC_Trimestriel!AA17=""),"",AVERAGE(IPC_Trimestriel!AE17:AH17)/AVERAGE(IPC_Trimestriel!AA17:AD17)-1)</f>
        <v/>
      </c>
      <c r="AE17" s="31" t="str">
        <f>IF(OR(IPC_Trimestriel!AI17="",IPC_Trimestriel!AF17="",IPC_Trimestriel!AB17=""),"",AVERAGE(IPC_Trimestriel!AF17:AI17)/AVERAGE(IPC_Trimestriel!AB17:AE17)-1)</f>
        <v/>
      </c>
      <c r="AF17" s="31" t="str">
        <f>IF(OR(IPC_Trimestriel!AJ17="",IPC_Trimestriel!AG17="",IPC_Trimestriel!AC17=""),"",AVERAGE(IPC_Trimestriel!AG17:AJ17)/AVERAGE(IPC_Trimestriel!AC17:AF17)-1)</f>
        <v/>
      </c>
      <c r="AG17" s="31" t="str">
        <f>IF(OR(IPC_Trimestriel!AK17="",IPC_Trimestriel!AH17="",IPC_Trimestriel!AD17=""),"",AVERAGE(IPC_Trimestriel!AH17:AK17)/AVERAGE(IPC_Trimestriel!AD17:AG17)-1)</f>
        <v/>
      </c>
      <c r="AH17" s="31" t="str">
        <f>IF(OR(IPC_Trimestriel!AL17="",IPC_Trimestriel!AI17="",IPC_Trimestriel!AE17=""),"",AVERAGE(IPC_Trimestriel!AI17:AL17)/AVERAGE(IPC_Trimestriel!AE17:AH17)-1)</f>
        <v/>
      </c>
      <c r="AI17" s="31" t="str">
        <f>IF(OR(IPC_Trimestriel!AM17="",IPC_Trimestriel!AJ17="",IPC_Trimestriel!AF17=""),"",AVERAGE(IPC_Trimestriel!AJ17:AM17)/AVERAGE(IPC_Trimestriel!AF17:AI17)-1)</f>
        <v/>
      </c>
      <c r="AJ17" s="31" t="str">
        <f>IF(OR(IPC_Trimestriel!AN17="",IPC_Trimestriel!AK17="",IPC_Trimestriel!AG17=""),"",AVERAGE(IPC_Trimestriel!AK17:AN17)/AVERAGE(IPC_Trimestriel!AG17:AJ17)-1)</f>
        <v/>
      </c>
      <c r="AK17" s="31" t="str">
        <f>IF(OR(IPC_Trimestriel!AO17="",IPC_Trimestriel!AL17="",IPC_Trimestriel!AH17=""),"",AVERAGE(IPC_Trimestriel!AL17:AO17)/AVERAGE(IPC_Trimestriel!AH17:AK17)-1)</f>
        <v/>
      </c>
      <c r="AL17" s="31" t="str">
        <f>IF(OR(IPC_Trimestriel!AP17="",IPC_Trimestriel!AM17="",IPC_Trimestriel!AI17=""),"",AVERAGE(IPC_Trimestriel!AM17:AP17)/AVERAGE(IPC_Trimestriel!AI17:AL17)-1)</f>
        <v/>
      </c>
      <c r="AM17" s="31" t="str">
        <f>IF(OR(IPC_Trimestriel!AQ17="",IPC_Trimestriel!AN17="",IPC_Trimestriel!AJ17=""),"",AVERAGE(IPC_Trimestriel!AN17:AQ17)/AVERAGE(IPC_Trimestriel!AJ17:AM17)-1)</f>
        <v/>
      </c>
      <c r="AN17" s="31" t="str">
        <f>IF(OR(IPC_Trimestriel!AR17="",IPC_Trimestriel!AO17="",IPC_Trimestriel!AK17=""),"",AVERAGE(IPC_Trimestriel!AO17:AR17)/AVERAGE(IPC_Trimestriel!AK17:AN17)-1)</f>
        <v/>
      </c>
      <c r="AO17" s="31" t="str">
        <f>IF(OR(IPC_Trimestriel!AS17="",IPC_Trimestriel!AP17="",IPC_Trimestriel!AL17=""),"",AVERAGE(IPC_Trimestriel!AP17:AS17)/AVERAGE(IPC_Trimestriel!AL17:AO17)-1)</f>
        <v/>
      </c>
      <c r="AP17" s="31" t="str">
        <f>IF(OR(IPC_Trimestriel!AT17="",IPC_Trimestriel!AQ17="",IPC_Trimestriel!AM17=""),"",AVERAGE(IPC_Trimestriel!AQ17:AT17)/AVERAGE(IPC_Trimestriel!AM17:AP17)-1)</f>
        <v/>
      </c>
      <c r="AQ17" s="31" t="str">
        <f>IF(OR(IPC_Trimestriel!AU17="",IPC_Trimestriel!AR17="",IPC_Trimestriel!AN17=""),"",AVERAGE(IPC_Trimestriel!AR17:AU17)/AVERAGE(IPC_Trimestriel!AN17:AQ17)-1)</f>
        <v/>
      </c>
      <c r="AR17" s="31" t="str">
        <f>IF(OR(IPC_Trimestriel!AV17="",IPC_Trimestriel!AS17="",IPC_Trimestriel!AO17=""),"",AVERAGE(IPC_Trimestriel!AS17:AV17)/AVERAGE(IPC_Trimestriel!AO17:AR17)-1)</f>
        <v/>
      </c>
      <c r="AS17" s="31" t="str">
        <f>IF(OR(IPC_Trimestriel!AW17="",IPC_Trimestriel!AT17="",IPC_Trimestriel!AP17=""),"",AVERAGE(IPC_Trimestriel!AT17:AW17)/AVERAGE(IPC_Trimestriel!AP17:AS17)-1)</f>
        <v/>
      </c>
      <c r="AT17" s="31" t="str">
        <f>IF(OR(IPC_Trimestriel!AX17="",IPC_Trimestriel!AU17="",IPC_Trimestriel!AQ17=""),"",AVERAGE(IPC_Trimestriel!AU17:AX17)/AVERAGE(IPC_Trimestriel!AQ17:AT17)-1)</f>
        <v/>
      </c>
      <c r="AU17" s="31" t="str">
        <f>IF(OR(IPC_Trimestriel!AY17="",IPC_Trimestriel!AV17="",IPC_Trimestriel!AR17=""),"",AVERAGE(IPC_Trimestriel!AV17:AY17)/AVERAGE(IPC_Trimestriel!AR17:AU17)-1)</f>
        <v/>
      </c>
      <c r="AV17" s="31" t="str">
        <f>IF(OR(IPC_Trimestriel!AZ17="",IPC_Trimestriel!AW17="",IPC_Trimestriel!AS17=""),"",AVERAGE(IPC_Trimestriel!AW17:AZ17)/AVERAGE(IPC_Trimestriel!AS17:AV17)-1)</f>
        <v/>
      </c>
      <c r="AW17" s="31" t="str">
        <f>IF(OR(IPC_Trimestriel!BA17="",IPC_Trimestriel!AX17="",IPC_Trimestriel!AT17=""),"",AVERAGE(IPC_Trimestriel!AX17:BA17)/AVERAGE(IPC_Trimestriel!AT17:AW17)-1)</f>
        <v/>
      </c>
      <c r="AX17" s="31" t="str">
        <f>IF(OR(IPC_Trimestriel!BB17="",IPC_Trimestriel!AY17="",IPC_Trimestriel!AU17=""),"",AVERAGE(IPC_Trimestriel!AY17:BB17)/AVERAGE(IPC_Trimestriel!AU17:AX17)-1)</f>
        <v/>
      </c>
      <c r="AY17" s="31" t="str">
        <f>IF(OR(IPC_Trimestriel!BC17="",IPC_Trimestriel!AZ17="",IPC_Trimestriel!AV17=""),"",AVERAGE(IPC_Trimestriel!AZ17:BC17)/AVERAGE(IPC_Trimestriel!AV17:AY17)-1)</f>
        <v/>
      </c>
      <c r="AZ17" s="31" t="str">
        <f>IF(OR(IPC_Trimestriel!BD17="",IPC_Trimestriel!BA17="",IPC_Trimestriel!AW17=""),"",AVERAGE(IPC_Trimestriel!BA17:BD17)/AVERAGE(IPC_Trimestriel!AW17:AZ17)-1)</f>
        <v/>
      </c>
      <c r="BA17" s="31" t="str">
        <f>IF(OR(IPC_Trimestriel!BE17="",IPC_Trimestriel!BB17="",IPC_Trimestriel!AX17=""),"",AVERAGE(IPC_Trimestriel!BB17:BE17)/AVERAGE(IPC_Trimestriel!AX17:BA17)-1)</f>
        <v/>
      </c>
      <c r="BB17" s="31" t="str">
        <f>IF(OR(IPC_Trimestriel!BF17="",IPC_Trimestriel!BC17="",IPC_Trimestriel!AY17=""),"",AVERAGE(IPC_Trimestriel!BC17:BF17)/AVERAGE(IPC_Trimestriel!AY17:BB17)-1)</f>
        <v/>
      </c>
      <c r="BC17" s="31">
        <f>IF(OR(IPC_Trimestriel!BG17="",IPC_Trimestriel!BD17="",IPC_Trimestriel!AZ17=""),"",AVERAGE(IPC_Trimestriel!BD17:BG17)/AVERAGE(IPC_Trimestriel!AZ17:BC17)-1)</f>
        <v>1.891599066236016E-2</v>
      </c>
      <c r="BD17" s="31">
        <f>IF(OR(IPC_Trimestriel!BH17="",IPC_Trimestriel!BE17="",IPC_Trimestriel!BA17=""),"",AVERAGE(IPC_Trimestriel!BE17:BH17)/AVERAGE(IPC_Trimestriel!BA17:BD17)-1)</f>
        <v>2.1257629440204484E-2</v>
      </c>
      <c r="BE17" s="31">
        <f>IF(OR(IPC_Trimestriel!BI17="",IPC_Trimestriel!BF17="",IPC_Trimestriel!BB17=""),"",AVERAGE(IPC_Trimestriel!BF17:BI17)/AVERAGE(IPC_Trimestriel!BB17:BE17)-1)</f>
        <v>2.6579190448633883E-2</v>
      </c>
      <c r="BF17" s="31">
        <f>IF(OR(IPC_Trimestriel!BJ17="",IPC_Trimestriel!BG17="",IPC_Trimestriel!BC17=""),"",AVERAGE(IPC_Trimestriel!BG17:BJ17)/AVERAGE(IPC_Trimestriel!BC17:BF17)-1)</f>
        <v>3.0869719076893398E-2</v>
      </c>
      <c r="BG17" s="31">
        <f>IF(OR(IPC_Trimestriel!BK17="",IPC_Trimestriel!BH17="",IPC_Trimestriel!BD17=""),"",AVERAGE(IPC_Trimestriel!BH17:BK17)/AVERAGE(IPC_Trimestriel!BD17:BG17)-1)</f>
        <v>3.5534747112541787E-2</v>
      </c>
      <c r="BH17" s="31">
        <f>IF(OR(IPC_Trimestriel!BL17="",IPC_Trimestriel!BI17="",IPC_Trimestriel!BE17=""),"",AVERAGE(IPC_Trimestriel!BI17:BL17)/AVERAGE(IPC_Trimestriel!BE17:BH17)-1)</f>
        <v>4.2365015947458895E-2</v>
      </c>
      <c r="BI17" s="31">
        <f>IF(OR(IPC_Trimestriel!BM17="",IPC_Trimestriel!BJ17="",IPC_Trimestriel!BF17=""),"",AVERAGE(IPC_Trimestriel!BJ17:BM17)/AVERAGE(IPC_Trimestriel!BF17:BI17)-1)</f>
        <v>5.1987880432246003E-2</v>
      </c>
      <c r="BJ17" s="31">
        <f>IF(OR(IPC_Trimestriel!BN17="",IPC_Trimestriel!BK17="",IPC_Trimestriel!BG17=""),"",AVERAGE(IPC_Trimestriel!BK17:BN17)/AVERAGE(IPC_Trimestriel!BG17:BJ17)-1)</f>
        <v>5.5988459207502839E-2</v>
      </c>
      <c r="BK17" s="31">
        <f>IF(OR(IPC_Trimestriel!BO17="",IPC_Trimestriel!BL17="",IPC_Trimestriel!BH17=""),"",AVERAGE(IPC_Trimestriel!BL17:BO17)/AVERAGE(IPC_Trimestriel!BH17:BK17)-1)</f>
        <v>5.8524333812304707E-2</v>
      </c>
      <c r="BL17" s="31">
        <f>IF(OR(IPC_Trimestriel!BP17="",IPC_Trimestriel!BM17="",IPC_Trimestriel!BI17=""),"",AVERAGE(IPC_Trimestriel!BM17:BP17)/AVERAGE(IPC_Trimestriel!BI17:BL17)-1)</f>
        <v>5.892934017112017E-2</v>
      </c>
      <c r="BM17" s="31">
        <f>IF(OR(IPC_Trimestriel!BQ17="",IPC_Trimestriel!BN17="",IPC_Trimestriel!BJ17=""),"",AVERAGE(IPC_Trimestriel!BN17:BQ17)/AVERAGE(IPC_Trimestriel!BJ17:BM17)-1)</f>
        <v>4.9145399453076388E-2</v>
      </c>
      <c r="BN17" s="31">
        <f>IF(OR(IPC_Trimestriel!BR17="",IPC_Trimestriel!BO17="",IPC_Trimestriel!BK17=""),"",AVERAGE(IPC_Trimestriel!BO17:BR17)/AVERAGE(IPC_Trimestriel!BK17:BN17)-1)</f>
        <v>4.1199994992434652E-2</v>
      </c>
      <c r="BO17" s="31">
        <f>IF(OR(IPC_Trimestriel!BS17="",IPC_Trimestriel!BP17="",IPC_Trimestriel!BL17=""),"",AVERAGE(IPC_Trimestriel!BP17:BS17)/AVERAGE(IPC_Trimestriel!BL17:BO17)-1)</f>
        <v>3.4515034588974203E-2</v>
      </c>
      <c r="BP17" s="31">
        <f>IF(OR(IPC_Trimestriel!BT17="",IPC_Trimestriel!BQ17="",IPC_Trimestriel!BM17=""),"",AVERAGE(IPC_Trimestriel!BQ17:BT17)/AVERAGE(IPC_Trimestriel!BM17:BP17)-1)</f>
        <v>2.4373027192558849E-2</v>
      </c>
      <c r="BQ17" s="31">
        <f>IF(OR(IPC_Trimestriel!BU17="",IPC_Trimestriel!BR17="",IPC_Trimestriel!BN17=""),"",AVERAGE(IPC_Trimestriel!BR17:BU17)/AVERAGE(IPC_Trimestriel!BN17:BQ17)-1)</f>
        <v>1.9107481750401778E-2</v>
      </c>
      <c r="BR17" s="31">
        <f>IF(OR(IPC_Trimestriel!BV17="",IPC_Trimestriel!BS17="",IPC_Trimestriel!BO17=""),"",AVERAGE(IPC_Trimestriel!BS17:BV17)/AVERAGE(IPC_Trimestriel!BO17:BR17)-1)</f>
        <v>1.45562455561834E-2</v>
      </c>
      <c r="BS17" s="31">
        <f>IF(OR(IPC_Trimestriel!BW17="",IPC_Trimestriel!BT17="",IPC_Trimestriel!BP17=""),"",AVERAGE(IPC_Trimestriel!BT17:BW17)/AVERAGE(IPC_Trimestriel!BP17:BS17)-1)</f>
        <v>9.32642603142253E-3</v>
      </c>
      <c r="BT17" s="31">
        <f>IF(OR(IPC_Trimestriel!BX17="",IPC_Trimestriel!BU17="",IPC_Trimestriel!BQ17=""),"",AVERAGE(IPC_Trimestriel!BU17:BX17)/AVERAGE(IPC_Trimestriel!BQ17:BT17)-1)</f>
        <v>7.0593084254610972E-3</v>
      </c>
      <c r="BU17" s="31">
        <f>IF(OR(IPC_Trimestriel!BY17="",IPC_Trimestriel!BV17="",IPC_Trimestriel!BR17=""),"",AVERAGE(IPC_Trimestriel!BV17:BY17)/AVERAGE(IPC_Trimestriel!BR17:BU17)-1)</f>
        <v>6.0704774376456605E-3</v>
      </c>
      <c r="BV17" s="31">
        <f>IF(OR(IPC_Trimestriel!BZ17="",IPC_Trimestriel!BW17="",IPC_Trimestriel!BS17=""),"",AVERAGE(IPC_Trimestriel!BW17:BZ17)/AVERAGE(IPC_Trimestriel!BS17:BV17)-1)</f>
        <v>1.0143622777468053E-2</v>
      </c>
      <c r="BW17" s="31">
        <f>IF(OR(IPC_Trimestriel!CA17="",IPC_Trimestriel!BX17="",IPC_Trimestriel!BT17=""),"",AVERAGE(IPC_Trimestriel!BX17:CA17)/AVERAGE(IPC_Trimestriel!BT17:BW17)-1)</f>
        <v>1.7481759924707907E-2</v>
      </c>
      <c r="BX17" s="31">
        <f>IF(OR(IPC_Trimestriel!CB17="",IPC_Trimestriel!BY17="",IPC_Trimestriel!BU17=""),"",AVERAGE(IPC_Trimestriel!BY17:CB17)/AVERAGE(IPC_Trimestriel!BU17:BX17)-1)</f>
        <v>2.8602892554357107E-2</v>
      </c>
      <c r="BY17" s="31">
        <f>IF(OR(IPC_Trimestriel!CC17="",IPC_Trimestriel!BZ17="",IPC_Trimestriel!BV17=""),"",AVERAGE(IPC_Trimestriel!BZ17:CC17)/AVERAGE(IPC_Trimestriel!BV17:BY17)-1)</f>
        <v>4.4624486494867943E-2</v>
      </c>
      <c r="BZ17" s="31">
        <f>IF(OR(IPC_Trimestriel!CD17="",IPC_Trimestriel!CA17="",IPC_Trimestriel!BW17=""),"",AVERAGE(IPC_Trimestriel!CA17:CD17)/AVERAGE(IPC_Trimestriel!BW17:BZ17)-1)</f>
        <v>5.297530934986483E-2</v>
      </c>
      <c r="CA17" s="31">
        <f>IF(OR(IPC_Trimestriel!CE17="",IPC_Trimestriel!CB17="",IPC_Trimestriel!BX17=""),"",AVERAGE(IPC_Trimestriel!CB17:CE17)/AVERAGE(IPC_Trimestriel!BX17:CA17)-1)</f>
        <v>5.7345609358943506E-2</v>
      </c>
      <c r="CB17" s="31">
        <f>IF(OR(IPC_Trimestriel!CF17="",IPC_Trimestriel!CC17="",IPC_Trimestriel!BY17=""),"",AVERAGE(IPC_Trimestriel!CC17:CF17)/AVERAGE(IPC_Trimestriel!BY17:CB17)-1)</f>
        <v>5.3843189685416348E-2</v>
      </c>
      <c r="CC17" s="31">
        <f>IF(OR(IPC_Trimestriel!CG17="",IPC_Trimestriel!CD17="",IPC_Trimestriel!BZ17=""),"",AVERAGE(IPC_Trimestriel!CD17:CG17)/AVERAGE(IPC_Trimestriel!BZ17:CC17)-1)</f>
        <v>4.014714461565716E-2</v>
      </c>
      <c r="CD17" s="31">
        <f>IF(OR(IPC_Trimestriel!CH17="",IPC_Trimestriel!CE17="",IPC_Trimestriel!CA17=""),"",AVERAGE(IPC_Trimestriel!CE17:CH17)/AVERAGE(IPC_Trimestriel!CA17:CD17)-1)</f>
        <v>3.0902848147878359E-2</v>
      </c>
      <c r="CE17" s="31">
        <f>IF(OR(IPC_Trimestriel!CI17="",IPC_Trimestriel!CF17="",IPC_Trimestriel!CB17=""),"",AVERAGE(IPC_Trimestriel!CF17:CI17)/AVERAGE(IPC_Trimestriel!CB17:CE17)-1)</f>
        <v>2.2966197986407755E-2</v>
      </c>
      <c r="CF17" s="31">
        <f>IF(OR(IPC_Trimestriel!CJ17="",IPC_Trimestriel!CG17="",IPC_Trimestriel!CC17=""),"",AVERAGE(IPC_Trimestriel!CG17:CJ17)/AVERAGE(IPC_Trimestriel!CC17:CF17)-1)</f>
        <v>1.7670710312630566E-2</v>
      </c>
      <c r="CG17" s="31">
        <f>IF(OR(IPC_Trimestriel!CK17="",IPC_Trimestriel!CH17="",IPC_Trimestriel!CD17=""),"",AVERAGE(IPC_Trimestriel!CH17:CK17)/AVERAGE(IPC_Trimestriel!CD17:CG17)-1)</f>
        <v>1.7462783094968959E-2</v>
      </c>
      <c r="CH17" s="31">
        <f>IF(OR(IPC_Trimestriel!CL17="",IPC_Trimestriel!CI17="",IPC_Trimestriel!CE17=""),"",AVERAGE(IPC_Trimestriel!CI17:CL17)/AVERAGE(IPC_Trimestriel!CE17:CH17)-1)</f>
        <v>1.5531620928178169E-2</v>
      </c>
      <c r="CI17" s="31">
        <f>IF(OR(IPC_Trimestriel!CM17="",IPC_Trimestriel!CJ17="",IPC_Trimestriel!CF17=""),"",AVERAGE(IPC_Trimestriel!CJ17:CM17)/AVERAGE(IPC_Trimestriel!CF17:CI17)-1)</f>
        <v>1.5488679997436083E-2</v>
      </c>
      <c r="CJ17" s="31">
        <f>IF(OR(IPC_Trimestriel!CN17="",IPC_Trimestriel!CK17="",IPC_Trimestriel!CG17=""),"",AVERAGE(IPC_Trimestriel!CK17:CN17)/AVERAGE(IPC_Trimestriel!CG17:CJ17)-1)</f>
        <v>2.0405215884376826E-2</v>
      </c>
      <c r="CK17" s="31">
        <f>IF(OR(IPC_Trimestriel!CO17="",IPC_Trimestriel!CL17="",IPC_Trimestriel!CH17=""),"",AVERAGE(IPC_Trimestriel!CL17:CO17)/AVERAGE(IPC_Trimestriel!CH17:CK17)-1)</f>
        <v>3.0965948442626789E-2</v>
      </c>
      <c r="CL17" s="31">
        <f>IF(OR(IPC_Trimestriel!CP17="",IPC_Trimestriel!CM17="",IPC_Trimestriel!CI17=""),"",AVERAGE(IPC_Trimestriel!CM17:CP17)/AVERAGE(IPC_Trimestriel!CI17:CL17)-1)</f>
        <v>4.7664072727897189E-2</v>
      </c>
      <c r="CM17" s="31">
        <f>IF(OR(IPC_Trimestriel!CQ17="",IPC_Trimestriel!CN17="",IPC_Trimestriel!CJ17=""),"",AVERAGE(IPC_Trimestriel!CN17:CQ17)/AVERAGE(IPC_Trimestriel!CJ17:CM17)-1)</f>
        <v>6.3213628783841846E-2</v>
      </c>
      <c r="CN17" s="31">
        <f>IF(OR(IPC_Trimestriel!CR17="",IPC_Trimestriel!CO17="",IPC_Trimestriel!CK17=""),"",AVERAGE(IPC_Trimestriel!CO17:CR17)/AVERAGE(IPC_Trimestriel!CK17:CN17)-1)</f>
        <v>7.3350643652482894E-2</v>
      </c>
      <c r="CO17" s="31">
        <f>IF(OR(IPC_Trimestriel!CS17="",IPC_Trimestriel!CP17="",IPC_Trimestriel!CL17=""),"",AVERAGE(IPC_Trimestriel!CP17:CS17)/AVERAGE(IPC_Trimestriel!CL17:CO17)-1)</f>
        <v>7.2891669496510714E-2</v>
      </c>
      <c r="CP17" s="31">
        <f>IF(OR(IPC_Trimestriel!CT17="",IPC_Trimestriel!CQ17="",IPC_Trimestriel!CM17=""),"",AVERAGE(IPC_Trimestriel!CQ17:CT17)/AVERAGE(IPC_Trimestriel!CM17:CP17)-1)</f>
        <v>6.2321234224915756E-2</v>
      </c>
    </row>
    <row r="18" spans="1:94" s="1" customFormat="1" ht="10.199999999999999" x14ac:dyDescent="0.2">
      <c r="A18" s="11">
        <v>12</v>
      </c>
      <c r="B18" s="1" t="s">
        <v>29</v>
      </c>
      <c r="C18" s="5"/>
      <c r="D18" s="31"/>
      <c r="E18" s="31"/>
      <c r="F18" s="31"/>
      <c r="G18" s="31" t="str">
        <f>IF(OR(IPC_Trimestriel!K18="",IPC_Trimestriel!H18="",IPC_Trimestriel!D18=""),"",AVERAGE(IPC_Trimestriel!H18:K18)/AVERAGE(IPC_Trimestriel!D18:G18)-1)</f>
        <v/>
      </c>
      <c r="H18" s="31" t="str">
        <f>IF(OR(IPC_Trimestriel!L18="",IPC_Trimestriel!I18="",IPC_Trimestriel!E18=""),"",AVERAGE(IPC_Trimestriel!I18:L18)/AVERAGE(IPC_Trimestriel!E18:H18)-1)</f>
        <v/>
      </c>
      <c r="I18" s="31" t="str">
        <f>IF(OR(IPC_Trimestriel!M18="",IPC_Trimestriel!J18="",IPC_Trimestriel!F18=""),"",AVERAGE(IPC_Trimestriel!J18:M18)/AVERAGE(IPC_Trimestriel!F18:I18)-1)</f>
        <v/>
      </c>
      <c r="J18" s="31" t="str">
        <f>IF(OR(IPC_Trimestriel!N18="",IPC_Trimestriel!K18="",IPC_Trimestriel!G18=""),"",AVERAGE(IPC_Trimestriel!K18:N18)/AVERAGE(IPC_Trimestriel!G18:J18)-1)</f>
        <v/>
      </c>
      <c r="K18" s="31" t="str">
        <f>IF(OR(IPC_Trimestriel!O18="",IPC_Trimestriel!L18="",IPC_Trimestriel!H18=""),"",AVERAGE(IPC_Trimestriel!L18:O18)/AVERAGE(IPC_Trimestriel!H18:K18)-1)</f>
        <v/>
      </c>
      <c r="L18" s="31" t="str">
        <f>IF(OR(IPC_Trimestriel!P18="",IPC_Trimestriel!M18="",IPC_Trimestriel!I18=""),"",AVERAGE(IPC_Trimestriel!M18:P18)/AVERAGE(IPC_Trimestriel!I18:L18)-1)</f>
        <v/>
      </c>
      <c r="M18" s="31" t="str">
        <f>IF(OR(IPC_Trimestriel!Q18="",IPC_Trimestriel!N18="",IPC_Trimestriel!J18=""),"",AVERAGE(IPC_Trimestriel!N18:Q18)/AVERAGE(IPC_Trimestriel!J18:M18)-1)</f>
        <v/>
      </c>
      <c r="N18" s="31" t="str">
        <f>IF(OR(IPC_Trimestriel!R18="",IPC_Trimestriel!O18="",IPC_Trimestriel!K18=""),"",AVERAGE(IPC_Trimestriel!O18:R18)/AVERAGE(IPC_Trimestriel!K18:N18)-1)</f>
        <v/>
      </c>
      <c r="O18" s="31" t="str">
        <f>IF(OR(IPC_Trimestriel!S18="",IPC_Trimestriel!P18="",IPC_Trimestriel!L18=""),"",AVERAGE(IPC_Trimestriel!P18:S18)/AVERAGE(IPC_Trimestriel!L18:O18)-1)</f>
        <v/>
      </c>
      <c r="P18" s="31" t="str">
        <f>IF(OR(IPC_Trimestriel!T18="",IPC_Trimestriel!Q18="",IPC_Trimestriel!M18=""),"",AVERAGE(IPC_Trimestriel!Q18:T18)/AVERAGE(IPC_Trimestriel!M18:P18)-1)</f>
        <v/>
      </c>
      <c r="Q18" s="31" t="str">
        <f>IF(OR(IPC_Trimestriel!U18="",IPC_Trimestriel!R18="",IPC_Trimestriel!N18=""),"",AVERAGE(IPC_Trimestriel!R18:U18)/AVERAGE(IPC_Trimestriel!N18:Q18)-1)</f>
        <v/>
      </c>
      <c r="R18" s="31" t="str">
        <f>IF(OR(IPC_Trimestriel!V18="",IPC_Trimestriel!S18="",IPC_Trimestriel!O18=""),"",AVERAGE(IPC_Trimestriel!S18:V18)/AVERAGE(IPC_Trimestriel!O18:R18)-1)</f>
        <v/>
      </c>
      <c r="S18" s="31" t="str">
        <f>IF(OR(IPC_Trimestriel!W18="",IPC_Trimestriel!T18="",IPC_Trimestriel!P18=""),"",AVERAGE(IPC_Trimestriel!T18:W18)/AVERAGE(IPC_Trimestriel!P18:S18)-1)</f>
        <v/>
      </c>
      <c r="T18" s="31" t="str">
        <f>IF(OR(IPC_Trimestriel!X18="",IPC_Trimestriel!U18="",IPC_Trimestriel!Q18=""),"",AVERAGE(IPC_Trimestriel!U18:X18)/AVERAGE(IPC_Trimestriel!Q18:T18)-1)</f>
        <v/>
      </c>
      <c r="U18" s="31" t="str">
        <f>IF(OR(IPC_Trimestriel!Y18="",IPC_Trimestriel!V18="",IPC_Trimestriel!R18=""),"",AVERAGE(IPC_Trimestriel!V18:Y18)/AVERAGE(IPC_Trimestriel!R18:U18)-1)</f>
        <v/>
      </c>
      <c r="V18" s="31" t="str">
        <f>IF(OR(IPC_Trimestriel!Z18="",IPC_Trimestriel!W18="",IPC_Trimestriel!S18=""),"",AVERAGE(IPC_Trimestriel!W18:Z18)/AVERAGE(IPC_Trimestriel!S18:V18)-1)</f>
        <v/>
      </c>
      <c r="W18" s="31" t="str">
        <f>IF(OR(IPC_Trimestriel!AA18="",IPC_Trimestriel!X18="",IPC_Trimestriel!T18=""),"",AVERAGE(IPC_Trimestriel!X18:AA18)/AVERAGE(IPC_Trimestriel!T18:W18)-1)</f>
        <v/>
      </c>
      <c r="X18" s="31" t="str">
        <f>IF(OR(IPC_Trimestriel!AB18="",IPC_Trimestriel!Y18="",IPC_Trimestriel!U18=""),"",AVERAGE(IPC_Trimestriel!Y18:AB18)/AVERAGE(IPC_Trimestriel!U18:X18)-1)</f>
        <v/>
      </c>
      <c r="Y18" s="31" t="str">
        <f>IF(OR(IPC_Trimestriel!AC18="",IPC_Trimestriel!Z18="",IPC_Trimestriel!V18=""),"",AVERAGE(IPC_Trimestriel!Z18:AC18)/AVERAGE(IPC_Trimestriel!V18:Y18)-1)</f>
        <v/>
      </c>
      <c r="Z18" s="31" t="str">
        <f>IF(OR(IPC_Trimestriel!AD18="",IPC_Trimestriel!AA18="",IPC_Trimestriel!W18=""),"",AVERAGE(IPC_Trimestriel!AA18:AD18)/AVERAGE(IPC_Trimestriel!W18:Z18)-1)</f>
        <v/>
      </c>
      <c r="AA18" s="31" t="str">
        <f>IF(OR(IPC_Trimestriel!AE18="",IPC_Trimestriel!AB18="",IPC_Trimestriel!X18=""),"",AVERAGE(IPC_Trimestriel!AB18:AE18)/AVERAGE(IPC_Trimestriel!X18:AA18)-1)</f>
        <v/>
      </c>
      <c r="AB18" s="31" t="str">
        <f>IF(OR(IPC_Trimestriel!AF18="",IPC_Trimestriel!AC18="",IPC_Trimestriel!Y18=""),"",AVERAGE(IPC_Trimestriel!AC18:AF18)/AVERAGE(IPC_Trimestriel!Y18:AB18)-1)</f>
        <v/>
      </c>
      <c r="AC18" s="31" t="str">
        <f>IF(OR(IPC_Trimestriel!AG18="",IPC_Trimestriel!AD18="",IPC_Trimestriel!Z18=""),"",AVERAGE(IPC_Trimestriel!AD18:AG18)/AVERAGE(IPC_Trimestriel!Z18:AC18)-1)</f>
        <v/>
      </c>
      <c r="AD18" s="31" t="str">
        <f>IF(OR(IPC_Trimestriel!AH18="",IPC_Trimestriel!AE18="",IPC_Trimestriel!AA18=""),"",AVERAGE(IPC_Trimestriel!AE18:AH18)/AVERAGE(IPC_Trimestriel!AA18:AD18)-1)</f>
        <v/>
      </c>
      <c r="AE18" s="31" t="str">
        <f>IF(OR(IPC_Trimestriel!AI18="",IPC_Trimestriel!AF18="",IPC_Trimestriel!AB18=""),"",AVERAGE(IPC_Trimestriel!AF18:AI18)/AVERAGE(IPC_Trimestriel!AB18:AE18)-1)</f>
        <v/>
      </c>
      <c r="AF18" s="31" t="str">
        <f>IF(OR(IPC_Trimestriel!AJ18="",IPC_Trimestriel!AG18="",IPC_Trimestriel!AC18=""),"",AVERAGE(IPC_Trimestriel!AG18:AJ18)/AVERAGE(IPC_Trimestriel!AC18:AF18)-1)</f>
        <v/>
      </c>
      <c r="AG18" s="31" t="str">
        <f>IF(OR(IPC_Trimestriel!AK18="",IPC_Trimestriel!AH18="",IPC_Trimestriel!AD18=""),"",AVERAGE(IPC_Trimestriel!AH18:AK18)/AVERAGE(IPC_Trimestriel!AD18:AG18)-1)</f>
        <v/>
      </c>
      <c r="AH18" s="31" t="str">
        <f>IF(OR(IPC_Trimestriel!AL18="",IPC_Trimestriel!AI18="",IPC_Trimestriel!AE18=""),"",AVERAGE(IPC_Trimestriel!AI18:AL18)/AVERAGE(IPC_Trimestriel!AE18:AH18)-1)</f>
        <v/>
      </c>
      <c r="AI18" s="31" t="str">
        <f>IF(OR(IPC_Trimestriel!AM18="",IPC_Trimestriel!AJ18="",IPC_Trimestriel!AF18=""),"",AVERAGE(IPC_Trimestriel!AJ18:AM18)/AVERAGE(IPC_Trimestriel!AF18:AI18)-1)</f>
        <v/>
      </c>
      <c r="AJ18" s="31" t="str">
        <f>IF(OR(IPC_Trimestriel!AN18="",IPC_Trimestriel!AK18="",IPC_Trimestriel!AG18=""),"",AVERAGE(IPC_Trimestriel!AK18:AN18)/AVERAGE(IPC_Trimestriel!AG18:AJ18)-1)</f>
        <v/>
      </c>
      <c r="AK18" s="31" t="str">
        <f>IF(OR(IPC_Trimestriel!AO18="",IPC_Trimestriel!AL18="",IPC_Trimestriel!AH18=""),"",AVERAGE(IPC_Trimestriel!AL18:AO18)/AVERAGE(IPC_Trimestriel!AH18:AK18)-1)</f>
        <v/>
      </c>
      <c r="AL18" s="31" t="str">
        <f>IF(OR(IPC_Trimestriel!AP18="",IPC_Trimestriel!AM18="",IPC_Trimestriel!AI18=""),"",AVERAGE(IPC_Trimestriel!AM18:AP18)/AVERAGE(IPC_Trimestriel!AI18:AL18)-1)</f>
        <v/>
      </c>
      <c r="AM18" s="31" t="str">
        <f>IF(OR(IPC_Trimestriel!AQ18="",IPC_Trimestriel!AN18="",IPC_Trimestriel!AJ18=""),"",AVERAGE(IPC_Trimestriel!AN18:AQ18)/AVERAGE(IPC_Trimestriel!AJ18:AM18)-1)</f>
        <v/>
      </c>
      <c r="AN18" s="31" t="str">
        <f>IF(OR(IPC_Trimestriel!AR18="",IPC_Trimestriel!AO18="",IPC_Trimestriel!AK18=""),"",AVERAGE(IPC_Trimestriel!AO18:AR18)/AVERAGE(IPC_Trimestriel!AK18:AN18)-1)</f>
        <v/>
      </c>
      <c r="AO18" s="31" t="str">
        <f>IF(OR(IPC_Trimestriel!AS18="",IPC_Trimestriel!AP18="",IPC_Trimestriel!AL18=""),"",AVERAGE(IPC_Trimestriel!AP18:AS18)/AVERAGE(IPC_Trimestriel!AL18:AO18)-1)</f>
        <v/>
      </c>
      <c r="AP18" s="31" t="str">
        <f>IF(OR(IPC_Trimestriel!AT18="",IPC_Trimestriel!AQ18="",IPC_Trimestriel!AM18=""),"",AVERAGE(IPC_Trimestriel!AQ18:AT18)/AVERAGE(IPC_Trimestriel!AM18:AP18)-1)</f>
        <v/>
      </c>
      <c r="AQ18" s="31" t="str">
        <f>IF(OR(IPC_Trimestriel!AU18="",IPC_Trimestriel!AR18="",IPC_Trimestriel!AN18=""),"",AVERAGE(IPC_Trimestriel!AR18:AU18)/AVERAGE(IPC_Trimestriel!AN18:AQ18)-1)</f>
        <v/>
      </c>
      <c r="AR18" s="31" t="str">
        <f>IF(OR(IPC_Trimestriel!AV18="",IPC_Trimestriel!AS18="",IPC_Trimestriel!AO18=""),"",AVERAGE(IPC_Trimestriel!AS18:AV18)/AVERAGE(IPC_Trimestriel!AO18:AR18)-1)</f>
        <v/>
      </c>
      <c r="AS18" s="31" t="str">
        <f>IF(OR(IPC_Trimestriel!AW18="",IPC_Trimestriel!AT18="",IPC_Trimestriel!AP18=""),"",AVERAGE(IPC_Trimestriel!AT18:AW18)/AVERAGE(IPC_Trimestriel!AP18:AS18)-1)</f>
        <v/>
      </c>
      <c r="AT18" s="31" t="str">
        <f>IF(OR(IPC_Trimestriel!AX18="",IPC_Trimestriel!AU18="",IPC_Trimestriel!AQ18=""),"",AVERAGE(IPC_Trimestriel!AU18:AX18)/AVERAGE(IPC_Trimestriel!AQ18:AT18)-1)</f>
        <v/>
      </c>
      <c r="AU18" s="31" t="str">
        <f>IF(OR(IPC_Trimestriel!AY18="",IPC_Trimestriel!AV18="",IPC_Trimestriel!AR18=""),"",AVERAGE(IPC_Trimestriel!AV18:AY18)/AVERAGE(IPC_Trimestriel!AR18:AU18)-1)</f>
        <v/>
      </c>
      <c r="AV18" s="31" t="str">
        <f>IF(OR(IPC_Trimestriel!AZ18="",IPC_Trimestriel!AW18="",IPC_Trimestriel!AS18=""),"",AVERAGE(IPC_Trimestriel!AW18:AZ18)/AVERAGE(IPC_Trimestriel!AS18:AV18)-1)</f>
        <v/>
      </c>
      <c r="AW18" s="31" t="str">
        <f>IF(OR(IPC_Trimestriel!BA18="",IPC_Trimestriel!AX18="",IPC_Trimestriel!AT18=""),"",AVERAGE(IPC_Trimestriel!AX18:BA18)/AVERAGE(IPC_Trimestriel!AT18:AW18)-1)</f>
        <v/>
      </c>
      <c r="AX18" s="31" t="str">
        <f>IF(OR(IPC_Trimestriel!BB18="",IPC_Trimestriel!AY18="",IPC_Trimestriel!AU18=""),"",AVERAGE(IPC_Trimestriel!AY18:BB18)/AVERAGE(IPC_Trimestriel!AU18:AX18)-1)</f>
        <v/>
      </c>
      <c r="AY18" s="31" t="str">
        <f>IF(OR(IPC_Trimestriel!BC18="",IPC_Trimestriel!AZ18="",IPC_Trimestriel!AV18=""),"",AVERAGE(IPC_Trimestriel!AZ18:BC18)/AVERAGE(IPC_Trimestriel!AV18:AY18)-1)</f>
        <v/>
      </c>
      <c r="AZ18" s="31" t="str">
        <f>IF(OR(IPC_Trimestriel!BD18="",IPC_Trimestriel!BA18="",IPC_Trimestriel!AW18=""),"",AVERAGE(IPC_Trimestriel!BA18:BD18)/AVERAGE(IPC_Trimestriel!AW18:AZ18)-1)</f>
        <v/>
      </c>
      <c r="BA18" s="31" t="str">
        <f>IF(OR(IPC_Trimestriel!BE18="",IPC_Trimestriel!BB18="",IPC_Trimestriel!AX18=""),"",AVERAGE(IPC_Trimestriel!BB18:BE18)/AVERAGE(IPC_Trimestriel!AX18:BA18)-1)</f>
        <v/>
      </c>
      <c r="BB18" s="31" t="str">
        <f>IF(OR(IPC_Trimestriel!BF18="",IPC_Trimestriel!BC18="",IPC_Trimestriel!AY18=""),"",AVERAGE(IPC_Trimestriel!BC18:BF18)/AVERAGE(IPC_Trimestriel!AY18:BB18)-1)</f>
        <v/>
      </c>
      <c r="BC18" s="31">
        <f>IF(OR(IPC_Trimestriel!BG18="",IPC_Trimestriel!BD18="",IPC_Trimestriel!AZ18=""),"",AVERAGE(IPC_Trimestriel!BD18:BG18)/AVERAGE(IPC_Trimestriel!AZ18:BC18)-1)</f>
        <v>1.4093212692722012E-2</v>
      </c>
      <c r="BD18" s="31">
        <f>IF(OR(IPC_Trimestriel!BH18="",IPC_Trimestriel!BE18="",IPC_Trimestriel!BA18=""),"",AVERAGE(IPC_Trimestriel!BE18:BH18)/AVERAGE(IPC_Trimestriel!BA18:BD18)-1)</f>
        <v>1.1279885236049836E-2</v>
      </c>
      <c r="BE18" s="31">
        <f>IF(OR(IPC_Trimestriel!BI18="",IPC_Trimestriel!BF18="",IPC_Trimestriel!BB18=""),"",AVERAGE(IPC_Trimestriel!BF18:BI18)/AVERAGE(IPC_Trimestriel!BB18:BE18)-1)</f>
        <v>9.4711771026219083E-3</v>
      </c>
      <c r="BF18" s="31">
        <f>IF(OR(IPC_Trimestriel!BJ18="",IPC_Trimestriel!BG18="",IPC_Trimestriel!BC18=""),"",AVERAGE(IPC_Trimestriel!BG18:BJ18)/AVERAGE(IPC_Trimestriel!BC18:BF18)-1)</f>
        <v>7.9747582466307421E-3</v>
      </c>
      <c r="BG18" s="31">
        <f>IF(OR(IPC_Trimestriel!BK18="",IPC_Trimestriel!BH18="",IPC_Trimestriel!BD18=""),"",AVERAGE(IPC_Trimestriel!BH18:BK18)/AVERAGE(IPC_Trimestriel!BD18:BG18)-1)</f>
        <v>9.1758724109860523E-3</v>
      </c>
      <c r="BH18" s="31">
        <f>IF(OR(IPC_Trimestriel!BL18="",IPC_Trimestriel!BI18="",IPC_Trimestriel!BE18=""),"",AVERAGE(IPC_Trimestriel!BI18:BL18)/AVERAGE(IPC_Trimestriel!BE18:BH18)-1)</f>
        <v>1.3448366342427853E-2</v>
      </c>
      <c r="BI18" s="31">
        <f>IF(OR(IPC_Trimestriel!BM18="",IPC_Trimestriel!BJ18="",IPC_Trimestriel!BF18=""),"",AVERAGE(IPC_Trimestriel!BJ18:BM18)/AVERAGE(IPC_Trimestriel!BF18:BI18)-1)</f>
        <v>1.8031139693263976E-2</v>
      </c>
      <c r="BJ18" s="31">
        <f>IF(OR(IPC_Trimestriel!BN18="",IPC_Trimestriel!BK18="",IPC_Trimestriel!BG18=""),"",AVERAGE(IPC_Trimestriel!BK18:BN18)/AVERAGE(IPC_Trimestriel!BG18:BJ18)-1)</f>
        <v>2.2705351853710143E-2</v>
      </c>
      <c r="BK18" s="31">
        <f>IF(OR(IPC_Trimestriel!BO18="",IPC_Trimestriel!BL18="",IPC_Trimestriel!BH18=""),"",AVERAGE(IPC_Trimestriel!BL18:BO18)/AVERAGE(IPC_Trimestriel!BH18:BK18)-1)</f>
        <v>2.6643572508171065E-2</v>
      </c>
      <c r="BL18" s="31">
        <f>IF(OR(IPC_Trimestriel!BP18="",IPC_Trimestriel!BM18="",IPC_Trimestriel!BI18=""),"",AVERAGE(IPC_Trimestriel!BM18:BP18)/AVERAGE(IPC_Trimestriel!BI18:BL18)-1)</f>
        <v>2.5530092287484596E-2</v>
      </c>
      <c r="BM18" s="31">
        <f>IF(OR(IPC_Trimestriel!BQ18="",IPC_Trimestriel!BN18="",IPC_Trimestriel!BJ18=""),"",AVERAGE(IPC_Trimestriel!BN18:BQ18)/AVERAGE(IPC_Trimestriel!BJ18:BM18)-1)</f>
        <v>2.3260792010203923E-2</v>
      </c>
      <c r="BN18" s="31">
        <f>IF(OR(IPC_Trimestriel!BR18="",IPC_Trimestriel!BO18="",IPC_Trimestriel!BK18=""),"",AVERAGE(IPC_Trimestriel!BO18:BR18)/AVERAGE(IPC_Trimestriel!BK18:BN18)-1)</f>
        <v>2.1532100349495487E-2</v>
      </c>
      <c r="BO18" s="31">
        <f>IF(OR(IPC_Trimestriel!BS18="",IPC_Trimestriel!BP18="",IPC_Trimestriel!BL18=""),"",AVERAGE(IPC_Trimestriel!BP18:BS18)/AVERAGE(IPC_Trimestriel!BL18:BO18)-1)</f>
        <v>1.7669960411690111E-2</v>
      </c>
      <c r="BP18" s="31">
        <f>IF(OR(IPC_Trimestriel!BT18="",IPC_Trimestriel!BQ18="",IPC_Trimestriel!BM18=""),"",AVERAGE(IPC_Trimestriel!BQ18:BT18)/AVERAGE(IPC_Trimestriel!BM18:BP18)-1)</f>
        <v>1.7240450557429066E-2</v>
      </c>
      <c r="BQ18" s="31">
        <f>IF(OR(IPC_Trimestriel!BU18="",IPC_Trimestriel!BR18="",IPC_Trimestriel!BN18=""),"",AVERAGE(IPC_Trimestriel!BR18:BU18)/AVERAGE(IPC_Trimestriel!BN18:BQ18)-1)</f>
        <v>1.7979653411392738E-2</v>
      </c>
      <c r="BR18" s="31">
        <f>IF(OR(IPC_Trimestriel!BV18="",IPC_Trimestriel!BS18="",IPC_Trimestriel!BO18=""),"",AVERAGE(IPC_Trimestriel!BS18:BV18)/AVERAGE(IPC_Trimestriel!BO18:BR18)-1)</f>
        <v>1.8150918281805817E-2</v>
      </c>
      <c r="BS18" s="31">
        <f>IF(OR(IPC_Trimestriel!BW18="",IPC_Trimestriel!BT18="",IPC_Trimestriel!BP18=""),"",AVERAGE(IPC_Trimestriel!BT18:BW18)/AVERAGE(IPC_Trimestriel!BP18:BS18)-1)</f>
        <v>1.8782776066244233E-2</v>
      </c>
      <c r="BT18" s="31">
        <f>IF(OR(IPC_Trimestriel!BX18="",IPC_Trimestriel!BU18="",IPC_Trimestriel!BQ18=""),"",AVERAGE(IPC_Trimestriel!BU18:BX18)/AVERAGE(IPC_Trimestriel!BQ18:BT18)-1)</f>
        <v>1.7922477999240627E-2</v>
      </c>
      <c r="BU18" s="31">
        <f>IF(OR(IPC_Trimestriel!BY18="",IPC_Trimestriel!BV18="",IPC_Trimestriel!BR18=""),"",AVERAGE(IPC_Trimestriel!BV18:BY18)/AVERAGE(IPC_Trimestriel!BR18:BU18)-1)</f>
        <v>1.6237089120850534E-2</v>
      </c>
      <c r="BV18" s="31">
        <f>IF(OR(IPC_Trimestriel!BZ18="",IPC_Trimestriel!BW18="",IPC_Trimestriel!BS18=""),"",AVERAGE(IPC_Trimestriel!BW18:BZ18)/AVERAGE(IPC_Trimestriel!BS18:BV18)-1)</f>
        <v>1.4627632608649854E-2</v>
      </c>
      <c r="BW18" s="31">
        <f>IF(OR(IPC_Trimestriel!CA18="",IPC_Trimestriel!BX18="",IPC_Trimestriel!BT18=""),"",AVERAGE(IPC_Trimestriel!BX18:CA18)/AVERAGE(IPC_Trimestriel!BT18:BW18)-1)</f>
        <v>1.5056120755233326E-2</v>
      </c>
      <c r="BX18" s="31">
        <f>IF(OR(IPC_Trimestriel!CB18="",IPC_Trimestriel!BY18="",IPC_Trimestriel!BU18=""),"",AVERAGE(IPC_Trimestriel!BY18:CB18)/AVERAGE(IPC_Trimestriel!BU18:BX18)-1)</f>
        <v>1.7851645339376887E-2</v>
      </c>
      <c r="BY18" s="31">
        <f>IF(OR(IPC_Trimestriel!CC18="",IPC_Trimestriel!BZ18="",IPC_Trimestriel!BV18=""),"",AVERAGE(IPC_Trimestriel!BZ18:CC18)/AVERAGE(IPC_Trimestriel!BV18:BY18)-1)</f>
        <v>2.1627190984008671E-2</v>
      </c>
      <c r="BZ18" s="31">
        <f>IF(OR(IPC_Trimestriel!CD18="",IPC_Trimestriel!CA18="",IPC_Trimestriel!BW18=""),"",AVERAGE(IPC_Trimestriel!CA18:CD18)/AVERAGE(IPC_Trimestriel!BW18:BZ18)-1)</f>
        <v>2.4590789417797243E-2</v>
      </c>
      <c r="CA18" s="31">
        <f>IF(OR(IPC_Trimestriel!CE18="",IPC_Trimestriel!CB18="",IPC_Trimestriel!BX18=""),"",AVERAGE(IPC_Trimestriel!CB18:CE18)/AVERAGE(IPC_Trimestriel!BX18:CA18)-1)</f>
        <v>2.5517326086221148E-2</v>
      </c>
      <c r="CB18" s="31">
        <f>IF(OR(IPC_Trimestriel!CF18="",IPC_Trimestriel!CC18="",IPC_Trimestriel!BY18=""),"",AVERAGE(IPC_Trimestriel!CC18:CF18)/AVERAGE(IPC_Trimestriel!BY18:CB18)-1)</f>
        <v>2.3132239395236898E-2</v>
      </c>
      <c r="CC18" s="31">
        <f>IF(OR(IPC_Trimestriel!CG18="",IPC_Trimestriel!CD18="",IPC_Trimestriel!BZ18=""),"",AVERAGE(IPC_Trimestriel!CD18:CG18)/AVERAGE(IPC_Trimestriel!BZ18:CC18)-1)</f>
        <v>1.9058530187436196E-2</v>
      </c>
      <c r="CD18" s="31">
        <f>IF(OR(IPC_Trimestriel!CH18="",IPC_Trimestriel!CE18="",IPC_Trimestriel!CA18=""),"",AVERAGE(IPC_Trimestriel!CE18:CH18)/AVERAGE(IPC_Trimestriel!CA18:CD18)-1)</f>
        <v>1.5653265884797429E-2</v>
      </c>
      <c r="CE18" s="31">
        <f>IF(OR(IPC_Trimestriel!CI18="",IPC_Trimestriel!CF18="",IPC_Trimestriel!CB18=""),"",AVERAGE(IPC_Trimestriel!CF18:CI18)/AVERAGE(IPC_Trimestriel!CB18:CE18)-1)</f>
        <v>1.3432127208819811E-2</v>
      </c>
      <c r="CF18" s="31">
        <f>IF(OR(IPC_Trimestriel!CJ18="",IPC_Trimestriel!CG18="",IPC_Trimestriel!CC18=""),"",AVERAGE(IPC_Trimestriel!CG18:CJ18)/AVERAGE(IPC_Trimestriel!CC18:CF18)-1)</f>
        <v>1.2768401800151041E-2</v>
      </c>
      <c r="CG18" s="31">
        <f>IF(OR(IPC_Trimestriel!CK18="",IPC_Trimestriel!CH18="",IPC_Trimestriel!CD18=""),"",AVERAGE(IPC_Trimestriel!CH18:CK18)/AVERAGE(IPC_Trimestriel!CD18:CG18)-1)</f>
        <v>1.256772396312722E-2</v>
      </c>
      <c r="CH18" s="31">
        <f>IF(OR(IPC_Trimestriel!CL18="",IPC_Trimestriel!CI18="",IPC_Trimestriel!CE18=""),"",AVERAGE(IPC_Trimestriel!CI18:CL18)/AVERAGE(IPC_Trimestriel!CE18:CH18)-1)</f>
        <v>1.1881661464481663E-2</v>
      </c>
      <c r="CI18" s="31">
        <f>IF(OR(IPC_Trimestriel!CM18="",IPC_Trimestriel!CJ18="",IPC_Trimestriel!CF18=""),"",AVERAGE(IPC_Trimestriel!CJ18:CM18)/AVERAGE(IPC_Trimestriel!CF18:CI18)-1)</f>
        <v>1.0775043209868107E-2</v>
      </c>
      <c r="CJ18" s="31">
        <f>IF(OR(IPC_Trimestriel!CN18="",IPC_Trimestriel!CK18="",IPC_Trimestriel!CG18=""),"",AVERAGE(IPC_Trimestriel!CK18:CN18)/AVERAGE(IPC_Trimestriel!CG18:CJ18)-1)</f>
        <v>1.1805083532426375E-2</v>
      </c>
      <c r="CK18" s="31">
        <f>IF(OR(IPC_Trimestriel!CO18="",IPC_Trimestriel!CL18="",IPC_Trimestriel!CH18=""),"",AVERAGE(IPC_Trimestriel!CL18:CO18)/AVERAGE(IPC_Trimestriel!CH18:CK18)-1)</f>
        <v>1.7247678764435115E-2</v>
      </c>
      <c r="CL18" s="31">
        <f>IF(OR(IPC_Trimestriel!CP18="",IPC_Trimestriel!CM18="",IPC_Trimestriel!CI18=""),"",AVERAGE(IPC_Trimestriel!CM18:CP18)/AVERAGE(IPC_Trimestriel!CI18:CL18)-1)</f>
        <v>2.7162979896051098E-2</v>
      </c>
      <c r="CM18" s="31">
        <f>IF(OR(IPC_Trimestriel!CQ18="",IPC_Trimestriel!CN18="",IPC_Trimestriel!CJ18=""),"",AVERAGE(IPC_Trimestriel!CN18:CQ18)/AVERAGE(IPC_Trimestriel!CJ18:CM18)-1)</f>
        <v>4.0229557581393127E-2</v>
      </c>
      <c r="CN18" s="31">
        <f>IF(OR(IPC_Trimestriel!CR18="",IPC_Trimestriel!CO18="",IPC_Trimestriel!CK18=""),"",AVERAGE(IPC_Trimestriel!CO18:CR18)/AVERAGE(IPC_Trimestriel!CK18:CN18)-1)</f>
        <v>5.2632839404344711E-2</v>
      </c>
      <c r="CO18" s="31">
        <f>IF(OR(IPC_Trimestriel!CS18="",IPC_Trimestriel!CP18="",IPC_Trimestriel!CL18=""),"",AVERAGE(IPC_Trimestriel!CP18:CS18)/AVERAGE(IPC_Trimestriel!CL18:CO18)-1)</f>
        <v>5.9514308502635505E-2</v>
      </c>
      <c r="CP18" s="31">
        <f>IF(OR(IPC_Trimestriel!CT18="",IPC_Trimestriel!CQ18="",IPC_Trimestriel!CM18=""),"",AVERAGE(IPC_Trimestriel!CQ18:CT18)/AVERAGE(IPC_Trimestriel!CM18:CP18)-1)</f>
        <v>5.88018140847828E-2</v>
      </c>
    </row>
    <row r="19" spans="1:94" s="85" customFormat="1" ht="10.199999999999999" x14ac:dyDescent="0.2">
      <c r="B19" s="86" t="s">
        <v>233</v>
      </c>
      <c r="C19" s="87">
        <f>+SUM(C6:C8)</f>
        <v>0</v>
      </c>
      <c r="D19" s="88"/>
      <c r="E19" s="88"/>
      <c r="F19" s="88"/>
      <c r="G19" s="88" t="str">
        <f>IF(OR(IPC_Trimestriel!K19="",IPC_Trimestriel!H19="",IPC_Trimestriel!D19=""),"",AVERAGE(IPC_Trimestriel!H19:K19)/AVERAGE(IPC_Trimestriel!D19:G19)-1)</f>
        <v/>
      </c>
      <c r="H19" s="88" t="str">
        <f>IF(OR(IPC_Trimestriel!L19="",IPC_Trimestriel!I19="",IPC_Trimestriel!E19=""),"",AVERAGE(IPC_Trimestriel!I19:L19)/AVERAGE(IPC_Trimestriel!E19:H19)-1)</f>
        <v/>
      </c>
      <c r="I19" s="88" t="str">
        <f>IF(OR(IPC_Trimestriel!M19="",IPC_Trimestriel!J19="",IPC_Trimestriel!F19=""),"",AVERAGE(IPC_Trimestriel!J19:M19)/AVERAGE(IPC_Trimestriel!F19:I19)-1)</f>
        <v/>
      </c>
      <c r="J19" s="88" t="str">
        <f>IF(OR(IPC_Trimestriel!N19="",IPC_Trimestriel!K19="",IPC_Trimestriel!G19=""),"",AVERAGE(IPC_Trimestriel!K19:N19)/AVERAGE(IPC_Trimestriel!G19:J19)-1)</f>
        <v/>
      </c>
      <c r="K19" s="88" t="str">
        <f>IF(OR(IPC_Trimestriel!O19="",IPC_Trimestriel!L19="",IPC_Trimestriel!H19=""),"",AVERAGE(IPC_Trimestriel!L19:O19)/AVERAGE(IPC_Trimestriel!H19:K19)-1)</f>
        <v/>
      </c>
      <c r="L19" s="88" t="str">
        <f>IF(OR(IPC_Trimestriel!P19="",IPC_Trimestriel!M19="",IPC_Trimestriel!I19=""),"",AVERAGE(IPC_Trimestriel!M19:P19)/AVERAGE(IPC_Trimestriel!I19:L19)-1)</f>
        <v/>
      </c>
      <c r="M19" s="88" t="str">
        <f>IF(OR(IPC_Trimestriel!Q19="",IPC_Trimestriel!N19="",IPC_Trimestriel!J19=""),"",AVERAGE(IPC_Trimestriel!N19:Q19)/AVERAGE(IPC_Trimestriel!J19:M19)-1)</f>
        <v/>
      </c>
      <c r="N19" s="88" t="str">
        <f>IF(OR(IPC_Trimestriel!R19="",IPC_Trimestriel!O19="",IPC_Trimestriel!K19=""),"",AVERAGE(IPC_Trimestriel!O19:R19)/AVERAGE(IPC_Trimestriel!K19:N19)-1)</f>
        <v/>
      </c>
      <c r="O19" s="88" t="str">
        <f>IF(OR(IPC_Trimestriel!S19="",IPC_Trimestriel!P19="",IPC_Trimestriel!L19=""),"",AVERAGE(IPC_Trimestriel!P19:S19)/AVERAGE(IPC_Trimestriel!L19:O19)-1)</f>
        <v/>
      </c>
      <c r="P19" s="88" t="str">
        <f>IF(OR(IPC_Trimestriel!T19="",IPC_Trimestriel!Q19="",IPC_Trimestriel!M19=""),"",AVERAGE(IPC_Trimestriel!Q19:T19)/AVERAGE(IPC_Trimestriel!M19:P19)-1)</f>
        <v/>
      </c>
      <c r="Q19" s="88" t="str">
        <f>IF(OR(IPC_Trimestriel!U19="",IPC_Trimestriel!R19="",IPC_Trimestriel!N19=""),"",AVERAGE(IPC_Trimestriel!R19:U19)/AVERAGE(IPC_Trimestriel!N19:Q19)-1)</f>
        <v/>
      </c>
      <c r="R19" s="88" t="str">
        <f>IF(OR(IPC_Trimestriel!V19="",IPC_Trimestriel!S19="",IPC_Trimestriel!O19=""),"",AVERAGE(IPC_Trimestriel!S19:V19)/AVERAGE(IPC_Trimestriel!O19:R19)-1)</f>
        <v/>
      </c>
      <c r="S19" s="88" t="str">
        <f>IF(OR(IPC_Trimestriel!W19="",IPC_Trimestriel!T19="",IPC_Trimestriel!P19=""),"",AVERAGE(IPC_Trimestriel!T19:W19)/AVERAGE(IPC_Trimestriel!P19:S19)-1)</f>
        <v/>
      </c>
      <c r="T19" s="88" t="str">
        <f>IF(OR(IPC_Trimestriel!X19="",IPC_Trimestriel!U19="",IPC_Trimestriel!Q19=""),"",AVERAGE(IPC_Trimestriel!U19:X19)/AVERAGE(IPC_Trimestriel!Q19:T19)-1)</f>
        <v/>
      </c>
      <c r="U19" s="88" t="str">
        <f>IF(OR(IPC_Trimestriel!Y19="",IPC_Trimestriel!V19="",IPC_Trimestriel!R19=""),"",AVERAGE(IPC_Trimestriel!V19:Y19)/AVERAGE(IPC_Trimestriel!R19:U19)-1)</f>
        <v/>
      </c>
      <c r="V19" s="88" t="str">
        <f>IF(OR(IPC_Trimestriel!Z19="",IPC_Trimestriel!W19="",IPC_Trimestriel!S19=""),"",AVERAGE(IPC_Trimestriel!W19:Z19)/AVERAGE(IPC_Trimestriel!S19:V19)-1)</f>
        <v/>
      </c>
      <c r="W19" s="88" t="str">
        <f>IF(OR(IPC_Trimestriel!AA19="",IPC_Trimestriel!X19="",IPC_Trimestriel!T19=""),"",AVERAGE(IPC_Trimestriel!X19:AA19)/AVERAGE(IPC_Trimestriel!T19:W19)-1)</f>
        <v/>
      </c>
      <c r="X19" s="88" t="str">
        <f>IF(OR(IPC_Trimestriel!AB19="",IPC_Trimestriel!Y19="",IPC_Trimestriel!U19=""),"",AVERAGE(IPC_Trimestriel!Y19:AB19)/AVERAGE(IPC_Trimestriel!U19:X19)-1)</f>
        <v/>
      </c>
      <c r="Y19" s="88" t="str">
        <f>IF(OR(IPC_Trimestriel!AC19="",IPC_Trimestriel!Z19="",IPC_Trimestriel!V19=""),"",AVERAGE(IPC_Trimestriel!Z19:AC19)/AVERAGE(IPC_Trimestriel!V19:Y19)-1)</f>
        <v/>
      </c>
      <c r="Z19" s="88" t="str">
        <f>IF(OR(IPC_Trimestriel!AD19="",IPC_Trimestriel!AA19="",IPC_Trimestriel!W19=""),"",AVERAGE(IPC_Trimestriel!AA19:AD19)/AVERAGE(IPC_Trimestriel!W19:Z19)-1)</f>
        <v/>
      </c>
      <c r="AA19" s="88" t="str">
        <f>IF(OR(IPC_Trimestriel!AE19="",IPC_Trimestriel!AB19="",IPC_Trimestriel!X19=""),"",AVERAGE(IPC_Trimestriel!AB19:AE19)/AVERAGE(IPC_Trimestriel!X19:AA19)-1)</f>
        <v/>
      </c>
      <c r="AB19" s="88" t="str">
        <f>IF(OR(IPC_Trimestriel!AF19="",IPC_Trimestriel!AC19="",IPC_Trimestriel!Y19=""),"",AVERAGE(IPC_Trimestriel!AC19:AF19)/AVERAGE(IPC_Trimestriel!Y19:AB19)-1)</f>
        <v/>
      </c>
      <c r="AC19" s="88" t="str">
        <f>IF(OR(IPC_Trimestriel!AG19="",IPC_Trimestriel!AD19="",IPC_Trimestriel!Z19=""),"",AVERAGE(IPC_Trimestriel!AD19:AG19)/AVERAGE(IPC_Trimestriel!Z19:AC19)-1)</f>
        <v/>
      </c>
      <c r="AD19" s="88" t="str">
        <f>IF(OR(IPC_Trimestriel!AH19="",IPC_Trimestriel!AE19="",IPC_Trimestriel!AA19=""),"",AVERAGE(IPC_Trimestriel!AE19:AH19)/AVERAGE(IPC_Trimestriel!AA19:AD19)-1)</f>
        <v/>
      </c>
      <c r="AE19" s="88" t="str">
        <f>IF(OR(IPC_Trimestriel!AI19="",IPC_Trimestriel!AF19="",IPC_Trimestriel!AB19=""),"",AVERAGE(IPC_Trimestriel!AF19:AI19)/AVERAGE(IPC_Trimestriel!AB19:AE19)-1)</f>
        <v/>
      </c>
      <c r="AF19" s="88" t="str">
        <f>IF(OR(IPC_Trimestriel!AJ19="",IPC_Trimestriel!AG19="",IPC_Trimestriel!AC19=""),"",AVERAGE(IPC_Trimestriel!AG19:AJ19)/AVERAGE(IPC_Trimestriel!AC19:AF19)-1)</f>
        <v/>
      </c>
      <c r="AG19" s="88" t="str">
        <f>IF(OR(IPC_Trimestriel!AK19="",IPC_Trimestriel!AH19="",IPC_Trimestriel!AD19=""),"",AVERAGE(IPC_Trimestriel!AH19:AK19)/AVERAGE(IPC_Trimestriel!AD19:AG19)-1)</f>
        <v/>
      </c>
      <c r="AH19" s="88" t="str">
        <f>IF(OR(IPC_Trimestriel!AL19="",IPC_Trimestriel!AI19="",IPC_Trimestriel!AE19=""),"",AVERAGE(IPC_Trimestriel!AI19:AL19)/AVERAGE(IPC_Trimestriel!AE19:AH19)-1)</f>
        <v/>
      </c>
      <c r="AI19" s="88" t="str">
        <f>IF(OR(IPC_Trimestriel!AM19="",IPC_Trimestriel!AJ19="",IPC_Trimestriel!AF19=""),"",AVERAGE(IPC_Trimestriel!AJ19:AM19)/AVERAGE(IPC_Trimestriel!AF19:AI19)-1)</f>
        <v/>
      </c>
      <c r="AJ19" s="88" t="str">
        <f>IF(OR(IPC_Trimestriel!AN19="",IPC_Trimestriel!AK19="",IPC_Trimestriel!AG19=""),"",AVERAGE(IPC_Trimestriel!AK19:AN19)/AVERAGE(IPC_Trimestriel!AG19:AJ19)-1)</f>
        <v/>
      </c>
      <c r="AK19" s="88" t="str">
        <f>IF(OR(IPC_Trimestriel!AO19="",IPC_Trimestriel!AL19="",IPC_Trimestriel!AH19=""),"",AVERAGE(IPC_Trimestriel!AL19:AO19)/AVERAGE(IPC_Trimestriel!AH19:AK19)-1)</f>
        <v/>
      </c>
      <c r="AL19" s="88" t="str">
        <f>IF(OR(IPC_Trimestriel!AP19="",IPC_Trimestriel!AM19="",IPC_Trimestriel!AI19=""),"",AVERAGE(IPC_Trimestriel!AM19:AP19)/AVERAGE(IPC_Trimestriel!AI19:AL19)-1)</f>
        <v/>
      </c>
      <c r="AM19" s="88" t="str">
        <f>IF(OR(IPC_Trimestriel!AQ19="",IPC_Trimestriel!AN19="",IPC_Trimestriel!AJ19=""),"",AVERAGE(IPC_Trimestriel!AN19:AQ19)/AVERAGE(IPC_Trimestriel!AJ19:AM19)-1)</f>
        <v/>
      </c>
      <c r="AN19" s="88" t="str">
        <f>IF(OR(IPC_Trimestriel!AR19="",IPC_Trimestriel!AO19="",IPC_Trimestriel!AK19=""),"",AVERAGE(IPC_Trimestriel!AO19:AR19)/AVERAGE(IPC_Trimestriel!AK19:AN19)-1)</f>
        <v/>
      </c>
      <c r="AO19" s="88" t="str">
        <f>IF(OR(IPC_Trimestriel!AS19="",IPC_Trimestriel!AP19="",IPC_Trimestriel!AL19=""),"",AVERAGE(IPC_Trimestriel!AP19:AS19)/AVERAGE(IPC_Trimestriel!AL19:AO19)-1)</f>
        <v/>
      </c>
      <c r="AP19" s="88" t="str">
        <f>IF(OR(IPC_Trimestriel!AT19="",IPC_Trimestriel!AQ19="",IPC_Trimestriel!AM19=""),"",AVERAGE(IPC_Trimestriel!AQ19:AT19)/AVERAGE(IPC_Trimestriel!AM19:AP19)-1)</f>
        <v/>
      </c>
      <c r="AQ19" s="88" t="str">
        <f>IF(OR(IPC_Trimestriel!AU19="",IPC_Trimestriel!AR19="",IPC_Trimestriel!AN19=""),"",AVERAGE(IPC_Trimestriel!AR19:AU19)/AVERAGE(IPC_Trimestriel!AN19:AQ19)-1)</f>
        <v/>
      </c>
      <c r="AR19" s="88" t="str">
        <f>IF(OR(IPC_Trimestriel!AV19="",IPC_Trimestriel!AS19="",IPC_Trimestriel!AO19=""),"",AVERAGE(IPC_Trimestriel!AS19:AV19)/AVERAGE(IPC_Trimestriel!AO19:AR19)-1)</f>
        <v/>
      </c>
      <c r="AS19" s="88" t="str">
        <f>IF(OR(IPC_Trimestriel!AW19="",IPC_Trimestriel!AT19="",IPC_Trimestriel!AP19=""),"",AVERAGE(IPC_Trimestriel!AT19:AW19)/AVERAGE(IPC_Trimestriel!AP19:AS19)-1)</f>
        <v/>
      </c>
      <c r="AT19" s="88" t="str">
        <f>IF(OR(IPC_Trimestriel!AX19="",IPC_Trimestriel!AU19="",IPC_Trimestriel!AQ19=""),"",AVERAGE(IPC_Trimestriel!AU19:AX19)/AVERAGE(IPC_Trimestriel!AQ19:AT19)-1)</f>
        <v/>
      </c>
      <c r="AU19" s="88" t="str">
        <f>IF(OR(IPC_Trimestriel!AY19="",IPC_Trimestriel!AV19="",IPC_Trimestriel!AR19=""),"",AVERAGE(IPC_Trimestriel!AV19:AY19)/AVERAGE(IPC_Trimestriel!AR19:AU19)-1)</f>
        <v/>
      </c>
      <c r="AV19" s="88" t="str">
        <f>IF(OR(IPC_Trimestriel!AZ19="",IPC_Trimestriel!AW19="",IPC_Trimestriel!AS19=""),"",AVERAGE(IPC_Trimestriel!AW19:AZ19)/AVERAGE(IPC_Trimestriel!AS19:AV19)-1)</f>
        <v/>
      </c>
      <c r="AW19" s="88" t="str">
        <f>IF(OR(IPC_Trimestriel!BA19="",IPC_Trimestriel!AX19="",IPC_Trimestriel!AT19=""),"",AVERAGE(IPC_Trimestriel!AX19:BA19)/AVERAGE(IPC_Trimestriel!AT19:AW19)-1)</f>
        <v/>
      </c>
      <c r="AX19" s="88" t="str">
        <f>IF(OR(IPC_Trimestriel!BB19="",IPC_Trimestriel!AY19="",IPC_Trimestriel!AU19=""),"",AVERAGE(IPC_Trimestriel!AY19:BB19)/AVERAGE(IPC_Trimestriel!AU19:AX19)-1)</f>
        <v/>
      </c>
      <c r="AY19" s="88">
        <f>IF(OR(IPC_Trimestriel!BC19="",IPC_Trimestriel!AZ19="",IPC_Trimestriel!AV19=""),"",AVERAGE(IPC_Trimestriel!AZ19:BC19)/AVERAGE(IPC_Trimestriel!AV19:AY19)-1)</f>
        <v>-0.19928197482020593</v>
      </c>
      <c r="AZ19" s="88">
        <f>IF(OR(IPC_Trimestriel!BD19="",IPC_Trimestriel!BA19="",IPC_Trimestriel!AW19=""),"",AVERAGE(IPC_Trimestriel!BA19:BD19)/AVERAGE(IPC_Trimestriel!AW19:AZ19)-1)</f>
        <v>-0.15174278689071163</v>
      </c>
      <c r="BA19" s="88">
        <f>IF(OR(IPC_Trimestriel!BE19="",IPC_Trimestriel!BB19="",IPC_Trimestriel!AX19=""),"",AVERAGE(IPC_Trimestriel!BB19:BE19)/AVERAGE(IPC_Trimestriel!AX19:BA19)-1)</f>
        <v>-0.10189775767333353</v>
      </c>
      <c r="BB19" s="88">
        <f>IF(OR(IPC_Trimestriel!BF19="",IPC_Trimestriel!BC19="",IPC_Trimestriel!AY19=""),"",AVERAGE(IPC_Trimestriel!BC19:BF19)/AVERAGE(IPC_Trimestriel!AY19:BB19)-1)</f>
        <v>-4.487918720880979E-2</v>
      </c>
      <c r="BC19" s="88">
        <f>IF(OR(IPC_Trimestriel!BG19="",IPC_Trimestriel!BD19="",IPC_Trimestriel!AZ19=""),"",AVERAGE(IPC_Trimestriel!BD19:BG19)/AVERAGE(IPC_Trimestriel!AZ19:BC19)-1)</f>
        <v>2.0503471800174866E-2</v>
      </c>
      <c r="BD19" s="88">
        <f>IF(OR(IPC_Trimestriel!BH19="",IPC_Trimestriel!BE19="",IPC_Trimestriel!BA19=""),"",AVERAGE(IPC_Trimestriel!BE19:BH19)/AVERAGE(IPC_Trimestriel!BA19:BD19)-1)</f>
        <v>1.7245093330614303E-2</v>
      </c>
      <c r="BE19" s="88">
        <f>IF(OR(IPC_Trimestriel!BI19="",IPC_Trimestriel!BF19="",IPC_Trimestriel!BB19=""),"",AVERAGE(IPC_Trimestriel!BF19:BI19)/AVERAGE(IPC_Trimestriel!BB19:BE19)-1)</f>
        <v>1.4905915906192835E-2</v>
      </c>
      <c r="BF19" s="88">
        <f>IF(OR(IPC_Trimestriel!BJ19="",IPC_Trimestriel!BG19="",IPC_Trimestriel!BC19=""),"",AVERAGE(IPC_Trimestriel!BG19:BJ19)/AVERAGE(IPC_Trimestriel!BC19:BF19)-1)</f>
        <v>1.7423245993188896E-2</v>
      </c>
      <c r="BG19" s="88">
        <f>IF(OR(IPC_Trimestriel!BK19="",IPC_Trimestriel!BH19="",IPC_Trimestriel!BD19=""),"",AVERAGE(IPC_Trimestriel!BH19:BK19)/AVERAGE(IPC_Trimestriel!BD19:BG19)-1)</f>
        <v>1.8548985036678012E-2</v>
      </c>
      <c r="BH19" s="88">
        <f>IF(OR(IPC_Trimestriel!BL19="",IPC_Trimestriel!BI19="",IPC_Trimestriel!BE19=""),"",AVERAGE(IPC_Trimestriel!BI19:BL19)/AVERAGE(IPC_Trimestriel!BE19:BH19)-1)</f>
        <v>2.2603782004749107E-2</v>
      </c>
      <c r="BI19" s="88">
        <f>IF(OR(IPC_Trimestriel!BM19="",IPC_Trimestriel!BJ19="",IPC_Trimestriel!BF19=""),"",AVERAGE(IPC_Trimestriel!BJ19:BM19)/AVERAGE(IPC_Trimestriel!BF19:BI19)-1)</f>
        <v>2.9906982236716839E-2</v>
      </c>
      <c r="BJ19" s="88">
        <f>IF(OR(IPC_Trimestriel!BN19="",IPC_Trimestriel!BK19="",IPC_Trimestriel!BG19=""),"",AVERAGE(IPC_Trimestriel!BK19:BN19)/AVERAGE(IPC_Trimestriel!BG19:BJ19)-1)</f>
        <v>2.8532416342308853E-2</v>
      </c>
      <c r="BK19" s="88">
        <f>IF(OR(IPC_Trimestriel!BO19="",IPC_Trimestriel!BL19="",IPC_Trimestriel!BH19=""),"",AVERAGE(IPC_Trimestriel!BL19:BO19)/AVERAGE(IPC_Trimestriel!BH19:BK19)-1)</f>
        <v>2.6784391438096078E-2</v>
      </c>
      <c r="BL19" s="88">
        <f>IF(OR(IPC_Trimestriel!BP19="",IPC_Trimestriel!BM19="",IPC_Trimestriel!BI19=""),"",AVERAGE(IPC_Trimestriel!BM19:BP19)/AVERAGE(IPC_Trimestriel!BI19:BL19)-1)</f>
        <v>2.3185845166554087E-2</v>
      </c>
      <c r="BM19" s="88">
        <f>IF(OR(IPC_Trimestriel!BQ19="",IPC_Trimestriel!BN19="",IPC_Trimestriel!BJ19=""),"",AVERAGE(IPC_Trimestriel!BN19:BQ19)/AVERAGE(IPC_Trimestriel!BJ19:BM19)-1)</f>
        <v>1.6088161706331094E-2</v>
      </c>
      <c r="BN19" s="88">
        <f>IF(OR(IPC_Trimestriel!BR19="",IPC_Trimestriel!BO19="",IPC_Trimestriel!BK19=""),"",AVERAGE(IPC_Trimestriel!BO19:BR19)/AVERAGE(IPC_Trimestriel!BK19:BN19)-1)</f>
        <v>1.2164622526623869E-2</v>
      </c>
      <c r="BO19" s="88">
        <f>IF(OR(IPC_Trimestriel!BS19="",IPC_Trimestriel!BP19="",IPC_Trimestriel!BL19=""),"",AVERAGE(IPC_Trimestriel!BP19:BS19)/AVERAGE(IPC_Trimestriel!BL19:BO19)-1)</f>
        <v>8.7279648608866722E-3</v>
      </c>
      <c r="BP19" s="88">
        <f>IF(OR(IPC_Trimestriel!BT19="",IPC_Trimestriel!BQ19="",IPC_Trimestriel!BM19=""),"",AVERAGE(IPC_Trimestriel!BQ19:BT19)/AVERAGE(IPC_Trimestriel!BM19:BP19)-1)</f>
        <v>6.1588727760233386E-3</v>
      </c>
      <c r="BQ19" s="88">
        <f>IF(OR(IPC_Trimestriel!BU19="",IPC_Trimestriel!BR19="",IPC_Trimestriel!BN19=""),"",AVERAGE(IPC_Trimestriel!BR19:BU19)/AVERAGE(IPC_Trimestriel!BN19:BQ19)-1)</f>
        <v>4.9647329330100298E-3</v>
      </c>
      <c r="BR19" s="88">
        <f>IF(OR(IPC_Trimestriel!BV19="",IPC_Trimestriel!BS19="",IPC_Trimestriel!BO19=""),"",AVERAGE(IPC_Trimestriel!BS19:BV19)/AVERAGE(IPC_Trimestriel!BO19:BR19)-1)</f>
        <v>5.1060689622961508E-3</v>
      </c>
      <c r="BS19" s="88">
        <f>IF(OR(IPC_Trimestriel!BW19="",IPC_Trimestriel!BT19="",IPC_Trimestriel!BP19=""),"",AVERAGE(IPC_Trimestriel!BT19:BW19)/AVERAGE(IPC_Trimestriel!BP19:BS19)-1)</f>
        <v>6.4072443941858293E-3</v>
      </c>
      <c r="BT19" s="88">
        <f>IF(OR(IPC_Trimestriel!BX19="",IPC_Trimestriel!BU19="",IPC_Trimestriel!BQ19=""),"",AVERAGE(IPC_Trimestriel!BU19:BX19)/AVERAGE(IPC_Trimestriel!BQ19:BT19)-1)</f>
        <v>7.3406714844339582E-3</v>
      </c>
      <c r="BU19" s="88">
        <f>IF(OR(IPC_Trimestriel!BY19="",IPC_Trimestriel!BV19="",IPC_Trimestriel!BR19=""),"",AVERAGE(IPC_Trimestriel!BV19:BY19)/AVERAGE(IPC_Trimestriel!BR19:BU19)-1)</f>
        <v>7.9540992629336671E-3</v>
      </c>
      <c r="BV19" s="88">
        <f>IF(OR(IPC_Trimestriel!BZ19="",IPC_Trimestriel!BW19="",IPC_Trimestriel!BS19=""),"",AVERAGE(IPC_Trimestriel!BW19:BZ19)/AVERAGE(IPC_Trimestriel!BS19:BV19)-1)</f>
        <v>8.3920956978134065E-3</v>
      </c>
      <c r="BW19" s="88">
        <f>IF(OR(IPC_Trimestriel!CA19="",IPC_Trimestriel!BX19="",IPC_Trimestriel!BT19=""),"",AVERAGE(IPC_Trimestriel!BX19:CA19)/AVERAGE(IPC_Trimestriel!BT19:BW19)-1)</f>
        <v>1.063791989929519E-2</v>
      </c>
      <c r="BX19" s="88">
        <f>IF(OR(IPC_Trimestriel!CB19="",IPC_Trimestriel!BY19="",IPC_Trimestriel!BU19=""),"",AVERAGE(IPC_Trimestriel!BY19:CB19)/AVERAGE(IPC_Trimestriel!BU19:BX19)-1)</f>
        <v>1.4210393642677177E-2</v>
      </c>
      <c r="BY19" s="88">
        <f>IF(OR(IPC_Trimestriel!CC19="",IPC_Trimestriel!BZ19="",IPC_Trimestriel!BV19=""),"",AVERAGE(IPC_Trimestriel!BZ19:CC19)/AVERAGE(IPC_Trimestriel!BV19:BY19)-1)</f>
        <v>1.846832713270552E-2</v>
      </c>
      <c r="BZ19" s="88">
        <f>IF(OR(IPC_Trimestriel!CD19="",IPC_Trimestriel!CA19="",IPC_Trimestriel!BW19=""),"",AVERAGE(IPC_Trimestriel!CA19:CD19)/AVERAGE(IPC_Trimestriel!BW19:BZ19)-1)</f>
        <v>2.2879415930877167E-2</v>
      </c>
      <c r="CA19" s="88">
        <f>IF(OR(IPC_Trimestriel!CE19="",IPC_Trimestriel!CB19="",IPC_Trimestriel!BX19=""),"",AVERAGE(IPC_Trimestriel!CB19:CE19)/AVERAGE(IPC_Trimestriel!BX19:CA19)-1)</f>
        <v>2.4563294950604497E-2</v>
      </c>
      <c r="CB19" s="88">
        <f>IF(OR(IPC_Trimestriel!CF19="",IPC_Trimestriel!CC19="",IPC_Trimestriel!BY19=""),"",AVERAGE(IPC_Trimestriel!CC19:CF19)/AVERAGE(IPC_Trimestriel!BY19:CB19)-1)</f>
        <v>2.5473369926357625E-2</v>
      </c>
      <c r="CC19" s="88">
        <f>IF(OR(IPC_Trimestriel!CG19="",IPC_Trimestriel!CD19="",IPC_Trimestriel!BZ19=""),"",AVERAGE(IPC_Trimestriel!CD19:CG19)/AVERAGE(IPC_Trimestriel!BZ19:CC19)-1)</f>
        <v>2.534205549405244E-2</v>
      </c>
      <c r="CD19" s="88">
        <f>IF(OR(IPC_Trimestriel!CH19="",IPC_Trimestriel!CE19="",IPC_Trimestriel!CA19=""),"",AVERAGE(IPC_Trimestriel!CE19:CH19)/AVERAGE(IPC_Trimestriel!CA19:CD19)-1)</f>
        <v>2.5022395329128422E-2</v>
      </c>
      <c r="CE19" s="88">
        <f>IF(OR(IPC_Trimestriel!CI19="",IPC_Trimestriel!CF19="",IPC_Trimestriel!CB19=""),"",AVERAGE(IPC_Trimestriel!CF19:CI19)/AVERAGE(IPC_Trimestriel!CB19:CE19)-1)</f>
        <v>2.4505269618810832E-2</v>
      </c>
      <c r="CF19" s="88">
        <f>IF(OR(IPC_Trimestriel!CJ19="",IPC_Trimestriel!CG19="",IPC_Trimestriel!CC19=""),"",AVERAGE(IPC_Trimestriel!CG19:CJ19)/AVERAGE(IPC_Trimestriel!CC19:CF19)-1)</f>
        <v>2.2667650070732126E-2</v>
      </c>
      <c r="CG19" s="88">
        <f>IF(OR(IPC_Trimestriel!CK19="",IPC_Trimestriel!CH19="",IPC_Trimestriel!CD19=""),"",AVERAGE(IPC_Trimestriel!CH19:CK19)/AVERAGE(IPC_Trimestriel!CD19:CG19)-1)</f>
        <v>2.1765737241582483E-2</v>
      </c>
      <c r="CH19" s="88">
        <f>IF(OR(IPC_Trimestriel!CL19="",IPC_Trimestriel!CI19="",IPC_Trimestriel!CE19=""),"",AVERAGE(IPC_Trimestriel!CI19:CL19)/AVERAGE(IPC_Trimestriel!CE19:CH19)-1)</f>
        <v>2.1537706825711656E-2</v>
      </c>
      <c r="CI19" s="88">
        <f>IF(OR(IPC_Trimestriel!CM19="",IPC_Trimestriel!CJ19="",IPC_Trimestriel!CF19=""),"",AVERAGE(IPC_Trimestriel!CJ19:CM19)/AVERAGE(IPC_Trimestriel!CF19:CI19)-1)</f>
        <v>2.2619561486628914E-2</v>
      </c>
      <c r="CJ19" s="88">
        <f>IF(OR(IPC_Trimestriel!CN19="",IPC_Trimestriel!CK19="",IPC_Trimestriel!CG19=""),"",AVERAGE(IPC_Trimestriel!CK19:CN19)/AVERAGE(IPC_Trimestriel!CG19:CJ19)-1)</f>
        <v>2.8928703739263373E-2</v>
      </c>
      <c r="CK19" s="88">
        <f>IF(OR(IPC_Trimestriel!CO19="",IPC_Trimestriel!CL19="",IPC_Trimestriel!CH19=""),"",AVERAGE(IPC_Trimestriel!CL19:CO19)/AVERAGE(IPC_Trimestriel!CH19:CK19)-1)</f>
        <v>3.8303037632624992E-2</v>
      </c>
      <c r="CL19" s="88">
        <f>IF(OR(IPC_Trimestriel!CP19="",IPC_Trimestriel!CM19="",IPC_Trimestriel!CI19=""),"",AVERAGE(IPC_Trimestriel!CM19:CP19)/AVERAGE(IPC_Trimestriel!CI19:CL19)-1)</f>
        <v>4.9748658137519275E-2</v>
      </c>
      <c r="CM19" s="88">
        <f>IF(OR(IPC_Trimestriel!CQ19="",IPC_Trimestriel!CN19="",IPC_Trimestriel!CJ19=""),"",AVERAGE(IPC_Trimestriel!CN19:CQ19)/AVERAGE(IPC_Trimestriel!CJ19:CM19)-1)</f>
        <v>6.2512968661580404E-2</v>
      </c>
      <c r="CN19" s="88">
        <f>IF(OR(IPC_Trimestriel!CR19="",IPC_Trimestriel!CO19="",IPC_Trimestriel!CK19=""),"",AVERAGE(IPC_Trimestriel!CO19:CR19)/AVERAGE(IPC_Trimestriel!CK19:CN19)-1)</f>
        <v>7.1392014016477434E-2</v>
      </c>
      <c r="CO19" s="88">
        <f>IF(OR(IPC_Trimestriel!CS19="",IPC_Trimestriel!CP19="",IPC_Trimestriel!CL19=""),"",AVERAGE(IPC_Trimestriel!CP19:CS19)/AVERAGE(IPC_Trimestriel!CL19:CO19)-1)</f>
        <v>7.6636408048564642E-2</v>
      </c>
      <c r="CP19" s="88">
        <f>IF(OR(IPC_Trimestriel!CT19="",IPC_Trimestriel!CQ19="",IPC_Trimestriel!CM19=""),"",AVERAGE(IPC_Trimestriel!CQ19:CT19)/AVERAGE(IPC_Trimestriel!CM19:CP19)-1)</f>
        <v>7.7535434505026979E-2</v>
      </c>
    </row>
    <row r="20" spans="1:94" s="14" customFormat="1" ht="10.8" x14ac:dyDescent="0.25">
      <c r="C20" s="15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</row>
    <row r="21" spans="1:94" s="74" customFormat="1" ht="10.199999999999999" x14ac:dyDescent="0.2">
      <c r="B21" s="74" t="s">
        <v>3</v>
      </c>
      <c r="D21" s="75"/>
      <c r="E21" s="75"/>
      <c r="F21" s="75"/>
      <c r="G21" s="75" t="str">
        <f>IF(OR(IPC_Trimestriel!K21="",IPC_Trimestriel!H21="",IPC_Trimestriel!D21=""),"",AVERAGE(IPC_Trimestriel!H21:K21)/AVERAGE(IPC_Trimestriel!D21:G21)-1)</f>
        <v/>
      </c>
      <c r="H21" s="75" t="str">
        <f>IF(OR(IPC_Trimestriel!L21="",IPC_Trimestriel!I21="",IPC_Trimestriel!E21=""),"",AVERAGE(IPC_Trimestriel!I21:L21)/AVERAGE(IPC_Trimestriel!E21:H21)-1)</f>
        <v/>
      </c>
      <c r="I21" s="75" t="str">
        <f>IF(OR(IPC_Trimestriel!M21="",IPC_Trimestriel!J21="",IPC_Trimestriel!F21=""),"",AVERAGE(IPC_Trimestriel!J21:M21)/AVERAGE(IPC_Trimestriel!F21:I21)-1)</f>
        <v/>
      </c>
      <c r="J21" s="75" t="str">
        <f>IF(OR(IPC_Trimestriel!N21="",IPC_Trimestriel!K21="",IPC_Trimestriel!G21=""),"",AVERAGE(IPC_Trimestriel!K21:N21)/AVERAGE(IPC_Trimestriel!G21:J21)-1)</f>
        <v/>
      </c>
      <c r="K21" s="75" t="str">
        <f>IF(OR(IPC_Trimestriel!O21="",IPC_Trimestriel!L21="",IPC_Trimestriel!H21=""),"",AVERAGE(IPC_Trimestriel!L21:O21)/AVERAGE(IPC_Trimestriel!H21:K21)-1)</f>
        <v/>
      </c>
      <c r="L21" s="75" t="str">
        <f>IF(OR(IPC_Trimestriel!P21="",IPC_Trimestriel!M21="",IPC_Trimestriel!I21=""),"",AVERAGE(IPC_Trimestriel!M21:P21)/AVERAGE(IPC_Trimestriel!I21:L21)-1)</f>
        <v/>
      </c>
      <c r="M21" s="75" t="str">
        <f>IF(OR(IPC_Trimestriel!Q21="",IPC_Trimestriel!N21="",IPC_Trimestriel!J21=""),"",AVERAGE(IPC_Trimestriel!N21:Q21)/AVERAGE(IPC_Trimestriel!J21:M21)-1)</f>
        <v/>
      </c>
      <c r="N21" s="75" t="str">
        <f>IF(OR(IPC_Trimestriel!R21="",IPC_Trimestriel!O21="",IPC_Trimestriel!K21=""),"",AVERAGE(IPC_Trimestriel!O21:R21)/AVERAGE(IPC_Trimestriel!K21:N21)-1)</f>
        <v/>
      </c>
      <c r="O21" s="75" t="str">
        <f>IF(OR(IPC_Trimestriel!S21="",IPC_Trimestriel!P21="",IPC_Trimestriel!L21=""),"",AVERAGE(IPC_Trimestriel!P21:S21)/AVERAGE(IPC_Trimestriel!L21:O21)-1)</f>
        <v/>
      </c>
      <c r="P21" s="75" t="str">
        <f>IF(OR(IPC_Trimestriel!T21="",IPC_Trimestriel!Q21="",IPC_Trimestriel!M21=""),"",AVERAGE(IPC_Trimestriel!Q21:T21)/AVERAGE(IPC_Trimestriel!M21:P21)-1)</f>
        <v/>
      </c>
      <c r="Q21" s="75" t="str">
        <f>IF(OR(IPC_Trimestriel!U21="",IPC_Trimestriel!R21="",IPC_Trimestriel!N21=""),"",AVERAGE(IPC_Trimestriel!R21:U21)/AVERAGE(IPC_Trimestriel!N21:Q21)-1)</f>
        <v/>
      </c>
      <c r="R21" s="75" t="str">
        <f>IF(OR(IPC_Trimestriel!V21="",IPC_Trimestriel!S21="",IPC_Trimestriel!O21=""),"",AVERAGE(IPC_Trimestriel!S21:V21)/AVERAGE(IPC_Trimestriel!O21:R21)-1)</f>
        <v/>
      </c>
      <c r="S21" s="75" t="str">
        <f>IF(OR(IPC_Trimestriel!W21="",IPC_Trimestriel!T21="",IPC_Trimestriel!P21=""),"",AVERAGE(IPC_Trimestriel!T21:W21)/AVERAGE(IPC_Trimestriel!P21:S21)-1)</f>
        <v/>
      </c>
      <c r="T21" s="75" t="str">
        <f>IF(OR(IPC_Trimestriel!X21="",IPC_Trimestriel!U21="",IPC_Trimestriel!Q21=""),"",AVERAGE(IPC_Trimestriel!U21:X21)/AVERAGE(IPC_Trimestriel!Q21:T21)-1)</f>
        <v/>
      </c>
      <c r="U21" s="75" t="str">
        <f>IF(OR(IPC_Trimestriel!Y21="",IPC_Trimestriel!V21="",IPC_Trimestriel!R21=""),"",AVERAGE(IPC_Trimestriel!V21:Y21)/AVERAGE(IPC_Trimestriel!R21:U21)-1)</f>
        <v/>
      </c>
      <c r="V21" s="75" t="str">
        <f>IF(OR(IPC_Trimestriel!Z21="",IPC_Trimestriel!W21="",IPC_Trimestriel!S21=""),"",AVERAGE(IPC_Trimestriel!W21:Z21)/AVERAGE(IPC_Trimestriel!S21:V21)-1)</f>
        <v/>
      </c>
      <c r="W21" s="75" t="str">
        <f>IF(OR(IPC_Trimestriel!AA21="",IPC_Trimestriel!X21="",IPC_Trimestriel!T21=""),"",AVERAGE(IPC_Trimestriel!X21:AA21)/AVERAGE(IPC_Trimestriel!T21:W21)-1)</f>
        <v/>
      </c>
      <c r="X21" s="75" t="str">
        <f>IF(OR(IPC_Trimestriel!AB21="",IPC_Trimestriel!Y21="",IPC_Trimestriel!U21=""),"",AVERAGE(IPC_Trimestriel!Y21:AB21)/AVERAGE(IPC_Trimestriel!U21:X21)-1)</f>
        <v/>
      </c>
      <c r="Y21" s="75" t="str">
        <f>IF(OR(IPC_Trimestriel!AC21="",IPC_Trimestriel!Z21="",IPC_Trimestriel!V21=""),"",AVERAGE(IPC_Trimestriel!Z21:AC21)/AVERAGE(IPC_Trimestriel!V21:Y21)-1)</f>
        <v/>
      </c>
      <c r="Z21" s="75" t="str">
        <f>IF(OR(IPC_Trimestriel!AD21="",IPC_Trimestriel!AA21="",IPC_Trimestriel!W21=""),"",AVERAGE(IPC_Trimestriel!AA21:AD21)/AVERAGE(IPC_Trimestriel!W21:Z21)-1)</f>
        <v/>
      </c>
      <c r="AA21" s="75" t="str">
        <f>IF(OR(IPC_Trimestriel!AE21="",IPC_Trimestriel!AB21="",IPC_Trimestriel!X21=""),"",AVERAGE(IPC_Trimestriel!AB21:AE21)/AVERAGE(IPC_Trimestriel!X21:AA21)-1)</f>
        <v/>
      </c>
      <c r="AB21" s="75" t="str">
        <f>IF(OR(IPC_Trimestriel!AF21="",IPC_Trimestriel!AC21="",IPC_Trimestriel!Y21=""),"",AVERAGE(IPC_Trimestriel!AC21:AF21)/AVERAGE(IPC_Trimestriel!Y21:AB21)-1)</f>
        <v/>
      </c>
      <c r="AC21" s="75" t="str">
        <f>IF(OR(IPC_Trimestriel!AG21="",IPC_Trimestriel!AD21="",IPC_Trimestriel!Z21=""),"",AVERAGE(IPC_Trimestriel!AD21:AG21)/AVERAGE(IPC_Trimestriel!Z21:AC21)-1)</f>
        <v/>
      </c>
      <c r="AD21" s="75" t="str">
        <f>IF(OR(IPC_Trimestriel!AH21="",IPC_Trimestriel!AE21="",IPC_Trimestriel!AA21=""),"",AVERAGE(IPC_Trimestriel!AE21:AH21)/AVERAGE(IPC_Trimestriel!AA21:AD21)-1)</f>
        <v/>
      </c>
      <c r="AE21" s="75" t="str">
        <f>IF(OR(IPC_Trimestriel!AI21="",IPC_Trimestriel!AF21="",IPC_Trimestriel!AB21=""),"",AVERAGE(IPC_Trimestriel!AF21:AI21)/AVERAGE(IPC_Trimestriel!AB21:AE21)-1)</f>
        <v/>
      </c>
      <c r="AF21" s="75" t="str">
        <f>IF(OR(IPC_Trimestriel!AJ21="",IPC_Trimestriel!AG21="",IPC_Trimestriel!AC21=""),"",AVERAGE(IPC_Trimestriel!AG21:AJ21)/AVERAGE(IPC_Trimestriel!AC21:AF21)-1)</f>
        <v/>
      </c>
      <c r="AG21" s="75" t="str">
        <f>IF(OR(IPC_Trimestriel!AK21="",IPC_Trimestriel!AH21="",IPC_Trimestriel!AD21=""),"",AVERAGE(IPC_Trimestriel!AH21:AK21)/AVERAGE(IPC_Trimestriel!AD21:AG21)-1)</f>
        <v/>
      </c>
      <c r="AH21" s="75" t="str">
        <f>IF(OR(IPC_Trimestriel!AL21="",IPC_Trimestriel!AI21="",IPC_Trimestriel!AE21=""),"",AVERAGE(IPC_Trimestriel!AI21:AL21)/AVERAGE(IPC_Trimestriel!AE21:AH21)-1)</f>
        <v/>
      </c>
      <c r="AI21" s="75" t="str">
        <f>IF(OR(IPC_Trimestriel!AM21="",IPC_Trimestriel!AJ21="",IPC_Trimestriel!AF21=""),"",AVERAGE(IPC_Trimestriel!AJ21:AM21)/AVERAGE(IPC_Trimestriel!AF21:AI21)-1)</f>
        <v/>
      </c>
      <c r="AJ21" s="75" t="str">
        <f>IF(OR(IPC_Trimestriel!AN21="",IPC_Trimestriel!AK21="",IPC_Trimestriel!AG21=""),"",AVERAGE(IPC_Trimestriel!AK21:AN21)/AVERAGE(IPC_Trimestriel!AG21:AJ21)-1)</f>
        <v/>
      </c>
      <c r="AK21" s="75" t="str">
        <f>IF(OR(IPC_Trimestriel!AO21="",IPC_Trimestriel!AL21="",IPC_Trimestriel!AH21=""),"",AVERAGE(IPC_Trimestriel!AL21:AO21)/AVERAGE(IPC_Trimestriel!AH21:AK21)-1)</f>
        <v/>
      </c>
      <c r="AL21" s="75" t="str">
        <f>IF(OR(IPC_Trimestriel!AP21="",IPC_Trimestriel!AM21="",IPC_Trimestriel!AI21=""),"",AVERAGE(IPC_Trimestriel!AM21:AP21)/AVERAGE(IPC_Trimestriel!AI21:AL21)-1)</f>
        <v/>
      </c>
      <c r="AM21" s="75" t="str">
        <f>IF(OR(IPC_Trimestriel!AQ21="",IPC_Trimestriel!AN21="",IPC_Trimestriel!AJ21=""),"",AVERAGE(IPC_Trimestriel!AN21:AQ21)/AVERAGE(IPC_Trimestriel!AJ21:AM21)-1)</f>
        <v/>
      </c>
      <c r="AN21" s="75" t="str">
        <f>IF(OR(IPC_Trimestriel!AR21="",IPC_Trimestriel!AO21="",IPC_Trimestriel!AK21=""),"",AVERAGE(IPC_Trimestriel!AO21:AR21)/AVERAGE(IPC_Trimestriel!AK21:AN21)-1)</f>
        <v/>
      </c>
      <c r="AO21" s="75" t="str">
        <f>IF(OR(IPC_Trimestriel!AS21="",IPC_Trimestriel!AP21="",IPC_Trimestriel!AL21=""),"",AVERAGE(IPC_Trimestriel!AP21:AS21)/AVERAGE(IPC_Trimestriel!AL21:AO21)-1)</f>
        <v/>
      </c>
      <c r="AP21" s="75" t="str">
        <f>IF(OR(IPC_Trimestriel!AT21="",IPC_Trimestriel!AQ21="",IPC_Trimestriel!AM21=""),"",AVERAGE(IPC_Trimestriel!AQ21:AT21)/AVERAGE(IPC_Trimestriel!AM21:AP21)-1)</f>
        <v/>
      </c>
      <c r="AQ21" s="75" t="str">
        <f>IF(OR(IPC_Trimestriel!AU21="",IPC_Trimestriel!AR21="",IPC_Trimestriel!AN21=""),"",AVERAGE(IPC_Trimestriel!AR21:AU21)/AVERAGE(IPC_Trimestriel!AN21:AQ21)-1)</f>
        <v/>
      </c>
      <c r="AR21" s="75" t="str">
        <f>IF(OR(IPC_Trimestriel!AV21="",IPC_Trimestriel!AS21="",IPC_Trimestriel!AO21=""),"",AVERAGE(IPC_Trimestriel!AS21:AV21)/AVERAGE(IPC_Trimestriel!AO21:AR21)-1)</f>
        <v/>
      </c>
      <c r="AS21" s="75" t="str">
        <f>IF(OR(IPC_Trimestriel!AW21="",IPC_Trimestriel!AT21="",IPC_Trimestriel!AP21=""),"",AVERAGE(IPC_Trimestriel!AT21:AW21)/AVERAGE(IPC_Trimestriel!AP21:AS21)-1)</f>
        <v/>
      </c>
      <c r="AT21" s="75" t="str">
        <f>IF(OR(IPC_Trimestriel!AX21="",IPC_Trimestriel!AU21="",IPC_Trimestriel!AQ21=""),"",AVERAGE(IPC_Trimestriel!AU21:AX21)/AVERAGE(IPC_Trimestriel!AQ21:AT21)-1)</f>
        <v/>
      </c>
      <c r="AU21" s="75" t="str">
        <f>IF(OR(IPC_Trimestriel!AY21="",IPC_Trimestriel!AV21="",IPC_Trimestriel!AR21=""),"",AVERAGE(IPC_Trimestriel!AV21:AY21)/AVERAGE(IPC_Trimestriel!AR21:AU21)-1)</f>
        <v/>
      </c>
      <c r="AV21" s="75" t="str">
        <f>IF(OR(IPC_Trimestriel!AZ21="",IPC_Trimestriel!AW21="",IPC_Trimestriel!AS21=""),"",AVERAGE(IPC_Trimestriel!AW21:AZ21)/AVERAGE(IPC_Trimestriel!AS21:AV21)-1)</f>
        <v/>
      </c>
      <c r="AW21" s="75" t="str">
        <f>IF(OR(IPC_Trimestriel!BA21="",IPC_Trimestriel!AX21="",IPC_Trimestriel!AT21=""),"",AVERAGE(IPC_Trimestriel!AX21:BA21)/AVERAGE(IPC_Trimestriel!AT21:AW21)-1)</f>
        <v/>
      </c>
      <c r="AX21" s="75" t="str">
        <f>IF(OR(IPC_Trimestriel!BB21="",IPC_Trimestriel!AY21="",IPC_Trimestriel!AU21=""),"",AVERAGE(IPC_Trimestriel!AY21:BB21)/AVERAGE(IPC_Trimestriel!AU21:AX21)-1)</f>
        <v/>
      </c>
      <c r="AY21" s="75" t="str">
        <f>IF(OR(IPC_Trimestriel!BC21="",IPC_Trimestriel!AZ21="",IPC_Trimestriel!AV21=""),"",AVERAGE(IPC_Trimestriel!AZ21:BC21)/AVERAGE(IPC_Trimestriel!AV21:AY21)-1)</f>
        <v/>
      </c>
      <c r="AZ21" s="75" t="str">
        <f>IF(OR(IPC_Trimestriel!BD21="",IPC_Trimestriel!BA21="",IPC_Trimestriel!AW21=""),"",AVERAGE(IPC_Trimestriel!BA21:BD21)/AVERAGE(IPC_Trimestriel!AW21:AZ21)-1)</f>
        <v/>
      </c>
      <c r="BA21" s="75" t="str">
        <f>IF(OR(IPC_Trimestriel!BE21="",IPC_Trimestriel!BB21="",IPC_Trimestriel!AX21=""),"",AVERAGE(IPC_Trimestriel!BB21:BE21)/AVERAGE(IPC_Trimestriel!AX21:BA21)-1)</f>
        <v/>
      </c>
      <c r="BB21" s="75" t="str">
        <f>IF(OR(IPC_Trimestriel!BF21="",IPC_Trimestriel!BC21="",IPC_Trimestriel!AY21=""),"",AVERAGE(IPC_Trimestriel!BC21:BF21)/AVERAGE(IPC_Trimestriel!AY21:BB21)-1)</f>
        <v/>
      </c>
      <c r="BC21" s="75">
        <f>IF(OR(IPC_Trimestriel!BG21="",IPC_Trimestriel!BD21="",IPC_Trimestriel!AZ21=""),"",AVERAGE(IPC_Trimestriel!BD21:BG21)/AVERAGE(IPC_Trimestriel!AZ21:BC21)-1)</f>
        <v>2.1349674369490756E-2</v>
      </c>
      <c r="BD21" s="75">
        <f>IF(OR(IPC_Trimestriel!BH21="",IPC_Trimestriel!BE21="",IPC_Trimestriel!BA21=""),"",AVERAGE(IPC_Trimestriel!BE21:BH21)/AVERAGE(IPC_Trimestriel!BA21:BD21)-1)</f>
        <v>1.6884174673777563E-2</v>
      </c>
      <c r="BE21" s="75">
        <f>IF(OR(IPC_Trimestriel!BI21="",IPC_Trimestriel!BF21="",IPC_Trimestriel!BB21=""),"",AVERAGE(IPC_Trimestriel!BF21:BI21)/AVERAGE(IPC_Trimestriel!BB21:BE21)-1)</f>
        <v>1.4629381071805225E-2</v>
      </c>
      <c r="BF21" s="75">
        <f>IF(OR(IPC_Trimestriel!BJ21="",IPC_Trimestriel!BG21="",IPC_Trimestriel!BC21=""),"",AVERAGE(IPC_Trimestriel!BG21:BJ21)/AVERAGE(IPC_Trimestriel!BC21:BF21)-1)</f>
        <v>1.7982564799944756E-2</v>
      </c>
      <c r="BG21" s="75">
        <f>IF(OR(IPC_Trimestriel!BK21="",IPC_Trimestriel!BH21="",IPC_Trimestriel!BD21=""),"",AVERAGE(IPC_Trimestriel!BH21:BK21)/AVERAGE(IPC_Trimestriel!BD21:BG21)-1)</f>
        <v>2.0535236777859067E-2</v>
      </c>
      <c r="BH21" s="75">
        <f>IF(OR(IPC_Trimestriel!BL21="",IPC_Trimestriel!BI21="",IPC_Trimestriel!BE21=""),"",AVERAGE(IPC_Trimestriel!BI21:BL21)/AVERAGE(IPC_Trimestriel!BE21:BH21)-1)</f>
        <v>2.5599385596738911E-2</v>
      </c>
      <c r="BI21" s="75">
        <f>IF(OR(IPC_Trimestriel!BM21="",IPC_Trimestriel!BJ21="",IPC_Trimestriel!BF21=""),"",AVERAGE(IPC_Trimestriel!BJ21:BM21)/AVERAGE(IPC_Trimestriel!BF21:BI21)-1)</f>
        <v>3.4061696329281244E-2</v>
      </c>
      <c r="BJ21" s="75">
        <f>IF(OR(IPC_Trimestriel!BN21="",IPC_Trimestriel!BK21="",IPC_Trimestriel!BG21=""),"",AVERAGE(IPC_Trimestriel!BK21:BN21)/AVERAGE(IPC_Trimestriel!BG21:BJ21)-1)</f>
        <v>3.3991638805315194E-2</v>
      </c>
      <c r="BK21" s="75">
        <f>IF(OR(IPC_Trimestriel!BO21="",IPC_Trimestriel!BL21="",IPC_Trimestriel!BH21=""),"",AVERAGE(IPC_Trimestriel!BL21:BO21)/AVERAGE(IPC_Trimestriel!BH21:BK21)-1)</f>
        <v>3.2581968045330312E-2</v>
      </c>
      <c r="BL21" s="75">
        <f>IF(OR(IPC_Trimestriel!BP21="",IPC_Trimestriel!BM21="",IPC_Trimestriel!BI21=""),"",AVERAGE(IPC_Trimestriel!BM21:BP21)/AVERAGE(IPC_Trimestriel!BI21:BL21)-1)</f>
        <v>2.961127094145688E-2</v>
      </c>
      <c r="BM21" s="75">
        <f>IF(OR(IPC_Trimestriel!BQ21="",IPC_Trimestriel!BN21="",IPC_Trimestriel!BJ21=""),"",AVERAGE(IPC_Trimestriel!BN21:BQ21)/AVERAGE(IPC_Trimestriel!BJ21:BM21)-1)</f>
        <v>2.2776187940977577E-2</v>
      </c>
      <c r="BN21" s="75">
        <f>IF(OR(IPC_Trimestriel!BR21="",IPC_Trimestriel!BO21="",IPC_Trimestriel!BK21=""),"",AVERAGE(IPC_Trimestriel!BO21:BR21)/AVERAGE(IPC_Trimestriel!BK21:BN21)-1)</f>
        <v>1.7877669797530915E-2</v>
      </c>
      <c r="BO21" s="75">
        <f>IF(OR(IPC_Trimestriel!BS21="",IPC_Trimestriel!BP21="",IPC_Trimestriel!BL21=""),"",AVERAGE(IPC_Trimestriel!BP21:BS21)/AVERAGE(IPC_Trimestriel!BL21:BO21)-1)</f>
        <v>1.2918041185516316E-2</v>
      </c>
      <c r="BP21" s="75">
        <f>IF(OR(IPC_Trimestriel!BT21="",IPC_Trimestriel!BQ21="",IPC_Trimestriel!BM21=""),"",AVERAGE(IPC_Trimestriel!BQ21:BT21)/AVERAGE(IPC_Trimestriel!BM21:BP21)-1)</f>
        <v>9.087222960107777E-3</v>
      </c>
      <c r="BQ21" s="75">
        <f>IF(OR(IPC_Trimestriel!BU21="",IPC_Trimestriel!BR21="",IPC_Trimestriel!BN21=""),"",AVERAGE(IPC_Trimestriel!BR21:BU21)/AVERAGE(IPC_Trimestriel!BN21:BQ21)-1)</f>
        <v>5.8496464890123168E-3</v>
      </c>
      <c r="BR21" s="75">
        <f>IF(OR(IPC_Trimestriel!BV21="",IPC_Trimestriel!BS21="",IPC_Trimestriel!BO21=""),"",AVERAGE(IPC_Trimestriel!BS21:BV21)/AVERAGE(IPC_Trimestriel!BO21:BR21)-1)</f>
        <v>5.0075379678982124E-3</v>
      </c>
      <c r="BS21" s="75">
        <f>IF(OR(IPC_Trimestriel!BW21="",IPC_Trimestriel!BT21="",IPC_Trimestriel!BP21=""),"",AVERAGE(IPC_Trimestriel!BT21:BW21)/AVERAGE(IPC_Trimestriel!BP21:BS21)-1)</f>
        <v>5.9235664963668277E-3</v>
      </c>
      <c r="BT21" s="75">
        <f>IF(OR(IPC_Trimestriel!BX21="",IPC_Trimestriel!BU21="",IPC_Trimestriel!BQ21=""),"",AVERAGE(IPC_Trimestriel!BU21:BX21)/AVERAGE(IPC_Trimestriel!BQ21:BT21)-1)</f>
        <v>5.6428020845236126E-3</v>
      </c>
      <c r="BU21" s="75">
        <f>IF(OR(IPC_Trimestriel!BY21="",IPC_Trimestriel!BV21="",IPC_Trimestriel!BR21=""),"",AVERAGE(IPC_Trimestriel!BV21:BY21)/AVERAGE(IPC_Trimestriel!BR21:BU21)-1)</f>
        <v>5.1508635928794178E-3</v>
      </c>
      <c r="BV21" s="75">
        <f>IF(OR(IPC_Trimestriel!BZ21="",IPC_Trimestriel!BW21="",IPC_Trimestriel!BS21=""),"",AVERAGE(IPC_Trimestriel!BW21:BZ21)/AVERAGE(IPC_Trimestriel!BS21:BV21)-1)</f>
        <v>4.3761314139090235E-3</v>
      </c>
      <c r="BW21" s="75">
        <f>IF(OR(IPC_Trimestriel!CA21="",IPC_Trimestriel!BX21="",IPC_Trimestriel!BT21=""),"",AVERAGE(IPC_Trimestriel!BX21:CA21)/AVERAGE(IPC_Trimestriel!BT21:BW21)-1)</f>
        <v>6.7755066028623023E-3</v>
      </c>
      <c r="BX21" s="75">
        <f>IF(OR(IPC_Trimestriel!CB21="",IPC_Trimestriel!BY21="",IPC_Trimestriel!BU21=""),"",AVERAGE(IPC_Trimestriel!BY21:CB21)/AVERAGE(IPC_Trimestriel!BU21:BX21)-1)</f>
        <v>1.1333869091535886E-2</v>
      </c>
      <c r="BY21" s="75">
        <f>IF(OR(IPC_Trimestriel!CC21="",IPC_Trimestriel!BZ21="",IPC_Trimestriel!BV21=""),"",AVERAGE(IPC_Trimestriel!BZ21:CC21)/AVERAGE(IPC_Trimestriel!BV21:BY21)-1)</f>
        <v>1.7551883497256116E-2</v>
      </c>
      <c r="BZ21" s="75">
        <f>IF(OR(IPC_Trimestriel!CD21="",IPC_Trimestriel!CA21="",IPC_Trimestriel!BW21=""),"",AVERAGE(IPC_Trimestriel!CA21:CD21)/AVERAGE(IPC_Trimestriel!BW21:BZ21)-1)</f>
        <v>2.3665479988269622E-2</v>
      </c>
      <c r="CA21" s="75">
        <f>IF(OR(IPC_Trimestriel!CE21="",IPC_Trimestriel!CB21="",IPC_Trimestriel!BX21=""),"",AVERAGE(IPC_Trimestriel!CB21:CE21)/AVERAGE(IPC_Trimestriel!BX21:CA21)-1)</f>
        <v>2.5575269619400931E-2</v>
      </c>
      <c r="CB21" s="75">
        <f>IF(OR(IPC_Trimestriel!CF21="",IPC_Trimestriel!CC21="",IPC_Trimestriel!BY21=""),"",AVERAGE(IPC_Trimestriel!CC21:CF21)/AVERAGE(IPC_Trimestriel!BY21:CB21)-1)</f>
        <v>2.6865569739749073E-2</v>
      </c>
      <c r="CC21" s="75">
        <f>IF(OR(IPC_Trimestriel!CG21="",IPC_Trimestriel!CD21="",IPC_Trimestriel!BZ21=""),"",AVERAGE(IPC_Trimestriel!CD21:CG21)/AVERAGE(IPC_Trimestriel!BZ21:CC21)-1)</f>
        <v>2.6755469909734764E-2</v>
      </c>
      <c r="CD21" s="75">
        <f>IF(OR(IPC_Trimestriel!CH21="",IPC_Trimestriel!CE21="",IPC_Trimestriel!CA21=""),"",AVERAGE(IPC_Trimestriel!CE21:CH21)/AVERAGE(IPC_Trimestriel!CA21:CD21)-1)</f>
        <v>2.6621762002037697E-2</v>
      </c>
      <c r="CE21" s="75">
        <f>IF(OR(IPC_Trimestriel!CI21="",IPC_Trimestriel!CF21="",IPC_Trimestriel!CB21=""),"",AVERAGE(IPC_Trimestriel!CF21:CI21)/AVERAGE(IPC_Trimestriel!CB21:CE21)-1)</f>
        <v>2.6384267645747084E-2</v>
      </c>
      <c r="CF21" s="75">
        <f>IF(OR(IPC_Trimestriel!CJ21="",IPC_Trimestriel!CG21="",IPC_Trimestriel!CC21=""),"",AVERAGE(IPC_Trimestriel!CG21:CJ21)/AVERAGE(IPC_Trimestriel!CC21:CF21)-1)</f>
        <v>2.3987724552502865E-2</v>
      </c>
      <c r="CG21" s="75">
        <f>IF(OR(IPC_Trimestriel!CK21="",IPC_Trimestriel!CH21="",IPC_Trimestriel!CD21=""),"",AVERAGE(IPC_Trimestriel!CH21:CK21)/AVERAGE(IPC_Trimestriel!CD21:CG21)-1)</f>
        <v>2.2763937531683265E-2</v>
      </c>
      <c r="CH21" s="75">
        <f>IF(OR(IPC_Trimestriel!CL21="",IPC_Trimestriel!CI21="",IPC_Trimestriel!CE21=""),"",AVERAGE(IPC_Trimestriel!CI21:CL21)/AVERAGE(IPC_Trimestriel!CE21:CH21)-1)</f>
        <v>2.2313790720330795E-2</v>
      </c>
      <c r="CI21" s="75">
        <f>IF(OR(IPC_Trimestriel!CM21="",IPC_Trimestriel!CJ21="",IPC_Trimestriel!CF21=""),"",AVERAGE(IPC_Trimestriel!CJ21:CM21)/AVERAGE(IPC_Trimestriel!CF21:CI21)-1)</f>
        <v>2.2339701930113254E-2</v>
      </c>
      <c r="CJ21" s="75">
        <f>IF(OR(IPC_Trimestriel!CN21="",IPC_Trimestriel!CK21="",IPC_Trimestriel!CG21=""),"",AVERAGE(IPC_Trimestriel!CK21:CN21)/AVERAGE(IPC_Trimestriel!CG21:CJ21)-1)</f>
        <v>2.8502926437169451E-2</v>
      </c>
      <c r="CK21" s="75">
        <f>IF(OR(IPC_Trimestriel!CO21="",IPC_Trimestriel!CL21="",IPC_Trimestriel!CH21=""),"",AVERAGE(IPC_Trimestriel!CL21:CO21)/AVERAGE(IPC_Trimestriel!CH21:CK21)-1)</f>
        <v>3.7322494138928741E-2</v>
      </c>
      <c r="CL21" s="75">
        <f>IF(OR(IPC_Trimestriel!CP21="",IPC_Trimestriel!CM21="",IPC_Trimestriel!CI21=""),"",AVERAGE(IPC_Trimestriel!CM21:CP21)/AVERAGE(IPC_Trimestriel!CI21:CL21)-1)</f>
        <v>4.8713109806835408E-2</v>
      </c>
      <c r="CM21" s="75">
        <f>IF(OR(IPC_Trimestriel!CQ21="",IPC_Trimestriel!CN21="",IPC_Trimestriel!CJ21=""),"",AVERAGE(IPC_Trimestriel!CN21:CQ21)/AVERAGE(IPC_Trimestriel!CJ21:CM21)-1)</f>
        <v>6.3586760745100168E-2</v>
      </c>
      <c r="CN21" s="75">
        <f>IF(OR(IPC_Trimestriel!CR21="",IPC_Trimestriel!CO21="",IPC_Trimestriel!CK21=""),"",AVERAGE(IPC_Trimestriel!CO21:CR21)/AVERAGE(IPC_Trimestriel!CK21:CN21)-1)</f>
        <v>7.4539842558194236E-2</v>
      </c>
      <c r="CO21" s="75">
        <f>IF(OR(IPC_Trimestriel!CS21="",IPC_Trimestriel!CP21="",IPC_Trimestriel!CL21=""),"",AVERAGE(IPC_Trimestriel!CP21:CS21)/AVERAGE(IPC_Trimestriel!CL21:CO21)-1)</f>
        <v>8.2520653275897748E-2</v>
      </c>
      <c r="CP21" s="75">
        <f>IF(OR(IPC_Trimestriel!CT21="",IPC_Trimestriel!CQ21="",IPC_Trimestriel!CM21=""),"",AVERAGE(IPC_Trimestriel!CQ21:CT21)/AVERAGE(IPC_Trimestriel!CM21:CP21)-1)</f>
        <v>8.5009653234870974E-2</v>
      </c>
    </row>
    <row r="22" spans="1:94" s="81" customFormat="1" ht="10.199999999999999" x14ac:dyDescent="0.2">
      <c r="B22" s="81" t="s">
        <v>4</v>
      </c>
      <c r="D22" s="84"/>
      <c r="E22" s="84"/>
      <c r="F22" s="84"/>
      <c r="G22" s="84" t="str">
        <f>IF(OR(IPC_Trimestriel!K22="",IPC_Trimestriel!H22="",IPC_Trimestriel!D22=""),"",AVERAGE(IPC_Trimestriel!H22:K22)/AVERAGE(IPC_Trimestriel!D22:G22)-1)</f>
        <v/>
      </c>
      <c r="H22" s="84" t="str">
        <f>IF(OR(IPC_Trimestriel!L22="",IPC_Trimestriel!I22="",IPC_Trimestriel!E22=""),"",AVERAGE(IPC_Trimestriel!I22:L22)/AVERAGE(IPC_Trimestriel!E22:H22)-1)</f>
        <v/>
      </c>
      <c r="I22" s="84" t="str">
        <f>IF(OR(IPC_Trimestriel!M22="",IPC_Trimestriel!J22="",IPC_Trimestriel!F22=""),"",AVERAGE(IPC_Trimestriel!J22:M22)/AVERAGE(IPC_Trimestriel!F22:I22)-1)</f>
        <v/>
      </c>
      <c r="J22" s="84" t="str">
        <f>IF(OR(IPC_Trimestriel!N22="",IPC_Trimestriel!K22="",IPC_Trimestriel!G22=""),"",AVERAGE(IPC_Trimestriel!K22:N22)/AVERAGE(IPC_Trimestriel!G22:J22)-1)</f>
        <v/>
      </c>
      <c r="K22" s="84" t="str">
        <f>IF(OR(IPC_Trimestriel!O22="",IPC_Trimestriel!L22="",IPC_Trimestriel!H22=""),"",AVERAGE(IPC_Trimestriel!L22:O22)/AVERAGE(IPC_Trimestriel!H22:K22)-1)</f>
        <v/>
      </c>
      <c r="L22" s="84" t="str">
        <f>IF(OR(IPC_Trimestriel!P22="",IPC_Trimestriel!M22="",IPC_Trimestriel!I22=""),"",AVERAGE(IPC_Trimestriel!M22:P22)/AVERAGE(IPC_Trimestriel!I22:L22)-1)</f>
        <v/>
      </c>
      <c r="M22" s="84" t="str">
        <f>IF(OR(IPC_Trimestriel!Q22="",IPC_Trimestriel!N22="",IPC_Trimestriel!J22=""),"",AVERAGE(IPC_Trimestriel!N22:Q22)/AVERAGE(IPC_Trimestriel!J22:M22)-1)</f>
        <v/>
      </c>
      <c r="N22" s="84" t="str">
        <f>IF(OR(IPC_Trimestriel!R22="",IPC_Trimestriel!O22="",IPC_Trimestriel!K22=""),"",AVERAGE(IPC_Trimestriel!O22:R22)/AVERAGE(IPC_Trimestriel!K22:N22)-1)</f>
        <v/>
      </c>
      <c r="O22" s="84" t="str">
        <f>IF(OR(IPC_Trimestriel!S22="",IPC_Trimestriel!P22="",IPC_Trimestriel!L22=""),"",AVERAGE(IPC_Trimestriel!P22:S22)/AVERAGE(IPC_Trimestriel!L22:O22)-1)</f>
        <v/>
      </c>
      <c r="P22" s="84" t="str">
        <f>IF(OR(IPC_Trimestriel!T22="",IPC_Trimestriel!Q22="",IPC_Trimestriel!M22=""),"",AVERAGE(IPC_Trimestriel!Q22:T22)/AVERAGE(IPC_Trimestriel!M22:P22)-1)</f>
        <v/>
      </c>
      <c r="Q22" s="84" t="str">
        <f>IF(OR(IPC_Trimestriel!U22="",IPC_Trimestriel!R22="",IPC_Trimestriel!N22=""),"",AVERAGE(IPC_Trimestriel!R22:U22)/AVERAGE(IPC_Trimestriel!N22:Q22)-1)</f>
        <v/>
      </c>
      <c r="R22" s="84" t="str">
        <f>IF(OR(IPC_Trimestriel!V22="",IPC_Trimestriel!S22="",IPC_Trimestriel!O22=""),"",AVERAGE(IPC_Trimestriel!S22:V22)/AVERAGE(IPC_Trimestriel!O22:R22)-1)</f>
        <v/>
      </c>
      <c r="S22" s="84" t="str">
        <f>IF(OR(IPC_Trimestriel!W22="",IPC_Trimestriel!T22="",IPC_Trimestriel!P22=""),"",AVERAGE(IPC_Trimestriel!T22:W22)/AVERAGE(IPC_Trimestriel!P22:S22)-1)</f>
        <v/>
      </c>
      <c r="T22" s="84" t="str">
        <f>IF(OR(IPC_Trimestriel!X22="",IPC_Trimestriel!U22="",IPC_Trimestriel!Q22=""),"",AVERAGE(IPC_Trimestriel!U22:X22)/AVERAGE(IPC_Trimestriel!Q22:T22)-1)</f>
        <v/>
      </c>
      <c r="U22" s="84" t="str">
        <f>IF(OR(IPC_Trimestriel!Y22="",IPC_Trimestriel!V22="",IPC_Trimestriel!R22=""),"",AVERAGE(IPC_Trimestriel!V22:Y22)/AVERAGE(IPC_Trimestriel!R22:U22)-1)</f>
        <v/>
      </c>
      <c r="V22" s="84" t="str">
        <f>IF(OR(IPC_Trimestriel!Z22="",IPC_Trimestriel!W22="",IPC_Trimestriel!S22=""),"",AVERAGE(IPC_Trimestriel!W22:Z22)/AVERAGE(IPC_Trimestriel!S22:V22)-1)</f>
        <v/>
      </c>
      <c r="W22" s="84" t="str">
        <f>IF(OR(IPC_Trimestriel!AA22="",IPC_Trimestriel!X22="",IPC_Trimestriel!T22=""),"",AVERAGE(IPC_Trimestriel!X22:AA22)/AVERAGE(IPC_Trimestriel!T22:W22)-1)</f>
        <v/>
      </c>
      <c r="X22" s="84" t="str">
        <f>IF(OR(IPC_Trimestriel!AB22="",IPC_Trimestriel!Y22="",IPC_Trimestriel!U22=""),"",AVERAGE(IPC_Trimestriel!Y22:AB22)/AVERAGE(IPC_Trimestriel!U22:X22)-1)</f>
        <v/>
      </c>
      <c r="Y22" s="84" t="str">
        <f>IF(OR(IPC_Trimestriel!AC22="",IPC_Trimestriel!Z22="",IPC_Trimestriel!V22=""),"",AVERAGE(IPC_Trimestriel!Z22:AC22)/AVERAGE(IPC_Trimestriel!V22:Y22)-1)</f>
        <v/>
      </c>
      <c r="Z22" s="84" t="str">
        <f>IF(OR(IPC_Trimestriel!AD22="",IPC_Trimestriel!AA22="",IPC_Trimestriel!W22=""),"",AVERAGE(IPC_Trimestriel!AA22:AD22)/AVERAGE(IPC_Trimestriel!W22:Z22)-1)</f>
        <v/>
      </c>
      <c r="AA22" s="84" t="str">
        <f>IF(OR(IPC_Trimestriel!AE22="",IPC_Trimestriel!AB22="",IPC_Trimestriel!X22=""),"",AVERAGE(IPC_Trimestriel!AB22:AE22)/AVERAGE(IPC_Trimestriel!X22:AA22)-1)</f>
        <v/>
      </c>
      <c r="AB22" s="84" t="str">
        <f>IF(OR(IPC_Trimestriel!AF22="",IPC_Trimestriel!AC22="",IPC_Trimestriel!Y22=""),"",AVERAGE(IPC_Trimestriel!AC22:AF22)/AVERAGE(IPC_Trimestriel!Y22:AB22)-1)</f>
        <v/>
      </c>
      <c r="AC22" s="84" t="str">
        <f>IF(OR(IPC_Trimestriel!AG22="",IPC_Trimestriel!AD22="",IPC_Trimestriel!Z22=""),"",AVERAGE(IPC_Trimestriel!AD22:AG22)/AVERAGE(IPC_Trimestriel!Z22:AC22)-1)</f>
        <v/>
      </c>
      <c r="AD22" s="84" t="str">
        <f>IF(OR(IPC_Trimestriel!AH22="",IPC_Trimestriel!AE22="",IPC_Trimestriel!AA22=""),"",AVERAGE(IPC_Trimestriel!AE22:AH22)/AVERAGE(IPC_Trimestriel!AA22:AD22)-1)</f>
        <v/>
      </c>
      <c r="AE22" s="84" t="str">
        <f>IF(OR(IPC_Trimestriel!AI22="",IPC_Trimestriel!AF22="",IPC_Trimestriel!AB22=""),"",AVERAGE(IPC_Trimestriel!AF22:AI22)/AVERAGE(IPC_Trimestriel!AB22:AE22)-1)</f>
        <v/>
      </c>
      <c r="AF22" s="84" t="str">
        <f>IF(OR(IPC_Trimestriel!AJ22="",IPC_Trimestriel!AG22="",IPC_Trimestriel!AC22=""),"",AVERAGE(IPC_Trimestriel!AG22:AJ22)/AVERAGE(IPC_Trimestriel!AC22:AF22)-1)</f>
        <v/>
      </c>
      <c r="AG22" s="84" t="str">
        <f>IF(OR(IPC_Trimestriel!AK22="",IPC_Trimestriel!AH22="",IPC_Trimestriel!AD22=""),"",AVERAGE(IPC_Trimestriel!AH22:AK22)/AVERAGE(IPC_Trimestriel!AD22:AG22)-1)</f>
        <v/>
      </c>
      <c r="AH22" s="84" t="str">
        <f>IF(OR(IPC_Trimestriel!AL22="",IPC_Trimestriel!AI22="",IPC_Trimestriel!AE22=""),"",AVERAGE(IPC_Trimestriel!AI22:AL22)/AVERAGE(IPC_Trimestriel!AE22:AH22)-1)</f>
        <v/>
      </c>
      <c r="AI22" s="84" t="str">
        <f>IF(OR(IPC_Trimestriel!AM22="",IPC_Trimestriel!AJ22="",IPC_Trimestriel!AF22=""),"",AVERAGE(IPC_Trimestriel!AJ22:AM22)/AVERAGE(IPC_Trimestriel!AF22:AI22)-1)</f>
        <v/>
      </c>
      <c r="AJ22" s="84" t="str">
        <f>IF(OR(IPC_Trimestriel!AN22="",IPC_Trimestriel!AK22="",IPC_Trimestriel!AG22=""),"",AVERAGE(IPC_Trimestriel!AK22:AN22)/AVERAGE(IPC_Trimestriel!AG22:AJ22)-1)</f>
        <v/>
      </c>
      <c r="AK22" s="84" t="str">
        <f>IF(OR(IPC_Trimestriel!AO22="",IPC_Trimestriel!AL22="",IPC_Trimestriel!AH22=""),"",AVERAGE(IPC_Trimestriel!AL22:AO22)/AVERAGE(IPC_Trimestriel!AH22:AK22)-1)</f>
        <v/>
      </c>
      <c r="AL22" s="84" t="str">
        <f>IF(OR(IPC_Trimestriel!AP22="",IPC_Trimestriel!AM22="",IPC_Trimestriel!AI22=""),"",AVERAGE(IPC_Trimestriel!AM22:AP22)/AVERAGE(IPC_Trimestriel!AI22:AL22)-1)</f>
        <v/>
      </c>
      <c r="AM22" s="84" t="str">
        <f>IF(OR(IPC_Trimestriel!AQ22="",IPC_Trimestriel!AN22="",IPC_Trimestriel!AJ22=""),"",AVERAGE(IPC_Trimestriel!AN22:AQ22)/AVERAGE(IPC_Trimestriel!AJ22:AM22)-1)</f>
        <v/>
      </c>
      <c r="AN22" s="84" t="str">
        <f>IF(OR(IPC_Trimestriel!AR22="",IPC_Trimestriel!AO22="",IPC_Trimestriel!AK22=""),"",AVERAGE(IPC_Trimestriel!AO22:AR22)/AVERAGE(IPC_Trimestriel!AK22:AN22)-1)</f>
        <v/>
      </c>
      <c r="AO22" s="84" t="str">
        <f>IF(OR(IPC_Trimestriel!AS22="",IPC_Trimestriel!AP22="",IPC_Trimestriel!AL22=""),"",AVERAGE(IPC_Trimestriel!AP22:AS22)/AVERAGE(IPC_Trimestriel!AL22:AO22)-1)</f>
        <v/>
      </c>
      <c r="AP22" s="84" t="str">
        <f>IF(OR(IPC_Trimestriel!AT22="",IPC_Trimestriel!AQ22="",IPC_Trimestriel!AM22=""),"",AVERAGE(IPC_Trimestriel!AQ22:AT22)/AVERAGE(IPC_Trimestriel!AM22:AP22)-1)</f>
        <v/>
      </c>
      <c r="AQ22" s="84" t="str">
        <f>IF(OR(IPC_Trimestriel!AU22="",IPC_Trimestriel!AR22="",IPC_Trimestriel!AN22=""),"",AVERAGE(IPC_Trimestriel!AR22:AU22)/AVERAGE(IPC_Trimestriel!AN22:AQ22)-1)</f>
        <v/>
      </c>
      <c r="AR22" s="84" t="str">
        <f>IF(OR(IPC_Trimestriel!AV22="",IPC_Trimestriel!AS22="",IPC_Trimestriel!AO22=""),"",AVERAGE(IPC_Trimestriel!AS22:AV22)/AVERAGE(IPC_Trimestriel!AO22:AR22)-1)</f>
        <v/>
      </c>
      <c r="AS22" s="84" t="str">
        <f>IF(OR(IPC_Trimestriel!AW22="",IPC_Trimestriel!AT22="",IPC_Trimestriel!AP22=""),"",AVERAGE(IPC_Trimestriel!AT22:AW22)/AVERAGE(IPC_Trimestriel!AP22:AS22)-1)</f>
        <v/>
      </c>
      <c r="AT22" s="84" t="str">
        <f>IF(OR(IPC_Trimestriel!AX22="",IPC_Trimestriel!AU22="",IPC_Trimestriel!AQ22=""),"",AVERAGE(IPC_Trimestriel!AU22:AX22)/AVERAGE(IPC_Trimestriel!AQ22:AT22)-1)</f>
        <v/>
      </c>
      <c r="AU22" s="84" t="str">
        <f>IF(OR(IPC_Trimestriel!AY22="",IPC_Trimestriel!AV22="",IPC_Trimestriel!AR22=""),"",AVERAGE(IPC_Trimestriel!AV22:AY22)/AVERAGE(IPC_Trimestriel!AR22:AU22)-1)</f>
        <v/>
      </c>
      <c r="AV22" s="84" t="str">
        <f>IF(OR(IPC_Trimestriel!AZ22="",IPC_Trimestriel!AW22="",IPC_Trimestriel!AS22=""),"",AVERAGE(IPC_Trimestriel!AW22:AZ22)/AVERAGE(IPC_Trimestriel!AS22:AV22)-1)</f>
        <v/>
      </c>
      <c r="AW22" s="84" t="str">
        <f>IF(OR(IPC_Trimestriel!BA22="",IPC_Trimestriel!AX22="",IPC_Trimestriel!AT22=""),"",AVERAGE(IPC_Trimestriel!AX22:BA22)/AVERAGE(IPC_Trimestriel!AT22:AW22)-1)</f>
        <v/>
      </c>
      <c r="AX22" s="84" t="str">
        <f>IF(OR(IPC_Trimestriel!BB22="",IPC_Trimestriel!AY22="",IPC_Trimestriel!AU22=""),"",AVERAGE(IPC_Trimestriel!AY22:BB22)/AVERAGE(IPC_Trimestriel!AU22:AX22)-1)</f>
        <v/>
      </c>
      <c r="AY22" s="84" t="str">
        <f>IF(OR(IPC_Trimestriel!BC22="",IPC_Trimestriel!AZ22="",IPC_Trimestriel!AV22=""),"",AVERAGE(IPC_Trimestriel!AZ22:BC22)/AVERAGE(IPC_Trimestriel!AV22:AY22)-1)</f>
        <v/>
      </c>
      <c r="AZ22" s="84" t="str">
        <f>IF(OR(IPC_Trimestriel!BD22="",IPC_Trimestriel!BA22="",IPC_Trimestriel!AW22=""),"",AVERAGE(IPC_Trimestriel!BA22:BD22)/AVERAGE(IPC_Trimestriel!AW22:AZ22)-1)</f>
        <v/>
      </c>
      <c r="BA22" s="84" t="str">
        <f>IF(OR(IPC_Trimestriel!BE22="",IPC_Trimestriel!BB22="",IPC_Trimestriel!AX22=""),"",AVERAGE(IPC_Trimestriel!BB22:BE22)/AVERAGE(IPC_Trimestriel!AX22:BA22)-1)</f>
        <v/>
      </c>
      <c r="BB22" s="84" t="str">
        <f>IF(OR(IPC_Trimestriel!BF22="",IPC_Trimestriel!BC22="",IPC_Trimestriel!AY22=""),"",AVERAGE(IPC_Trimestriel!BC22:BF22)/AVERAGE(IPC_Trimestriel!AY22:BB22)-1)</f>
        <v/>
      </c>
      <c r="BC22" s="84">
        <f>IF(OR(IPC_Trimestriel!BG22="",IPC_Trimestriel!BD22="",IPC_Trimestriel!AZ22=""),"",AVERAGE(IPC_Trimestriel!BD22:BG22)/AVERAGE(IPC_Trimestriel!AZ22:BC22)-1)</f>
        <v>1.7813148686634417E-2</v>
      </c>
      <c r="BD22" s="84">
        <f>IF(OR(IPC_Trimestriel!BH22="",IPC_Trimestriel!BE22="",IPC_Trimestriel!BA22=""),"",AVERAGE(IPC_Trimestriel!BE22:BH22)/AVERAGE(IPC_Trimestriel!BA22:BD22)-1)</f>
        <v>1.4903747487210683E-2</v>
      </c>
      <c r="BE22" s="84">
        <f>IF(OR(IPC_Trimestriel!BI22="",IPC_Trimestriel!BF22="",IPC_Trimestriel!BB22=""),"",AVERAGE(IPC_Trimestriel!BF22:BI22)/AVERAGE(IPC_Trimestriel!BB22:BE22)-1)</f>
        <v>1.2436664982954149E-2</v>
      </c>
      <c r="BF22" s="84">
        <f>IF(OR(IPC_Trimestriel!BJ22="",IPC_Trimestriel!BG22="",IPC_Trimestriel!BC22=""),"",AVERAGE(IPC_Trimestriel!BG22:BJ22)/AVERAGE(IPC_Trimestriel!BC22:BF22)-1)</f>
        <v>1.3594804978039221E-2</v>
      </c>
      <c r="BG22" s="84">
        <f>IF(OR(IPC_Trimestriel!BK22="",IPC_Trimestriel!BH22="",IPC_Trimestriel!BD22=""),"",AVERAGE(IPC_Trimestriel!BH22:BK22)/AVERAGE(IPC_Trimestriel!BD22:BG22)-1)</f>
        <v>1.2844232465401673E-2</v>
      </c>
      <c r="BH22" s="84">
        <f>IF(OR(IPC_Trimestriel!BL22="",IPC_Trimestriel!BI22="",IPC_Trimestriel!BE22=""),"",AVERAGE(IPC_Trimestriel!BI22:BL22)/AVERAGE(IPC_Trimestriel!BE22:BH22)-1)</f>
        <v>1.3757044642650262E-2</v>
      </c>
      <c r="BI22" s="84">
        <f>IF(OR(IPC_Trimestriel!BM22="",IPC_Trimestriel!BJ22="",IPC_Trimestriel!BF22=""),"",AVERAGE(IPC_Trimestriel!BJ22:BM22)/AVERAGE(IPC_Trimestriel!BF22:BI22)-1)</f>
        <v>1.6023939504844487E-2</v>
      </c>
      <c r="BJ22" s="84">
        <f>IF(OR(IPC_Trimestriel!BN22="",IPC_Trimestriel!BK22="",IPC_Trimestriel!BG22=""),"",AVERAGE(IPC_Trimestriel!BK22:BN22)/AVERAGE(IPC_Trimestriel!BG22:BJ22)-1)</f>
        <v>1.094114197032825E-2</v>
      </c>
      <c r="BK22" s="84">
        <f>IF(OR(IPC_Trimestriel!BO22="",IPC_Trimestriel!BL22="",IPC_Trimestriel!BH22=""),"",AVERAGE(IPC_Trimestriel!BL22:BO22)/AVERAGE(IPC_Trimestriel!BH22:BK22)-1)</f>
        <v>8.4291123887312303E-3</v>
      </c>
      <c r="BL22" s="84">
        <f>IF(OR(IPC_Trimestriel!BP22="",IPC_Trimestriel!BM22="",IPC_Trimestriel!BI22=""),"",AVERAGE(IPC_Trimestriel!BM22:BP22)/AVERAGE(IPC_Trimestriel!BI22:BL22)-1)</f>
        <v>5.04386034858606E-3</v>
      </c>
      <c r="BM22" s="84">
        <f>IF(OR(IPC_Trimestriel!BQ22="",IPC_Trimestriel!BN22="",IPC_Trimestriel!BJ22=""),"",AVERAGE(IPC_Trimestriel!BN22:BQ22)/AVERAGE(IPC_Trimestriel!BJ22:BM22)-1)</f>
        <v>-8.6254849356437457E-4</v>
      </c>
      <c r="BN22" s="84">
        <f>IF(OR(IPC_Trimestriel!BR22="",IPC_Trimestriel!BO22="",IPC_Trimestriel!BK22=""),"",AVERAGE(IPC_Trimestriel!BO22:BR22)/AVERAGE(IPC_Trimestriel!BK22:BN22)-1)</f>
        <v>-2.9759989855628888E-3</v>
      </c>
      <c r="BO22" s="84">
        <f>IF(OR(IPC_Trimestriel!BS22="",IPC_Trimestriel!BP22="",IPC_Trimestriel!BL22=""),"",AVERAGE(IPC_Trimestriel!BP22:BS22)/AVERAGE(IPC_Trimestriel!BL22:BO22)-1)</f>
        <v>-5.9874433002815586E-3</v>
      </c>
      <c r="BP22" s="84">
        <f>IF(OR(IPC_Trimestriel!BT22="",IPC_Trimestriel!BQ22="",IPC_Trimestriel!BM22=""),"",AVERAGE(IPC_Trimestriel!BQ22:BT22)/AVERAGE(IPC_Trimestriel!BM22:BP22)-1)</f>
        <v>-6.6488225594041328E-3</v>
      </c>
      <c r="BQ22" s="84">
        <f>IF(OR(IPC_Trimestriel!BU22="",IPC_Trimestriel!BR22="",IPC_Trimestriel!BN22=""),"",AVERAGE(IPC_Trimestriel!BR22:BU22)/AVERAGE(IPC_Trimestriel!BN22:BQ22)-1)</f>
        <v>-4.3051314454662926E-3</v>
      </c>
      <c r="BR22" s="84">
        <f>IF(OR(IPC_Trimestriel!BV22="",IPC_Trimestriel!BS22="",IPC_Trimestriel!BO22=""),"",AVERAGE(IPC_Trimestriel!BS22:BV22)/AVERAGE(IPC_Trimestriel!BO22:BR22)-1)</f>
        <v>-4.1278942149247655E-4</v>
      </c>
      <c r="BS22" s="84">
        <f>IF(OR(IPC_Trimestriel!BW22="",IPC_Trimestriel!BT22="",IPC_Trimestriel!BP22=""),"",AVERAGE(IPC_Trimestriel!BT22:BW22)/AVERAGE(IPC_Trimestriel!BP22:BS22)-1)</f>
        <v>4.1807221654828197E-3</v>
      </c>
      <c r="BT22" s="84">
        <f>IF(OR(IPC_Trimestriel!BX22="",IPC_Trimestriel!BU22="",IPC_Trimestriel!BQ22=""),"",AVERAGE(IPC_Trimestriel!BU22:BX22)/AVERAGE(IPC_Trimestriel!BQ22:BT22)-1)</f>
        <v>8.8120482510400944E-3</v>
      </c>
      <c r="BU22" s="84">
        <f>IF(OR(IPC_Trimestriel!BY22="",IPC_Trimestriel!BV22="",IPC_Trimestriel!BR22=""),"",AVERAGE(IPC_Trimestriel!BV22:BY22)/AVERAGE(IPC_Trimestriel!BR22:BU22)-1)</f>
        <v>1.3362980297708216E-2</v>
      </c>
      <c r="BV22" s="84">
        <f>IF(OR(IPC_Trimestriel!BZ22="",IPC_Trimestriel!BW22="",IPC_Trimestriel!BS22=""),"",AVERAGE(IPC_Trimestriel!BW22:BZ22)/AVERAGE(IPC_Trimestriel!BS22:BV22)-1)</f>
        <v>1.6805941242861167E-2</v>
      </c>
      <c r="BW22" s="84">
        <f>IF(OR(IPC_Trimestriel!CA22="",IPC_Trimestriel!BX22="",IPC_Trimestriel!BT22=""),"",AVERAGE(IPC_Trimestriel!BX22:CA22)/AVERAGE(IPC_Trimestriel!BT22:BW22)-1)</f>
        <v>2.0052335409656896E-2</v>
      </c>
      <c r="BX22" s="84">
        <f>IF(OR(IPC_Trimestriel!CB22="",IPC_Trimestriel!BY22="",IPC_Trimestriel!BU22=""),"",AVERAGE(IPC_Trimestriel!BY22:CB22)/AVERAGE(IPC_Trimestriel!BU22:BX22)-1)</f>
        <v>2.2899522478100343E-2</v>
      </c>
      <c r="BY22" s="84">
        <f>IF(OR(IPC_Trimestriel!CC22="",IPC_Trimestriel!BZ22="",IPC_Trimestriel!BV22=""),"",AVERAGE(IPC_Trimestriel!BZ22:CC22)/AVERAGE(IPC_Trimestriel!BV22:BY22)-1)</f>
        <v>2.3871479864439715E-2</v>
      </c>
      <c r="BZ22" s="84">
        <f>IF(OR(IPC_Trimestriel!CD22="",IPC_Trimestriel!CA22="",IPC_Trimestriel!BW22=""),"",AVERAGE(IPC_Trimestriel!CA22:CD22)/AVERAGE(IPC_Trimestriel!BW22:BZ22)-1)</f>
        <v>2.2862197685200814E-2</v>
      </c>
      <c r="CA22" s="84">
        <f>IF(OR(IPC_Trimestriel!CE22="",IPC_Trimestriel!CB22="",IPC_Trimestriel!BX22=""),"",AVERAGE(IPC_Trimestriel!CB22:CE22)/AVERAGE(IPC_Trimestriel!BX22:CA22)-1)</f>
        <v>2.1804632491706499E-2</v>
      </c>
      <c r="CB22" s="84">
        <f>IF(OR(IPC_Trimestriel!CF22="",IPC_Trimestriel!CC22="",IPC_Trimestriel!BY22=""),"",AVERAGE(IPC_Trimestriel!CC22:CF22)/AVERAGE(IPC_Trimestriel!BY22:CB22)-1)</f>
        <v>1.9422623840481545E-2</v>
      </c>
      <c r="CC22" s="84">
        <f>IF(OR(IPC_Trimestriel!CG22="",IPC_Trimestriel!CD22="",IPC_Trimestriel!BZ22=""),"",AVERAGE(IPC_Trimestriel!CD22:CG22)/AVERAGE(IPC_Trimestriel!BZ22:CC22)-1)</f>
        <v>1.9086160390212825E-2</v>
      </c>
      <c r="CD22" s="84">
        <f>IF(OR(IPC_Trimestriel!CH22="",IPC_Trimestriel!CE22="",IPC_Trimestriel!CA22=""),"",AVERAGE(IPC_Trimestriel!CE22:CH22)/AVERAGE(IPC_Trimestriel!CA22:CD22)-1)</f>
        <v>2.127567805508046E-2</v>
      </c>
      <c r="CE22" s="84">
        <f>IF(OR(IPC_Trimestriel!CI22="",IPC_Trimestriel!CF22="",IPC_Trimestriel!CB22=""),"",AVERAGE(IPC_Trimestriel!CF22:CI22)/AVERAGE(IPC_Trimestriel!CB22:CE22)-1)</f>
        <v>2.3605737128454152E-2</v>
      </c>
      <c r="CF22" s="84">
        <f>IF(OR(IPC_Trimestriel!CJ22="",IPC_Trimestriel!CG22="",IPC_Trimestriel!CC22=""),"",AVERAGE(IPC_Trimestriel!CG22:CJ22)/AVERAGE(IPC_Trimestriel!CC22:CF22)-1)</f>
        <v>2.7873944499488656E-2</v>
      </c>
      <c r="CG22" s="84">
        <f>IF(OR(IPC_Trimestriel!CK22="",IPC_Trimestriel!CH22="",IPC_Trimestriel!CD22=""),"",AVERAGE(IPC_Trimestriel!CH22:CK22)/AVERAGE(IPC_Trimestriel!CD22:CG22)-1)</f>
        <v>2.9609095535104712E-2</v>
      </c>
      <c r="CH22" s="84">
        <f>IF(OR(IPC_Trimestriel!CL22="",IPC_Trimestriel!CI22="",IPC_Trimestriel!CE22=""),"",AVERAGE(IPC_Trimestriel!CI22:CL22)/AVERAGE(IPC_Trimestriel!CE22:CH22)-1)</f>
        <v>3.0253644882118458E-2</v>
      </c>
      <c r="CI22" s="84">
        <f>IF(OR(IPC_Trimestriel!CM22="",IPC_Trimestriel!CJ22="",IPC_Trimestriel!CF22=""),"",AVERAGE(IPC_Trimestriel!CJ22:CM22)/AVERAGE(IPC_Trimestriel!CF22:CI22)-1)</f>
        <v>3.0436975362917007E-2</v>
      </c>
      <c r="CJ22" s="84">
        <f>IF(OR(IPC_Trimestriel!CN22="",IPC_Trimestriel!CK22="",IPC_Trimestriel!CG22=""),"",AVERAGE(IPC_Trimestriel!CK22:CN22)/AVERAGE(IPC_Trimestriel!CG22:CJ22)-1)</f>
        <v>3.0691979763789456E-2</v>
      </c>
      <c r="CK22" s="84">
        <f>IF(OR(IPC_Trimestriel!CO22="",IPC_Trimestriel!CL22="",IPC_Trimestriel!CH22=""),"",AVERAGE(IPC_Trimestriel!CL22:CO22)/AVERAGE(IPC_Trimestriel!CH22:CK22)-1)</f>
        <v>3.5598904951135601E-2</v>
      </c>
      <c r="CL22" s="84">
        <f>IF(OR(IPC_Trimestriel!CP22="",IPC_Trimestriel!CM22="",IPC_Trimestriel!CI22=""),"",AVERAGE(IPC_Trimestriel!CM22:CP22)/AVERAGE(IPC_Trimestriel!CI22:CL22)-1)</f>
        <v>4.2245368885930557E-2</v>
      </c>
      <c r="CM22" s="84">
        <f>IF(OR(IPC_Trimestriel!CQ22="",IPC_Trimestriel!CN22="",IPC_Trimestriel!CJ22=""),"",AVERAGE(IPC_Trimestriel!CN22:CQ22)/AVERAGE(IPC_Trimestriel!CJ22:CM22)-1)</f>
        <v>5.0180740447476113E-2</v>
      </c>
      <c r="CN22" s="84">
        <f>IF(OR(IPC_Trimestriel!CR22="",IPC_Trimestriel!CO22="",IPC_Trimestriel!CK22=""),"",AVERAGE(IPC_Trimestriel!CO22:CR22)/AVERAGE(IPC_Trimestriel!CK22:CN22)-1)</f>
        <v>5.7292824713328416E-2</v>
      </c>
      <c r="CO22" s="84">
        <f>IF(OR(IPC_Trimestriel!CS22="",IPC_Trimestriel!CP22="",IPC_Trimestriel!CL22=""),"",AVERAGE(IPC_Trimestriel!CP22:CS22)/AVERAGE(IPC_Trimestriel!CL22:CO22)-1)</f>
        <v>5.9763044864813208E-2</v>
      </c>
      <c r="CP22" s="84">
        <f>IF(OR(IPC_Trimestriel!CT22="",IPC_Trimestriel!CQ22="",IPC_Trimestriel!CM22=""),"",AVERAGE(IPC_Trimestriel!CQ22:CT22)/AVERAGE(IPC_Trimestriel!CM22:CP22)-1)</f>
        <v>5.9705217165970659E-2</v>
      </c>
    </row>
    <row r="23" spans="1:94" s="74" customFormat="1" ht="10.199999999999999" x14ac:dyDescent="0.2"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</row>
    <row r="24" spans="1:94" s="74" customFormat="1" ht="10.199999999999999" x14ac:dyDescent="0.2">
      <c r="B24" s="3" t="s">
        <v>104</v>
      </c>
      <c r="D24" s="75"/>
      <c r="E24" s="75"/>
      <c r="F24" s="75"/>
      <c r="G24" s="75" t="str">
        <f>IF(OR(IPC_Trimestriel!K24="",IPC_Trimestriel!H24="",IPC_Trimestriel!D24=""),"",AVERAGE(IPC_Trimestriel!H24:K24)/AVERAGE(IPC_Trimestriel!D24:G24)-1)</f>
        <v/>
      </c>
      <c r="H24" s="75" t="str">
        <f>IF(OR(IPC_Trimestriel!L24="",IPC_Trimestriel!I24="",IPC_Trimestriel!E24=""),"",AVERAGE(IPC_Trimestriel!I24:L24)/AVERAGE(IPC_Trimestriel!E24:H24)-1)</f>
        <v/>
      </c>
      <c r="I24" s="75" t="str">
        <f>IF(OR(IPC_Trimestriel!M24="",IPC_Trimestriel!J24="",IPC_Trimestriel!F24=""),"",AVERAGE(IPC_Trimestriel!J24:M24)/AVERAGE(IPC_Trimestriel!F24:I24)-1)</f>
        <v/>
      </c>
      <c r="J24" s="75" t="str">
        <f>IF(OR(IPC_Trimestriel!N24="",IPC_Trimestriel!K24="",IPC_Trimestriel!G24=""),"",AVERAGE(IPC_Trimestriel!K24:N24)/AVERAGE(IPC_Trimestriel!G24:J24)-1)</f>
        <v/>
      </c>
      <c r="K24" s="75" t="str">
        <f>IF(OR(IPC_Trimestriel!O24="",IPC_Trimestriel!L24="",IPC_Trimestriel!H24=""),"",AVERAGE(IPC_Trimestriel!L24:O24)/AVERAGE(IPC_Trimestriel!H24:K24)-1)</f>
        <v/>
      </c>
      <c r="L24" s="75" t="str">
        <f>IF(OR(IPC_Trimestriel!P24="",IPC_Trimestriel!M24="",IPC_Trimestriel!I24=""),"",AVERAGE(IPC_Trimestriel!M24:P24)/AVERAGE(IPC_Trimestriel!I24:L24)-1)</f>
        <v/>
      </c>
      <c r="M24" s="75" t="str">
        <f>IF(OR(IPC_Trimestriel!Q24="",IPC_Trimestriel!N24="",IPC_Trimestriel!J24=""),"",AVERAGE(IPC_Trimestriel!N24:Q24)/AVERAGE(IPC_Trimestriel!J24:M24)-1)</f>
        <v/>
      </c>
      <c r="N24" s="75" t="str">
        <f>IF(OR(IPC_Trimestriel!R24="",IPC_Trimestriel!O24="",IPC_Trimestriel!K24=""),"",AVERAGE(IPC_Trimestriel!O24:R24)/AVERAGE(IPC_Trimestriel!K24:N24)-1)</f>
        <v/>
      </c>
      <c r="O24" s="75" t="str">
        <f>IF(OR(IPC_Trimestriel!S24="",IPC_Trimestriel!P24="",IPC_Trimestriel!L24=""),"",AVERAGE(IPC_Trimestriel!P24:S24)/AVERAGE(IPC_Trimestriel!L24:O24)-1)</f>
        <v/>
      </c>
      <c r="P24" s="75" t="str">
        <f>IF(OR(IPC_Trimestriel!T24="",IPC_Trimestriel!Q24="",IPC_Trimestriel!M24=""),"",AVERAGE(IPC_Trimestriel!Q24:T24)/AVERAGE(IPC_Trimestriel!M24:P24)-1)</f>
        <v/>
      </c>
      <c r="Q24" s="75" t="str">
        <f>IF(OR(IPC_Trimestriel!U24="",IPC_Trimestriel!R24="",IPC_Trimestriel!N24=""),"",AVERAGE(IPC_Trimestriel!R24:U24)/AVERAGE(IPC_Trimestriel!N24:Q24)-1)</f>
        <v/>
      </c>
      <c r="R24" s="75" t="str">
        <f>IF(OR(IPC_Trimestriel!V24="",IPC_Trimestriel!S24="",IPC_Trimestriel!O24=""),"",AVERAGE(IPC_Trimestriel!S24:V24)/AVERAGE(IPC_Trimestriel!O24:R24)-1)</f>
        <v/>
      </c>
      <c r="S24" s="75" t="str">
        <f>IF(OR(IPC_Trimestriel!W24="",IPC_Trimestriel!T24="",IPC_Trimestriel!P24=""),"",AVERAGE(IPC_Trimestriel!T24:W24)/AVERAGE(IPC_Trimestriel!P24:S24)-1)</f>
        <v/>
      </c>
      <c r="T24" s="75" t="str">
        <f>IF(OR(IPC_Trimestriel!X24="",IPC_Trimestriel!U24="",IPC_Trimestriel!Q24=""),"",AVERAGE(IPC_Trimestriel!U24:X24)/AVERAGE(IPC_Trimestriel!Q24:T24)-1)</f>
        <v/>
      </c>
      <c r="U24" s="75" t="str">
        <f>IF(OR(IPC_Trimestriel!Y24="",IPC_Trimestriel!V24="",IPC_Trimestriel!R24=""),"",AVERAGE(IPC_Trimestriel!V24:Y24)/AVERAGE(IPC_Trimestriel!R24:U24)-1)</f>
        <v/>
      </c>
      <c r="V24" s="75" t="str">
        <f>IF(OR(IPC_Trimestriel!Z24="",IPC_Trimestriel!W24="",IPC_Trimestriel!S24=""),"",AVERAGE(IPC_Trimestriel!W24:Z24)/AVERAGE(IPC_Trimestriel!S24:V24)-1)</f>
        <v/>
      </c>
      <c r="W24" s="75" t="str">
        <f>IF(OR(IPC_Trimestriel!AA24="",IPC_Trimestriel!X24="",IPC_Trimestriel!T24=""),"",AVERAGE(IPC_Trimestriel!X24:AA24)/AVERAGE(IPC_Trimestriel!T24:W24)-1)</f>
        <v/>
      </c>
      <c r="X24" s="75" t="str">
        <f>IF(OR(IPC_Trimestriel!AB24="",IPC_Trimestriel!Y24="",IPC_Trimestriel!U24=""),"",AVERAGE(IPC_Trimestriel!Y24:AB24)/AVERAGE(IPC_Trimestriel!U24:X24)-1)</f>
        <v/>
      </c>
      <c r="Y24" s="75" t="str">
        <f>IF(OR(IPC_Trimestriel!AC24="",IPC_Trimestriel!Z24="",IPC_Trimestriel!V24=""),"",AVERAGE(IPC_Trimestriel!Z24:AC24)/AVERAGE(IPC_Trimestriel!V24:Y24)-1)</f>
        <v/>
      </c>
      <c r="Z24" s="75" t="str">
        <f>IF(OR(IPC_Trimestriel!AD24="",IPC_Trimestriel!AA24="",IPC_Trimestriel!W24=""),"",AVERAGE(IPC_Trimestriel!AA24:AD24)/AVERAGE(IPC_Trimestriel!W24:Z24)-1)</f>
        <v/>
      </c>
      <c r="AA24" s="75" t="str">
        <f>IF(OR(IPC_Trimestriel!AE24="",IPC_Trimestriel!AB24="",IPC_Trimestriel!X24=""),"",AVERAGE(IPC_Trimestriel!AB24:AE24)/AVERAGE(IPC_Trimestriel!X24:AA24)-1)</f>
        <v/>
      </c>
      <c r="AB24" s="75" t="str">
        <f>IF(OR(IPC_Trimestriel!AF24="",IPC_Trimestriel!AC24="",IPC_Trimestriel!Y24=""),"",AVERAGE(IPC_Trimestriel!AC24:AF24)/AVERAGE(IPC_Trimestriel!Y24:AB24)-1)</f>
        <v/>
      </c>
      <c r="AC24" s="75" t="str">
        <f>IF(OR(IPC_Trimestriel!AG24="",IPC_Trimestriel!AD24="",IPC_Trimestriel!Z24=""),"",AVERAGE(IPC_Trimestriel!AD24:AG24)/AVERAGE(IPC_Trimestriel!Z24:AC24)-1)</f>
        <v/>
      </c>
      <c r="AD24" s="75" t="str">
        <f>IF(OR(IPC_Trimestriel!AH24="",IPC_Trimestriel!AE24="",IPC_Trimestriel!AA24=""),"",AVERAGE(IPC_Trimestriel!AE24:AH24)/AVERAGE(IPC_Trimestriel!AA24:AD24)-1)</f>
        <v/>
      </c>
      <c r="AE24" s="75" t="str">
        <f>IF(OR(IPC_Trimestriel!AI24="",IPC_Trimestriel!AF24="",IPC_Trimestriel!AB24=""),"",AVERAGE(IPC_Trimestriel!AF24:AI24)/AVERAGE(IPC_Trimestriel!AB24:AE24)-1)</f>
        <v/>
      </c>
      <c r="AF24" s="75" t="str">
        <f>IF(OR(IPC_Trimestriel!AJ24="",IPC_Trimestriel!AG24="",IPC_Trimestriel!AC24=""),"",AVERAGE(IPC_Trimestriel!AG24:AJ24)/AVERAGE(IPC_Trimestriel!AC24:AF24)-1)</f>
        <v/>
      </c>
      <c r="AG24" s="75" t="str">
        <f>IF(OR(IPC_Trimestriel!AK24="",IPC_Trimestriel!AH24="",IPC_Trimestriel!AD24=""),"",AVERAGE(IPC_Trimestriel!AH24:AK24)/AVERAGE(IPC_Trimestriel!AD24:AG24)-1)</f>
        <v/>
      </c>
      <c r="AH24" s="75" t="str">
        <f>IF(OR(IPC_Trimestriel!AL24="",IPC_Trimestriel!AI24="",IPC_Trimestriel!AE24=""),"",AVERAGE(IPC_Trimestriel!AI24:AL24)/AVERAGE(IPC_Trimestriel!AE24:AH24)-1)</f>
        <v/>
      </c>
      <c r="AI24" s="75" t="str">
        <f>IF(OR(IPC_Trimestriel!AM24="",IPC_Trimestriel!AJ24="",IPC_Trimestriel!AF24=""),"",AVERAGE(IPC_Trimestriel!AJ24:AM24)/AVERAGE(IPC_Trimestriel!AF24:AI24)-1)</f>
        <v/>
      </c>
      <c r="AJ24" s="75" t="str">
        <f>IF(OR(IPC_Trimestriel!AN24="",IPC_Trimestriel!AK24="",IPC_Trimestriel!AG24=""),"",AVERAGE(IPC_Trimestriel!AK24:AN24)/AVERAGE(IPC_Trimestriel!AG24:AJ24)-1)</f>
        <v/>
      </c>
      <c r="AK24" s="75" t="str">
        <f>IF(OR(IPC_Trimestriel!AO24="",IPC_Trimestriel!AL24="",IPC_Trimestriel!AH24=""),"",AVERAGE(IPC_Trimestriel!AL24:AO24)/AVERAGE(IPC_Trimestriel!AH24:AK24)-1)</f>
        <v/>
      </c>
      <c r="AL24" s="75" t="str">
        <f>IF(OR(IPC_Trimestriel!AP24="",IPC_Trimestriel!AM24="",IPC_Trimestriel!AI24=""),"",AVERAGE(IPC_Trimestriel!AM24:AP24)/AVERAGE(IPC_Trimestriel!AI24:AL24)-1)</f>
        <v/>
      </c>
      <c r="AM24" s="75" t="str">
        <f>IF(OR(IPC_Trimestriel!AQ24="",IPC_Trimestriel!AN24="",IPC_Trimestriel!AJ24=""),"",AVERAGE(IPC_Trimestriel!AN24:AQ24)/AVERAGE(IPC_Trimestriel!AJ24:AM24)-1)</f>
        <v/>
      </c>
      <c r="AN24" s="75" t="str">
        <f>IF(OR(IPC_Trimestriel!AR24="",IPC_Trimestriel!AO24="",IPC_Trimestriel!AK24=""),"",AVERAGE(IPC_Trimestriel!AO24:AR24)/AVERAGE(IPC_Trimestriel!AK24:AN24)-1)</f>
        <v/>
      </c>
      <c r="AO24" s="75" t="str">
        <f>IF(OR(IPC_Trimestriel!AS24="",IPC_Trimestriel!AP24="",IPC_Trimestriel!AL24=""),"",AVERAGE(IPC_Trimestriel!AP24:AS24)/AVERAGE(IPC_Trimestriel!AL24:AO24)-1)</f>
        <v/>
      </c>
      <c r="AP24" s="75" t="str">
        <f>IF(OR(IPC_Trimestriel!AT24="",IPC_Trimestriel!AQ24="",IPC_Trimestriel!AM24=""),"",AVERAGE(IPC_Trimestriel!AQ24:AT24)/AVERAGE(IPC_Trimestriel!AM24:AP24)-1)</f>
        <v/>
      </c>
      <c r="AQ24" s="75" t="str">
        <f>IF(OR(IPC_Trimestriel!AU24="",IPC_Trimestriel!AR24="",IPC_Trimestriel!AN24=""),"",AVERAGE(IPC_Trimestriel!AR24:AU24)/AVERAGE(IPC_Trimestriel!AN24:AQ24)-1)</f>
        <v/>
      </c>
      <c r="AR24" s="75" t="str">
        <f>IF(OR(IPC_Trimestriel!AV24="",IPC_Trimestriel!AS24="",IPC_Trimestriel!AO24=""),"",AVERAGE(IPC_Trimestriel!AS24:AV24)/AVERAGE(IPC_Trimestriel!AO24:AR24)-1)</f>
        <v/>
      </c>
      <c r="AS24" s="75" t="str">
        <f>IF(OR(IPC_Trimestriel!AW24="",IPC_Trimestriel!AT24="",IPC_Trimestriel!AP24=""),"",AVERAGE(IPC_Trimestriel!AT24:AW24)/AVERAGE(IPC_Trimestriel!AP24:AS24)-1)</f>
        <v/>
      </c>
      <c r="AT24" s="75" t="str">
        <f>IF(OR(IPC_Trimestriel!AX24="",IPC_Trimestriel!AU24="",IPC_Trimestriel!AQ24=""),"",AVERAGE(IPC_Trimestriel!AU24:AX24)/AVERAGE(IPC_Trimestriel!AQ24:AT24)-1)</f>
        <v/>
      </c>
      <c r="AU24" s="75" t="str">
        <f>IF(OR(IPC_Trimestriel!AY24="",IPC_Trimestriel!AV24="",IPC_Trimestriel!AR24=""),"",AVERAGE(IPC_Trimestriel!AV24:AY24)/AVERAGE(IPC_Trimestriel!AR24:AU24)-1)</f>
        <v/>
      </c>
      <c r="AV24" s="75" t="str">
        <f>IF(OR(IPC_Trimestriel!AZ24="",IPC_Trimestriel!AW24="",IPC_Trimestriel!AS24=""),"",AVERAGE(IPC_Trimestriel!AW24:AZ24)/AVERAGE(IPC_Trimestriel!AS24:AV24)-1)</f>
        <v/>
      </c>
      <c r="AW24" s="75" t="str">
        <f>IF(OR(IPC_Trimestriel!BA24="",IPC_Trimestriel!AX24="",IPC_Trimestriel!AT24=""),"",AVERAGE(IPC_Trimestriel!AX24:BA24)/AVERAGE(IPC_Trimestriel!AT24:AW24)-1)</f>
        <v/>
      </c>
      <c r="AX24" s="75" t="str">
        <f>IF(OR(IPC_Trimestriel!BB24="",IPC_Trimestriel!AY24="",IPC_Trimestriel!AU24=""),"",AVERAGE(IPC_Trimestriel!AY24:BB24)/AVERAGE(IPC_Trimestriel!AU24:AX24)-1)</f>
        <v/>
      </c>
      <c r="AY24" s="75" t="str">
        <f>IF(OR(IPC_Trimestriel!BC24="",IPC_Trimestriel!AZ24="",IPC_Trimestriel!AV24=""),"",AVERAGE(IPC_Trimestriel!AZ24:BC24)/AVERAGE(IPC_Trimestriel!AV24:AY24)-1)</f>
        <v/>
      </c>
      <c r="AZ24" s="75" t="str">
        <f>IF(OR(IPC_Trimestriel!BD24="",IPC_Trimestriel!BA24="",IPC_Trimestriel!AW24=""),"",AVERAGE(IPC_Trimestriel!BA24:BD24)/AVERAGE(IPC_Trimestriel!AW24:AZ24)-1)</f>
        <v/>
      </c>
      <c r="BA24" s="75" t="str">
        <f>IF(OR(IPC_Trimestriel!BE24="",IPC_Trimestriel!BB24="",IPC_Trimestriel!AX24=""),"",AVERAGE(IPC_Trimestriel!BB24:BE24)/AVERAGE(IPC_Trimestriel!AX24:BA24)-1)</f>
        <v/>
      </c>
      <c r="BB24" s="75" t="str">
        <f>IF(OR(IPC_Trimestriel!BF24="",IPC_Trimestriel!BC24="",IPC_Trimestriel!AY24=""),"",AVERAGE(IPC_Trimestriel!BC24:BF24)/AVERAGE(IPC_Trimestriel!AY24:BB24)-1)</f>
        <v/>
      </c>
      <c r="BC24" s="75">
        <f>IF(OR(IPC_Trimestriel!BG24="",IPC_Trimestriel!BD24="",IPC_Trimestriel!AZ24=""),"",AVERAGE(IPC_Trimestriel!BD24:BG24)/AVERAGE(IPC_Trimestriel!AZ24:BC24)-1)</f>
        <v>1.6238165399239834E-2</v>
      </c>
      <c r="BD24" s="75">
        <f>IF(OR(IPC_Trimestriel!BH24="",IPC_Trimestriel!BE24="",IPC_Trimestriel!BA24=""),"",AVERAGE(IPC_Trimestriel!BE24:BH24)/AVERAGE(IPC_Trimestriel!BA24:BD24)-1)</f>
        <v>7.9356285770817436E-3</v>
      </c>
      <c r="BE24" s="75">
        <f>IF(OR(IPC_Trimestriel!BI24="",IPC_Trimestriel!BF24="",IPC_Trimestriel!BB24=""),"",AVERAGE(IPC_Trimestriel!BF24:BI24)/AVERAGE(IPC_Trimestriel!BB24:BE24)-1)</f>
        <v>-4.123194292303678E-4</v>
      </c>
      <c r="BF24" s="75">
        <f>IF(OR(IPC_Trimestriel!BJ24="",IPC_Trimestriel!BG24="",IPC_Trimestriel!BC24=""),"",AVERAGE(IPC_Trimestriel!BG24:BJ24)/AVERAGE(IPC_Trimestriel!BC24:BF24)-1)</f>
        <v>8.9324045082590509E-3</v>
      </c>
      <c r="BG24" s="75">
        <f>IF(OR(IPC_Trimestriel!BK24="",IPC_Trimestriel!BH24="",IPC_Trimestriel!BD24=""),"",AVERAGE(IPC_Trimestriel!BH24:BK24)/AVERAGE(IPC_Trimestriel!BD24:BG24)-1)</f>
        <v>2.3406380642065683E-2</v>
      </c>
      <c r="BH24" s="75">
        <f>IF(OR(IPC_Trimestriel!BL24="",IPC_Trimestriel!BI24="",IPC_Trimestriel!BE24=""),"",AVERAGE(IPC_Trimestriel!BI24:BL24)/AVERAGE(IPC_Trimestriel!BE24:BH24)-1)</f>
        <v>3.7054800016705247E-2</v>
      </c>
      <c r="BI24" s="75">
        <f>IF(OR(IPC_Trimestriel!BM24="",IPC_Trimestriel!BJ24="",IPC_Trimestriel!BF24=""),"",AVERAGE(IPC_Trimestriel!BJ24:BM24)/AVERAGE(IPC_Trimestriel!BF24:BI24)-1)</f>
        <v>5.2078365289758288E-2</v>
      </c>
      <c r="BJ24" s="75">
        <f>IF(OR(IPC_Trimestriel!BN24="",IPC_Trimestriel!BK24="",IPC_Trimestriel!BG24=""),"",AVERAGE(IPC_Trimestriel!BK24:BN24)/AVERAGE(IPC_Trimestriel!BG24:BJ24)-1)</f>
        <v>3.9482374057723701E-2</v>
      </c>
      <c r="BK24" s="75">
        <f>IF(OR(IPC_Trimestriel!BO24="",IPC_Trimestriel!BL24="",IPC_Trimestriel!BH24=""),"",AVERAGE(IPC_Trimestriel!BL24:BO24)/AVERAGE(IPC_Trimestriel!BH24:BK24)-1)</f>
        <v>2.6140466111544303E-2</v>
      </c>
      <c r="BL24" s="75">
        <f>IF(OR(IPC_Trimestriel!BP24="",IPC_Trimestriel!BM24="",IPC_Trimestriel!BI24=""),"",AVERAGE(IPC_Trimestriel!BM24:BP24)/AVERAGE(IPC_Trimestriel!BI24:BL24)-1)</f>
        <v>1.102020768740819E-2</v>
      </c>
      <c r="BM24" s="75">
        <f>IF(OR(IPC_Trimestriel!BQ24="",IPC_Trimestriel!BN24="",IPC_Trimestriel!BJ24=""),"",AVERAGE(IPC_Trimestriel!BN24:BQ24)/AVERAGE(IPC_Trimestriel!BJ24:BM24)-1)</f>
        <v>-4.1612126475499833E-3</v>
      </c>
      <c r="BN24" s="75">
        <f>IF(OR(IPC_Trimestriel!BR24="",IPC_Trimestriel!BO24="",IPC_Trimestriel!BK24=""),"",AVERAGE(IPC_Trimestriel!BO24:BR24)/AVERAGE(IPC_Trimestriel!BK24:BN24)-1)</f>
        <v>-6.4079736288139566E-3</v>
      </c>
      <c r="BO24" s="75">
        <f>IF(OR(IPC_Trimestriel!BS24="",IPC_Trimestriel!BP24="",IPC_Trimestriel!BL24=""),"",AVERAGE(IPC_Trimestriel!BP24:BS24)/AVERAGE(IPC_Trimestriel!BL24:BO24)-1)</f>
        <v>-9.0725575409714709E-3</v>
      </c>
      <c r="BP24" s="75">
        <f>IF(OR(IPC_Trimestriel!BT24="",IPC_Trimestriel!BQ24="",IPC_Trimestriel!BM24=""),"",AVERAGE(IPC_Trimestriel!BQ24:BT24)/AVERAGE(IPC_Trimestriel!BM24:BP24)-1)</f>
        <v>-6.7323436416099058E-3</v>
      </c>
      <c r="BQ24" s="75">
        <f>IF(OR(IPC_Trimestriel!BU24="",IPC_Trimestriel!BR24="",IPC_Trimestriel!BN24=""),"",AVERAGE(IPC_Trimestriel!BR24:BU24)/AVERAGE(IPC_Trimestriel!BN24:BQ24)-1)</f>
        <v>-3.9547217890967268E-3</v>
      </c>
      <c r="BR24" s="75">
        <f>IF(OR(IPC_Trimestriel!BV24="",IPC_Trimestriel!BS24="",IPC_Trimestriel!BO24=""),"",AVERAGE(IPC_Trimestriel!BS24:BV24)/AVERAGE(IPC_Trimestriel!BO24:BR24)-1)</f>
        <v>-1.2118343631709605E-3</v>
      </c>
      <c r="BS24" s="75">
        <f>IF(OR(IPC_Trimestriel!BW24="",IPC_Trimestriel!BT24="",IPC_Trimestriel!BP24=""),"",AVERAGE(IPC_Trimestriel!BT24:BW24)/AVERAGE(IPC_Trimestriel!BP24:BS24)-1)</f>
        <v>1.3557741101963838E-3</v>
      </c>
      <c r="BT24" s="75">
        <f>IF(OR(IPC_Trimestriel!BX24="",IPC_Trimestriel!BU24="",IPC_Trimestriel!BQ24=""),"",AVERAGE(IPC_Trimestriel!BU24:BX24)/AVERAGE(IPC_Trimestriel!BQ24:BT24)-1)</f>
        <v>1.1676207387043558E-3</v>
      </c>
      <c r="BU24" s="75">
        <f>IF(OR(IPC_Trimestriel!BY24="",IPC_Trimestriel!BV24="",IPC_Trimestriel!BR24=""),"",AVERAGE(IPC_Trimestriel!BV24:BY24)/AVERAGE(IPC_Trimestriel!BR24:BU24)-1)</f>
        <v>1.4664626572764572E-3</v>
      </c>
      <c r="BV24" s="75">
        <f>IF(OR(IPC_Trimestriel!BZ24="",IPC_Trimestriel!BW24="",IPC_Trimestriel!BS24=""),"",AVERAGE(IPC_Trimestriel!BW24:BZ24)/AVERAGE(IPC_Trimestriel!BS24:BV24)-1)</f>
        <v>1.5407071916968551E-3</v>
      </c>
      <c r="BW24" s="75">
        <f>IF(OR(IPC_Trimestriel!CA24="",IPC_Trimestriel!BX24="",IPC_Trimestriel!BT24=""),"",AVERAGE(IPC_Trimestriel!BX24:CA24)/AVERAGE(IPC_Trimestriel!BT24:BW24)-1)</f>
        <v>2.2284151101723548E-3</v>
      </c>
      <c r="BX24" s="75">
        <f>IF(OR(IPC_Trimestriel!CB24="",IPC_Trimestriel!BY24="",IPC_Trimestriel!BU24=""),"",AVERAGE(IPC_Trimestriel!BY24:CB24)/AVERAGE(IPC_Trimestriel!BU24:BX24)-1)</f>
        <v>3.4030983784516522E-4</v>
      </c>
      <c r="BY24" s="75">
        <f>IF(OR(IPC_Trimestriel!CC24="",IPC_Trimestriel!BZ24="",IPC_Trimestriel!BV24=""),"",AVERAGE(IPC_Trimestriel!BZ24:CC24)/AVERAGE(IPC_Trimestriel!BV24:BY24)-1)</f>
        <v>-7.756691981531727E-3</v>
      </c>
      <c r="BZ24" s="75">
        <f>IF(OR(IPC_Trimestriel!CD24="",IPC_Trimestriel!CA24="",IPC_Trimestriel!BW24=""),"",AVERAGE(IPC_Trimestriel!CA24:CD24)/AVERAGE(IPC_Trimestriel!BW24:BZ24)-1)</f>
        <v>-1.5895025314638156E-2</v>
      </c>
      <c r="CA24" s="75">
        <f>IF(OR(IPC_Trimestriel!CE24="",IPC_Trimestriel!CB24="",IPC_Trimestriel!BX24=""),"",AVERAGE(IPC_Trimestriel!CB24:CE24)/AVERAGE(IPC_Trimestriel!BX24:CA24)-1)</f>
        <v>-2.4467345658923167E-2</v>
      </c>
      <c r="CB24" s="75">
        <f>IF(OR(IPC_Trimestriel!CF24="",IPC_Trimestriel!CC24="",IPC_Trimestriel!BY24=""),"",AVERAGE(IPC_Trimestriel!CC24:CF24)/AVERAGE(IPC_Trimestriel!BY24:CB24)-1)</f>
        <v>-2.764586698058813E-2</v>
      </c>
      <c r="CC24" s="75">
        <f>IF(OR(IPC_Trimestriel!CG24="",IPC_Trimestriel!CD24="",IPC_Trimestriel!BZ24=""),"",AVERAGE(IPC_Trimestriel!CD24:CG24)/AVERAGE(IPC_Trimestriel!BZ24:CC24)-1)</f>
        <v>-1.9303326632304496E-2</v>
      </c>
      <c r="CD24" s="75">
        <f>IF(OR(IPC_Trimestriel!CH24="",IPC_Trimestriel!CE24="",IPC_Trimestriel!CA24=""),"",AVERAGE(IPC_Trimestriel!CE24:CH24)/AVERAGE(IPC_Trimestriel!CA24:CD24)-1)</f>
        <v>-1.0163993728090182E-2</v>
      </c>
      <c r="CE24" s="75">
        <f>IF(OR(IPC_Trimestriel!CI24="",IPC_Trimestriel!CF24="",IPC_Trimestriel!CB24=""),"",AVERAGE(IPC_Trimestriel!CF24:CI24)/AVERAGE(IPC_Trimestriel!CB24:CE24)-1)</f>
        <v>-6.8342748765126693E-4</v>
      </c>
      <c r="CF24" s="75">
        <f>IF(OR(IPC_Trimestriel!CJ24="",IPC_Trimestriel!CG24="",IPC_Trimestriel!CC24=""),"",AVERAGE(IPC_Trimestriel!CG24:CJ24)/AVERAGE(IPC_Trimestriel!CC24:CF24)-1)</f>
        <v>5.9078020668128506E-3</v>
      </c>
      <c r="CG24" s="75">
        <f>IF(OR(IPC_Trimestriel!CK24="",IPC_Trimestriel!CH24="",IPC_Trimestriel!CD24=""),"",AVERAGE(IPC_Trimestriel!CH24:CK24)/AVERAGE(IPC_Trimestriel!CD24:CG24)-1)</f>
        <v>5.2626548815755125E-3</v>
      </c>
      <c r="CH24" s="75">
        <f>IF(OR(IPC_Trimestriel!CL24="",IPC_Trimestriel!CI24="",IPC_Trimestriel!CE24=""),"",AVERAGE(IPC_Trimestriel!CI24:CL24)/AVERAGE(IPC_Trimestriel!CE24:CH24)-1)</f>
        <v>3.6857515146628828E-3</v>
      </c>
      <c r="CI24" s="75">
        <f>IF(OR(IPC_Trimestriel!CM24="",IPC_Trimestriel!CJ24="",IPC_Trimestriel!CF24=""),"",AVERAGE(IPC_Trimestriel!CJ24:CM24)/AVERAGE(IPC_Trimestriel!CF24:CI24)-1)</f>
        <v>2.1325615094105466E-3</v>
      </c>
      <c r="CJ24" s="75">
        <f>IF(OR(IPC_Trimestriel!CN24="",IPC_Trimestriel!CK24="",IPC_Trimestriel!CG24=""),"",AVERAGE(IPC_Trimestriel!CK24:CN24)/AVERAGE(IPC_Trimestriel!CG24:CJ24)-1)</f>
        <v>1.0710963560314202E-3</v>
      </c>
      <c r="CK24" s="75">
        <f>IF(OR(IPC_Trimestriel!CO24="",IPC_Trimestriel!CL24="",IPC_Trimestriel!CH24=""),"",AVERAGE(IPC_Trimestriel!CL24:CO24)/AVERAGE(IPC_Trimestriel!CH24:CK24)-1)</f>
        <v>1.4261829347810284E-3</v>
      </c>
      <c r="CL24" s="75">
        <f>IF(OR(IPC_Trimestriel!CP24="",IPC_Trimestriel!CM24="",IPC_Trimestriel!CI24=""),"",AVERAGE(IPC_Trimestriel!CM24:CP24)/AVERAGE(IPC_Trimestriel!CI24:CL24)-1)</f>
        <v>2.2002624827728301E-3</v>
      </c>
      <c r="CM24" s="75">
        <f>IF(OR(IPC_Trimestriel!CQ24="",IPC_Trimestriel!CN24="",IPC_Trimestriel!CJ24=""),"",AVERAGE(IPC_Trimestriel!CN24:CQ24)/AVERAGE(IPC_Trimestriel!CJ24:CM24)-1)</f>
        <v>5.7899399959424613E-3</v>
      </c>
      <c r="CN24" s="75">
        <f>IF(OR(IPC_Trimestriel!CR24="",IPC_Trimestriel!CO24="",IPC_Trimestriel!CK24=""),"",AVERAGE(IPC_Trimestriel!CO24:CR24)/AVERAGE(IPC_Trimestriel!CK24:CN24)-1)</f>
        <v>1.9811015148936573E-2</v>
      </c>
      <c r="CO24" s="75">
        <f>IF(OR(IPC_Trimestriel!CS24="",IPC_Trimestriel!CP24="",IPC_Trimestriel!CL24=""),"",AVERAGE(IPC_Trimestriel!CP24:CS24)/AVERAGE(IPC_Trimestriel!CL24:CO24)-1)</f>
        <v>4.0578854434617062E-2</v>
      </c>
      <c r="CP24" s="75">
        <f>IF(OR(IPC_Trimestriel!CT24="",IPC_Trimestriel!CQ24="",IPC_Trimestriel!CM24=""),"",AVERAGE(IPC_Trimestriel!CQ24:CT24)/AVERAGE(IPC_Trimestriel!CM24:CP24)-1)</f>
        <v>6.5034748093215411E-2</v>
      </c>
    </row>
    <row r="25" spans="1:94" s="74" customFormat="1" ht="10.199999999999999" x14ac:dyDescent="0.2">
      <c r="B25" s="83" t="s">
        <v>105</v>
      </c>
      <c r="D25" s="75"/>
      <c r="E25" s="75"/>
      <c r="F25" s="75"/>
      <c r="G25" s="75" t="str">
        <f>IF(OR(IPC_Trimestriel!K25="",IPC_Trimestriel!H25="",IPC_Trimestriel!D25=""),"",AVERAGE(IPC_Trimestriel!H25:K25)/AVERAGE(IPC_Trimestriel!D25:G25)-1)</f>
        <v/>
      </c>
      <c r="H25" s="75" t="str">
        <f>IF(OR(IPC_Trimestriel!L25="",IPC_Trimestriel!I25="",IPC_Trimestriel!E25=""),"",AVERAGE(IPC_Trimestriel!I25:L25)/AVERAGE(IPC_Trimestriel!E25:H25)-1)</f>
        <v/>
      </c>
      <c r="I25" s="75" t="str">
        <f>IF(OR(IPC_Trimestriel!M25="",IPC_Trimestriel!J25="",IPC_Trimestriel!F25=""),"",AVERAGE(IPC_Trimestriel!J25:M25)/AVERAGE(IPC_Trimestriel!F25:I25)-1)</f>
        <v/>
      </c>
      <c r="J25" s="75" t="str">
        <f>IF(OR(IPC_Trimestriel!N25="",IPC_Trimestriel!K25="",IPC_Trimestriel!G25=""),"",AVERAGE(IPC_Trimestriel!K25:N25)/AVERAGE(IPC_Trimestriel!G25:J25)-1)</f>
        <v/>
      </c>
      <c r="K25" s="75" t="str">
        <f>IF(OR(IPC_Trimestriel!O25="",IPC_Trimestriel!L25="",IPC_Trimestriel!H25=""),"",AVERAGE(IPC_Trimestriel!L25:O25)/AVERAGE(IPC_Trimestriel!H25:K25)-1)</f>
        <v/>
      </c>
      <c r="L25" s="75" t="str">
        <f>IF(OR(IPC_Trimestriel!P25="",IPC_Trimestriel!M25="",IPC_Trimestriel!I25=""),"",AVERAGE(IPC_Trimestriel!M25:P25)/AVERAGE(IPC_Trimestriel!I25:L25)-1)</f>
        <v/>
      </c>
      <c r="M25" s="75" t="str">
        <f>IF(OR(IPC_Trimestriel!Q25="",IPC_Trimestriel!N25="",IPC_Trimestriel!J25=""),"",AVERAGE(IPC_Trimestriel!N25:Q25)/AVERAGE(IPC_Trimestriel!J25:M25)-1)</f>
        <v/>
      </c>
      <c r="N25" s="75" t="str">
        <f>IF(OR(IPC_Trimestriel!R25="",IPC_Trimestriel!O25="",IPC_Trimestriel!K25=""),"",AVERAGE(IPC_Trimestriel!O25:R25)/AVERAGE(IPC_Trimestriel!K25:N25)-1)</f>
        <v/>
      </c>
      <c r="O25" s="75" t="str">
        <f>IF(OR(IPC_Trimestriel!S25="",IPC_Trimestriel!P25="",IPC_Trimestriel!L25=""),"",AVERAGE(IPC_Trimestriel!P25:S25)/AVERAGE(IPC_Trimestriel!L25:O25)-1)</f>
        <v/>
      </c>
      <c r="P25" s="75" t="str">
        <f>IF(OR(IPC_Trimestriel!T25="",IPC_Trimestriel!Q25="",IPC_Trimestriel!M25=""),"",AVERAGE(IPC_Trimestriel!Q25:T25)/AVERAGE(IPC_Trimestriel!M25:P25)-1)</f>
        <v/>
      </c>
      <c r="Q25" s="75" t="str">
        <f>IF(OR(IPC_Trimestriel!U25="",IPC_Trimestriel!R25="",IPC_Trimestriel!N25=""),"",AVERAGE(IPC_Trimestriel!R25:U25)/AVERAGE(IPC_Trimestriel!N25:Q25)-1)</f>
        <v/>
      </c>
      <c r="R25" s="75" t="str">
        <f>IF(OR(IPC_Trimestriel!V25="",IPC_Trimestriel!S25="",IPC_Trimestriel!O25=""),"",AVERAGE(IPC_Trimestriel!S25:V25)/AVERAGE(IPC_Trimestriel!O25:R25)-1)</f>
        <v/>
      </c>
      <c r="S25" s="75" t="str">
        <f>IF(OR(IPC_Trimestriel!W25="",IPC_Trimestriel!T25="",IPC_Trimestriel!P25=""),"",AVERAGE(IPC_Trimestriel!T25:W25)/AVERAGE(IPC_Trimestriel!P25:S25)-1)</f>
        <v/>
      </c>
      <c r="T25" s="75" t="str">
        <f>IF(OR(IPC_Trimestriel!X25="",IPC_Trimestriel!U25="",IPC_Trimestriel!Q25=""),"",AVERAGE(IPC_Trimestriel!U25:X25)/AVERAGE(IPC_Trimestriel!Q25:T25)-1)</f>
        <v/>
      </c>
      <c r="U25" s="75" t="str">
        <f>IF(OR(IPC_Trimestriel!Y25="",IPC_Trimestriel!V25="",IPC_Trimestriel!R25=""),"",AVERAGE(IPC_Trimestriel!V25:Y25)/AVERAGE(IPC_Trimestriel!R25:U25)-1)</f>
        <v/>
      </c>
      <c r="V25" s="75" t="str">
        <f>IF(OR(IPC_Trimestriel!Z25="",IPC_Trimestriel!W25="",IPC_Trimestriel!S25=""),"",AVERAGE(IPC_Trimestriel!W25:Z25)/AVERAGE(IPC_Trimestriel!S25:V25)-1)</f>
        <v/>
      </c>
      <c r="W25" s="75" t="str">
        <f>IF(OR(IPC_Trimestriel!AA25="",IPC_Trimestriel!X25="",IPC_Trimestriel!T25=""),"",AVERAGE(IPC_Trimestriel!X25:AA25)/AVERAGE(IPC_Trimestriel!T25:W25)-1)</f>
        <v/>
      </c>
      <c r="X25" s="75" t="str">
        <f>IF(OR(IPC_Trimestriel!AB25="",IPC_Trimestriel!Y25="",IPC_Trimestriel!U25=""),"",AVERAGE(IPC_Trimestriel!Y25:AB25)/AVERAGE(IPC_Trimestriel!U25:X25)-1)</f>
        <v/>
      </c>
      <c r="Y25" s="75" t="str">
        <f>IF(OR(IPC_Trimestriel!AC25="",IPC_Trimestriel!Z25="",IPC_Trimestriel!V25=""),"",AVERAGE(IPC_Trimestriel!Z25:AC25)/AVERAGE(IPC_Trimestriel!V25:Y25)-1)</f>
        <v/>
      </c>
      <c r="Z25" s="75" t="str">
        <f>IF(OR(IPC_Trimestriel!AD25="",IPC_Trimestriel!AA25="",IPC_Trimestriel!W25=""),"",AVERAGE(IPC_Trimestriel!AA25:AD25)/AVERAGE(IPC_Trimestriel!W25:Z25)-1)</f>
        <v/>
      </c>
      <c r="AA25" s="75" t="str">
        <f>IF(OR(IPC_Trimestriel!AE25="",IPC_Trimestriel!AB25="",IPC_Trimestriel!X25=""),"",AVERAGE(IPC_Trimestriel!AB25:AE25)/AVERAGE(IPC_Trimestriel!X25:AA25)-1)</f>
        <v/>
      </c>
      <c r="AB25" s="75" t="str">
        <f>IF(OR(IPC_Trimestriel!AF25="",IPC_Trimestriel!AC25="",IPC_Trimestriel!Y25=""),"",AVERAGE(IPC_Trimestriel!AC25:AF25)/AVERAGE(IPC_Trimestriel!Y25:AB25)-1)</f>
        <v/>
      </c>
      <c r="AC25" s="75" t="str">
        <f>IF(OR(IPC_Trimestriel!AG25="",IPC_Trimestriel!AD25="",IPC_Trimestriel!Z25=""),"",AVERAGE(IPC_Trimestriel!AD25:AG25)/AVERAGE(IPC_Trimestriel!Z25:AC25)-1)</f>
        <v/>
      </c>
      <c r="AD25" s="75" t="str">
        <f>IF(OR(IPC_Trimestriel!AH25="",IPC_Trimestriel!AE25="",IPC_Trimestriel!AA25=""),"",AVERAGE(IPC_Trimestriel!AE25:AH25)/AVERAGE(IPC_Trimestriel!AA25:AD25)-1)</f>
        <v/>
      </c>
      <c r="AE25" s="75" t="str">
        <f>IF(OR(IPC_Trimestriel!AI25="",IPC_Trimestriel!AF25="",IPC_Trimestriel!AB25=""),"",AVERAGE(IPC_Trimestriel!AF25:AI25)/AVERAGE(IPC_Trimestriel!AB25:AE25)-1)</f>
        <v/>
      </c>
      <c r="AF25" s="75" t="str">
        <f>IF(OR(IPC_Trimestriel!AJ25="",IPC_Trimestriel!AG25="",IPC_Trimestriel!AC25=""),"",AVERAGE(IPC_Trimestriel!AG25:AJ25)/AVERAGE(IPC_Trimestriel!AC25:AF25)-1)</f>
        <v/>
      </c>
      <c r="AG25" s="75" t="str">
        <f>IF(OR(IPC_Trimestriel!AK25="",IPC_Trimestriel!AH25="",IPC_Trimestriel!AD25=""),"",AVERAGE(IPC_Trimestriel!AH25:AK25)/AVERAGE(IPC_Trimestriel!AD25:AG25)-1)</f>
        <v/>
      </c>
      <c r="AH25" s="75" t="str">
        <f>IF(OR(IPC_Trimestriel!AL25="",IPC_Trimestriel!AI25="",IPC_Trimestriel!AE25=""),"",AVERAGE(IPC_Trimestriel!AI25:AL25)/AVERAGE(IPC_Trimestriel!AE25:AH25)-1)</f>
        <v/>
      </c>
      <c r="AI25" s="75" t="str">
        <f>IF(OR(IPC_Trimestriel!AM25="",IPC_Trimestriel!AJ25="",IPC_Trimestriel!AF25=""),"",AVERAGE(IPC_Trimestriel!AJ25:AM25)/AVERAGE(IPC_Trimestriel!AF25:AI25)-1)</f>
        <v/>
      </c>
      <c r="AJ25" s="75" t="str">
        <f>IF(OR(IPC_Trimestriel!AN25="",IPC_Trimestriel!AK25="",IPC_Trimestriel!AG25=""),"",AVERAGE(IPC_Trimestriel!AK25:AN25)/AVERAGE(IPC_Trimestriel!AG25:AJ25)-1)</f>
        <v/>
      </c>
      <c r="AK25" s="75" t="str">
        <f>IF(OR(IPC_Trimestriel!AO25="",IPC_Trimestriel!AL25="",IPC_Trimestriel!AH25=""),"",AVERAGE(IPC_Trimestriel!AL25:AO25)/AVERAGE(IPC_Trimestriel!AH25:AK25)-1)</f>
        <v/>
      </c>
      <c r="AL25" s="75" t="str">
        <f>IF(OR(IPC_Trimestriel!AP25="",IPC_Trimestriel!AM25="",IPC_Trimestriel!AI25=""),"",AVERAGE(IPC_Trimestriel!AM25:AP25)/AVERAGE(IPC_Trimestriel!AI25:AL25)-1)</f>
        <v/>
      </c>
      <c r="AM25" s="75" t="str">
        <f>IF(OR(IPC_Trimestriel!AQ25="",IPC_Trimestriel!AN25="",IPC_Trimestriel!AJ25=""),"",AVERAGE(IPC_Trimestriel!AN25:AQ25)/AVERAGE(IPC_Trimestriel!AJ25:AM25)-1)</f>
        <v/>
      </c>
      <c r="AN25" s="75" t="str">
        <f>IF(OR(IPC_Trimestriel!AR25="",IPC_Trimestriel!AO25="",IPC_Trimestriel!AK25=""),"",AVERAGE(IPC_Trimestriel!AO25:AR25)/AVERAGE(IPC_Trimestriel!AK25:AN25)-1)</f>
        <v/>
      </c>
      <c r="AO25" s="75" t="str">
        <f>IF(OR(IPC_Trimestriel!AS25="",IPC_Trimestriel!AP25="",IPC_Trimestriel!AL25=""),"",AVERAGE(IPC_Trimestriel!AP25:AS25)/AVERAGE(IPC_Trimestriel!AL25:AO25)-1)</f>
        <v/>
      </c>
      <c r="AP25" s="75" t="str">
        <f>IF(OR(IPC_Trimestriel!AT25="",IPC_Trimestriel!AQ25="",IPC_Trimestriel!AM25=""),"",AVERAGE(IPC_Trimestriel!AQ25:AT25)/AVERAGE(IPC_Trimestriel!AM25:AP25)-1)</f>
        <v/>
      </c>
      <c r="AQ25" s="75" t="str">
        <f>IF(OR(IPC_Trimestriel!AU25="",IPC_Trimestriel!AR25="",IPC_Trimestriel!AN25=""),"",AVERAGE(IPC_Trimestriel!AR25:AU25)/AVERAGE(IPC_Trimestriel!AN25:AQ25)-1)</f>
        <v/>
      </c>
      <c r="AR25" s="75" t="str">
        <f>IF(OR(IPC_Trimestriel!AV25="",IPC_Trimestriel!AS25="",IPC_Trimestriel!AO25=""),"",AVERAGE(IPC_Trimestriel!AS25:AV25)/AVERAGE(IPC_Trimestriel!AO25:AR25)-1)</f>
        <v/>
      </c>
      <c r="AS25" s="75" t="str">
        <f>IF(OR(IPC_Trimestriel!AW25="",IPC_Trimestriel!AT25="",IPC_Trimestriel!AP25=""),"",AVERAGE(IPC_Trimestriel!AT25:AW25)/AVERAGE(IPC_Trimestriel!AP25:AS25)-1)</f>
        <v/>
      </c>
      <c r="AT25" s="75" t="str">
        <f>IF(OR(IPC_Trimestriel!AX25="",IPC_Trimestriel!AU25="",IPC_Trimestriel!AQ25=""),"",AVERAGE(IPC_Trimestriel!AU25:AX25)/AVERAGE(IPC_Trimestriel!AQ25:AT25)-1)</f>
        <v/>
      </c>
      <c r="AU25" s="75" t="str">
        <f>IF(OR(IPC_Trimestriel!AY25="",IPC_Trimestriel!AV25="",IPC_Trimestriel!AR25=""),"",AVERAGE(IPC_Trimestriel!AV25:AY25)/AVERAGE(IPC_Trimestriel!AR25:AU25)-1)</f>
        <v/>
      </c>
      <c r="AV25" s="75" t="str">
        <f>IF(OR(IPC_Trimestriel!AZ25="",IPC_Trimestriel!AW25="",IPC_Trimestriel!AS25=""),"",AVERAGE(IPC_Trimestriel!AW25:AZ25)/AVERAGE(IPC_Trimestriel!AS25:AV25)-1)</f>
        <v/>
      </c>
      <c r="AW25" s="75" t="str">
        <f>IF(OR(IPC_Trimestriel!BA25="",IPC_Trimestriel!AX25="",IPC_Trimestriel!AT25=""),"",AVERAGE(IPC_Trimestriel!AX25:BA25)/AVERAGE(IPC_Trimestriel!AT25:AW25)-1)</f>
        <v/>
      </c>
      <c r="AX25" s="75" t="str">
        <f>IF(OR(IPC_Trimestriel!BB25="",IPC_Trimestriel!AY25="",IPC_Trimestriel!AU25=""),"",AVERAGE(IPC_Trimestriel!AY25:BB25)/AVERAGE(IPC_Trimestriel!AU25:AX25)-1)</f>
        <v/>
      </c>
      <c r="AY25" s="75" t="str">
        <f>IF(OR(IPC_Trimestriel!BC25="",IPC_Trimestriel!AZ25="",IPC_Trimestriel!AV25=""),"",AVERAGE(IPC_Trimestriel!AZ25:BC25)/AVERAGE(IPC_Trimestriel!AV25:AY25)-1)</f>
        <v/>
      </c>
      <c r="AZ25" s="75" t="str">
        <f>IF(OR(IPC_Trimestriel!BD25="",IPC_Trimestriel!BA25="",IPC_Trimestriel!AW25=""),"",AVERAGE(IPC_Trimestriel!BA25:BD25)/AVERAGE(IPC_Trimestriel!AW25:AZ25)-1)</f>
        <v/>
      </c>
      <c r="BA25" s="75" t="str">
        <f>IF(OR(IPC_Trimestriel!BE25="",IPC_Trimestriel!BB25="",IPC_Trimestriel!AX25=""),"",AVERAGE(IPC_Trimestriel!BB25:BE25)/AVERAGE(IPC_Trimestriel!AX25:BA25)-1)</f>
        <v/>
      </c>
      <c r="BB25" s="75" t="str">
        <f>IF(OR(IPC_Trimestriel!BF25="",IPC_Trimestriel!BC25="",IPC_Trimestriel!AY25=""),"",AVERAGE(IPC_Trimestriel!BC25:BF25)/AVERAGE(IPC_Trimestriel!AY25:BB25)-1)</f>
        <v/>
      </c>
      <c r="BC25" s="75">
        <f>IF(OR(IPC_Trimestriel!BG25="",IPC_Trimestriel!BD25="",IPC_Trimestriel!AZ25=""),"",AVERAGE(IPC_Trimestriel!BD25:BG25)/AVERAGE(IPC_Trimestriel!AZ25:BC25)-1)</f>
        <v>4.0959862850515893E-3</v>
      </c>
      <c r="BD25" s="75">
        <f>IF(OR(IPC_Trimestriel!BH25="",IPC_Trimestriel!BE25="",IPC_Trimestriel!BA25=""),"",AVERAGE(IPC_Trimestriel!BE25:BH25)/AVERAGE(IPC_Trimestriel!BA25:BD25)-1)</f>
        <v>4.2265542813599843E-3</v>
      </c>
      <c r="BE25" s="75">
        <f>IF(OR(IPC_Trimestriel!BI25="",IPC_Trimestriel!BF25="",IPC_Trimestriel!BB25=""),"",AVERAGE(IPC_Trimestriel!BF25:BI25)/AVERAGE(IPC_Trimestriel!BB25:BE25)-1)</f>
        <v>2.2012068588070921E-3</v>
      </c>
      <c r="BF25" s="75">
        <f>IF(OR(IPC_Trimestriel!BJ25="",IPC_Trimestriel!BG25="",IPC_Trimestriel!BC25=""),"",AVERAGE(IPC_Trimestriel!BG25:BJ25)/AVERAGE(IPC_Trimestriel!BC25:BF25)-1)</f>
        <v>2.0969618768573284E-2</v>
      </c>
      <c r="BG25" s="75">
        <f>IF(OR(IPC_Trimestriel!BK25="",IPC_Trimestriel!BH25="",IPC_Trimestriel!BD25=""),"",AVERAGE(IPC_Trimestriel!BH25:BK25)/AVERAGE(IPC_Trimestriel!BD25:BG25)-1)</f>
        <v>4.2101784093037997E-2</v>
      </c>
      <c r="BH25" s="75">
        <f>IF(OR(IPC_Trimestriel!BL25="",IPC_Trimestriel!BI25="",IPC_Trimestriel!BE25=""),"",AVERAGE(IPC_Trimestriel!BI25:BL25)/AVERAGE(IPC_Trimestriel!BE25:BH25)-1)</f>
        <v>6.2371036130618451E-2</v>
      </c>
      <c r="BI25" s="75">
        <f>IF(OR(IPC_Trimestriel!BM25="",IPC_Trimestriel!BJ25="",IPC_Trimestriel!BF25=""),"",AVERAGE(IPC_Trimestriel!BJ25:BM25)/AVERAGE(IPC_Trimestriel!BF25:BI25)-1)</f>
        <v>8.4113463491388707E-2</v>
      </c>
      <c r="BJ25" s="75">
        <f>IF(OR(IPC_Trimestriel!BN25="",IPC_Trimestriel!BK25="",IPC_Trimestriel!BG25=""),"",AVERAGE(IPC_Trimestriel!BK25:BN25)/AVERAGE(IPC_Trimestriel!BG25:BJ25)-1)</f>
        <v>6.2663080439042673E-2</v>
      </c>
      <c r="BK25" s="75">
        <f>IF(OR(IPC_Trimestriel!BO25="",IPC_Trimestriel!BL25="",IPC_Trimestriel!BH25=""),"",AVERAGE(IPC_Trimestriel!BL25:BO25)/AVERAGE(IPC_Trimestriel!BH25:BK25)-1)</f>
        <v>4.1213569593172794E-2</v>
      </c>
      <c r="BL25" s="75">
        <f>IF(OR(IPC_Trimestriel!BP25="",IPC_Trimestriel!BM25="",IPC_Trimestriel!BI25=""),"",AVERAGE(IPC_Trimestriel!BM25:BP25)/AVERAGE(IPC_Trimestriel!BI25:BL25)-1)</f>
        <v>1.7343526945005738E-2</v>
      </c>
      <c r="BM25" s="75">
        <f>IF(OR(IPC_Trimestriel!BQ25="",IPC_Trimestriel!BN25="",IPC_Trimestriel!BJ25=""),"",AVERAGE(IPC_Trimestriel!BN25:BQ25)/AVERAGE(IPC_Trimestriel!BJ25:BM25)-1)</f>
        <v>-6.468643187818035E-3</v>
      </c>
      <c r="BN25" s="75">
        <f>IF(OR(IPC_Trimestriel!BR25="",IPC_Trimestriel!BO25="",IPC_Trimestriel!BK25=""),"",AVERAGE(IPC_Trimestriel!BO25:BR25)/AVERAGE(IPC_Trimestriel!BK25:BN25)-1)</f>
        <v>-1.0418662094813236E-2</v>
      </c>
      <c r="BO25" s="75">
        <f>IF(OR(IPC_Trimestriel!BS25="",IPC_Trimestriel!BP25="",IPC_Trimestriel!BL25=""),"",AVERAGE(IPC_Trimestriel!BP25:BS25)/AVERAGE(IPC_Trimestriel!BL25:BO25)-1)</f>
        <v>-1.4639103775309636E-2</v>
      </c>
      <c r="BP25" s="75">
        <f>IF(OR(IPC_Trimestriel!BT25="",IPC_Trimestriel!BQ25="",IPC_Trimestriel!BM25=""),"",AVERAGE(IPC_Trimestriel!BQ25:BT25)/AVERAGE(IPC_Trimestriel!BM25:BP25)-1)</f>
        <v>-1.0941842007890612E-2</v>
      </c>
      <c r="BQ25" s="75">
        <f>IF(OR(IPC_Trimestriel!BU25="",IPC_Trimestriel!BR25="",IPC_Trimestriel!BN25=""),"",AVERAGE(IPC_Trimestriel!BR25:BU25)/AVERAGE(IPC_Trimestriel!BN25:BQ25)-1)</f>
        <v>-6.4367720894956681E-3</v>
      </c>
      <c r="BR25" s="75">
        <f>IF(OR(IPC_Trimestriel!BV25="",IPC_Trimestriel!BS25="",IPC_Trimestriel!BO25=""),"",AVERAGE(IPC_Trimestriel!BS25:BV25)/AVERAGE(IPC_Trimestriel!BO25:BR25)-1)</f>
        <v>-1.9634635862928462E-3</v>
      </c>
      <c r="BS25" s="75">
        <f>IF(OR(IPC_Trimestriel!BW25="",IPC_Trimestriel!BT25="",IPC_Trimestriel!BP25=""),"",AVERAGE(IPC_Trimestriel!BT25:BW25)/AVERAGE(IPC_Trimestriel!BP25:BS25)-1)</f>
        <v>2.4896290944169674E-3</v>
      </c>
      <c r="BT25" s="75">
        <f>IF(OR(IPC_Trimestriel!BX25="",IPC_Trimestriel!BU25="",IPC_Trimestriel!BQ25=""),"",AVERAGE(IPC_Trimestriel!BU25:BX25)/AVERAGE(IPC_Trimestriel!BQ25:BT25)-1)</f>
        <v>2.5631297324626434E-3</v>
      </c>
      <c r="BU25" s="75">
        <f>IF(OR(IPC_Trimestriel!BY25="",IPC_Trimestriel!BV25="",IPC_Trimestriel!BR25=""),"",AVERAGE(IPC_Trimestriel!BV25:BY25)/AVERAGE(IPC_Trimestriel!BR25:BU25)-1)</f>
        <v>3.2354795424067717E-3</v>
      </c>
      <c r="BV25" s="75">
        <f>IF(OR(IPC_Trimestriel!BZ25="",IPC_Trimestriel!BW25="",IPC_Trimestriel!BS25=""),"",AVERAGE(IPC_Trimestriel!BW25:BZ25)/AVERAGE(IPC_Trimestriel!BS25:BV25)-1)</f>
        <v>3.5755174218674579E-3</v>
      </c>
      <c r="BW25" s="75">
        <f>IF(OR(IPC_Trimestriel!CA25="",IPC_Trimestriel!BX25="",IPC_Trimestriel!BT25=""),"",AVERAGE(IPC_Trimestriel!BX25:CA25)/AVERAGE(IPC_Trimestriel!BT25:BW25)-1)</f>
        <v>4.1898352403144656E-3</v>
      </c>
      <c r="BX25" s="75">
        <f>IF(OR(IPC_Trimestriel!CB25="",IPC_Trimestriel!BY25="",IPC_Trimestriel!BU25=""),"",AVERAGE(IPC_Trimestriel!BY25:CB25)/AVERAGE(IPC_Trimestriel!BU25:BX25)-1)</f>
        <v>4.9224251523172224E-3</v>
      </c>
      <c r="BY25" s="75">
        <f>IF(OR(IPC_Trimestriel!CC25="",IPC_Trimestriel!BZ25="",IPC_Trimestriel!BV25=""),"",AVERAGE(IPC_Trimestriel!BZ25:CC25)/AVERAGE(IPC_Trimestriel!BV25:BY25)-1)</f>
        <v>4.0426576253773661E-3</v>
      </c>
      <c r="BZ25" s="75">
        <f>IF(OR(IPC_Trimestriel!CD25="",IPC_Trimestriel!CA25="",IPC_Trimestriel!BW25=""),"",AVERAGE(IPC_Trimestriel!CA25:CD25)/AVERAGE(IPC_Trimestriel!BW25:BZ25)-1)</f>
        <v>3.1534680026406026E-3</v>
      </c>
      <c r="CA25" s="75">
        <f>IF(OR(IPC_Trimestriel!CE25="",IPC_Trimestriel!CB25="",IPC_Trimestriel!BX25=""),"",AVERAGE(IPC_Trimestriel!CB25:CE25)/AVERAGE(IPC_Trimestriel!BX25:CA25)-1)</f>
        <v>1.8893064018732364E-3</v>
      </c>
      <c r="CB25" s="75">
        <f>IF(OR(IPC_Trimestriel!CF25="",IPC_Trimestriel!CC25="",IPC_Trimestriel!BY25=""),"",AVERAGE(IPC_Trimestriel!CC25:CF25)/AVERAGE(IPC_Trimestriel!BY25:CB25)-1)</f>
        <v>8.4632168844178679E-4</v>
      </c>
      <c r="CC25" s="75">
        <f>IF(OR(IPC_Trimestriel!CG25="",IPC_Trimestriel!CD25="",IPC_Trimestriel!BZ25=""),"",AVERAGE(IPC_Trimestriel!CD25:CG25)/AVERAGE(IPC_Trimestriel!BZ25:CC25)-1)</f>
        <v>2.0155431056561035E-3</v>
      </c>
      <c r="CD25" s="75">
        <f>IF(OR(IPC_Trimestriel!CH25="",IPC_Trimestriel!CE25="",IPC_Trimestriel!CA25=""),"",AVERAGE(IPC_Trimestriel!CE25:CH25)/AVERAGE(IPC_Trimestriel!CA25:CD25)-1)</f>
        <v>3.9110585766068962E-3</v>
      </c>
      <c r="CE25" s="75">
        <f>IF(OR(IPC_Trimestriel!CI25="",IPC_Trimestriel!CF25="",IPC_Trimestriel!CB25=""),"",AVERAGE(IPC_Trimestriel!CF25:CI25)/AVERAGE(IPC_Trimestriel!CB25:CE25)-1)</f>
        <v>6.1340468634738521E-3</v>
      </c>
      <c r="CF25" s="75">
        <f>IF(OR(IPC_Trimestriel!CJ25="",IPC_Trimestriel!CG25="",IPC_Trimestriel!CC25=""),"",AVERAGE(IPC_Trimestriel!CG25:CJ25)/AVERAGE(IPC_Trimestriel!CC25:CF25)-1)</f>
        <v>7.9922660807092427E-3</v>
      </c>
      <c r="CG25" s="75">
        <f>IF(OR(IPC_Trimestriel!CK25="",IPC_Trimestriel!CH25="",IPC_Trimestriel!CD25=""),"",AVERAGE(IPC_Trimestriel!CH25:CK25)/AVERAGE(IPC_Trimestriel!CD25:CG25)-1)</f>
        <v>6.8844213627670126E-3</v>
      </c>
      <c r="CH25" s="75">
        <f>IF(OR(IPC_Trimestriel!CL25="",IPC_Trimestriel!CI25="",IPC_Trimestriel!CE25=""),"",AVERAGE(IPC_Trimestriel!CI25:CL25)/AVERAGE(IPC_Trimestriel!CE25:CH25)-1)</f>
        <v>4.7877997373073633E-3</v>
      </c>
      <c r="CI25" s="75">
        <f>IF(OR(IPC_Trimestriel!CM25="",IPC_Trimestriel!CJ25="",IPC_Trimestriel!CF25=""),"",AVERAGE(IPC_Trimestriel!CJ25:CM25)/AVERAGE(IPC_Trimestriel!CF25:CI25)-1)</f>
        <v>2.735734247322652E-3</v>
      </c>
      <c r="CJ25" s="75">
        <f>IF(OR(IPC_Trimestriel!CN25="",IPC_Trimestriel!CK25="",IPC_Trimestriel!CG25=""),"",AVERAGE(IPC_Trimestriel!CK25:CN25)/AVERAGE(IPC_Trimestriel!CG25:CJ25)-1)</f>
        <v>1.3728301314417379E-3</v>
      </c>
      <c r="CK25" s="75">
        <f>IF(OR(IPC_Trimestriel!CO25="",IPC_Trimestriel!CL25="",IPC_Trimestriel!CH25=""),"",AVERAGE(IPC_Trimestriel!CL25:CO25)/AVERAGE(IPC_Trimestriel!CH25:CK25)-1)</f>
        <v>2.0772908175310523E-3</v>
      </c>
      <c r="CL25" s="75">
        <f>IF(OR(IPC_Trimestriel!CP25="",IPC_Trimestriel!CM25="",IPC_Trimestriel!CI25=""),"",AVERAGE(IPC_Trimestriel!CM25:CP25)/AVERAGE(IPC_Trimestriel!CI25:CL25)-1)</f>
        <v>3.2121617585818552E-3</v>
      </c>
      <c r="CM25" s="75">
        <f>IF(OR(IPC_Trimestriel!CQ25="",IPC_Trimestriel!CN25="",IPC_Trimestriel!CJ25=""),"",AVERAGE(IPC_Trimestriel!CN25:CQ25)/AVERAGE(IPC_Trimestriel!CJ25:CM25)-1)</f>
        <v>8.0041469591745074E-3</v>
      </c>
      <c r="CN25" s="75" t="str">
        <f>IF(OR(IPC_Trimestriel!CR25="",IPC_Trimestriel!CO25="",IPC_Trimestriel!CK25=""),"",AVERAGE(IPC_Trimestriel!CO25:CR25)/AVERAGE(IPC_Trimestriel!CK25:CN25)-1)</f>
        <v/>
      </c>
      <c r="CO25" s="75" t="str">
        <f>IF(OR(IPC_Trimestriel!CS25="",IPC_Trimestriel!CP25="",IPC_Trimestriel!CL25=""),"",AVERAGE(IPC_Trimestriel!CP25:CS25)/AVERAGE(IPC_Trimestriel!CL25:CO25)-1)</f>
        <v/>
      </c>
      <c r="CP25" s="75" t="str">
        <f>IF(OR(IPC_Trimestriel!CT25="",IPC_Trimestriel!CQ25="",IPC_Trimestriel!CM25=""),"",AVERAGE(IPC_Trimestriel!CQ25:CT25)/AVERAGE(IPC_Trimestriel!CM25:CP25)-1)</f>
        <v/>
      </c>
    </row>
    <row r="26" spans="1:94" s="74" customFormat="1" ht="10.199999999999999" x14ac:dyDescent="0.2">
      <c r="B26" s="3" t="s">
        <v>106</v>
      </c>
      <c r="D26" s="75"/>
      <c r="E26" s="75"/>
      <c r="F26" s="75"/>
      <c r="G26" s="75" t="str">
        <f>IF(OR(IPC_Trimestriel!K26="",IPC_Trimestriel!H26="",IPC_Trimestriel!D26=""),"",AVERAGE(IPC_Trimestriel!H26:K26)/AVERAGE(IPC_Trimestriel!D26:G26)-1)</f>
        <v/>
      </c>
      <c r="H26" s="75" t="str">
        <f>IF(OR(IPC_Trimestriel!L26="",IPC_Trimestriel!I26="",IPC_Trimestriel!E26=""),"",AVERAGE(IPC_Trimestriel!I26:L26)/AVERAGE(IPC_Trimestriel!E26:H26)-1)</f>
        <v/>
      </c>
      <c r="I26" s="75" t="str">
        <f>IF(OR(IPC_Trimestriel!M26="",IPC_Trimestriel!J26="",IPC_Trimestriel!F26=""),"",AVERAGE(IPC_Trimestriel!J26:M26)/AVERAGE(IPC_Trimestriel!F26:I26)-1)</f>
        <v/>
      </c>
      <c r="J26" s="75" t="str">
        <f>IF(OR(IPC_Trimestriel!N26="",IPC_Trimestriel!K26="",IPC_Trimestriel!G26=""),"",AVERAGE(IPC_Trimestriel!K26:N26)/AVERAGE(IPC_Trimestriel!G26:J26)-1)</f>
        <v/>
      </c>
      <c r="K26" s="75" t="str">
        <f>IF(OR(IPC_Trimestriel!O26="",IPC_Trimestriel!L26="",IPC_Trimestriel!H26=""),"",AVERAGE(IPC_Trimestriel!L26:O26)/AVERAGE(IPC_Trimestriel!H26:K26)-1)</f>
        <v/>
      </c>
      <c r="L26" s="75" t="str">
        <f>IF(OR(IPC_Trimestriel!P26="",IPC_Trimestriel!M26="",IPC_Trimestriel!I26=""),"",AVERAGE(IPC_Trimestriel!M26:P26)/AVERAGE(IPC_Trimestriel!I26:L26)-1)</f>
        <v/>
      </c>
      <c r="M26" s="75" t="str">
        <f>IF(OR(IPC_Trimestriel!Q26="",IPC_Trimestriel!N26="",IPC_Trimestriel!J26=""),"",AVERAGE(IPC_Trimestriel!N26:Q26)/AVERAGE(IPC_Trimestriel!J26:M26)-1)</f>
        <v/>
      </c>
      <c r="N26" s="75" t="str">
        <f>IF(OR(IPC_Trimestriel!R26="",IPC_Trimestriel!O26="",IPC_Trimestriel!K26=""),"",AVERAGE(IPC_Trimestriel!O26:R26)/AVERAGE(IPC_Trimestriel!K26:N26)-1)</f>
        <v/>
      </c>
      <c r="O26" s="75" t="str">
        <f>IF(OR(IPC_Trimestriel!S26="",IPC_Trimestriel!P26="",IPC_Trimestriel!L26=""),"",AVERAGE(IPC_Trimestriel!P26:S26)/AVERAGE(IPC_Trimestriel!L26:O26)-1)</f>
        <v/>
      </c>
      <c r="P26" s="75" t="str">
        <f>IF(OR(IPC_Trimestriel!T26="",IPC_Trimestriel!Q26="",IPC_Trimestriel!M26=""),"",AVERAGE(IPC_Trimestriel!Q26:T26)/AVERAGE(IPC_Trimestriel!M26:P26)-1)</f>
        <v/>
      </c>
      <c r="Q26" s="75" t="str">
        <f>IF(OR(IPC_Trimestriel!U26="",IPC_Trimestriel!R26="",IPC_Trimestriel!N26=""),"",AVERAGE(IPC_Trimestriel!R26:U26)/AVERAGE(IPC_Trimestriel!N26:Q26)-1)</f>
        <v/>
      </c>
      <c r="R26" s="75" t="str">
        <f>IF(OR(IPC_Trimestriel!V26="",IPC_Trimestriel!S26="",IPC_Trimestriel!O26=""),"",AVERAGE(IPC_Trimestriel!S26:V26)/AVERAGE(IPC_Trimestriel!O26:R26)-1)</f>
        <v/>
      </c>
      <c r="S26" s="75" t="str">
        <f>IF(OR(IPC_Trimestriel!W26="",IPC_Trimestriel!T26="",IPC_Trimestriel!P26=""),"",AVERAGE(IPC_Trimestriel!T26:W26)/AVERAGE(IPC_Trimestriel!P26:S26)-1)</f>
        <v/>
      </c>
      <c r="T26" s="75" t="str">
        <f>IF(OR(IPC_Trimestriel!X26="",IPC_Trimestriel!U26="",IPC_Trimestriel!Q26=""),"",AVERAGE(IPC_Trimestriel!U26:X26)/AVERAGE(IPC_Trimestriel!Q26:T26)-1)</f>
        <v/>
      </c>
      <c r="U26" s="75" t="str">
        <f>IF(OR(IPC_Trimestriel!Y26="",IPC_Trimestriel!V26="",IPC_Trimestriel!R26=""),"",AVERAGE(IPC_Trimestriel!V26:Y26)/AVERAGE(IPC_Trimestriel!R26:U26)-1)</f>
        <v/>
      </c>
      <c r="V26" s="75" t="str">
        <f>IF(OR(IPC_Trimestriel!Z26="",IPC_Trimestriel!W26="",IPC_Trimestriel!S26=""),"",AVERAGE(IPC_Trimestriel!W26:Z26)/AVERAGE(IPC_Trimestriel!S26:V26)-1)</f>
        <v/>
      </c>
      <c r="W26" s="75" t="str">
        <f>IF(OR(IPC_Trimestriel!AA26="",IPC_Trimestriel!X26="",IPC_Trimestriel!T26=""),"",AVERAGE(IPC_Trimestriel!X26:AA26)/AVERAGE(IPC_Trimestriel!T26:W26)-1)</f>
        <v/>
      </c>
      <c r="X26" s="75" t="str">
        <f>IF(OR(IPC_Trimestriel!AB26="",IPC_Trimestriel!Y26="",IPC_Trimestriel!U26=""),"",AVERAGE(IPC_Trimestriel!Y26:AB26)/AVERAGE(IPC_Trimestriel!U26:X26)-1)</f>
        <v/>
      </c>
      <c r="Y26" s="75" t="str">
        <f>IF(OR(IPC_Trimestriel!AC26="",IPC_Trimestriel!Z26="",IPC_Trimestriel!V26=""),"",AVERAGE(IPC_Trimestriel!Z26:AC26)/AVERAGE(IPC_Trimestriel!V26:Y26)-1)</f>
        <v/>
      </c>
      <c r="Z26" s="75" t="str">
        <f>IF(OR(IPC_Trimestriel!AD26="",IPC_Trimestriel!AA26="",IPC_Trimestriel!W26=""),"",AVERAGE(IPC_Trimestriel!AA26:AD26)/AVERAGE(IPC_Trimestriel!W26:Z26)-1)</f>
        <v/>
      </c>
      <c r="AA26" s="75" t="str">
        <f>IF(OR(IPC_Trimestriel!AE26="",IPC_Trimestriel!AB26="",IPC_Trimestriel!X26=""),"",AVERAGE(IPC_Trimestriel!AB26:AE26)/AVERAGE(IPC_Trimestriel!X26:AA26)-1)</f>
        <v/>
      </c>
      <c r="AB26" s="75" t="str">
        <f>IF(OR(IPC_Trimestriel!AF26="",IPC_Trimestriel!AC26="",IPC_Trimestriel!Y26=""),"",AVERAGE(IPC_Trimestriel!AC26:AF26)/AVERAGE(IPC_Trimestriel!Y26:AB26)-1)</f>
        <v/>
      </c>
      <c r="AC26" s="75" t="str">
        <f>IF(OR(IPC_Trimestriel!AG26="",IPC_Trimestriel!AD26="",IPC_Trimestriel!Z26=""),"",AVERAGE(IPC_Trimestriel!AD26:AG26)/AVERAGE(IPC_Trimestriel!Z26:AC26)-1)</f>
        <v/>
      </c>
      <c r="AD26" s="75" t="str">
        <f>IF(OR(IPC_Trimestriel!AH26="",IPC_Trimestriel!AE26="",IPC_Trimestriel!AA26=""),"",AVERAGE(IPC_Trimestriel!AE26:AH26)/AVERAGE(IPC_Trimestriel!AA26:AD26)-1)</f>
        <v/>
      </c>
      <c r="AE26" s="75" t="str">
        <f>IF(OR(IPC_Trimestriel!AI26="",IPC_Trimestriel!AF26="",IPC_Trimestriel!AB26=""),"",AVERAGE(IPC_Trimestriel!AF26:AI26)/AVERAGE(IPC_Trimestriel!AB26:AE26)-1)</f>
        <v/>
      </c>
      <c r="AF26" s="75" t="str">
        <f>IF(OR(IPC_Trimestriel!AJ26="",IPC_Trimestriel!AG26="",IPC_Trimestriel!AC26=""),"",AVERAGE(IPC_Trimestriel!AG26:AJ26)/AVERAGE(IPC_Trimestriel!AC26:AF26)-1)</f>
        <v/>
      </c>
      <c r="AG26" s="75" t="str">
        <f>IF(OR(IPC_Trimestriel!AK26="",IPC_Trimestriel!AH26="",IPC_Trimestriel!AD26=""),"",AVERAGE(IPC_Trimestriel!AH26:AK26)/AVERAGE(IPC_Trimestriel!AD26:AG26)-1)</f>
        <v/>
      </c>
      <c r="AH26" s="75" t="str">
        <f>IF(OR(IPC_Trimestriel!AL26="",IPC_Trimestriel!AI26="",IPC_Trimestriel!AE26=""),"",AVERAGE(IPC_Trimestriel!AI26:AL26)/AVERAGE(IPC_Trimestriel!AE26:AH26)-1)</f>
        <v/>
      </c>
      <c r="AI26" s="75" t="str">
        <f>IF(OR(IPC_Trimestriel!AM26="",IPC_Trimestriel!AJ26="",IPC_Trimestriel!AF26=""),"",AVERAGE(IPC_Trimestriel!AJ26:AM26)/AVERAGE(IPC_Trimestriel!AF26:AI26)-1)</f>
        <v/>
      </c>
      <c r="AJ26" s="75" t="str">
        <f>IF(OR(IPC_Trimestriel!AN26="",IPC_Trimestriel!AK26="",IPC_Trimestriel!AG26=""),"",AVERAGE(IPC_Trimestriel!AK26:AN26)/AVERAGE(IPC_Trimestriel!AG26:AJ26)-1)</f>
        <v/>
      </c>
      <c r="AK26" s="75" t="str">
        <f>IF(OR(IPC_Trimestriel!AO26="",IPC_Trimestriel!AL26="",IPC_Trimestriel!AH26=""),"",AVERAGE(IPC_Trimestriel!AL26:AO26)/AVERAGE(IPC_Trimestriel!AH26:AK26)-1)</f>
        <v/>
      </c>
      <c r="AL26" s="75" t="str">
        <f>IF(OR(IPC_Trimestriel!AP26="",IPC_Trimestriel!AM26="",IPC_Trimestriel!AI26=""),"",AVERAGE(IPC_Trimestriel!AM26:AP26)/AVERAGE(IPC_Trimestriel!AI26:AL26)-1)</f>
        <v/>
      </c>
      <c r="AM26" s="75" t="str">
        <f>IF(OR(IPC_Trimestriel!AQ26="",IPC_Trimestriel!AN26="",IPC_Trimestriel!AJ26=""),"",AVERAGE(IPC_Trimestriel!AN26:AQ26)/AVERAGE(IPC_Trimestriel!AJ26:AM26)-1)</f>
        <v/>
      </c>
      <c r="AN26" s="75" t="str">
        <f>IF(OR(IPC_Trimestriel!AR26="",IPC_Trimestriel!AO26="",IPC_Trimestriel!AK26=""),"",AVERAGE(IPC_Trimestriel!AO26:AR26)/AVERAGE(IPC_Trimestriel!AK26:AN26)-1)</f>
        <v/>
      </c>
      <c r="AO26" s="75" t="str">
        <f>IF(OR(IPC_Trimestriel!AS26="",IPC_Trimestriel!AP26="",IPC_Trimestriel!AL26=""),"",AVERAGE(IPC_Trimestriel!AP26:AS26)/AVERAGE(IPC_Trimestriel!AL26:AO26)-1)</f>
        <v/>
      </c>
      <c r="AP26" s="75" t="str">
        <f>IF(OR(IPC_Trimestriel!AT26="",IPC_Trimestriel!AQ26="",IPC_Trimestriel!AM26=""),"",AVERAGE(IPC_Trimestriel!AQ26:AT26)/AVERAGE(IPC_Trimestriel!AM26:AP26)-1)</f>
        <v/>
      </c>
      <c r="AQ26" s="75" t="str">
        <f>IF(OR(IPC_Trimestriel!AU26="",IPC_Trimestriel!AR26="",IPC_Trimestriel!AN26=""),"",AVERAGE(IPC_Trimestriel!AR26:AU26)/AVERAGE(IPC_Trimestriel!AN26:AQ26)-1)</f>
        <v/>
      </c>
      <c r="AR26" s="75" t="str">
        <f>IF(OR(IPC_Trimestriel!AV26="",IPC_Trimestriel!AS26="",IPC_Trimestriel!AO26=""),"",AVERAGE(IPC_Trimestriel!AS26:AV26)/AVERAGE(IPC_Trimestriel!AO26:AR26)-1)</f>
        <v/>
      </c>
      <c r="AS26" s="75" t="str">
        <f>IF(OR(IPC_Trimestriel!AW26="",IPC_Trimestriel!AT26="",IPC_Trimestriel!AP26=""),"",AVERAGE(IPC_Trimestriel!AT26:AW26)/AVERAGE(IPC_Trimestriel!AP26:AS26)-1)</f>
        <v/>
      </c>
      <c r="AT26" s="75" t="str">
        <f>IF(OR(IPC_Trimestriel!AX26="",IPC_Trimestriel!AU26="",IPC_Trimestriel!AQ26=""),"",AVERAGE(IPC_Trimestriel!AU26:AX26)/AVERAGE(IPC_Trimestriel!AQ26:AT26)-1)</f>
        <v/>
      </c>
      <c r="AU26" s="75" t="str">
        <f>IF(OR(IPC_Trimestriel!AY26="",IPC_Trimestriel!AV26="",IPC_Trimestriel!AR26=""),"",AVERAGE(IPC_Trimestriel!AV26:AY26)/AVERAGE(IPC_Trimestriel!AR26:AU26)-1)</f>
        <v/>
      </c>
      <c r="AV26" s="75" t="str">
        <f>IF(OR(IPC_Trimestriel!AZ26="",IPC_Trimestriel!AW26="",IPC_Trimestriel!AS26=""),"",AVERAGE(IPC_Trimestriel!AW26:AZ26)/AVERAGE(IPC_Trimestriel!AS26:AV26)-1)</f>
        <v/>
      </c>
      <c r="AW26" s="75" t="str">
        <f>IF(OR(IPC_Trimestriel!BA26="",IPC_Trimestriel!AX26="",IPC_Trimestriel!AT26=""),"",AVERAGE(IPC_Trimestriel!AX26:BA26)/AVERAGE(IPC_Trimestriel!AT26:AW26)-1)</f>
        <v/>
      </c>
      <c r="AX26" s="75" t="str">
        <f>IF(OR(IPC_Trimestriel!BB26="",IPC_Trimestriel!AY26="",IPC_Trimestriel!AU26=""),"",AVERAGE(IPC_Trimestriel!AY26:BB26)/AVERAGE(IPC_Trimestriel!AU26:AX26)-1)</f>
        <v/>
      </c>
      <c r="AY26" s="75" t="str">
        <f>IF(OR(IPC_Trimestriel!BC26="",IPC_Trimestriel!AZ26="",IPC_Trimestriel!AV26=""),"",AVERAGE(IPC_Trimestriel!AZ26:BC26)/AVERAGE(IPC_Trimestriel!AV26:AY26)-1)</f>
        <v/>
      </c>
      <c r="AZ26" s="75" t="str">
        <f>IF(OR(IPC_Trimestriel!BD26="",IPC_Trimestriel!BA26="",IPC_Trimestriel!AW26=""),"",AVERAGE(IPC_Trimestriel!BA26:BD26)/AVERAGE(IPC_Trimestriel!AW26:AZ26)-1)</f>
        <v/>
      </c>
      <c r="BA26" s="75" t="str">
        <f>IF(OR(IPC_Trimestriel!BE26="",IPC_Trimestriel!BB26="",IPC_Trimestriel!AX26=""),"",AVERAGE(IPC_Trimestriel!BB26:BE26)/AVERAGE(IPC_Trimestriel!AX26:BA26)-1)</f>
        <v/>
      </c>
      <c r="BB26" s="75" t="str">
        <f>IF(OR(IPC_Trimestriel!BF26="",IPC_Trimestriel!BC26="",IPC_Trimestriel!AY26=""),"",AVERAGE(IPC_Trimestriel!BC26:BF26)/AVERAGE(IPC_Trimestriel!AY26:BB26)-1)</f>
        <v/>
      </c>
      <c r="BC26" s="75">
        <f>IF(OR(IPC_Trimestriel!BG26="",IPC_Trimestriel!BD26="",IPC_Trimestriel!AZ26=""),"",AVERAGE(IPC_Trimestriel!BD26:BG26)/AVERAGE(IPC_Trimestriel!AZ26:BC26)-1)</f>
        <v>4.1204195093196949E-2</v>
      </c>
      <c r="BD26" s="75">
        <f>IF(OR(IPC_Trimestriel!BH26="",IPC_Trimestriel!BE26="",IPC_Trimestriel!BA26=""),"",AVERAGE(IPC_Trimestriel!BE26:BH26)/AVERAGE(IPC_Trimestriel!BA26:BD26)-1)</f>
        <v>3.71127051465443E-2</v>
      </c>
      <c r="BE26" s="75">
        <f>IF(OR(IPC_Trimestriel!BI26="",IPC_Trimestriel!BF26="",IPC_Trimestriel!BB26=""),"",AVERAGE(IPC_Trimestriel!BF26:BI26)/AVERAGE(IPC_Trimestriel!BB26:BE26)-1)</f>
        <v>3.5835122670745623E-2</v>
      </c>
      <c r="BF26" s="75">
        <f>IF(OR(IPC_Trimestriel!BJ26="",IPC_Trimestriel!BG26="",IPC_Trimestriel!BC26=""),"",AVERAGE(IPC_Trimestriel!BG26:BJ26)/AVERAGE(IPC_Trimestriel!BC26:BF26)-1)</f>
        <v>3.1625030569444101E-2</v>
      </c>
      <c r="BG26" s="75">
        <f>IF(OR(IPC_Trimestriel!BK26="",IPC_Trimestriel!BH26="",IPC_Trimestriel!BD26=""),"",AVERAGE(IPC_Trimestriel!BH26:BK26)/AVERAGE(IPC_Trimestriel!BD26:BG26)-1)</f>
        <v>2.2124141710045064E-2</v>
      </c>
      <c r="BH26" s="75">
        <f>IF(OR(IPC_Trimestriel!BL26="",IPC_Trimestriel!BI26="",IPC_Trimestriel!BE26=""),"",AVERAGE(IPC_Trimestriel!BI26:BL26)/AVERAGE(IPC_Trimestriel!BE26:BH26)-1)</f>
        <v>2.0628906786459122E-2</v>
      </c>
      <c r="BI26" s="75">
        <f>IF(OR(IPC_Trimestriel!BM26="",IPC_Trimestriel!BJ26="",IPC_Trimestriel!BF26=""),"",AVERAGE(IPC_Trimestriel!BJ26:BM26)/AVERAGE(IPC_Trimestriel!BF26:BI26)-1)</f>
        <v>2.4667845741536798E-2</v>
      </c>
      <c r="BJ26" s="75">
        <f>IF(OR(IPC_Trimestriel!BN26="",IPC_Trimestriel!BK26="",IPC_Trimestriel!BG26=""),"",AVERAGE(IPC_Trimestriel!BK26:BN26)/AVERAGE(IPC_Trimestriel!BG26:BJ26)-1)</f>
        <v>3.1206949358386415E-2</v>
      </c>
      <c r="BK26" s="75">
        <f>IF(OR(IPC_Trimestriel!BO26="",IPC_Trimestriel!BL26="",IPC_Trimestriel!BH26=""),"",AVERAGE(IPC_Trimestriel!BL26:BO26)/AVERAGE(IPC_Trimestriel!BH26:BK26)-1)</f>
        <v>3.5188671364817292E-2</v>
      </c>
      <c r="BL26" s="75">
        <f>IF(OR(IPC_Trimestriel!BP26="",IPC_Trimestriel!BM26="",IPC_Trimestriel!BI26=""),"",AVERAGE(IPC_Trimestriel!BM26:BP26)/AVERAGE(IPC_Trimestriel!BI26:BL26)-1)</f>
        <v>3.9732864200612061E-2</v>
      </c>
      <c r="BM26" s="75">
        <f>IF(OR(IPC_Trimestriel!BQ26="",IPC_Trimestriel!BN26="",IPC_Trimestriel!BJ26=""),"",AVERAGE(IPC_Trimestriel!BN26:BQ26)/AVERAGE(IPC_Trimestriel!BJ26:BM26)-1)</f>
        <v>4.0556533792717842E-2</v>
      </c>
      <c r="BN26" s="75">
        <f>IF(OR(IPC_Trimestriel!BR26="",IPC_Trimestriel!BO26="",IPC_Trimestriel!BK26=""),"",AVERAGE(IPC_Trimestriel!BO26:BR26)/AVERAGE(IPC_Trimestriel!BK26:BN26)-1)</f>
        <v>3.3888410569659522E-2</v>
      </c>
      <c r="BO26" s="75">
        <f>IF(OR(IPC_Trimestriel!BS26="",IPC_Trimestriel!BP26="",IPC_Trimestriel!BL26=""),"",AVERAGE(IPC_Trimestriel!BP26:BS26)/AVERAGE(IPC_Trimestriel!BL26:BO26)-1)</f>
        <v>2.3781245211694113E-2</v>
      </c>
      <c r="BP26" s="75">
        <f>IF(OR(IPC_Trimestriel!BT26="",IPC_Trimestriel!BQ26="",IPC_Trimestriel!BM26=""),"",AVERAGE(IPC_Trimestriel!BQ26:BT26)/AVERAGE(IPC_Trimestriel!BM26:BP26)-1)</f>
        <v>1.1074399455389017E-2</v>
      </c>
      <c r="BQ26" s="75">
        <f>IF(OR(IPC_Trimestriel!BU26="",IPC_Trimestriel!BR26="",IPC_Trimestriel!BN26=""),"",AVERAGE(IPC_Trimestriel!BR26:BU26)/AVERAGE(IPC_Trimestriel!BN26:BQ26)-1)</f>
        <v>-1.1846164647887347E-3</v>
      </c>
      <c r="BR26" s="75">
        <f>IF(OR(IPC_Trimestriel!BV26="",IPC_Trimestriel!BS26="",IPC_Trimestriel!BO26=""),"",AVERAGE(IPC_Trimestriel!BS26:BV26)/AVERAGE(IPC_Trimestriel!BO26:BR26)-1)</f>
        <v>-5.2759794887982103E-3</v>
      </c>
      <c r="BS26" s="75">
        <f>IF(OR(IPC_Trimestriel!BW26="",IPC_Trimestriel!BT26="",IPC_Trimestriel!BP26=""),"",AVERAGE(IPC_Trimestriel!BT26:BW26)/AVERAGE(IPC_Trimestriel!BP26:BS26)-1)</f>
        <v>2.1383928648288641E-3</v>
      </c>
      <c r="BT26" s="75">
        <f>IF(OR(IPC_Trimestriel!BX26="",IPC_Trimestriel!BU26="",IPC_Trimestriel!BQ26=""),"",AVERAGE(IPC_Trimestriel!BU26:BX26)/AVERAGE(IPC_Trimestriel!BQ26:BT26)-1)</f>
        <v>1.1459298124317119E-2</v>
      </c>
      <c r="BU26" s="75">
        <f>IF(OR(IPC_Trimestriel!BY26="",IPC_Trimestriel!BV26="",IPC_Trimestriel!BR26=""),"",AVERAGE(IPC_Trimestriel!BV26:BY26)/AVERAGE(IPC_Trimestriel!BR26:BU26)-1)</f>
        <v>1.4440038012338841E-2</v>
      </c>
      <c r="BV26" s="75">
        <f>IF(OR(IPC_Trimestriel!BZ26="",IPC_Trimestriel!BW26="",IPC_Trimestriel!BS26=""),"",AVERAGE(IPC_Trimestriel!BW26:BZ26)/AVERAGE(IPC_Trimestriel!BS26:BV26)-1)</f>
        <v>1.2335522270953136E-2</v>
      </c>
      <c r="BW26" s="75">
        <f>IF(OR(IPC_Trimestriel!CA26="",IPC_Trimestriel!BX26="",IPC_Trimestriel!BT26=""),"",AVERAGE(IPC_Trimestriel!BX26:CA26)/AVERAGE(IPC_Trimestriel!BT26:BW26)-1)</f>
        <v>1.552750129053182E-2</v>
      </c>
      <c r="BX26" s="75">
        <f>IF(OR(IPC_Trimestriel!CB26="",IPC_Trimestriel!BY26="",IPC_Trimestriel!BU26=""),"",AVERAGE(IPC_Trimestriel!BY26:CB26)/AVERAGE(IPC_Trimestriel!BU26:BX26)-1)</f>
        <v>1.8616553590987461E-2</v>
      </c>
      <c r="BY26" s="75">
        <f>IF(OR(IPC_Trimestriel!CC26="",IPC_Trimestriel!BZ26="",IPC_Trimestriel!BV26=""),"",AVERAGE(IPC_Trimestriel!BZ26:CC26)/AVERAGE(IPC_Trimestriel!BV26:BY26)-1)</f>
        <v>2.9968762040032626E-2</v>
      </c>
      <c r="BZ26" s="75">
        <f>IF(OR(IPC_Trimestriel!CD26="",IPC_Trimestriel!CA26="",IPC_Trimestriel!BW26=""),"",AVERAGE(IPC_Trimestriel!CA26:CD26)/AVERAGE(IPC_Trimestriel!BW26:BZ26)-1)</f>
        <v>4.6918703975520781E-2</v>
      </c>
      <c r="CA26" s="75">
        <f>IF(OR(IPC_Trimestriel!CE26="",IPC_Trimestriel!CB26="",IPC_Trimestriel!BX26=""),"",AVERAGE(IPC_Trimestriel!CB26:CE26)/AVERAGE(IPC_Trimestriel!BX26:CA26)-1)</f>
        <v>4.6291501828522152E-2</v>
      </c>
      <c r="CB26" s="75">
        <f>IF(OR(IPC_Trimestriel!CF26="",IPC_Trimestriel!CC26="",IPC_Trimestriel!BY26=""),"",AVERAGE(IPC_Trimestriel!CC26:CF26)/AVERAGE(IPC_Trimestriel!BY26:CB26)-1)</f>
        <v>4.7729482957088232E-2</v>
      </c>
      <c r="CC26" s="75">
        <f>IF(OR(IPC_Trimestriel!CG26="",IPC_Trimestriel!CD26="",IPC_Trimestriel!BZ26=""),"",AVERAGE(IPC_Trimestriel!CD26:CG26)/AVERAGE(IPC_Trimestriel!BZ26:CC26)-1)</f>
        <v>4.4443361423531558E-2</v>
      </c>
      <c r="CD26" s="75">
        <f>IF(OR(IPC_Trimestriel!CH26="",IPC_Trimestriel!CE26="",IPC_Trimestriel!CA26=""),"",AVERAGE(IPC_Trimestriel!CE26:CH26)/AVERAGE(IPC_Trimestriel!CA26:CD26)-1)</f>
        <v>4.3920176840187564E-2</v>
      </c>
      <c r="CE26" s="75">
        <f>IF(OR(IPC_Trimestriel!CI26="",IPC_Trimestriel!CF26="",IPC_Trimestriel!CB26=""),"",AVERAGE(IPC_Trimestriel!CF26:CI26)/AVERAGE(IPC_Trimestriel!CB26:CE26)-1)</f>
        <v>4.9911629737347196E-2</v>
      </c>
      <c r="CF26" s="75">
        <f>IF(OR(IPC_Trimestriel!CJ26="",IPC_Trimestriel!CG26="",IPC_Trimestriel!CC26=""),"",AVERAGE(IPC_Trimestriel!CG26:CJ26)/AVERAGE(IPC_Trimestriel!CC26:CF26)-1)</f>
        <v>4.711620037783848E-2</v>
      </c>
      <c r="CG26" s="75">
        <f>IF(OR(IPC_Trimestriel!CK26="",IPC_Trimestriel!CH26="",IPC_Trimestriel!CD26=""),"",AVERAGE(IPC_Trimestriel!CH26:CK26)/AVERAGE(IPC_Trimestriel!CD26:CG26)-1)</f>
        <v>5.0400618722260315E-2</v>
      </c>
      <c r="CH26" s="75">
        <f>IF(OR(IPC_Trimestriel!CL26="",IPC_Trimestriel!CI26="",IPC_Trimestriel!CE26=""),"",AVERAGE(IPC_Trimestriel!CI26:CL26)/AVERAGE(IPC_Trimestriel!CE26:CH26)-1)</f>
        <v>4.8072220137368005E-2</v>
      </c>
      <c r="CI26" s="75">
        <f>IF(OR(IPC_Trimestriel!CM26="",IPC_Trimestriel!CJ26="",IPC_Trimestriel!CF26=""),"",AVERAGE(IPC_Trimestriel!CJ26:CM26)/AVERAGE(IPC_Trimestriel!CF26:CI26)-1)</f>
        <v>4.698621409489423E-2</v>
      </c>
      <c r="CJ26" s="75">
        <f>IF(OR(IPC_Trimestriel!CN26="",IPC_Trimestriel!CK26="",IPC_Trimestriel!CG26=""),"",AVERAGE(IPC_Trimestriel!CK26:CN26)/AVERAGE(IPC_Trimestriel!CG26:CJ26)-1)</f>
        <v>6.3125725272382249E-2</v>
      </c>
      <c r="CK26" s="75">
        <f>IF(OR(IPC_Trimestriel!CO26="",IPC_Trimestriel!CL26="",IPC_Trimestriel!CH26=""),"",AVERAGE(IPC_Trimestriel!CL26:CO26)/AVERAGE(IPC_Trimestriel!CH26:CK26)-1)</f>
        <v>7.3232700064467693E-2</v>
      </c>
      <c r="CL26" s="75">
        <f>IF(OR(IPC_Trimestriel!CP26="",IPC_Trimestriel!CM26="",IPC_Trimestriel!CI26=""),"",AVERAGE(IPC_Trimestriel!CM26:CP26)/AVERAGE(IPC_Trimestriel!CI26:CL26)-1)</f>
        <v>8.443637971019391E-2</v>
      </c>
      <c r="CM26" s="75">
        <f>IF(OR(IPC_Trimestriel!CQ26="",IPC_Trimestriel!CN26="",IPC_Trimestriel!CJ26=""),"",AVERAGE(IPC_Trimestriel!CN26:CQ26)/AVERAGE(IPC_Trimestriel!CJ26:CM26)-1)</f>
        <v>0.10152478767347506</v>
      </c>
      <c r="CN26" s="75">
        <f>IF(OR(IPC_Trimestriel!CR26="",IPC_Trimestriel!CO26="",IPC_Trimestriel!CK26=""),"",AVERAGE(IPC_Trimestriel!CO26:CR26)/AVERAGE(IPC_Trimestriel!CK26:CN26)-1)</f>
        <v>0.10838787275401285</v>
      </c>
      <c r="CO26" s="75">
        <f>IF(OR(IPC_Trimestriel!CS26="",IPC_Trimestriel!CP26="",IPC_Trimestriel!CL26=""),"",AVERAGE(IPC_Trimestriel!CP26:CS26)/AVERAGE(IPC_Trimestriel!CL26:CO26)-1)</f>
        <v>0.12468644403568319</v>
      </c>
      <c r="CP26" s="75">
        <f>IF(OR(IPC_Trimestriel!CT26="",IPC_Trimestriel!CQ26="",IPC_Trimestriel!CM26=""),"",AVERAGE(IPC_Trimestriel!CQ26:CT26)/AVERAGE(IPC_Trimestriel!CM26:CP26)-1)</f>
        <v>0.1425822643614556</v>
      </c>
    </row>
    <row r="27" spans="1:94" s="81" customFormat="1" ht="10.199999999999999" x14ac:dyDescent="0.2">
      <c r="B27" s="81" t="s">
        <v>107</v>
      </c>
      <c r="D27" s="84"/>
      <c r="E27" s="84"/>
      <c r="F27" s="84"/>
      <c r="G27" s="84" t="str">
        <f>IF(OR(IPC_Trimestriel!K27="",IPC_Trimestriel!H27="",IPC_Trimestriel!D27=""),"",AVERAGE(IPC_Trimestriel!H27:K27)/AVERAGE(IPC_Trimestriel!D27:G27)-1)</f>
        <v/>
      </c>
      <c r="H27" s="84" t="str">
        <f>IF(OR(IPC_Trimestriel!L27="",IPC_Trimestriel!I27="",IPC_Trimestriel!E27=""),"",AVERAGE(IPC_Trimestriel!I27:L27)/AVERAGE(IPC_Trimestriel!E27:H27)-1)</f>
        <v/>
      </c>
      <c r="I27" s="84" t="str">
        <f>IF(OR(IPC_Trimestriel!M27="",IPC_Trimestriel!J27="",IPC_Trimestriel!F27=""),"",AVERAGE(IPC_Trimestriel!J27:M27)/AVERAGE(IPC_Trimestriel!F27:I27)-1)</f>
        <v/>
      </c>
      <c r="J27" s="84" t="str">
        <f>IF(OR(IPC_Trimestriel!N27="",IPC_Trimestriel!K27="",IPC_Trimestriel!G27=""),"",AVERAGE(IPC_Trimestriel!K27:N27)/AVERAGE(IPC_Trimestriel!G27:J27)-1)</f>
        <v/>
      </c>
      <c r="K27" s="84" t="str">
        <f>IF(OR(IPC_Trimestriel!O27="",IPC_Trimestriel!L27="",IPC_Trimestriel!H27=""),"",AVERAGE(IPC_Trimestriel!L27:O27)/AVERAGE(IPC_Trimestriel!H27:K27)-1)</f>
        <v/>
      </c>
      <c r="L27" s="84" t="str">
        <f>IF(OR(IPC_Trimestriel!P27="",IPC_Trimestriel!M27="",IPC_Trimestriel!I27=""),"",AVERAGE(IPC_Trimestriel!M27:P27)/AVERAGE(IPC_Trimestriel!I27:L27)-1)</f>
        <v/>
      </c>
      <c r="M27" s="84" t="str">
        <f>IF(OR(IPC_Trimestriel!Q27="",IPC_Trimestriel!N27="",IPC_Trimestriel!J27=""),"",AVERAGE(IPC_Trimestriel!N27:Q27)/AVERAGE(IPC_Trimestriel!J27:M27)-1)</f>
        <v/>
      </c>
      <c r="N27" s="84" t="str">
        <f>IF(OR(IPC_Trimestriel!R27="",IPC_Trimestriel!O27="",IPC_Trimestriel!K27=""),"",AVERAGE(IPC_Trimestriel!O27:R27)/AVERAGE(IPC_Trimestriel!K27:N27)-1)</f>
        <v/>
      </c>
      <c r="O27" s="84" t="str">
        <f>IF(OR(IPC_Trimestriel!S27="",IPC_Trimestriel!P27="",IPC_Trimestriel!L27=""),"",AVERAGE(IPC_Trimestriel!P27:S27)/AVERAGE(IPC_Trimestriel!L27:O27)-1)</f>
        <v/>
      </c>
      <c r="P27" s="84" t="str">
        <f>IF(OR(IPC_Trimestriel!T27="",IPC_Trimestriel!Q27="",IPC_Trimestriel!M27=""),"",AVERAGE(IPC_Trimestriel!Q27:T27)/AVERAGE(IPC_Trimestriel!M27:P27)-1)</f>
        <v/>
      </c>
      <c r="Q27" s="84" t="str">
        <f>IF(OR(IPC_Trimestriel!U27="",IPC_Trimestriel!R27="",IPC_Trimestriel!N27=""),"",AVERAGE(IPC_Trimestriel!R27:U27)/AVERAGE(IPC_Trimestriel!N27:Q27)-1)</f>
        <v/>
      </c>
      <c r="R27" s="84" t="str">
        <f>IF(OR(IPC_Trimestriel!V27="",IPC_Trimestriel!S27="",IPC_Trimestriel!O27=""),"",AVERAGE(IPC_Trimestriel!S27:V27)/AVERAGE(IPC_Trimestriel!O27:R27)-1)</f>
        <v/>
      </c>
      <c r="S27" s="84" t="str">
        <f>IF(OR(IPC_Trimestriel!W27="",IPC_Trimestriel!T27="",IPC_Trimestriel!P27=""),"",AVERAGE(IPC_Trimestriel!T27:W27)/AVERAGE(IPC_Trimestriel!P27:S27)-1)</f>
        <v/>
      </c>
      <c r="T27" s="84" t="str">
        <f>IF(OR(IPC_Trimestriel!X27="",IPC_Trimestriel!U27="",IPC_Trimestriel!Q27=""),"",AVERAGE(IPC_Trimestriel!U27:X27)/AVERAGE(IPC_Trimestriel!Q27:T27)-1)</f>
        <v/>
      </c>
      <c r="U27" s="84" t="str">
        <f>IF(OR(IPC_Trimestriel!Y27="",IPC_Trimestriel!V27="",IPC_Trimestriel!R27=""),"",AVERAGE(IPC_Trimestriel!V27:Y27)/AVERAGE(IPC_Trimestriel!R27:U27)-1)</f>
        <v/>
      </c>
      <c r="V27" s="84" t="str">
        <f>IF(OR(IPC_Trimestriel!Z27="",IPC_Trimestriel!W27="",IPC_Trimestriel!S27=""),"",AVERAGE(IPC_Trimestriel!W27:Z27)/AVERAGE(IPC_Trimestriel!S27:V27)-1)</f>
        <v/>
      </c>
      <c r="W27" s="84" t="str">
        <f>IF(OR(IPC_Trimestriel!AA27="",IPC_Trimestriel!X27="",IPC_Trimestriel!T27=""),"",AVERAGE(IPC_Trimestriel!X27:AA27)/AVERAGE(IPC_Trimestriel!T27:W27)-1)</f>
        <v/>
      </c>
      <c r="X27" s="84" t="str">
        <f>IF(OR(IPC_Trimestriel!AB27="",IPC_Trimestriel!Y27="",IPC_Trimestriel!U27=""),"",AVERAGE(IPC_Trimestriel!Y27:AB27)/AVERAGE(IPC_Trimestriel!U27:X27)-1)</f>
        <v/>
      </c>
      <c r="Y27" s="84" t="str">
        <f>IF(OR(IPC_Trimestriel!AC27="",IPC_Trimestriel!Z27="",IPC_Trimestriel!V27=""),"",AVERAGE(IPC_Trimestriel!Z27:AC27)/AVERAGE(IPC_Trimestriel!V27:Y27)-1)</f>
        <v/>
      </c>
      <c r="Z27" s="84" t="str">
        <f>IF(OR(IPC_Trimestriel!AD27="",IPC_Trimestriel!AA27="",IPC_Trimestriel!W27=""),"",AVERAGE(IPC_Trimestriel!AA27:AD27)/AVERAGE(IPC_Trimestriel!W27:Z27)-1)</f>
        <v/>
      </c>
      <c r="AA27" s="84" t="str">
        <f>IF(OR(IPC_Trimestriel!AE27="",IPC_Trimestriel!AB27="",IPC_Trimestriel!X27=""),"",AVERAGE(IPC_Trimestriel!AB27:AE27)/AVERAGE(IPC_Trimestriel!X27:AA27)-1)</f>
        <v/>
      </c>
      <c r="AB27" s="84" t="str">
        <f>IF(OR(IPC_Trimestriel!AF27="",IPC_Trimestriel!AC27="",IPC_Trimestriel!Y27=""),"",AVERAGE(IPC_Trimestriel!AC27:AF27)/AVERAGE(IPC_Trimestriel!Y27:AB27)-1)</f>
        <v/>
      </c>
      <c r="AC27" s="84" t="str">
        <f>IF(OR(IPC_Trimestriel!AG27="",IPC_Trimestriel!AD27="",IPC_Trimestriel!Z27=""),"",AVERAGE(IPC_Trimestriel!AD27:AG27)/AVERAGE(IPC_Trimestriel!Z27:AC27)-1)</f>
        <v/>
      </c>
      <c r="AD27" s="84" t="str">
        <f>IF(OR(IPC_Trimestriel!AH27="",IPC_Trimestriel!AE27="",IPC_Trimestriel!AA27=""),"",AVERAGE(IPC_Trimestriel!AE27:AH27)/AVERAGE(IPC_Trimestriel!AA27:AD27)-1)</f>
        <v/>
      </c>
      <c r="AE27" s="84" t="str">
        <f>IF(OR(IPC_Trimestriel!AI27="",IPC_Trimestriel!AF27="",IPC_Trimestriel!AB27=""),"",AVERAGE(IPC_Trimestriel!AF27:AI27)/AVERAGE(IPC_Trimestriel!AB27:AE27)-1)</f>
        <v/>
      </c>
      <c r="AF27" s="84" t="str">
        <f>IF(OR(IPC_Trimestriel!AJ27="",IPC_Trimestriel!AG27="",IPC_Trimestriel!AC27=""),"",AVERAGE(IPC_Trimestriel!AG27:AJ27)/AVERAGE(IPC_Trimestriel!AC27:AF27)-1)</f>
        <v/>
      </c>
      <c r="AG27" s="84" t="str">
        <f>IF(OR(IPC_Trimestriel!AK27="",IPC_Trimestriel!AH27="",IPC_Trimestriel!AD27=""),"",AVERAGE(IPC_Trimestriel!AH27:AK27)/AVERAGE(IPC_Trimestriel!AD27:AG27)-1)</f>
        <v/>
      </c>
      <c r="AH27" s="84" t="str">
        <f>IF(OR(IPC_Trimestriel!AL27="",IPC_Trimestriel!AI27="",IPC_Trimestriel!AE27=""),"",AVERAGE(IPC_Trimestriel!AI27:AL27)/AVERAGE(IPC_Trimestriel!AE27:AH27)-1)</f>
        <v/>
      </c>
      <c r="AI27" s="84" t="str">
        <f>IF(OR(IPC_Trimestriel!AM27="",IPC_Trimestriel!AJ27="",IPC_Trimestriel!AF27=""),"",AVERAGE(IPC_Trimestriel!AJ27:AM27)/AVERAGE(IPC_Trimestriel!AF27:AI27)-1)</f>
        <v/>
      </c>
      <c r="AJ27" s="84" t="str">
        <f>IF(OR(IPC_Trimestriel!AN27="",IPC_Trimestriel!AK27="",IPC_Trimestriel!AG27=""),"",AVERAGE(IPC_Trimestriel!AK27:AN27)/AVERAGE(IPC_Trimestriel!AG27:AJ27)-1)</f>
        <v/>
      </c>
      <c r="AK27" s="84" t="str">
        <f>IF(OR(IPC_Trimestriel!AO27="",IPC_Trimestriel!AL27="",IPC_Trimestriel!AH27=""),"",AVERAGE(IPC_Trimestriel!AL27:AO27)/AVERAGE(IPC_Trimestriel!AH27:AK27)-1)</f>
        <v/>
      </c>
      <c r="AL27" s="84" t="str">
        <f>IF(OR(IPC_Trimestriel!AP27="",IPC_Trimestriel!AM27="",IPC_Trimestriel!AI27=""),"",AVERAGE(IPC_Trimestriel!AM27:AP27)/AVERAGE(IPC_Trimestriel!AI27:AL27)-1)</f>
        <v/>
      </c>
      <c r="AM27" s="84" t="str">
        <f>IF(OR(IPC_Trimestriel!AQ27="",IPC_Trimestriel!AN27="",IPC_Trimestriel!AJ27=""),"",AVERAGE(IPC_Trimestriel!AN27:AQ27)/AVERAGE(IPC_Trimestriel!AJ27:AM27)-1)</f>
        <v/>
      </c>
      <c r="AN27" s="84" t="str">
        <f>IF(OR(IPC_Trimestriel!AR27="",IPC_Trimestriel!AO27="",IPC_Trimestriel!AK27=""),"",AVERAGE(IPC_Trimestriel!AO27:AR27)/AVERAGE(IPC_Trimestriel!AK27:AN27)-1)</f>
        <v/>
      </c>
      <c r="AO27" s="84" t="str">
        <f>IF(OR(IPC_Trimestriel!AS27="",IPC_Trimestriel!AP27="",IPC_Trimestriel!AL27=""),"",AVERAGE(IPC_Trimestriel!AP27:AS27)/AVERAGE(IPC_Trimestriel!AL27:AO27)-1)</f>
        <v/>
      </c>
      <c r="AP27" s="84" t="str">
        <f>IF(OR(IPC_Trimestriel!AT27="",IPC_Trimestriel!AQ27="",IPC_Trimestriel!AM27=""),"",AVERAGE(IPC_Trimestriel!AQ27:AT27)/AVERAGE(IPC_Trimestriel!AM27:AP27)-1)</f>
        <v/>
      </c>
      <c r="AQ27" s="84" t="str">
        <f>IF(OR(IPC_Trimestriel!AU27="",IPC_Trimestriel!AR27="",IPC_Trimestriel!AN27=""),"",AVERAGE(IPC_Trimestriel!AR27:AU27)/AVERAGE(IPC_Trimestriel!AN27:AQ27)-1)</f>
        <v/>
      </c>
      <c r="AR27" s="84" t="str">
        <f>IF(OR(IPC_Trimestriel!AV27="",IPC_Trimestriel!AS27="",IPC_Trimestriel!AO27=""),"",AVERAGE(IPC_Trimestriel!AS27:AV27)/AVERAGE(IPC_Trimestriel!AO27:AR27)-1)</f>
        <v/>
      </c>
      <c r="AS27" s="84" t="str">
        <f>IF(OR(IPC_Trimestriel!AW27="",IPC_Trimestriel!AT27="",IPC_Trimestriel!AP27=""),"",AVERAGE(IPC_Trimestriel!AT27:AW27)/AVERAGE(IPC_Trimestriel!AP27:AS27)-1)</f>
        <v/>
      </c>
      <c r="AT27" s="84" t="str">
        <f>IF(OR(IPC_Trimestriel!AX27="",IPC_Trimestriel!AU27="",IPC_Trimestriel!AQ27=""),"",AVERAGE(IPC_Trimestriel!AU27:AX27)/AVERAGE(IPC_Trimestriel!AQ27:AT27)-1)</f>
        <v/>
      </c>
      <c r="AU27" s="84" t="str">
        <f>IF(OR(IPC_Trimestriel!AY27="",IPC_Trimestriel!AV27="",IPC_Trimestriel!AR27=""),"",AVERAGE(IPC_Trimestriel!AV27:AY27)/AVERAGE(IPC_Trimestriel!AR27:AU27)-1)</f>
        <v/>
      </c>
      <c r="AV27" s="84" t="str">
        <f>IF(OR(IPC_Trimestriel!AZ27="",IPC_Trimestriel!AW27="",IPC_Trimestriel!AS27=""),"",AVERAGE(IPC_Trimestriel!AW27:AZ27)/AVERAGE(IPC_Trimestriel!AS27:AV27)-1)</f>
        <v/>
      </c>
      <c r="AW27" s="84" t="str">
        <f>IF(OR(IPC_Trimestriel!BA27="",IPC_Trimestriel!AX27="",IPC_Trimestriel!AT27=""),"",AVERAGE(IPC_Trimestriel!AX27:BA27)/AVERAGE(IPC_Trimestriel!AT27:AW27)-1)</f>
        <v/>
      </c>
      <c r="AX27" s="84" t="str">
        <f>IF(OR(IPC_Trimestriel!BB27="",IPC_Trimestriel!AY27="",IPC_Trimestriel!AU27=""),"",AVERAGE(IPC_Trimestriel!AY27:BB27)/AVERAGE(IPC_Trimestriel!AU27:AX27)-1)</f>
        <v/>
      </c>
      <c r="AY27" s="84" t="str">
        <f>IF(OR(IPC_Trimestriel!BC27="",IPC_Trimestriel!AZ27="",IPC_Trimestriel!AV27=""),"",AVERAGE(IPC_Trimestriel!AZ27:BC27)/AVERAGE(IPC_Trimestriel!AV27:AY27)-1)</f>
        <v/>
      </c>
      <c r="AZ27" s="84" t="str">
        <f>IF(OR(IPC_Trimestriel!BD27="",IPC_Trimestriel!BA27="",IPC_Trimestriel!AW27=""),"",AVERAGE(IPC_Trimestriel!BA27:BD27)/AVERAGE(IPC_Trimestriel!AW27:AZ27)-1)</f>
        <v/>
      </c>
      <c r="BA27" s="84" t="str">
        <f>IF(OR(IPC_Trimestriel!BE27="",IPC_Trimestriel!BB27="",IPC_Trimestriel!AX27=""),"",AVERAGE(IPC_Trimestriel!BB27:BE27)/AVERAGE(IPC_Trimestriel!AX27:BA27)-1)</f>
        <v/>
      </c>
      <c r="BB27" s="84" t="str">
        <f>IF(OR(IPC_Trimestriel!BF27="",IPC_Trimestriel!BC27="",IPC_Trimestriel!AY27=""),"",AVERAGE(IPC_Trimestriel!BC27:BF27)/AVERAGE(IPC_Trimestriel!AY27:BB27)-1)</f>
        <v/>
      </c>
      <c r="BC27" s="84">
        <f>IF(OR(IPC_Trimestriel!BG27="",IPC_Trimestriel!BD27="",IPC_Trimestriel!AZ27=""),"",AVERAGE(IPC_Trimestriel!BD27:BG27)/AVERAGE(IPC_Trimestriel!AZ27:BC27)-1)</f>
        <v>1.611423708443338E-2</v>
      </c>
      <c r="BD27" s="84">
        <f>IF(OR(IPC_Trimestriel!BH27="",IPC_Trimestriel!BE27="",IPC_Trimestriel!BA27=""),"",AVERAGE(IPC_Trimestriel!BE27:BH27)/AVERAGE(IPC_Trimestriel!BA27:BD27)-1)</f>
        <v>1.3387472026323621E-2</v>
      </c>
      <c r="BE27" s="84">
        <f>IF(OR(IPC_Trimestriel!BI27="",IPC_Trimestriel!BF27="",IPC_Trimestriel!BB27=""),"",AVERAGE(IPC_Trimestriel!BF27:BI27)/AVERAGE(IPC_Trimestriel!BB27:BE27)-1)</f>
        <v>1.1225143998142784E-2</v>
      </c>
      <c r="BF27" s="84">
        <f>IF(OR(IPC_Trimestriel!BJ27="",IPC_Trimestriel!BG27="",IPC_Trimestriel!BC27=""),"",AVERAGE(IPC_Trimestriel!BG27:BJ27)/AVERAGE(IPC_Trimestriel!BC27:BF27)-1)</f>
        <v>1.4778867035403209E-2</v>
      </c>
      <c r="BG27" s="84">
        <f>IF(OR(IPC_Trimestriel!BK27="",IPC_Trimestriel!BH27="",IPC_Trimestriel!BD27=""),"",AVERAGE(IPC_Trimestriel!BH27:BK27)/AVERAGE(IPC_Trimestriel!BD27:BG27)-1)</f>
        <v>1.7408978807340825E-2</v>
      </c>
      <c r="BH27" s="84">
        <f>IF(OR(IPC_Trimestriel!BL27="",IPC_Trimestriel!BI27="",IPC_Trimestriel!BE27=""),"",AVERAGE(IPC_Trimestriel!BI27:BL27)/AVERAGE(IPC_Trimestriel!BE27:BH27)-1)</f>
        <v>2.2086755293208027E-2</v>
      </c>
      <c r="BI27" s="84">
        <f>IF(OR(IPC_Trimestriel!BM27="",IPC_Trimestriel!BJ27="",IPC_Trimestriel!BF27=""),"",AVERAGE(IPC_Trimestriel!BJ27:BM27)/AVERAGE(IPC_Trimestriel!BF27:BI27)-1)</f>
        <v>2.9640004095605077E-2</v>
      </c>
      <c r="BJ27" s="84">
        <f>IF(OR(IPC_Trimestriel!BN27="",IPC_Trimestriel!BK27="",IPC_Trimestriel!BG27=""),"",AVERAGE(IPC_Trimestriel!BK27:BN27)/AVERAGE(IPC_Trimestriel!BG27:BJ27)-1)</f>
        <v>2.7255938995659479E-2</v>
      </c>
      <c r="BK27" s="84">
        <f>IF(OR(IPC_Trimestriel!BO27="",IPC_Trimestriel!BL27="",IPC_Trimestriel!BH27=""),"",AVERAGE(IPC_Trimestriel!BL27:BO27)/AVERAGE(IPC_Trimestriel!BH27:BK27)-1)</f>
        <v>2.5009185240539411E-2</v>
      </c>
      <c r="BL27" s="84">
        <f>IF(OR(IPC_Trimestriel!BP27="",IPC_Trimestriel!BM27="",IPC_Trimestriel!BI27=""),"",AVERAGE(IPC_Trimestriel!BM27:BP27)/AVERAGE(IPC_Trimestriel!BI27:BL27)-1)</f>
        <v>2.035921681083197E-2</v>
      </c>
      <c r="BM27" s="84">
        <f>IF(OR(IPC_Trimestriel!BQ27="",IPC_Trimestriel!BN27="",IPC_Trimestriel!BJ27=""),"",AVERAGE(IPC_Trimestriel!BN27:BQ27)/AVERAGE(IPC_Trimestriel!BJ27:BM27)-1)</f>
        <v>1.1983632458529181E-2</v>
      </c>
      <c r="BN27" s="84">
        <f>IF(OR(IPC_Trimestriel!BR27="",IPC_Trimestriel!BO27="",IPC_Trimestriel!BK27=""),"",AVERAGE(IPC_Trimestriel!BO27:BR27)/AVERAGE(IPC_Trimestriel!BK27:BN27)-1)</f>
        <v>8.4950859900108089E-3</v>
      </c>
      <c r="BO27" s="84">
        <f>IF(OR(IPC_Trimestriel!BS27="",IPC_Trimestriel!BP27="",IPC_Trimestriel!BL27=""),"",AVERAGE(IPC_Trimestriel!BP27:BS27)/AVERAGE(IPC_Trimestriel!BL27:BO27)-1)</f>
        <v>6.5080575726914613E-3</v>
      </c>
      <c r="BP27" s="84">
        <f>IF(OR(IPC_Trimestriel!BT27="",IPC_Trimestriel!BQ27="",IPC_Trimestriel!BM27=""),"",AVERAGE(IPC_Trimestriel!BQ27:BT27)/AVERAGE(IPC_Trimestriel!BM27:BP27)-1)</f>
        <v>5.910046003050784E-3</v>
      </c>
      <c r="BQ27" s="84">
        <f>IF(OR(IPC_Trimestriel!BU27="",IPC_Trimestriel!BR27="",IPC_Trimestriel!BN27=""),"",AVERAGE(IPC_Trimestriel!BR27:BU27)/AVERAGE(IPC_Trimestriel!BN27:BQ27)-1)</f>
        <v>7.0375268499263122E-3</v>
      </c>
      <c r="BR27" s="84">
        <f>IF(OR(IPC_Trimestriel!BV27="",IPC_Trimestriel!BS27="",IPC_Trimestriel!BO27=""),"",AVERAGE(IPC_Trimestriel!BS27:BV27)/AVERAGE(IPC_Trimestriel!BO27:BR27)-1)</f>
        <v>7.9948949502282041E-3</v>
      </c>
      <c r="BS27" s="84">
        <f>IF(OR(IPC_Trimestriel!BW27="",IPC_Trimestriel!BT27="",IPC_Trimestriel!BP27=""),"",AVERAGE(IPC_Trimestriel!BT27:BW27)/AVERAGE(IPC_Trimestriel!BP27:BS27)-1)</f>
        <v>7.7418075763724392E-3</v>
      </c>
      <c r="BT27" s="84">
        <f>IF(OR(IPC_Trimestriel!BX27="",IPC_Trimestriel!BU27="",IPC_Trimestriel!BQ27=""),"",AVERAGE(IPC_Trimestriel!BU27:BX27)/AVERAGE(IPC_Trimestriel!BQ27:BT27)-1)</f>
        <v>6.7969232534046409E-3</v>
      </c>
      <c r="BU27" s="84">
        <f>IF(OR(IPC_Trimestriel!BY27="",IPC_Trimestriel!BV27="",IPC_Trimestriel!BR27=""),"",AVERAGE(IPC_Trimestriel!BV27:BY27)/AVERAGE(IPC_Trimestriel!BR27:BU27)-1)</f>
        <v>6.9003382435364191E-3</v>
      </c>
      <c r="BV27" s="84">
        <f>IF(OR(IPC_Trimestriel!BZ27="",IPC_Trimestriel!BW27="",IPC_Trimestriel!BS27=""),"",AVERAGE(IPC_Trimestriel!BW27:BZ27)/AVERAGE(IPC_Trimestriel!BS27:BV27)-1)</f>
        <v>7.9862609852892064E-3</v>
      </c>
      <c r="BW27" s="84">
        <f>IF(OR(IPC_Trimestriel!CA27="",IPC_Trimestriel!BX27="",IPC_Trimestriel!BT27=""),"",AVERAGE(IPC_Trimestriel!BX27:CA27)/AVERAGE(IPC_Trimestriel!BT27:BW27)-1)</f>
        <v>1.010718061070448E-2</v>
      </c>
      <c r="BX27" s="84">
        <f>IF(OR(IPC_Trimestriel!CB27="",IPC_Trimestriel!BY27="",IPC_Trimestriel!BU27=""),"",AVERAGE(IPC_Trimestriel!BY27:CB27)/AVERAGE(IPC_Trimestriel!BU27:BX27)-1)</f>
        <v>1.4131247179851147E-2</v>
      </c>
      <c r="BY27" s="84">
        <f>IF(OR(IPC_Trimestriel!CC27="",IPC_Trimestriel!BZ27="",IPC_Trimestriel!BV27=""),"",AVERAGE(IPC_Trimestriel!BZ27:CC27)/AVERAGE(IPC_Trimestriel!BV27:BY27)-1)</f>
        <v>1.7543795864057854E-2</v>
      </c>
      <c r="BZ27" s="84">
        <f>IF(OR(IPC_Trimestriel!CD27="",IPC_Trimestriel!CA27="",IPC_Trimestriel!BW27=""),"",AVERAGE(IPC_Trimestriel!CA27:CD27)/AVERAGE(IPC_Trimestriel!BW27:BZ27)-1)</f>
        <v>1.9825368890541872E-2</v>
      </c>
      <c r="CA27" s="84">
        <f>IF(OR(IPC_Trimestriel!CE27="",IPC_Trimestriel!CB27="",IPC_Trimestriel!BX27=""),"",AVERAGE(IPC_Trimestriel!CB27:CE27)/AVERAGE(IPC_Trimestriel!BX27:CA27)-1)</f>
        <v>2.272134339269738E-2</v>
      </c>
      <c r="CB27" s="84">
        <f>IF(OR(IPC_Trimestriel!CF27="",IPC_Trimestriel!CC27="",IPC_Trimestriel!BY27=""),"",AVERAGE(IPC_Trimestriel!CC27:CF27)/AVERAGE(IPC_Trimestriel!BY27:CB27)-1)</f>
        <v>2.3756654678477096E-2</v>
      </c>
      <c r="CC27" s="84">
        <f>IF(OR(IPC_Trimestriel!CG27="",IPC_Trimestriel!CD27="",IPC_Trimestriel!BZ27=""),"",AVERAGE(IPC_Trimestriel!CD27:CG27)/AVERAGE(IPC_Trimestriel!BZ27:CC27)-1)</f>
        <v>2.3735386995010987E-2</v>
      </c>
      <c r="CD27" s="84">
        <f>IF(OR(IPC_Trimestriel!CH27="",IPC_Trimestriel!CE27="",IPC_Trimestriel!CA27=""),"",AVERAGE(IPC_Trimestriel!CE27:CH27)/AVERAGE(IPC_Trimestriel!CA27:CD27)-1)</f>
        <v>2.2794879793422984E-2</v>
      </c>
      <c r="CE27" s="84">
        <f>IF(OR(IPC_Trimestriel!CI27="",IPC_Trimestriel!CF27="",IPC_Trimestriel!CB27=""),"",AVERAGE(IPC_Trimestriel!CF27:CI27)/AVERAGE(IPC_Trimestriel!CB27:CE27)-1)</f>
        <v>2.0033200918268657E-2</v>
      </c>
      <c r="CF27" s="84">
        <f>IF(OR(IPC_Trimestriel!CJ27="",IPC_Trimestriel!CG27="",IPC_Trimestriel!CC27=""),"",AVERAGE(IPC_Trimestriel!CG27:CJ27)/AVERAGE(IPC_Trimestriel!CC27:CF27)-1)</f>
        <v>1.784639629919238E-2</v>
      </c>
      <c r="CG27" s="84">
        <f>IF(OR(IPC_Trimestriel!CK27="",IPC_Trimestriel!CH27="",IPC_Trimestriel!CD27=""),"",AVERAGE(IPC_Trimestriel!CH27:CK27)/AVERAGE(IPC_Trimestriel!CD27:CG27)-1)</f>
        <v>1.5873644905320949E-2</v>
      </c>
      <c r="CH27" s="84">
        <f>IF(OR(IPC_Trimestriel!CL27="",IPC_Trimestriel!CI27="",IPC_Trimestriel!CE27=""),"",AVERAGE(IPC_Trimestriel!CI27:CL27)/AVERAGE(IPC_Trimestriel!CE27:CH27)-1)</f>
        <v>1.617337629079163E-2</v>
      </c>
      <c r="CI27" s="84">
        <f>IF(OR(IPC_Trimestriel!CM27="",IPC_Trimestriel!CJ27="",IPC_Trimestriel!CF27=""),"",AVERAGE(IPC_Trimestriel!CJ27:CM27)/AVERAGE(IPC_Trimestriel!CF27:CI27)-1)</f>
        <v>1.7898052782306051E-2</v>
      </c>
      <c r="CJ27" s="84">
        <f>IF(OR(IPC_Trimestriel!CN27="",IPC_Trimestriel!CK27="",IPC_Trimestriel!CG27=""),"",AVERAGE(IPC_Trimestriel!CK27:CN27)/AVERAGE(IPC_Trimestriel!CG27:CJ27)-1)</f>
        <v>2.2192377374172123E-2</v>
      </c>
      <c r="CK27" s="84">
        <f>IF(OR(IPC_Trimestriel!CO27="",IPC_Trimestriel!CL27="",IPC_Trimestriel!CH27=""),"",AVERAGE(IPC_Trimestriel!CL27:CO27)/AVERAGE(IPC_Trimestriel!CH27:CK27)-1)</f>
        <v>3.1930002637391874E-2</v>
      </c>
      <c r="CL27" s="84">
        <f>IF(OR(IPC_Trimestriel!CP27="",IPC_Trimestriel!CM27="",IPC_Trimestriel!CI27=""),"",AVERAGE(IPC_Trimestriel!CM27:CP27)/AVERAGE(IPC_Trimestriel!CI27:CL27)-1)</f>
        <v>4.4065506649555886E-2</v>
      </c>
      <c r="CM27" s="84">
        <f>IF(OR(IPC_Trimestriel!CQ27="",IPC_Trimestriel!CN27="",IPC_Trimestriel!CJ27=""),"",AVERAGE(IPC_Trimestriel!CN27:CQ27)/AVERAGE(IPC_Trimestriel!CJ27:CM27)-1)</f>
        <v>5.6218719385269678E-2</v>
      </c>
      <c r="CN27" s="84">
        <f>IF(OR(IPC_Trimestriel!CR27="",IPC_Trimestriel!CO27="",IPC_Trimestriel!CK27=""),"",AVERAGE(IPC_Trimestriel!CO27:CR27)/AVERAGE(IPC_Trimestriel!CK27:CN27)-1)</f>
        <v>6.620352975249566E-2</v>
      </c>
      <c r="CO27" s="84">
        <f>IF(OR(IPC_Trimestriel!CS27="",IPC_Trimestriel!CP27="",IPC_Trimestriel!CL27=""),"",AVERAGE(IPC_Trimestriel!CP27:CS27)/AVERAGE(IPC_Trimestriel!CL27:CO27)-1)</f>
        <v>6.9274550875815466E-2</v>
      </c>
      <c r="CP27" s="84">
        <f>IF(OR(IPC_Trimestriel!CT27="",IPC_Trimestriel!CQ27="",IPC_Trimestriel!CM27=""),"",AVERAGE(IPC_Trimestriel!CQ27:CT27)/AVERAGE(IPC_Trimestriel!CM27:CP27)-1)</f>
        <v>6.6141193506336293E-2</v>
      </c>
    </row>
    <row r="28" spans="1:94" s="74" customFormat="1" ht="10.199999999999999" x14ac:dyDescent="0.2"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</row>
    <row r="29" spans="1:94" s="74" customFormat="1" ht="10.199999999999999" x14ac:dyDescent="0.2">
      <c r="B29" s="3" t="s">
        <v>108</v>
      </c>
      <c r="D29" s="75"/>
      <c r="E29" s="75"/>
      <c r="F29" s="75"/>
      <c r="G29" s="75" t="str">
        <f>IF(OR(IPC_Trimestriel!K29="",IPC_Trimestriel!H29="",IPC_Trimestriel!D29=""),"",AVERAGE(IPC_Trimestriel!H29:K29)/AVERAGE(IPC_Trimestriel!D29:G29)-1)</f>
        <v/>
      </c>
      <c r="H29" s="75" t="str">
        <f>IF(OR(IPC_Trimestriel!L29="",IPC_Trimestriel!I29="",IPC_Trimestriel!E29=""),"",AVERAGE(IPC_Trimestriel!I29:L29)/AVERAGE(IPC_Trimestriel!E29:H29)-1)</f>
        <v/>
      </c>
      <c r="I29" s="75" t="str">
        <f>IF(OR(IPC_Trimestriel!M29="",IPC_Trimestriel!J29="",IPC_Trimestriel!F29=""),"",AVERAGE(IPC_Trimestriel!J29:M29)/AVERAGE(IPC_Trimestriel!F29:I29)-1)</f>
        <v/>
      </c>
      <c r="J29" s="75" t="str">
        <f>IF(OR(IPC_Trimestriel!N29="",IPC_Trimestriel!K29="",IPC_Trimestriel!G29=""),"",AVERAGE(IPC_Trimestriel!K29:N29)/AVERAGE(IPC_Trimestriel!G29:J29)-1)</f>
        <v/>
      </c>
      <c r="K29" s="75" t="str">
        <f>IF(OR(IPC_Trimestriel!O29="",IPC_Trimestriel!L29="",IPC_Trimestriel!H29=""),"",AVERAGE(IPC_Trimestriel!L29:O29)/AVERAGE(IPC_Trimestriel!H29:K29)-1)</f>
        <v/>
      </c>
      <c r="L29" s="75" t="str">
        <f>IF(OR(IPC_Trimestriel!P29="",IPC_Trimestriel!M29="",IPC_Trimestriel!I29=""),"",AVERAGE(IPC_Trimestriel!M29:P29)/AVERAGE(IPC_Trimestriel!I29:L29)-1)</f>
        <v/>
      </c>
      <c r="M29" s="75" t="str">
        <f>IF(OR(IPC_Trimestriel!Q29="",IPC_Trimestriel!N29="",IPC_Trimestriel!J29=""),"",AVERAGE(IPC_Trimestriel!N29:Q29)/AVERAGE(IPC_Trimestriel!J29:M29)-1)</f>
        <v/>
      </c>
      <c r="N29" s="75" t="str">
        <f>IF(OR(IPC_Trimestriel!R29="",IPC_Trimestriel!O29="",IPC_Trimestriel!K29=""),"",AVERAGE(IPC_Trimestriel!O29:R29)/AVERAGE(IPC_Trimestriel!K29:N29)-1)</f>
        <v/>
      </c>
      <c r="O29" s="75" t="str">
        <f>IF(OR(IPC_Trimestriel!S29="",IPC_Trimestriel!P29="",IPC_Trimestriel!L29=""),"",AVERAGE(IPC_Trimestriel!P29:S29)/AVERAGE(IPC_Trimestriel!L29:O29)-1)</f>
        <v/>
      </c>
      <c r="P29" s="75" t="str">
        <f>IF(OR(IPC_Trimestriel!T29="",IPC_Trimestriel!Q29="",IPC_Trimestriel!M29=""),"",AVERAGE(IPC_Trimestriel!Q29:T29)/AVERAGE(IPC_Trimestriel!M29:P29)-1)</f>
        <v/>
      </c>
      <c r="Q29" s="75" t="str">
        <f>IF(OR(IPC_Trimestriel!U29="",IPC_Trimestriel!R29="",IPC_Trimestriel!N29=""),"",AVERAGE(IPC_Trimestriel!R29:U29)/AVERAGE(IPC_Trimestriel!N29:Q29)-1)</f>
        <v/>
      </c>
      <c r="R29" s="75" t="str">
        <f>IF(OR(IPC_Trimestriel!V29="",IPC_Trimestriel!S29="",IPC_Trimestriel!O29=""),"",AVERAGE(IPC_Trimestriel!S29:V29)/AVERAGE(IPC_Trimestriel!O29:R29)-1)</f>
        <v/>
      </c>
      <c r="S29" s="75" t="str">
        <f>IF(OR(IPC_Trimestriel!W29="",IPC_Trimestriel!T29="",IPC_Trimestriel!P29=""),"",AVERAGE(IPC_Trimestriel!T29:W29)/AVERAGE(IPC_Trimestriel!P29:S29)-1)</f>
        <v/>
      </c>
      <c r="T29" s="75" t="str">
        <f>IF(OR(IPC_Trimestriel!X29="",IPC_Trimestriel!U29="",IPC_Trimestriel!Q29=""),"",AVERAGE(IPC_Trimestriel!U29:X29)/AVERAGE(IPC_Trimestriel!Q29:T29)-1)</f>
        <v/>
      </c>
      <c r="U29" s="75" t="str">
        <f>IF(OR(IPC_Trimestriel!Y29="",IPC_Trimestriel!V29="",IPC_Trimestriel!R29=""),"",AVERAGE(IPC_Trimestriel!V29:Y29)/AVERAGE(IPC_Trimestriel!R29:U29)-1)</f>
        <v/>
      </c>
      <c r="V29" s="75" t="str">
        <f>IF(OR(IPC_Trimestriel!Z29="",IPC_Trimestriel!W29="",IPC_Trimestriel!S29=""),"",AVERAGE(IPC_Trimestriel!W29:Z29)/AVERAGE(IPC_Trimestriel!S29:V29)-1)</f>
        <v/>
      </c>
      <c r="W29" s="75" t="str">
        <f>IF(OR(IPC_Trimestriel!AA29="",IPC_Trimestriel!X29="",IPC_Trimestriel!T29=""),"",AVERAGE(IPC_Trimestriel!X29:AA29)/AVERAGE(IPC_Trimestriel!T29:W29)-1)</f>
        <v/>
      </c>
      <c r="X29" s="75" t="str">
        <f>IF(OR(IPC_Trimestriel!AB29="",IPC_Trimestriel!Y29="",IPC_Trimestriel!U29=""),"",AVERAGE(IPC_Trimestriel!Y29:AB29)/AVERAGE(IPC_Trimestriel!U29:X29)-1)</f>
        <v/>
      </c>
      <c r="Y29" s="75" t="str">
        <f>IF(OR(IPC_Trimestriel!AC29="",IPC_Trimestriel!Z29="",IPC_Trimestriel!V29=""),"",AVERAGE(IPC_Trimestriel!Z29:AC29)/AVERAGE(IPC_Trimestriel!V29:Y29)-1)</f>
        <v/>
      </c>
      <c r="Z29" s="75" t="str">
        <f>IF(OR(IPC_Trimestriel!AD29="",IPC_Trimestriel!AA29="",IPC_Trimestriel!W29=""),"",AVERAGE(IPC_Trimestriel!AA29:AD29)/AVERAGE(IPC_Trimestriel!W29:Z29)-1)</f>
        <v/>
      </c>
      <c r="AA29" s="75" t="str">
        <f>IF(OR(IPC_Trimestriel!AE29="",IPC_Trimestriel!AB29="",IPC_Trimestriel!X29=""),"",AVERAGE(IPC_Trimestriel!AB29:AE29)/AVERAGE(IPC_Trimestriel!X29:AA29)-1)</f>
        <v/>
      </c>
      <c r="AB29" s="75" t="str">
        <f>IF(OR(IPC_Trimestriel!AF29="",IPC_Trimestriel!AC29="",IPC_Trimestriel!Y29=""),"",AVERAGE(IPC_Trimestriel!AC29:AF29)/AVERAGE(IPC_Trimestriel!Y29:AB29)-1)</f>
        <v/>
      </c>
      <c r="AC29" s="75" t="str">
        <f>IF(OR(IPC_Trimestriel!AG29="",IPC_Trimestriel!AD29="",IPC_Trimestriel!Z29=""),"",AVERAGE(IPC_Trimestriel!AD29:AG29)/AVERAGE(IPC_Trimestriel!Z29:AC29)-1)</f>
        <v/>
      </c>
      <c r="AD29" s="75" t="str">
        <f>IF(OR(IPC_Trimestriel!AH29="",IPC_Trimestriel!AE29="",IPC_Trimestriel!AA29=""),"",AVERAGE(IPC_Trimestriel!AE29:AH29)/AVERAGE(IPC_Trimestriel!AA29:AD29)-1)</f>
        <v/>
      </c>
      <c r="AE29" s="75" t="str">
        <f>IF(OR(IPC_Trimestriel!AI29="",IPC_Trimestriel!AF29="",IPC_Trimestriel!AB29=""),"",AVERAGE(IPC_Trimestriel!AF29:AI29)/AVERAGE(IPC_Trimestriel!AB29:AE29)-1)</f>
        <v/>
      </c>
      <c r="AF29" s="75" t="str">
        <f>IF(OR(IPC_Trimestriel!AJ29="",IPC_Trimestriel!AG29="",IPC_Trimestriel!AC29=""),"",AVERAGE(IPC_Trimestriel!AG29:AJ29)/AVERAGE(IPC_Trimestriel!AC29:AF29)-1)</f>
        <v/>
      </c>
      <c r="AG29" s="75" t="str">
        <f>IF(OR(IPC_Trimestriel!AK29="",IPC_Trimestriel!AH29="",IPC_Trimestriel!AD29=""),"",AVERAGE(IPC_Trimestriel!AH29:AK29)/AVERAGE(IPC_Trimestriel!AD29:AG29)-1)</f>
        <v/>
      </c>
      <c r="AH29" s="75" t="str">
        <f>IF(OR(IPC_Trimestriel!AL29="",IPC_Trimestriel!AI29="",IPC_Trimestriel!AE29=""),"",AVERAGE(IPC_Trimestriel!AI29:AL29)/AVERAGE(IPC_Trimestriel!AE29:AH29)-1)</f>
        <v/>
      </c>
      <c r="AI29" s="75" t="str">
        <f>IF(OR(IPC_Trimestriel!AM29="",IPC_Trimestriel!AJ29="",IPC_Trimestriel!AF29=""),"",AVERAGE(IPC_Trimestriel!AJ29:AM29)/AVERAGE(IPC_Trimestriel!AF29:AI29)-1)</f>
        <v/>
      </c>
      <c r="AJ29" s="75" t="str">
        <f>IF(OR(IPC_Trimestriel!AN29="",IPC_Trimestriel!AK29="",IPC_Trimestriel!AG29=""),"",AVERAGE(IPC_Trimestriel!AK29:AN29)/AVERAGE(IPC_Trimestriel!AG29:AJ29)-1)</f>
        <v/>
      </c>
      <c r="AK29" s="75" t="str">
        <f>IF(OR(IPC_Trimestriel!AO29="",IPC_Trimestriel!AL29="",IPC_Trimestriel!AH29=""),"",AVERAGE(IPC_Trimestriel!AL29:AO29)/AVERAGE(IPC_Trimestriel!AH29:AK29)-1)</f>
        <v/>
      </c>
      <c r="AL29" s="75" t="str">
        <f>IF(OR(IPC_Trimestriel!AP29="",IPC_Trimestriel!AM29="",IPC_Trimestriel!AI29=""),"",AVERAGE(IPC_Trimestriel!AM29:AP29)/AVERAGE(IPC_Trimestriel!AI29:AL29)-1)</f>
        <v/>
      </c>
      <c r="AM29" s="75" t="str">
        <f>IF(OR(IPC_Trimestriel!AQ29="",IPC_Trimestriel!AN29="",IPC_Trimestriel!AJ29=""),"",AVERAGE(IPC_Trimestriel!AN29:AQ29)/AVERAGE(IPC_Trimestriel!AJ29:AM29)-1)</f>
        <v/>
      </c>
      <c r="AN29" s="75" t="str">
        <f>IF(OR(IPC_Trimestriel!AR29="",IPC_Trimestriel!AO29="",IPC_Trimestriel!AK29=""),"",AVERAGE(IPC_Trimestriel!AO29:AR29)/AVERAGE(IPC_Trimestriel!AK29:AN29)-1)</f>
        <v/>
      </c>
      <c r="AO29" s="75" t="str">
        <f>IF(OR(IPC_Trimestriel!AS29="",IPC_Trimestriel!AP29="",IPC_Trimestriel!AL29=""),"",AVERAGE(IPC_Trimestriel!AP29:AS29)/AVERAGE(IPC_Trimestriel!AL29:AO29)-1)</f>
        <v/>
      </c>
      <c r="AP29" s="75" t="str">
        <f>IF(OR(IPC_Trimestriel!AT29="",IPC_Trimestriel!AQ29="",IPC_Trimestriel!AM29=""),"",AVERAGE(IPC_Trimestriel!AQ29:AT29)/AVERAGE(IPC_Trimestriel!AM29:AP29)-1)</f>
        <v/>
      </c>
      <c r="AQ29" s="75" t="str">
        <f>IF(OR(IPC_Trimestriel!AU29="",IPC_Trimestriel!AR29="",IPC_Trimestriel!AN29=""),"",AVERAGE(IPC_Trimestriel!AR29:AU29)/AVERAGE(IPC_Trimestriel!AN29:AQ29)-1)</f>
        <v/>
      </c>
      <c r="AR29" s="75" t="str">
        <f>IF(OR(IPC_Trimestriel!AV29="",IPC_Trimestriel!AS29="",IPC_Trimestriel!AO29=""),"",AVERAGE(IPC_Trimestriel!AS29:AV29)/AVERAGE(IPC_Trimestriel!AO29:AR29)-1)</f>
        <v/>
      </c>
      <c r="AS29" s="75" t="str">
        <f>IF(OR(IPC_Trimestriel!AW29="",IPC_Trimestriel!AT29="",IPC_Trimestriel!AP29=""),"",AVERAGE(IPC_Trimestriel!AT29:AW29)/AVERAGE(IPC_Trimestriel!AP29:AS29)-1)</f>
        <v/>
      </c>
      <c r="AT29" s="75" t="str">
        <f>IF(OR(IPC_Trimestriel!AX29="",IPC_Trimestriel!AU29="",IPC_Trimestriel!AQ29=""),"",AVERAGE(IPC_Trimestriel!AU29:AX29)/AVERAGE(IPC_Trimestriel!AQ29:AT29)-1)</f>
        <v/>
      </c>
      <c r="AU29" s="75" t="str">
        <f>IF(OR(IPC_Trimestriel!AY29="",IPC_Trimestriel!AV29="",IPC_Trimestriel!AR29=""),"",AVERAGE(IPC_Trimestriel!AV29:AY29)/AVERAGE(IPC_Trimestriel!AR29:AU29)-1)</f>
        <v/>
      </c>
      <c r="AV29" s="75" t="str">
        <f>IF(OR(IPC_Trimestriel!AZ29="",IPC_Trimestriel!AW29="",IPC_Trimestriel!AS29=""),"",AVERAGE(IPC_Trimestriel!AW29:AZ29)/AVERAGE(IPC_Trimestriel!AS29:AV29)-1)</f>
        <v/>
      </c>
      <c r="AW29" s="75" t="str">
        <f>IF(OR(IPC_Trimestriel!BA29="",IPC_Trimestriel!AX29="",IPC_Trimestriel!AT29=""),"",AVERAGE(IPC_Trimestriel!AX29:BA29)/AVERAGE(IPC_Trimestriel!AT29:AW29)-1)</f>
        <v/>
      </c>
      <c r="AX29" s="75" t="str">
        <f>IF(OR(IPC_Trimestriel!BB29="",IPC_Trimestriel!AY29="",IPC_Trimestriel!AU29=""),"",AVERAGE(IPC_Trimestriel!AY29:BB29)/AVERAGE(IPC_Trimestriel!AU29:AX29)-1)</f>
        <v/>
      </c>
      <c r="AY29" s="75" t="str">
        <f>IF(OR(IPC_Trimestriel!BC29="",IPC_Trimestriel!AZ29="",IPC_Trimestriel!AV29=""),"",AVERAGE(IPC_Trimestriel!AZ29:BC29)/AVERAGE(IPC_Trimestriel!AV29:AY29)-1)</f>
        <v/>
      </c>
      <c r="AZ29" s="75" t="str">
        <f>IF(OR(IPC_Trimestriel!BD29="",IPC_Trimestriel!BA29="",IPC_Trimestriel!AW29=""),"",AVERAGE(IPC_Trimestriel!BA29:BD29)/AVERAGE(IPC_Trimestriel!AW29:AZ29)-1)</f>
        <v/>
      </c>
      <c r="BA29" s="75" t="str">
        <f>IF(OR(IPC_Trimestriel!BE29="",IPC_Trimestriel!BB29="",IPC_Trimestriel!AX29=""),"",AVERAGE(IPC_Trimestriel!BB29:BE29)/AVERAGE(IPC_Trimestriel!AX29:BA29)-1)</f>
        <v/>
      </c>
      <c r="BB29" s="75" t="str">
        <f>IF(OR(IPC_Trimestriel!BF29="",IPC_Trimestriel!BC29="",IPC_Trimestriel!AY29=""),"",AVERAGE(IPC_Trimestriel!BC29:BF29)/AVERAGE(IPC_Trimestriel!AY29:BB29)-1)</f>
        <v/>
      </c>
      <c r="BC29" s="75">
        <f>IF(OR(IPC_Trimestriel!BG29="",IPC_Trimestriel!BD29="",IPC_Trimestriel!AZ29=""),"",AVERAGE(IPC_Trimestriel!BD29:BG29)/AVERAGE(IPC_Trimestriel!AZ29:BC29)-1)</f>
        <v>3.3324185746477664E-2</v>
      </c>
      <c r="BD29" s="75">
        <f>IF(OR(IPC_Trimestriel!BH29="",IPC_Trimestriel!BE29="",IPC_Trimestriel!BA29=""),"",AVERAGE(IPC_Trimestriel!BE29:BH29)/AVERAGE(IPC_Trimestriel!BA29:BD29)-1)</f>
        <v>2.7061210496120758E-2</v>
      </c>
      <c r="BE29" s="75">
        <f>IF(OR(IPC_Trimestriel!BI29="",IPC_Trimestriel!BF29="",IPC_Trimestriel!BB29=""),"",AVERAGE(IPC_Trimestriel!BF29:BI29)/AVERAGE(IPC_Trimestriel!BB29:BE29)-1)</f>
        <v>2.5212882765807798E-2</v>
      </c>
      <c r="BF29" s="75">
        <f>IF(OR(IPC_Trimestriel!BJ29="",IPC_Trimestriel!BG29="",IPC_Trimestriel!BC29=""),"",AVERAGE(IPC_Trimestriel!BG29:BJ29)/AVERAGE(IPC_Trimestriel!BC29:BF29)-1)</f>
        <v>2.2343278781410625E-2</v>
      </c>
      <c r="BG29" s="75">
        <f>IF(OR(IPC_Trimestriel!BK29="",IPC_Trimestriel!BH29="",IPC_Trimestriel!BD29=""),"",AVERAGE(IPC_Trimestriel!BH29:BK29)/AVERAGE(IPC_Trimestriel!BD29:BG29)-1)</f>
        <v>1.6430564403957959E-2</v>
      </c>
      <c r="BH29" s="75">
        <f>IF(OR(IPC_Trimestriel!BL29="",IPC_Trimestriel!BI29="",IPC_Trimestriel!BE29=""),"",AVERAGE(IPC_Trimestriel!BI29:BL29)/AVERAGE(IPC_Trimestriel!BE29:BH29)-1)</f>
        <v>1.6106183427668341E-2</v>
      </c>
      <c r="BI29" s="75">
        <f>IF(OR(IPC_Trimestriel!BM29="",IPC_Trimestriel!BJ29="",IPC_Trimestriel!BF29=""),"",AVERAGE(IPC_Trimestriel!BJ29:BM29)/AVERAGE(IPC_Trimestriel!BF29:BI29)-1)</f>
        <v>2.2942710819067846E-2</v>
      </c>
      <c r="BJ29" s="75">
        <f>IF(OR(IPC_Trimestriel!BN29="",IPC_Trimestriel!BK29="",IPC_Trimestriel!BG29=""),"",AVERAGE(IPC_Trimestriel!BK29:BN29)/AVERAGE(IPC_Trimestriel!BG29:BJ29)-1)</f>
        <v>2.9236166380012918E-2</v>
      </c>
      <c r="BK29" s="75">
        <f>IF(OR(IPC_Trimestriel!BO29="",IPC_Trimestriel!BL29="",IPC_Trimestriel!BH29=""),"",AVERAGE(IPC_Trimestriel!BL29:BO29)/AVERAGE(IPC_Trimestriel!BH29:BK29)-1)</f>
        <v>3.2954305540242812E-2</v>
      </c>
      <c r="BL29" s="75">
        <f>IF(OR(IPC_Trimestriel!BP29="",IPC_Trimestriel!BM29="",IPC_Trimestriel!BI29=""),"",AVERAGE(IPC_Trimestriel!BM29:BP29)/AVERAGE(IPC_Trimestriel!BI29:BL29)-1)</f>
        <v>3.4428661436004759E-2</v>
      </c>
      <c r="BM29" s="75">
        <f>IF(OR(IPC_Trimestriel!BQ29="",IPC_Trimestriel!BN29="",IPC_Trimestriel!BJ29=""),"",AVERAGE(IPC_Trimestriel!BN29:BQ29)/AVERAGE(IPC_Trimestriel!BJ29:BM29)-1)</f>
        <v>2.9497596699517015E-2</v>
      </c>
      <c r="BN29" s="75">
        <f>IF(OR(IPC_Trimestriel!BR29="",IPC_Trimestriel!BO29="",IPC_Trimestriel!BK29=""),"",AVERAGE(IPC_Trimestriel!BO29:BR29)/AVERAGE(IPC_Trimestriel!BK29:BN29)-1)</f>
        <v>2.2932947921203706E-2</v>
      </c>
      <c r="BO29" s="75">
        <f>IF(OR(IPC_Trimestriel!BS29="",IPC_Trimestriel!BP29="",IPC_Trimestriel!BL29=""),"",AVERAGE(IPC_Trimestriel!BP29:BS29)/AVERAGE(IPC_Trimestriel!BL29:BO29)-1)</f>
        <v>1.6335209902750281E-2</v>
      </c>
      <c r="BP29" s="75">
        <f>IF(OR(IPC_Trimestriel!BT29="",IPC_Trimestriel!BQ29="",IPC_Trimestriel!BM29=""),"",AVERAGE(IPC_Trimestriel!BQ29:BT29)/AVERAGE(IPC_Trimestriel!BM29:BP29)-1)</f>
        <v>9.1508389002308288E-3</v>
      </c>
      <c r="BQ29" s="75">
        <f>IF(OR(IPC_Trimestriel!BU29="",IPC_Trimestriel!BR29="",IPC_Trimestriel!BN29=""),"",AVERAGE(IPC_Trimestriel!BR29:BU29)/AVERAGE(IPC_Trimestriel!BN29:BQ29)-1)</f>
        <v>3.1467352062353182E-3</v>
      </c>
      <c r="BR29" s="75">
        <f>IF(OR(IPC_Trimestriel!BV29="",IPC_Trimestriel!BS29="",IPC_Trimestriel!BO29=""),"",AVERAGE(IPC_Trimestriel!BS29:BV29)/AVERAGE(IPC_Trimestriel!BO29:BR29)-1)</f>
        <v>8.0797055021752939E-4</v>
      </c>
      <c r="BS29" s="75">
        <f>IF(OR(IPC_Trimestriel!BW29="",IPC_Trimestriel!BT29="",IPC_Trimestriel!BP29=""),"",AVERAGE(IPC_Trimestriel!BT29:BW29)/AVERAGE(IPC_Trimestriel!BP29:BS29)-1)</f>
        <v>4.5484924661538528E-3</v>
      </c>
      <c r="BT29" s="75">
        <f>IF(OR(IPC_Trimestriel!BX29="",IPC_Trimestriel!BU29="",IPC_Trimestriel!BQ29=""),"",AVERAGE(IPC_Trimestriel!BU29:BX29)/AVERAGE(IPC_Trimestriel!BQ29:BT29)-1)</f>
        <v>9.4586261707019226E-3</v>
      </c>
      <c r="BU29" s="75">
        <f>IF(OR(IPC_Trimestriel!BY29="",IPC_Trimestriel!BV29="",IPC_Trimestriel!BR29=""),"",AVERAGE(IPC_Trimestriel!BV29:BY29)/AVERAGE(IPC_Trimestriel!BR29:BU29)-1)</f>
        <v>9.4356526843761834E-3</v>
      </c>
      <c r="BV29" s="75">
        <f>IF(OR(IPC_Trimestriel!BZ29="",IPC_Trimestriel!BW29="",IPC_Trimestriel!BS29=""),"",AVERAGE(IPC_Trimestriel!BW29:BZ29)/AVERAGE(IPC_Trimestriel!BS29:BV29)-1)</f>
        <v>5.4517712823616282E-3</v>
      </c>
      <c r="BW29" s="75">
        <f>IF(OR(IPC_Trimestriel!CA29="",IPC_Trimestriel!BX29="",IPC_Trimestriel!BT29=""),"",AVERAGE(IPC_Trimestriel!BX29:CA29)/AVERAGE(IPC_Trimestriel!BT29:BW29)-1)</f>
        <v>4.0921164752230066E-3</v>
      </c>
      <c r="BX29" s="75">
        <f>IF(OR(IPC_Trimestriel!CB29="",IPC_Trimestriel!BY29="",IPC_Trimestriel!BU29=""),"",AVERAGE(IPC_Trimestriel!BY29:CB29)/AVERAGE(IPC_Trimestriel!BU29:BX29)-1)</f>
        <v>5.4967542133683711E-3</v>
      </c>
      <c r="BY29" s="75">
        <f>IF(OR(IPC_Trimestriel!CC29="",IPC_Trimestriel!BZ29="",IPC_Trimestriel!BV29=""),"",AVERAGE(IPC_Trimestriel!BZ29:CC29)/AVERAGE(IPC_Trimestriel!BV29:BY29)-1)</f>
        <v>1.4437003534993664E-2</v>
      </c>
      <c r="BZ29" s="75">
        <f>IF(OR(IPC_Trimestriel!CD29="",IPC_Trimestriel!CA29="",IPC_Trimestriel!BW29=""),"",AVERAGE(IPC_Trimestriel!CA29:CD29)/AVERAGE(IPC_Trimestriel!BW29:BZ29)-1)</f>
        <v>2.9472897107029272E-2</v>
      </c>
      <c r="CA29" s="75">
        <f>IF(OR(IPC_Trimestriel!CE29="",IPC_Trimestriel!CB29="",IPC_Trimestriel!BX29=""),"",AVERAGE(IPC_Trimestriel!CB29:CE29)/AVERAGE(IPC_Trimestriel!BX29:CA29)-1)</f>
        <v>3.8179123044782104E-2</v>
      </c>
      <c r="CB29" s="75">
        <f>IF(OR(IPC_Trimestriel!CF29="",IPC_Trimestriel!CC29="",IPC_Trimestriel!BY29=""),"",AVERAGE(IPC_Trimestriel!CC29:CF29)/AVERAGE(IPC_Trimestriel!BY29:CB29)-1)</f>
        <v>4.6501572861401996E-2</v>
      </c>
      <c r="CC29" s="75">
        <f>IF(OR(IPC_Trimestriel!CG29="",IPC_Trimestriel!CD29="",IPC_Trimestriel!BZ29=""),"",AVERAGE(IPC_Trimestriel!CD29:CG29)/AVERAGE(IPC_Trimestriel!BZ29:CC29)-1)</f>
        <v>4.8862871456722301E-2</v>
      </c>
      <c r="CD29" s="75">
        <f>IF(OR(IPC_Trimestriel!CH29="",IPC_Trimestriel!CE29="",IPC_Trimestriel!CA29=""),"",AVERAGE(IPC_Trimestriel!CE29:CH29)/AVERAGE(IPC_Trimestriel!CA29:CD29)-1)</f>
        <v>4.9386660105399605E-2</v>
      </c>
      <c r="CE29" s="75">
        <f>IF(OR(IPC_Trimestriel!CI29="",IPC_Trimestriel!CF29="",IPC_Trimestriel!CB29=""),"",AVERAGE(IPC_Trimestriel!CF29:CI29)/AVERAGE(IPC_Trimestriel!CB29:CE29)-1)</f>
        <v>4.8956958397903039E-2</v>
      </c>
      <c r="CF29" s="75">
        <f>IF(OR(IPC_Trimestriel!CJ29="",IPC_Trimestriel!CG29="",IPC_Trimestriel!CC29=""),"",AVERAGE(IPC_Trimestriel!CG29:CJ29)/AVERAGE(IPC_Trimestriel!CC29:CF29)-1)</f>
        <v>4.2712213349941575E-2</v>
      </c>
      <c r="CG29" s="75">
        <f>IF(OR(IPC_Trimestriel!CK29="",IPC_Trimestriel!CH29="",IPC_Trimestriel!CD29=""),"",AVERAGE(IPC_Trimestriel!CH29:CK29)/AVERAGE(IPC_Trimestriel!CD29:CG29)-1)</f>
        <v>4.384839005211516E-2</v>
      </c>
      <c r="CH29" s="75">
        <f>IF(OR(IPC_Trimestriel!CL29="",IPC_Trimestriel!CI29="",IPC_Trimestriel!CE29=""),"",AVERAGE(IPC_Trimestriel!CI29:CL29)/AVERAGE(IPC_Trimestriel!CE29:CH29)-1)</f>
        <v>4.4050127518966642E-2</v>
      </c>
      <c r="CI29" s="75">
        <f>IF(OR(IPC_Trimestriel!CM29="",IPC_Trimestriel!CJ29="",IPC_Trimestriel!CF29=""),"",AVERAGE(IPC_Trimestriel!CJ29:CM29)/AVERAGE(IPC_Trimestriel!CF29:CI29)-1)</f>
        <v>4.737259218803036E-2</v>
      </c>
      <c r="CJ29" s="75">
        <f>IF(OR(IPC_Trimestriel!CN29="",IPC_Trimestriel!CK29="",IPC_Trimestriel!CG29=""),"",AVERAGE(IPC_Trimestriel!CK29:CN29)/AVERAGE(IPC_Trimestriel!CG29:CJ29)-1)</f>
        <v>6.3196462014254884E-2</v>
      </c>
      <c r="CK29" s="75">
        <f>IF(OR(IPC_Trimestriel!CO29="",IPC_Trimestriel!CL29="",IPC_Trimestriel!CH29=""),"",AVERAGE(IPC_Trimestriel!CL29:CO29)/AVERAGE(IPC_Trimestriel!CH29:CK29)-1)</f>
        <v>7.62699228147663E-2</v>
      </c>
      <c r="CL29" s="75">
        <f>IF(OR(IPC_Trimestriel!CP29="",IPC_Trimestriel!CM29="",IPC_Trimestriel!CI29=""),"",AVERAGE(IPC_Trimestriel!CM29:CP29)/AVERAGE(IPC_Trimestriel!CI29:CL29)-1)</f>
        <v>9.1891824522878585E-2</v>
      </c>
      <c r="CM29" s="75">
        <f>IF(OR(IPC_Trimestriel!CQ29="",IPC_Trimestriel!CN29="",IPC_Trimestriel!CJ29=""),"",AVERAGE(IPC_Trimestriel!CN29:CQ29)/AVERAGE(IPC_Trimestriel!CJ29:CM29)-1)</f>
        <v>0.11006714945263063</v>
      </c>
      <c r="CN29" s="75" t="str">
        <f>IF(OR(IPC_Trimestriel!CR29="",IPC_Trimestriel!CO29="",IPC_Trimestriel!CK29=""),"",AVERAGE(IPC_Trimestriel!CO29:CR29)/AVERAGE(IPC_Trimestriel!CK29:CN29)-1)</f>
        <v/>
      </c>
      <c r="CO29" s="75" t="str">
        <f>IF(OR(IPC_Trimestriel!CS29="",IPC_Trimestriel!CP29="",IPC_Trimestriel!CL29=""),"",AVERAGE(IPC_Trimestriel!CP29:CS29)/AVERAGE(IPC_Trimestriel!CL29:CO29)-1)</f>
        <v/>
      </c>
      <c r="CP29" s="75" t="str">
        <f>IF(OR(IPC_Trimestriel!CT29="",IPC_Trimestriel!CQ29="",IPC_Trimestriel!CM29=""),"",AVERAGE(IPC_Trimestriel!CQ29:CT29)/AVERAGE(IPC_Trimestriel!CM29:CP29)-1)</f>
        <v/>
      </c>
    </row>
    <row r="30" spans="1:94" s="74" customFormat="1" ht="10.199999999999999" x14ac:dyDescent="0.2">
      <c r="B30" s="3" t="s">
        <v>109</v>
      </c>
      <c r="D30" s="75"/>
      <c r="E30" s="75"/>
      <c r="F30" s="75"/>
      <c r="G30" s="75" t="str">
        <f>IF(OR(IPC_Trimestriel!K30="",IPC_Trimestriel!H30="",IPC_Trimestriel!D30=""),"",AVERAGE(IPC_Trimestriel!H30:K30)/AVERAGE(IPC_Trimestriel!D30:G30)-1)</f>
        <v/>
      </c>
      <c r="H30" s="75" t="str">
        <f>IF(OR(IPC_Trimestriel!L30="",IPC_Trimestriel!I30="",IPC_Trimestriel!E30=""),"",AVERAGE(IPC_Trimestriel!I30:L30)/AVERAGE(IPC_Trimestriel!E30:H30)-1)</f>
        <v/>
      </c>
      <c r="I30" s="75" t="str">
        <f>IF(OR(IPC_Trimestriel!M30="",IPC_Trimestriel!J30="",IPC_Trimestriel!F30=""),"",AVERAGE(IPC_Trimestriel!J30:M30)/AVERAGE(IPC_Trimestriel!F30:I30)-1)</f>
        <v/>
      </c>
      <c r="J30" s="75" t="str">
        <f>IF(OR(IPC_Trimestriel!N30="",IPC_Trimestriel!K30="",IPC_Trimestriel!G30=""),"",AVERAGE(IPC_Trimestriel!K30:N30)/AVERAGE(IPC_Trimestriel!G30:J30)-1)</f>
        <v/>
      </c>
      <c r="K30" s="75" t="str">
        <f>IF(OR(IPC_Trimestriel!O30="",IPC_Trimestriel!L30="",IPC_Trimestriel!H30=""),"",AVERAGE(IPC_Trimestriel!L30:O30)/AVERAGE(IPC_Trimestriel!H30:K30)-1)</f>
        <v/>
      </c>
      <c r="L30" s="75" t="str">
        <f>IF(OR(IPC_Trimestriel!P30="",IPC_Trimestriel!M30="",IPC_Trimestriel!I30=""),"",AVERAGE(IPC_Trimestriel!M30:P30)/AVERAGE(IPC_Trimestriel!I30:L30)-1)</f>
        <v/>
      </c>
      <c r="M30" s="75" t="str">
        <f>IF(OR(IPC_Trimestriel!Q30="",IPC_Trimestriel!N30="",IPC_Trimestriel!J30=""),"",AVERAGE(IPC_Trimestriel!N30:Q30)/AVERAGE(IPC_Trimestriel!J30:M30)-1)</f>
        <v/>
      </c>
      <c r="N30" s="75" t="str">
        <f>IF(OR(IPC_Trimestriel!R30="",IPC_Trimestriel!O30="",IPC_Trimestriel!K30=""),"",AVERAGE(IPC_Trimestriel!O30:R30)/AVERAGE(IPC_Trimestriel!K30:N30)-1)</f>
        <v/>
      </c>
      <c r="O30" s="75" t="str">
        <f>IF(OR(IPC_Trimestriel!S30="",IPC_Trimestriel!P30="",IPC_Trimestriel!L30=""),"",AVERAGE(IPC_Trimestriel!P30:S30)/AVERAGE(IPC_Trimestriel!L30:O30)-1)</f>
        <v/>
      </c>
      <c r="P30" s="75" t="str">
        <f>IF(OR(IPC_Trimestriel!T30="",IPC_Trimestriel!Q30="",IPC_Trimestriel!M30=""),"",AVERAGE(IPC_Trimestriel!Q30:T30)/AVERAGE(IPC_Trimestriel!M30:P30)-1)</f>
        <v/>
      </c>
      <c r="Q30" s="75" t="str">
        <f>IF(OR(IPC_Trimestriel!U30="",IPC_Trimestriel!R30="",IPC_Trimestriel!N30=""),"",AVERAGE(IPC_Trimestriel!R30:U30)/AVERAGE(IPC_Trimestriel!N30:Q30)-1)</f>
        <v/>
      </c>
      <c r="R30" s="75" t="str">
        <f>IF(OR(IPC_Trimestriel!V30="",IPC_Trimestriel!S30="",IPC_Trimestriel!O30=""),"",AVERAGE(IPC_Trimestriel!S30:V30)/AVERAGE(IPC_Trimestriel!O30:R30)-1)</f>
        <v/>
      </c>
      <c r="S30" s="75" t="str">
        <f>IF(OR(IPC_Trimestriel!W30="",IPC_Trimestriel!T30="",IPC_Trimestriel!P30=""),"",AVERAGE(IPC_Trimestriel!T30:W30)/AVERAGE(IPC_Trimestriel!P30:S30)-1)</f>
        <v/>
      </c>
      <c r="T30" s="75" t="str">
        <f>IF(OR(IPC_Trimestriel!X30="",IPC_Trimestriel!U30="",IPC_Trimestriel!Q30=""),"",AVERAGE(IPC_Trimestriel!U30:X30)/AVERAGE(IPC_Trimestriel!Q30:T30)-1)</f>
        <v/>
      </c>
      <c r="U30" s="75" t="str">
        <f>IF(OR(IPC_Trimestriel!Y30="",IPC_Trimestriel!V30="",IPC_Trimestriel!R30=""),"",AVERAGE(IPC_Trimestriel!V30:Y30)/AVERAGE(IPC_Trimestriel!R30:U30)-1)</f>
        <v/>
      </c>
      <c r="V30" s="75" t="str">
        <f>IF(OR(IPC_Trimestriel!Z30="",IPC_Trimestriel!W30="",IPC_Trimestriel!S30=""),"",AVERAGE(IPC_Trimestriel!W30:Z30)/AVERAGE(IPC_Trimestriel!S30:V30)-1)</f>
        <v/>
      </c>
      <c r="W30" s="75" t="str">
        <f>IF(OR(IPC_Trimestriel!AA30="",IPC_Trimestriel!X30="",IPC_Trimestriel!T30=""),"",AVERAGE(IPC_Trimestriel!X30:AA30)/AVERAGE(IPC_Trimestriel!T30:W30)-1)</f>
        <v/>
      </c>
      <c r="X30" s="75" t="str">
        <f>IF(OR(IPC_Trimestriel!AB30="",IPC_Trimestriel!Y30="",IPC_Trimestriel!U30=""),"",AVERAGE(IPC_Trimestriel!Y30:AB30)/AVERAGE(IPC_Trimestriel!U30:X30)-1)</f>
        <v/>
      </c>
      <c r="Y30" s="75" t="str">
        <f>IF(OR(IPC_Trimestriel!AC30="",IPC_Trimestriel!Z30="",IPC_Trimestriel!V30=""),"",AVERAGE(IPC_Trimestriel!Z30:AC30)/AVERAGE(IPC_Trimestriel!V30:Y30)-1)</f>
        <v/>
      </c>
      <c r="Z30" s="75" t="str">
        <f>IF(OR(IPC_Trimestriel!AD30="",IPC_Trimestriel!AA30="",IPC_Trimestriel!W30=""),"",AVERAGE(IPC_Trimestriel!AA30:AD30)/AVERAGE(IPC_Trimestriel!W30:Z30)-1)</f>
        <v/>
      </c>
      <c r="AA30" s="75" t="str">
        <f>IF(OR(IPC_Trimestriel!AE30="",IPC_Trimestriel!AB30="",IPC_Trimestriel!X30=""),"",AVERAGE(IPC_Trimestriel!AB30:AE30)/AVERAGE(IPC_Trimestriel!X30:AA30)-1)</f>
        <v/>
      </c>
      <c r="AB30" s="75" t="str">
        <f>IF(OR(IPC_Trimestriel!AF30="",IPC_Trimestriel!AC30="",IPC_Trimestriel!Y30=""),"",AVERAGE(IPC_Trimestriel!AC30:AF30)/AVERAGE(IPC_Trimestriel!Y30:AB30)-1)</f>
        <v/>
      </c>
      <c r="AC30" s="75" t="str">
        <f>IF(OR(IPC_Trimestriel!AG30="",IPC_Trimestriel!AD30="",IPC_Trimestriel!Z30=""),"",AVERAGE(IPC_Trimestriel!AD30:AG30)/AVERAGE(IPC_Trimestriel!Z30:AC30)-1)</f>
        <v/>
      </c>
      <c r="AD30" s="75" t="str">
        <f>IF(OR(IPC_Trimestriel!AH30="",IPC_Trimestriel!AE30="",IPC_Trimestriel!AA30=""),"",AVERAGE(IPC_Trimestriel!AE30:AH30)/AVERAGE(IPC_Trimestriel!AA30:AD30)-1)</f>
        <v/>
      </c>
      <c r="AE30" s="75" t="str">
        <f>IF(OR(IPC_Trimestriel!AI30="",IPC_Trimestriel!AF30="",IPC_Trimestriel!AB30=""),"",AVERAGE(IPC_Trimestriel!AF30:AI30)/AVERAGE(IPC_Trimestriel!AB30:AE30)-1)</f>
        <v/>
      </c>
      <c r="AF30" s="75" t="str">
        <f>IF(OR(IPC_Trimestriel!AJ30="",IPC_Trimestriel!AG30="",IPC_Trimestriel!AC30=""),"",AVERAGE(IPC_Trimestriel!AG30:AJ30)/AVERAGE(IPC_Trimestriel!AC30:AF30)-1)</f>
        <v/>
      </c>
      <c r="AG30" s="75" t="str">
        <f>IF(OR(IPC_Trimestriel!AK30="",IPC_Trimestriel!AH30="",IPC_Trimestriel!AD30=""),"",AVERAGE(IPC_Trimestriel!AH30:AK30)/AVERAGE(IPC_Trimestriel!AD30:AG30)-1)</f>
        <v/>
      </c>
      <c r="AH30" s="75" t="str">
        <f>IF(OR(IPC_Trimestriel!AL30="",IPC_Trimestriel!AI30="",IPC_Trimestriel!AE30=""),"",AVERAGE(IPC_Trimestriel!AI30:AL30)/AVERAGE(IPC_Trimestriel!AE30:AH30)-1)</f>
        <v/>
      </c>
      <c r="AI30" s="75" t="str">
        <f>IF(OR(IPC_Trimestriel!AM30="",IPC_Trimestriel!AJ30="",IPC_Trimestriel!AF30=""),"",AVERAGE(IPC_Trimestriel!AJ30:AM30)/AVERAGE(IPC_Trimestriel!AF30:AI30)-1)</f>
        <v/>
      </c>
      <c r="AJ30" s="75" t="str">
        <f>IF(OR(IPC_Trimestriel!AN30="",IPC_Trimestriel!AK30="",IPC_Trimestriel!AG30=""),"",AVERAGE(IPC_Trimestriel!AK30:AN30)/AVERAGE(IPC_Trimestriel!AG30:AJ30)-1)</f>
        <v/>
      </c>
      <c r="AK30" s="75" t="str">
        <f>IF(OR(IPC_Trimestriel!AO30="",IPC_Trimestriel!AL30="",IPC_Trimestriel!AH30=""),"",AVERAGE(IPC_Trimestriel!AL30:AO30)/AVERAGE(IPC_Trimestriel!AH30:AK30)-1)</f>
        <v/>
      </c>
      <c r="AL30" s="75" t="str">
        <f>IF(OR(IPC_Trimestriel!AP30="",IPC_Trimestriel!AM30="",IPC_Trimestriel!AI30=""),"",AVERAGE(IPC_Trimestriel!AM30:AP30)/AVERAGE(IPC_Trimestriel!AI30:AL30)-1)</f>
        <v/>
      </c>
      <c r="AM30" s="75" t="str">
        <f>IF(OR(IPC_Trimestriel!AQ30="",IPC_Trimestriel!AN30="",IPC_Trimestriel!AJ30=""),"",AVERAGE(IPC_Trimestriel!AN30:AQ30)/AVERAGE(IPC_Trimestriel!AJ30:AM30)-1)</f>
        <v/>
      </c>
      <c r="AN30" s="75" t="str">
        <f>IF(OR(IPC_Trimestriel!AR30="",IPC_Trimestriel!AO30="",IPC_Trimestriel!AK30=""),"",AVERAGE(IPC_Trimestriel!AO30:AR30)/AVERAGE(IPC_Trimestriel!AK30:AN30)-1)</f>
        <v/>
      </c>
      <c r="AO30" s="75" t="str">
        <f>IF(OR(IPC_Trimestriel!AS30="",IPC_Trimestriel!AP30="",IPC_Trimestriel!AL30=""),"",AVERAGE(IPC_Trimestriel!AP30:AS30)/AVERAGE(IPC_Trimestriel!AL30:AO30)-1)</f>
        <v/>
      </c>
      <c r="AP30" s="75" t="str">
        <f>IF(OR(IPC_Trimestriel!AT30="",IPC_Trimestriel!AQ30="",IPC_Trimestriel!AM30=""),"",AVERAGE(IPC_Trimestriel!AQ30:AT30)/AVERAGE(IPC_Trimestriel!AM30:AP30)-1)</f>
        <v/>
      </c>
      <c r="AQ30" s="75" t="str">
        <f>IF(OR(IPC_Trimestriel!AU30="",IPC_Trimestriel!AR30="",IPC_Trimestriel!AN30=""),"",AVERAGE(IPC_Trimestriel!AR30:AU30)/AVERAGE(IPC_Trimestriel!AN30:AQ30)-1)</f>
        <v/>
      </c>
      <c r="AR30" s="75" t="str">
        <f>IF(OR(IPC_Trimestriel!AV30="",IPC_Trimestriel!AS30="",IPC_Trimestriel!AO30=""),"",AVERAGE(IPC_Trimestriel!AS30:AV30)/AVERAGE(IPC_Trimestriel!AO30:AR30)-1)</f>
        <v/>
      </c>
      <c r="AS30" s="75" t="str">
        <f>IF(OR(IPC_Trimestriel!AW30="",IPC_Trimestriel!AT30="",IPC_Trimestriel!AP30=""),"",AVERAGE(IPC_Trimestriel!AT30:AW30)/AVERAGE(IPC_Trimestriel!AP30:AS30)-1)</f>
        <v/>
      </c>
      <c r="AT30" s="75" t="str">
        <f>IF(OR(IPC_Trimestriel!AX30="",IPC_Trimestriel!AU30="",IPC_Trimestriel!AQ30=""),"",AVERAGE(IPC_Trimestriel!AU30:AX30)/AVERAGE(IPC_Trimestriel!AQ30:AT30)-1)</f>
        <v/>
      </c>
      <c r="AU30" s="75" t="str">
        <f>IF(OR(IPC_Trimestriel!AY30="",IPC_Trimestriel!AV30="",IPC_Trimestriel!AR30=""),"",AVERAGE(IPC_Trimestriel!AV30:AY30)/AVERAGE(IPC_Trimestriel!AR30:AU30)-1)</f>
        <v/>
      </c>
      <c r="AV30" s="75" t="str">
        <f>IF(OR(IPC_Trimestriel!AZ30="",IPC_Trimestriel!AW30="",IPC_Trimestriel!AS30=""),"",AVERAGE(IPC_Trimestriel!AW30:AZ30)/AVERAGE(IPC_Trimestriel!AS30:AV30)-1)</f>
        <v/>
      </c>
      <c r="AW30" s="75" t="str">
        <f>IF(OR(IPC_Trimestriel!BA30="",IPC_Trimestriel!AX30="",IPC_Trimestriel!AT30=""),"",AVERAGE(IPC_Trimestriel!AX30:BA30)/AVERAGE(IPC_Trimestriel!AT30:AW30)-1)</f>
        <v/>
      </c>
      <c r="AX30" s="75" t="str">
        <f>IF(OR(IPC_Trimestriel!BB30="",IPC_Trimestriel!AY30="",IPC_Trimestriel!AU30=""),"",AVERAGE(IPC_Trimestriel!AY30:BB30)/AVERAGE(IPC_Trimestriel!AU30:AX30)-1)</f>
        <v/>
      </c>
      <c r="AY30" s="75" t="str">
        <f>IF(OR(IPC_Trimestriel!BC30="",IPC_Trimestriel!AZ30="",IPC_Trimestriel!AV30=""),"",AVERAGE(IPC_Trimestriel!AZ30:BC30)/AVERAGE(IPC_Trimestriel!AV30:AY30)-1)</f>
        <v/>
      </c>
      <c r="AZ30" s="75" t="str">
        <f>IF(OR(IPC_Trimestriel!BD30="",IPC_Trimestriel!BA30="",IPC_Trimestriel!AW30=""),"",AVERAGE(IPC_Trimestriel!BA30:BD30)/AVERAGE(IPC_Trimestriel!AW30:AZ30)-1)</f>
        <v/>
      </c>
      <c r="BA30" s="75" t="str">
        <f>IF(OR(IPC_Trimestriel!BE30="",IPC_Trimestriel!BB30="",IPC_Trimestriel!AX30=""),"",AVERAGE(IPC_Trimestriel!BB30:BE30)/AVERAGE(IPC_Trimestriel!AX30:BA30)-1)</f>
        <v/>
      </c>
      <c r="BB30" s="75" t="str">
        <f>IF(OR(IPC_Trimestriel!BF30="",IPC_Trimestriel!BC30="",IPC_Trimestriel!AY30=""),"",AVERAGE(IPC_Trimestriel!BC30:BF30)/AVERAGE(IPC_Trimestriel!AY30:BB30)-1)</f>
        <v/>
      </c>
      <c r="BC30" s="75">
        <f>IF(OR(IPC_Trimestriel!BG30="",IPC_Trimestriel!BD30="",IPC_Trimestriel!AZ30=""),"",AVERAGE(IPC_Trimestriel!BD30:BG30)/AVERAGE(IPC_Trimestriel!AZ30:BC30)-1)</f>
        <v>1.2518524930363206E-2</v>
      </c>
      <c r="BD30" s="75">
        <f>IF(OR(IPC_Trimestriel!BH30="",IPC_Trimestriel!BE30="",IPC_Trimestriel!BA30=""),"",AVERAGE(IPC_Trimestriel!BE30:BH30)/AVERAGE(IPC_Trimestriel!BA30:BD30)-1)</f>
        <v>1.1458340318310833E-2</v>
      </c>
      <c r="BE30" s="75">
        <f>IF(OR(IPC_Trimestriel!BI30="",IPC_Trimestriel!BF30="",IPC_Trimestriel!BB30=""),"",AVERAGE(IPC_Trimestriel!BF30:BI30)/AVERAGE(IPC_Trimestriel!BB30:BE30)-1)</f>
        <v>9.2975728802786595E-3</v>
      </c>
      <c r="BF30" s="75">
        <f>IF(OR(IPC_Trimestriel!BJ30="",IPC_Trimestriel!BG30="",IPC_Trimestriel!BC30=""),"",AVERAGE(IPC_Trimestriel!BG30:BJ30)/AVERAGE(IPC_Trimestriel!BC30:BF30)-1)</f>
        <v>9.4979325389572544E-3</v>
      </c>
      <c r="BG30" s="75">
        <f>IF(OR(IPC_Trimestriel!BK30="",IPC_Trimestriel!BH30="",IPC_Trimestriel!BD30=""),"",AVERAGE(IPC_Trimestriel!BH30:BK30)/AVERAGE(IPC_Trimestriel!BD30:BG30)-1)</f>
        <v>8.4760929492737613E-3</v>
      </c>
      <c r="BH30" s="75">
        <f>IF(OR(IPC_Trimestriel!BL30="",IPC_Trimestriel!BI30="",IPC_Trimestriel!BE30=""),"",AVERAGE(IPC_Trimestriel!BI30:BL30)/AVERAGE(IPC_Trimestriel!BE30:BH30)-1)</f>
        <v>1.013307668665675E-2</v>
      </c>
      <c r="BI30" s="75">
        <f>IF(OR(IPC_Trimestriel!BM30="",IPC_Trimestriel!BJ30="",IPC_Trimestriel!BF30=""),"",AVERAGE(IPC_Trimestriel!BJ30:BM30)/AVERAGE(IPC_Trimestriel!BF30:BI30)-1)</f>
        <v>1.3233159527336502E-2</v>
      </c>
      <c r="BJ30" s="75">
        <f>IF(OR(IPC_Trimestriel!BN30="",IPC_Trimestriel!BK30="",IPC_Trimestriel!BG30=""),"",AVERAGE(IPC_Trimestriel!BK30:BN30)/AVERAGE(IPC_Trimestriel!BG30:BJ30)-1)</f>
        <v>1.1818698615662537E-2</v>
      </c>
      <c r="BK30" s="75">
        <f>IF(OR(IPC_Trimestriel!BO30="",IPC_Trimestriel!BL30="",IPC_Trimestriel!BH30=""),"",AVERAGE(IPC_Trimestriel!BL30:BO30)/AVERAGE(IPC_Trimestriel!BH30:BK30)-1)</f>
        <v>1.1305111992437222E-2</v>
      </c>
      <c r="BL30" s="75">
        <f>IF(OR(IPC_Trimestriel!BP30="",IPC_Trimestriel!BM30="",IPC_Trimestriel!BI30=""),"",AVERAGE(IPC_Trimestriel!BM30:BP30)/AVERAGE(IPC_Trimestriel!BI30:BL30)-1)</f>
        <v>8.9629039399117261E-3</v>
      </c>
      <c r="BM30" s="75">
        <f>IF(OR(IPC_Trimestriel!BQ30="",IPC_Trimestriel!BN30="",IPC_Trimestriel!BJ30=""),"",AVERAGE(IPC_Trimestriel!BN30:BQ30)/AVERAGE(IPC_Trimestriel!BJ30:BM30)-1)</f>
        <v>4.7607145290706754E-3</v>
      </c>
      <c r="BN30" s="75">
        <f>IF(OR(IPC_Trimestriel!BR30="",IPC_Trimestriel!BO30="",IPC_Trimestriel!BK30=""),"",AVERAGE(IPC_Trimestriel!BO30:BR30)/AVERAGE(IPC_Trimestriel!BK30:BN30)-1)</f>
        <v>2.3796468725991726E-3</v>
      </c>
      <c r="BO30" s="75">
        <f>IF(OR(IPC_Trimestriel!BS30="",IPC_Trimestriel!BP30="",IPC_Trimestriel!BL30=""),"",AVERAGE(IPC_Trimestriel!BP30:BS30)/AVERAGE(IPC_Trimestriel!BL30:BO30)-1)</f>
        <v>7.9133014753063335E-4</v>
      </c>
      <c r="BP30" s="75">
        <f>IF(OR(IPC_Trimestriel!BT30="",IPC_Trimestriel!BQ30="",IPC_Trimestriel!BM30=""),"",AVERAGE(IPC_Trimestriel!BQ30:BT30)/AVERAGE(IPC_Trimestriel!BM30:BP30)-1)</f>
        <v>8.9015119992885694E-4</v>
      </c>
      <c r="BQ30" s="75">
        <f>IF(OR(IPC_Trimestriel!BU30="",IPC_Trimestriel!BR30="",IPC_Trimestriel!BN30=""),"",AVERAGE(IPC_Trimestriel!BR30:BU30)/AVERAGE(IPC_Trimestriel!BN30:BQ30)-1)</f>
        <v>2.055397952688498E-3</v>
      </c>
      <c r="BR30" s="75">
        <f>IF(OR(IPC_Trimestriel!BV30="",IPC_Trimestriel!BS30="",IPC_Trimestriel!BO30=""),"",AVERAGE(IPC_Trimestriel!BS30:BV30)/AVERAGE(IPC_Trimestriel!BO30:BR30)-1)</f>
        <v>3.5147347226949233E-3</v>
      </c>
      <c r="BS30" s="75">
        <f>IF(OR(IPC_Trimestriel!BW30="",IPC_Trimestriel!BT30="",IPC_Trimestriel!BP30=""),"",AVERAGE(IPC_Trimestriel!BT30:BW30)/AVERAGE(IPC_Trimestriel!BP30:BS30)-1)</f>
        <v>4.2257890846562063E-3</v>
      </c>
      <c r="BT30" s="75">
        <f>IF(OR(IPC_Trimestriel!BX30="",IPC_Trimestriel!BU30="",IPC_Trimestriel!BQ30=""),"",AVERAGE(IPC_Trimestriel!BU30:BX30)/AVERAGE(IPC_Trimestriel!BQ30:BT30)-1)</f>
        <v>4.688433313835505E-3</v>
      </c>
      <c r="BU30" s="75">
        <f>IF(OR(IPC_Trimestriel!BY30="",IPC_Trimestriel!BV30="",IPC_Trimestriel!BR30=""),"",AVERAGE(IPC_Trimestriel!BV30:BY30)/AVERAGE(IPC_Trimestriel!BR30:BU30)-1)</f>
        <v>7.9288657177529753E-3</v>
      </c>
      <c r="BV30" s="75">
        <f>IF(OR(IPC_Trimestriel!BZ30="",IPC_Trimestriel!BW30="",IPC_Trimestriel!BS30=""),"",AVERAGE(IPC_Trimestriel!BW30:BZ30)/AVERAGE(IPC_Trimestriel!BS30:BV30)-1)</f>
        <v>1.1347013937542894E-2</v>
      </c>
      <c r="BW30" s="75">
        <f>IF(OR(IPC_Trimestriel!CA30="",IPC_Trimestriel!BX30="",IPC_Trimestriel!BT30=""),"",AVERAGE(IPC_Trimestriel!BX30:CA30)/AVERAGE(IPC_Trimestriel!BT30:BW30)-1)</f>
        <v>1.5218200607448384E-2</v>
      </c>
      <c r="BX30" s="75">
        <f>IF(OR(IPC_Trimestriel!CB30="",IPC_Trimestriel!BY30="",IPC_Trimestriel!BU30=""),"",AVERAGE(IPC_Trimestriel!BY30:CB30)/AVERAGE(IPC_Trimestriel!BU30:BX30)-1)</f>
        <v>1.840492142568495E-2</v>
      </c>
      <c r="BY30" s="75">
        <f>IF(OR(IPC_Trimestriel!CC30="",IPC_Trimestriel!BZ30="",IPC_Trimestriel!BV30=""),"",AVERAGE(IPC_Trimestriel!BZ30:CC30)/AVERAGE(IPC_Trimestriel!BV30:BY30)-1)</f>
        <v>1.7812411909645665E-2</v>
      </c>
      <c r="BZ30" s="75">
        <f>IF(OR(IPC_Trimestriel!CD30="",IPC_Trimestriel!CA30="",IPC_Trimestriel!BW30=""),"",AVERAGE(IPC_Trimestriel!CA30:CD30)/AVERAGE(IPC_Trimestriel!BW30:BZ30)-1)</f>
        <v>1.6638869537377809E-2</v>
      </c>
      <c r="CA30" s="75">
        <f>IF(OR(IPC_Trimestriel!CE30="",IPC_Trimestriel!CB30="",IPC_Trimestriel!BX30=""),"",AVERAGE(IPC_Trimestriel!CB30:CE30)/AVERAGE(IPC_Trimestriel!BX30:CA30)-1)</f>
        <v>1.5652725317327087E-2</v>
      </c>
      <c r="CB30" s="75">
        <f>IF(OR(IPC_Trimestriel!CF30="",IPC_Trimestriel!CC30="",IPC_Trimestriel!BY30=""),"",AVERAGE(IPC_Trimestriel!CC30:CF30)/AVERAGE(IPC_Trimestriel!BY30:CB30)-1)</f>
        <v>1.4767517838127464E-2</v>
      </c>
      <c r="CC30" s="75">
        <f>IF(OR(IPC_Trimestriel!CG30="",IPC_Trimestriel!CD30="",IPC_Trimestriel!BZ30=""),"",AVERAGE(IPC_Trimestriel!CD30:CG30)/AVERAGE(IPC_Trimestriel!BZ30:CC30)-1)</f>
        <v>1.4956418801257865E-2</v>
      </c>
      <c r="CD30" s="75">
        <f>IF(OR(IPC_Trimestriel!CH30="",IPC_Trimestriel!CE30="",IPC_Trimestriel!CA30=""),"",AVERAGE(IPC_Trimestriel!CE30:CH30)/AVERAGE(IPC_Trimestriel!CA30:CD30)-1)</f>
        <v>1.5732214749886397E-2</v>
      </c>
      <c r="CE30" s="75">
        <f>IF(OR(IPC_Trimestriel!CI30="",IPC_Trimestriel!CF30="",IPC_Trimestriel!CB30=""),"",AVERAGE(IPC_Trimestriel!CF30:CI30)/AVERAGE(IPC_Trimestriel!CB30:CE30)-1)</f>
        <v>1.5512801861864878E-2</v>
      </c>
      <c r="CF30" s="75">
        <f>IF(OR(IPC_Trimestriel!CJ30="",IPC_Trimestriel!CG30="",IPC_Trimestriel!CC30=""),"",AVERAGE(IPC_Trimestriel!CG30:CJ30)/AVERAGE(IPC_Trimestriel!CC30:CF30)-1)</f>
        <v>1.5856186688365526E-2</v>
      </c>
      <c r="CG30" s="75">
        <f>IF(OR(IPC_Trimestriel!CK30="",IPC_Trimestriel!CH30="",IPC_Trimestriel!CD30=""),"",AVERAGE(IPC_Trimestriel!CH30:CK30)/AVERAGE(IPC_Trimestriel!CD30:CG30)-1)</f>
        <v>1.5494808314730824E-2</v>
      </c>
      <c r="CH30" s="75">
        <f>IF(OR(IPC_Trimestriel!CL30="",IPC_Trimestriel!CI30="",IPC_Trimestriel!CE30=""),"",AVERAGE(IPC_Trimestriel!CI30:CL30)/AVERAGE(IPC_Trimestriel!CE30:CH30)-1)</f>
        <v>1.5071560531648931E-2</v>
      </c>
      <c r="CI30" s="75">
        <f>IF(OR(IPC_Trimestriel!CM30="",IPC_Trimestriel!CJ30="",IPC_Trimestriel!CF30=""),"",AVERAGE(IPC_Trimestriel!CJ30:CM30)/AVERAGE(IPC_Trimestriel!CF30:CI30)-1)</f>
        <v>1.5843735016972005E-2</v>
      </c>
      <c r="CJ30" s="75">
        <f>IF(OR(IPC_Trimestriel!CN30="",IPC_Trimestriel!CK30="",IPC_Trimestriel!CG30=""),"",AVERAGE(IPC_Trimestriel!CK30:CN30)/AVERAGE(IPC_Trimestriel!CG30:CJ30)-1)</f>
        <v>1.9040394304335573E-2</v>
      </c>
      <c r="CK30" s="75">
        <f>IF(OR(IPC_Trimestriel!CO30="",IPC_Trimestriel!CL30="",IPC_Trimestriel!CH30=""),"",AVERAGE(IPC_Trimestriel!CL30:CO30)/AVERAGE(IPC_Trimestriel!CH30:CK30)-1)</f>
        <v>2.9141493535239427E-2</v>
      </c>
      <c r="CL30" s="75">
        <f>IF(OR(IPC_Trimestriel!CP30="",IPC_Trimestriel!CM30="",IPC_Trimestriel!CI30=""),"",AVERAGE(IPC_Trimestriel!CM30:CP30)/AVERAGE(IPC_Trimestriel!CI30:CL30)-1)</f>
        <v>4.2180030985684791E-2</v>
      </c>
      <c r="CM30" s="75">
        <f>IF(OR(IPC_Trimestriel!CQ30="",IPC_Trimestriel!CN30="",IPC_Trimestriel!CJ30=""),"",AVERAGE(IPC_Trimestriel!CN30:CQ30)/AVERAGE(IPC_Trimestriel!CJ30:CM30)-1)</f>
        <v>5.6294408814869357E-2</v>
      </c>
      <c r="CN30" s="75" t="str">
        <f>IF(OR(IPC_Trimestriel!CR30="",IPC_Trimestriel!CO30="",IPC_Trimestriel!CK30=""),"",AVERAGE(IPC_Trimestriel!CO30:CR30)/AVERAGE(IPC_Trimestriel!CK30:CN30)-1)</f>
        <v/>
      </c>
      <c r="CO30" s="75" t="str">
        <f>IF(OR(IPC_Trimestriel!CS30="",IPC_Trimestriel!CP30="",IPC_Trimestriel!CL30=""),"",AVERAGE(IPC_Trimestriel!CP30:CS30)/AVERAGE(IPC_Trimestriel!CL30:CO30)-1)</f>
        <v/>
      </c>
      <c r="CP30" s="75" t="str">
        <f>IF(OR(IPC_Trimestriel!CT30="",IPC_Trimestriel!CQ30="",IPC_Trimestriel!CM30=""),"",AVERAGE(IPC_Trimestriel!CQ30:CT30)/AVERAGE(IPC_Trimestriel!CM30:CP30)-1)</f>
        <v/>
      </c>
    </row>
    <row r="31" spans="1:94" s="81" customFormat="1" ht="10.199999999999999" x14ac:dyDescent="0.2">
      <c r="B31" s="81" t="s">
        <v>110</v>
      </c>
      <c r="D31" s="84"/>
      <c r="E31" s="84"/>
      <c r="F31" s="84"/>
      <c r="G31" s="84" t="str">
        <f>IF(OR(IPC_Trimestriel!K31="",IPC_Trimestriel!H31="",IPC_Trimestriel!D31=""),"",AVERAGE(IPC_Trimestriel!H31:K31)/AVERAGE(IPC_Trimestriel!D31:G31)-1)</f>
        <v/>
      </c>
      <c r="H31" s="84" t="str">
        <f>IF(OR(IPC_Trimestriel!L31="",IPC_Trimestriel!I31="",IPC_Trimestriel!E31=""),"",AVERAGE(IPC_Trimestriel!I31:L31)/AVERAGE(IPC_Trimestriel!E31:H31)-1)</f>
        <v/>
      </c>
      <c r="I31" s="84" t="str">
        <f>IF(OR(IPC_Trimestriel!M31="",IPC_Trimestriel!J31="",IPC_Trimestriel!F31=""),"",AVERAGE(IPC_Trimestriel!J31:M31)/AVERAGE(IPC_Trimestriel!F31:I31)-1)</f>
        <v/>
      </c>
      <c r="J31" s="84" t="str">
        <f>IF(OR(IPC_Trimestriel!N31="",IPC_Trimestriel!K31="",IPC_Trimestriel!G31=""),"",AVERAGE(IPC_Trimestriel!K31:N31)/AVERAGE(IPC_Trimestriel!G31:J31)-1)</f>
        <v/>
      </c>
      <c r="K31" s="84" t="str">
        <f>IF(OR(IPC_Trimestriel!O31="",IPC_Trimestriel!L31="",IPC_Trimestriel!H31=""),"",AVERAGE(IPC_Trimestriel!L31:O31)/AVERAGE(IPC_Trimestriel!H31:K31)-1)</f>
        <v/>
      </c>
      <c r="L31" s="84" t="str">
        <f>IF(OR(IPC_Trimestriel!P31="",IPC_Trimestriel!M31="",IPC_Trimestriel!I31=""),"",AVERAGE(IPC_Trimestriel!M31:P31)/AVERAGE(IPC_Trimestriel!I31:L31)-1)</f>
        <v/>
      </c>
      <c r="M31" s="84" t="str">
        <f>IF(OR(IPC_Trimestriel!Q31="",IPC_Trimestriel!N31="",IPC_Trimestriel!J31=""),"",AVERAGE(IPC_Trimestriel!N31:Q31)/AVERAGE(IPC_Trimestriel!J31:M31)-1)</f>
        <v/>
      </c>
      <c r="N31" s="84" t="str">
        <f>IF(OR(IPC_Trimestriel!R31="",IPC_Trimestriel!O31="",IPC_Trimestriel!K31=""),"",AVERAGE(IPC_Trimestriel!O31:R31)/AVERAGE(IPC_Trimestriel!K31:N31)-1)</f>
        <v/>
      </c>
      <c r="O31" s="84" t="str">
        <f>IF(OR(IPC_Trimestriel!S31="",IPC_Trimestriel!P31="",IPC_Trimestriel!L31=""),"",AVERAGE(IPC_Trimestriel!P31:S31)/AVERAGE(IPC_Trimestriel!L31:O31)-1)</f>
        <v/>
      </c>
      <c r="P31" s="84" t="str">
        <f>IF(OR(IPC_Trimestriel!T31="",IPC_Trimestriel!Q31="",IPC_Trimestriel!M31=""),"",AVERAGE(IPC_Trimestriel!Q31:T31)/AVERAGE(IPC_Trimestriel!M31:P31)-1)</f>
        <v/>
      </c>
      <c r="Q31" s="84" t="str">
        <f>IF(OR(IPC_Trimestriel!U31="",IPC_Trimestriel!R31="",IPC_Trimestriel!N31=""),"",AVERAGE(IPC_Trimestriel!R31:U31)/AVERAGE(IPC_Trimestriel!N31:Q31)-1)</f>
        <v/>
      </c>
      <c r="R31" s="84" t="str">
        <f>IF(OR(IPC_Trimestriel!V31="",IPC_Trimestriel!S31="",IPC_Trimestriel!O31=""),"",AVERAGE(IPC_Trimestriel!S31:V31)/AVERAGE(IPC_Trimestriel!O31:R31)-1)</f>
        <v/>
      </c>
      <c r="S31" s="84" t="str">
        <f>IF(OR(IPC_Trimestriel!W31="",IPC_Trimestriel!T31="",IPC_Trimestriel!P31=""),"",AVERAGE(IPC_Trimestriel!T31:W31)/AVERAGE(IPC_Trimestriel!P31:S31)-1)</f>
        <v/>
      </c>
      <c r="T31" s="84" t="str">
        <f>IF(OR(IPC_Trimestriel!X31="",IPC_Trimestriel!U31="",IPC_Trimestriel!Q31=""),"",AVERAGE(IPC_Trimestriel!U31:X31)/AVERAGE(IPC_Trimestriel!Q31:T31)-1)</f>
        <v/>
      </c>
      <c r="U31" s="84" t="str">
        <f>IF(OR(IPC_Trimestriel!Y31="",IPC_Trimestriel!V31="",IPC_Trimestriel!R31=""),"",AVERAGE(IPC_Trimestriel!V31:Y31)/AVERAGE(IPC_Trimestriel!R31:U31)-1)</f>
        <v/>
      </c>
      <c r="V31" s="84" t="str">
        <f>IF(OR(IPC_Trimestriel!Z31="",IPC_Trimestriel!W31="",IPC_Trimestriel!S31=""),"",AVERAGE(IPC_Trimestriel!W31:Z31)/AVERAGE(IPC_Trimestriel!S31:V31)-1)</f>
        <v/>
      </c>
      <c r="W31" s="84" t="str">
        <f>IF(OR(IPC_Trimestriel!AA31="",IPC_Trimestriel!X31="",IPC_Trimestriel!T31=""),"",AVERAGE(IPC_Trimestriel!X31:AA31)/AVERAGE(IPC_Trimestriel!T31:W31)-1)</f>
        <v/>
      </c>
      <c r="X31" s="84" t="str">
        <f>IF(OR(IPC_Trimestriel!AB31="",IPC_Trimestriel!Y31="",IPC_Trimestriel!U31=""),"",AVERAGE(IPC_Trimestriel!Y31:AB31)/AVERAGE(IPC_Trimestriel!U31:X31)-1)</f>
        <v/>
      </c>
      <c r="Y31" s="84" t="str">
        <f>IF(OR(IPC_Trimestriel!AC31="",IPC_Trimestriel!Z31="",IPC_Trimestriel!V31=""),"",AVERAGE(IPC_Trimestriel!Z31:AC31)/AVERAGE(IPC_Trimestriel!V31:Y31)-1)</f>
        <v/>
      </c>
      <c r="Z31" s="84" t="str">
        <f>IF(OR(IPC_Trimestriel!AD31="",IPC_Trimestriel!AA31="",IPC_Trimestriel!W31=""),"",AVERAGE(IPC_Trimestriel!AA31:AD31)/AVERAGE(IPC_Trimestriel!W31:Z31)-1)</f>
        <v/>
      </c>
      <c r="AA31" s="84" t="str">
        <f>IF(OR(IPC_Trimestriel!AE31="",IPC_Trimestriel!AB31="",IPC_Trimestriel!X31=""),"",AVERAGE(IPC_Trimestriel!AB31:AE31)/AVERAGE(IPC_Trimestriel!X31:AA31)-1)</f>
        <v/>
      </c>
      <c r="AB31" s="84" t="str">
        <f>IF(OR(IPC_Trimestriel!AF31="",IPC_Trimestriel!AC31="",IPC_Trimestriel!Y31=""),"",AVERAGE(IPC_Trimestriel!AC31:AF31)/AVERAGE(IPC_Trimestriel!Y31:AB31)-1)</f>
        <v/>
      </c>
      <c r="AC31" s="84" t="str">
        <f>IF(OR(IPC_Trimestriel!AG31="",IPC_Trimestriel!AD31="",IPC_Trimestriel!Z31=""),"",AVERAGE(IPC_Trimestriel!AD31:AG31)/AVERAGE(IPC_Trimestriel!Z31:AC31)-1)</f>
        <v/>
      </c>
      <c r="AD31" s="84" t="str">
        <f>IF(OR(IPC_Trimestriel!AH31="",IPC_Trimestriel!AE31="",IPC_Trimestriel!AA31=""),"",AVERAGE(IPC_Trimestriel!AE31:AH31)/AVERAGE(IPC_Trimestriel!AA31:AD31)-1)</f>
        <v/>
      </c>
      <c r="AE31" s="84" t="str">
        <f>IF(OR(IPC_Trimestriel!AI31="",IPC_Trimestriel!AF31="",IPC_Trimestriel!AB31=""),"",AVERAGE(IPC_Trimestriel!AF31:AI31)/AVERAGE(IPC_Trimestriel!AB31:AE31)-1)</f>
        <v/>
      </c>
      <c r="AF31" s="84" t="str">
        <f>IF(OR(IPC_Trimestriel!AJ31="",IPC_Trimestriel!AG31="",IPC_Trimestriel!AC31=""),"",AVERAGE(IPC_Trimestriel!AG31:AJ31)/AVERAGE(IPC_Trimestriel!AC31:AF31)-1)</f>
        <v/>
      </c>
      <c r="AG31" s="84" t="str">
        <f>IF(OR(IPC_Trimestriel!AK31="",IPC_Trimestriel!AH31="",IPC_Trimestriel!AD31=""),"",AVERAGE(IPC_Trimestriel!AH31:AK31)/AVERAGE(IPC_Trimestriel!AD31:AG31)-1)</f>
        <v/>
      </c>
      <c r="AH31" s="84" t="str">
        <f>IF(OR(IPC_Trimestriel!AL31="",IPC_Trimestriel!AI31="",IPC_Trimestriel!AE31=""),"",AVERAGE(IPC_Trimestriel!AI31:AL31)/AVERAGE(IPC_Trimestriel!AE31:AH31)-1)</f>
        <v/>
      </c>
      <c r="AI31" s="84" t="str">
        <f>IF(OR(IPC_Trimestriel!AM31="",IPC_Trimestriel!AJ31="",IPC_Trimestriel!AF31=""),"",AVERAGE(IPC_Trimestriel!AJ31:AM31)/AVERAGE(IPC_Trimestriel!AF31:AI31)-1)</f>
        <v/>
      </c>
      <c r="AJ31" s="84" t="str">
        <f>IF(OR(IPC_Trimestriel!AN31="",IPC_Trimestriel!AK31="",IPC_Trimestriel!AG31=""),"",AVERAGE(IPC_Trimestriel!AK31:AN31)/AVERAGE(IPC_Trimestriel!AG31:AJ31)-1)</f>
        <v/>
      </c>
      <c r="AK31" s="84" t="str">
        <f>IF(OR(IPC_Trimestriel!AO31="",IPC_Trimestriel!AL31="",IPC_Trimestriel!AH31=""),"",AVERAGE(IPC_Trimestriel!AL31:AO31)/AVERAGE(IPC_Trimestriel!AH31:AK31)-1)</f>
        <v/>
      </c>
      <c r="AL31" s="84" t="str">
        <f>IF(OR(IPC_Trimestriel!AP31="",IPC_Trimestriel!AM31="",IPC_Trimestriel!AI31=""),"",AVERAGE(IPC_Trimestriel!AM31:AP31)/AVERAGE(IPC_Trimestriel!AI31:AL31)-1)</f>
        <v/>
      </c>
      <c r="AM31" s="84" t="str">
        <f>IF(OR(IPC_Trimestriel!AQ31="",IPC_Trimestriel!AN31="",IPC_Trimestriel!AJ31=""),"",AVERAGE(IPC_Trimestriel!AN31:AQ31)/AVERAGE(IPC_Trimestriel!AJ31:AM31)-1)</f>
        <v/>
      </c>
      <c r="AN31" s="84" t="str">
        <f>IF(OR(IPC_Trimestriel!AR31="",IPC_Trimestriel!AO31="",IPC_Trimestriel!AK31=""),"",AVERAGE(IPC_Trimestriel!AO31:AR31)/AVERAGE(IPC_Trimestriel!AK31:AN31)-1)</f>
        <v/>
      </c>
      <c r="AO31" s="84" t="str">
        <f>IF(OR(IPC_Trimestriel!AS31="",IPC_Trimestriel!AP31="",IPC_Trimestriel!AL31=""),"",AVERAGE(IPC_Trimestriel!AP31:AS31)/AVERAGE(IPC_Trimestriel!AL31:AO31)-1)</f>
        <v/>
      </c>
      <c r="AP31" s="84" t="str">
        <f>IF(OR(IPC_Trimestriel!AT31="",IPC_Trimestriel!AQ31="",IPC_Trimestriel!AM31=""),"",AVERAGE(IPC_Trimestriel!AQ31:AT31)/AVERAGE(IPC_Trimestriel!AM31:AP31)-1)</f>
        <v/>
      </c>
      <c r="AQ31" s="84" t="str">
        <f>IF(OR(IPC_Trimestriel!AU31="",IPC_Trimestriel!AR31="",IPC_Trimestriel!AN31=""),"",AVERAGE(IPC_Trimestriel!AR31:AU31)/AVERAGE(IPC_Trimestriel!AN31:AQ31)-1)</f>
        <v/>
      </c>
      <c r="AR31" s="84" t="str">
        <f>IF(OR(IPC_Trimestriel!AV31="",IPC_Trimestriel!AS31="",IPC_Trimestriel!AO31=""),"",AVERAGE(IPC_Trimestriel!AS31:AV31)/AVERAGE(IPC_Trimestriel!AO31:AR31)-1)</f>
        <v/>
      </c>
      <c r="AS31" s="84" t="str">
        <f>IF(OR(IPC_Trimestriel!AW31="",IPC_Trimestriel!AT31="",IPC_Trimestriel!AP31=""),"",AVERAGE(IPC_Trimestriel!AT31:AW31)/AVERAGE(IPC_Trimestriel!AP31:AS31)-1)</f>
        <v/>
      </c>
      <c r="AT31" s="84" t="str">
        <f>IF(OR(IPC_Trimestriel!AX31="",IPC_Trimestriel!AU31="",IPC_Trimestriel!AQ31=""),"",AVERAGE(IPC_Trimestriel!AU31:AX31)/AVERAGE(IPC_Trimestriel!AQ31:AT31)-1)</f>
        <v/>
      </c>
      <c r="AU31" s="84" t="str">
        <f>IF(OR(IPC_Trimestriel!AY31="",IPC_Trimestriel!AV31="",IPC_Trimestriel!AR31=""),"",AVERAGE(IPC_Trimestriel!AV31:AY31)/AVERAGE(IPC_Trimestriel!AR31:AU31)-1)</f>
        <v/>
      </c>
      <c r="AV31" s="84" t="str">
        <f>IF(OR(IPC_Trimestriel!AZ31="",IPC_Trimestriel!AW31="",IPC_Trimestriel!AS31=""),"",AVERAGE(IPC_Trimestriel!AW31:AZ31)/AVERAGE(IPC_Trimestriel!AS31:AV31)-1)</f>
        <v/>
      </c>
      <c r="AW31" s="84" t="str">
        <f>IF(OR(IPC_Trimestriel!BA31="",IPC_Trimestriel!AX31="",IPC_Trimestriel!AT31=""),"",AVERAGE(IPC_Trimestriel!AX31:BA31)/AVERAGE(IPC_Trimestriel!AT31:AW31)-1)</f>
        <v/>
      </c>
      <c r="AX31" s="84" t="str">
        <f>IF(OR(IPC_Trimestriel!BB31="",IPC_Trimestriel!AY31="",IPC_Trimestriel!AU31=""),"",AVERAGE(IPC_Trimestriel!AY31:BB31)/AVERAGE(IPC_Trimestriel!AU31:AX31)-1)</f>
        <v/>
      </c>
      <c r="AY31" s="84" t="str">
        <f>IF(OR(IPC_Trimestriel!BC31="",IPC_Trimestriel!AZ31="",IPC_Trimestriel!AV31=""),"",AVERAGE(IPC_Trimestriel!AZ31:BC31)/AVERAGE(IPC_Trimestriel!AV31:AY31)-1)</f>
        <v/>
      </c>
      <c r="AZ31" s="84" t="str">
        <f>IF(OR(IPC_Trimestriel!BD31="",IPC_Trimestriel!BA31="",IPC_Trimestriel!AW31=""),"",AVERAGE(IPC_Trimestriel!BA31:BD31)/AVERAGE(IPC_Trimestriel!AW31:AZ31)-1)</f>
        <v/>
      </c>
      <c r="BA31" s="84" t="str">
        <f>IF(OR(IPC_Trimestriel!BE31="",IPC_Trimestriel!BB31="",IPC_Trimestriel!AX31=""),"",AVERAGE(IPC_Trimestriel!BB31:BE31)/AVERAGE(IPC_Trimestriel!AX31:BA31)-1)</f>
        <v/>
      </c>
      <c r="BB31" s="84" t="str">
        <f>IF(OR(IPC_Trimestriel!BF31="",IPC_Trimestriel!BC31="",IPC_Trimestriel!AY31=""),"",AVERAGE(IPC_Trimestriel!BC31:BF31)/AVERAGE(IPC_Trimestriel!AY31:BB31)-1)</f>
        <v/>
      </c>
      <c r="BC31" s="84">
        <f>IF(OR(IPC_Trimestriel!BG31="",IPC_Trimestriel!BD31="",IPC_Trimestriel!AZ31=""),"",AVERAGE(IPC_Trimestriel!BD31:BG31)/AVERAGE(IPC_Trimestriel!AZ31:BC31)-1)</f>
        <v>1.6707432455502547E-2</v>
      </c>
      <c r="BD31" s="84">
        <f>IF(OR(IPC_Trimestriel!BH31="",IPC_Trimestriel!BE31="",IPC_Trimestriel!BA31=""),"",AVERAGE(IPC_Trimestriel!BE31:BH31)/AVERAGE(IPC_Trimestriel!BA31:BD31)-1)</f>
        <v>1.4416995369816554E-2</v>
      </c>
      <c r="BE31" s="84">
        <f>IF(OR(IPC_Trimestriel!BI31="",IPC_Trimestriel!BF31="",IPC_Trimestriel!BB31=""),"",AVERAGE(IPC_Trimestriel!BF31:BI31)/AVERAGE(IPC_Trimestriel!BB31:BE31)-1)</f>
        <v>1.2144004287587329E-2</v>
      </c>
      <c r="BF31" s="84">
        <f>IF(OR(IPC_Trimestriel!BJ31="",IPC_Trimestriel!BG31="",IPC_Trimestriel!BC31=""),"",AVERAGE(IPC_Trimestriel!BG31:BJ31)/AVERAGE(IPC_Trimestriel!BC31:BF31)-1)</f>
        <v>2.1639627890081004E-2</v>
      </c>
      <c r="BG31" s="84">
        <f>IF(OR(IPC_Trimestriel!BK31="",IPC_Trimestriel!BH31="",IPC_Trimestriel!BD31=""),"",AVERAGE(IPC_Trimestriel!BH31:BK31)/AVERAGE(IPC_Trimestriel!BD31:BG31)-1)</f>
        <v>3.1348816725769613E-2</v>
      </c>
      <c r="BH31" s="84">
        <f>IF(OR(IPC_Trimestriel!BL31="",IPC_Trimestriel!BI31="",IPC_Trimestriel!BE31=""),"",AVERAGE(IPC_Trimestriel!BI31:BL31)/AVERAGE(IPC_Trimestriel!BE31:BH31)-1)</f>
        <v>4.1652753791794339E-2</v>
      </c>
      <c r="BI31" s="84">
        <f>IF(OR(IPC_Trimestriel!BM31="",IPC_Trimestriel!BJ31="",IPC_Trimestriel!BF31=""),"",AVERAGE(IPC_Trimestriel!BJ31:BM31)/AVERAGE(IPC_Trimestriel!BF31:BI31)-1)</f>
        <v>5.4148185330570087E-2</v>
      </c>
      <c r="BJ31" s="84">
        <f>IF(OR(IPC_Trimestriel!BN31="",IPC_Trimestriel!BK31="",IPC_Trimestriel!BG31=""),"",AVERAGE(IPC_Trimestriel!BK31:BN31)/AVERAGE(IPC_Trimestriel!BG31:BJ31)-1)</f>
        <v>4.6645946515613268E-2</v>
      </c>
      <c r="BK31" s="84">
        <f>IF(OR(IPC_Trimestriel!BO31="",IPC_Trimestriel!BL31="",IPC_Trimestriel!BH31=""),"",AVERAGE(IPC_Trimestriel!BL31:BO31)/AVERAGE(IPC_Trimestriel!BH31:BK31)-1)</f>
        <v>3.8528401133764767E-2</v>
      </c>
      <c r="BL31" s="84">
        <f>IF(OR(IPC_Trimestriel!BP31="",IPC_Trimestriel!BM31="",IPC_Trimestriel!BI31=""),"",AVERAGE(IPC_Trimestriel!BM31:BP31)/AVERAGE(IPC_Trimestriel!BI31:BL31)-1)</f>
        <v>2.9104750864176632E-2</v>
      </c>
      <c r="BM31" s="84">
        <f>IF(OR(IPC_Trimestriel!BQ31="",IPC_Trimestriel!BN31="",IPC_Trimestriel!BJ31=""),"",AVERAGE(IPC_Trimestriel!BN31:BQ31)/AVERAGE(IPC_Trimestriel!BJ31:BM31)-1)</f>
        <v>1.6536648284333655E-2</v>
      </c>
      <c r="BN31" s="84">
        <f>IF(OR(IPC_Trimestriel!BR31="",IPC_Trimestriel!BO31="",IPC_Trimestriel!BK31=""),"",AVERAGE(IPC_Trimestriel!BO31:BR31)/AVERAGE(IPC_Trimestriel!BK31:BN31)-1)</f>
        <v>1.250670138763188E-2</v>
      </c>
      <c r="BO31" s="84">
        <f>IF(OR(IPC_Trimestriel!BS31="",IPC_Trimestriel!BP31="",IPC_Trimestriel!BL31=""),"",AVERAGE(IPC_Trimestriel!BP31:BS31)/AVERAGE(IPC_Trimestriel!BL31:BO31)-1)</f>
        <v>9.4890730886041386E-3</v>
      </c>
      <c r="BP31" s="84">
        <f>IF(OR(IPC_Trimestriel!BT31="",IPC_Trimestriel!BQ31="",IPC_Trimestriel!BM31=""),"",AVERAGE(IPC_Trimestriel!BQ31:BT31)/AVERAGE(IPC_Trimestriel!BM31:BP31)-1)</f>
        <v>7.6920695967013231E-3</v>
      </c>
      <c r="BQ31" s="84">
        <f>IF(OR(IPC_Trimestriel!BU31="",IPC_Trimestriel!BR31="",IPC_Trimestriel!BN31=""),"",AVERAGE(IPC_Trimestriel!BR31:BU31)/AVERAGE(IPC_Trimestriel!BN31:BQ31)-1)</f>
        <v>7.8182824327295286E-3</v>
      </c>
      <c r="BR31" s="84">
        <f>IF(OR(IPC_Trimestriel!BV31="",IPC_Trimestriel!BS31="",IPC_Trimestriel!BO31=""),"",AVERAGE(IPC_Trimestriel!BS31:BV31)/AVERAGE(IPC_Trimestriel!BO31:BR31)-1)</f>
        <v>8.4913850011472114E-3</v>
      </c>
      <c r="BS31" s="84">
        <f>IF(OR(IPC_Trimestriel!BW31="",IPC_Trimestriel!BT31="",IPC_Trimestriel!BP31=""),"",AVERAGE(IPC_Trimestriel!BT31:BW31)/AVERAGE(IPC_Trimestriel!BP31:BS31)-1)</f>
        <v>8.4131533597939789E-3</v>
      </c>
      <c r="BT31" s="84">
        <f>IF(OR(IPC_Trimestriel!BX31="",IPC_Trimestriel!BU31="",IPC_Trimestriel!BQ31=""),"",AVERAGE(IPC_Trimestriel!BU31:BX31)/AVERAGE(IPC_Trimestriel!BQ31:BT31)-1)</f>
        <v>7.2714865649496918E-3</v>
      </c>
      <c r="BU31" s="84">
        <f>IF(OR(IPC_Trimestriel!BY31="",IPC_Trimestriel!BV31="",IPC_Trimestriel!BR31=""),"",AVERAGE(IPC_Trimestriel!BV31:BY31)/AVERAGE(IPC_Trimestriel!BR31:BU31)-1)</f>
        <v>6.6816430710239239E-3</v>
      </c>
      <c r="BV31" s="84">
        <f>IF(OR(IPC_Trimestriel!BZ31="",IPC_Trimestriel!BW31="",IPC_Trimestriel!BS31=""),"",AVERAGE(IPC_Trimestriel!BW31:BZ31)/AVERAGE(IPC_Trimestriel!BS31:BV31)-1)</f>
        <v>8.3190460022197765E-3</v>
      </c>
      <c r="BW31" s="84">
        <f>IF(OR(IPC_Trimestriel!CA31="",IPC_Trimestriel!BX31="",IPC_Trimestriel!BT31=""),"",AVERAGE(IPC_Trimestriel!BX31:CA31)/AVERAGE(IPC_Trimestriel!BT31:BW31)-1)</f>
        <v>1.1914716481206789E-2</v>
      </c>
      <c r="BX31" s="84">
        <f>IF(OR(IPC_Trimestriel!CB31="",IPC_Trimestriel!BY31="",IPC_Trimestriel!BU31=""),"",AVERAGE(IPC_Trimestriel!BY31:CB31)/AVERAGE(IPC_Trimestriel!BU31:BX31)-1)</f>
        <v>1.694589701347482E-2</v>
      </c>
      <c r="BY31" s="84">
        <f>IF(OR(IPC_Trimestriel!CC31="",IPC_Trimestriel!BZ31="",IPC_Trimestriel!BV31=""),"",AVERAGE(IPC_Trimestriel!BZ31:CC31)/AVERAGE(IPC_Trimestriel!BV31:BY31)-1)</f>
        <v>2.1230332519639905E-2</v>
      </c>
      <c r="BZ31" s="84">
        <f>IF(OR(IPC_Trimestriel!CD31="",IPC_Trimestriel!CA31="",IPC_Trimestriel!BW31=""),"",AVERAGE(IPC_Trimestriel!CA31:CD31)/AVERAGE(IPC_Trimestriel!BW31:BZ31)-1)</f>
        <v>2.1883030349983734E-2</v>
      </c>
      <c r="CA31" s="84">
        <f>IF(OR(IPC_Trimestriel!CE31="",IPC_Trimestriel!CB31="",IPC_Trimestriel!BX31=""),"",AVERAGE(IPC_Trimestriel!CB31:CE31)/AVERAGE(IPC_Trimestriel!BX31:CA31)-1)</f>
        <v>2.0546064845947676E-2</v>
      </c>
      <c r="CB31" s="84">
        <f>IF(OR(IPC_Trimestriel!CF31="",IPC_Trimestriel!CC31="",IPC_Trimestriel!BY31=""),"",AVERAGE(IPC_Trimestriel!CC31:CF31)/AVERAGE(IPC_Trimestriel!BY31:CB31)-1)</f>
        <v>1.7913855462073913E-2</v>
      </c>
      <c r="CC31" s="84">
        <f>IF(OR(IPC_Trimestriel!CG31="",IPC_Trimestriel!CD31="",IPC_Trimestriel!BZ31=""),"",AVERAGE(IPC_Trimestriel!CD31:CG31)/AVERAGE(IPC_Trimestriel!BZ31:CC31)-1)</f>
        <v>1.6140636904871331E-2</v>
      </c>
      <c r="CD31" s="84">
        <f>IF(OR(IPC_Trimestriel!CH31="",IPC_Trimestriel!CE31="",IPC_Trimestriel!CA31=""),"",AVERAGE(IPC_Trimestriel!CE31:CH31)/AVERAGE(IPC_Trimestriel!CA31:CD31)-1)</f>
        <v>1.4816515601225433E-2</v>
      </c>
      <c r="CE31" s="84">
        <f>IF(OR(IPC_Trimestriel!CI31="",IPC_Trimestriel!CF31="",IPC_Trimestriel!CB31=""),"",AVERAGE(IPC_Trimestriel!CF31:CI31)/AVERAGE(IPC_Trimestriel!CB31:CE31)-1)</f>
        <v>1.4246168531909964E-2</v>
      </c>
      <c r="CF31" s="84">
        <f>IF(OR(IPC_Trimestriel!CJ31="",IPC_Trimestriel!CG31="",IPC_Trimestriel!CC31=""),"",AVERAGE(IPC_Trimestriel!CG31:CJ31)/AVERAGE(IPC_Trimestriel!CC31:CF31)-1)</f>
        <v>1.3488984106253987E-2</v>
      </c>
      <c r="CG31" s="84">
        <f>IF(OR(IPC_Trimestriel!CK31="",IPC_Trimestriel!CH31="",IPC_Trimestriel!CD31=""),"",AVERAGE(IPC_Trimestriel!CH31:CK31)/AVERAGE(IPC_Trimestriel!CD31:CG31)-1)</f>
        <v>1.0269842358947123E-2</v>
      </c>
      <c r="CH31" s="84">
        <f>IF(OR(IPC_Trimestriel!CL31="",IPC_Trimestriel!CI31="",IPC_Trimestriel!CE31=""),"",AVERAGE(IPC_Trimestriel!CI31:CL31)/AVERAGE(IPC_Trimestriel!CE31:CH31)-1)</f>
        <v>9.5830896320137082E-3</v>
      </c>
      <c r="CI31" s="84">
        <f>IF(OR(IPC_Trimestriel!CM31="",IPC_Trimestriel!CJ31="",IPC_Trimestriel!CF31=""),"",AVERAGE(IPC_Trimestriel!CJ31:CM31)/AVERAGE(IPC_Trimestriel!CF31:CI31)-1)</f>
        <v>9.1134982480067794E-3</v>
      </c>
      <c r="CJ31" s="84">
        <f>IF(OR(IPC_Trimestriel!CN31="",IPC_Trimestriel!CK31="",IPC_Trimestriel!CG31=""),"",AVERAGE(IPC_Trimestriel!CK31:CN31)/AVERAGE(IPC_Trimestriel!CG31:CJ31)-1)</f>
        <v>1.0871243418644871E-2</v>
      </c>
      <c r="CK31" s="84">
        <f>IF(OR(IPC_Trimestriel!CO31="",IPC_Trimestriel!CL31="",IPC_Trimestriel!CH31=""),"",AVERAGE(IPC_Trimestriel!CL31:CO31)/AVERAGE(IPC_Trimestriel!CH31:CK31)-1)</f>
        <v>1.6510998849273983E-2</v>
      </c>
      <c r="CL31" s="84">
        <f>IF(OR(IPC_Trimestriel!CP31="",IPC_Trimestriel!CM31="",IPC_Trimestriel!CI31=""),"",AVERAGE(IPC_Trimestriel!CM31:CP31)/AVERAGE(IPC_Trimestriel!CI31:CL31)-1)</f>
        <v>2.2947947781680522E-2</v>
      </c>
      <c r="CM31" s="84">
        <f>IF(OR(IPC_Trimestriel!CQ31="",IPC_Trimestriel!CN31="",IPC_Trimestriel!CJ31=""),"",AVERAGE(IPC_Trimestriel!CN31:CQ31)/AVERAGE(IPC_Trimestriel!CJ31:CM31)-1)</f>
        <v>2.9400101092299735E-2</v>
      </c>
      <c r="CN31" s="84" t="str">
        <f>IF(OR(IPC_Trimestriel!CR31="",IPC_Trimestriel!CO31="",IPC_Trimestriel!CK31=""),"",AVERAGE(IPC_Trimestriel!CO31:CR31)/AVERAGE(IPC_Trimestriel!CK31:CN31)-1)</f>
        <v/>
      </c>
      <c r="CO31" s="84" t="str">
        <f>IF(OR(IPC_Trimestriel!CS31="",IPC_Trimestriel!CP31="",IPC_Trimestriel!CL31=""),"",AVERAGE(IPC_Trimestriel!CP31:CS31)/AVERAGE(IPC_Trimestriel!CL31:CO31)-1)</f>
        <v/>
      </c>
      <c r="CP31" s="84" t="str">
        <f>IF(OR(IPC_Trimestriel!CT31="",IPC_Trimestriel!CQ31="",IPC_Trimestriel!CM31=""),"",AVERAGE(IPC_Trimestriel!CQ31:CT31)/AVERAGE(IPC_Trimestriel!CM31:CP31)-1)</f>
        <v/>
      </c>
    </row>
    <row r="32" spans="1:94" s="74" customFormat="1" ht="10.199999999999999" x14ac:dyDescent="0.2"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</row>
    <row r="33" spans="1:94" s="74" customFormat="1" ht="10.199999999999999" x14ac:dyDescent="0.2">
      <c r="B33" s="3" t="s">
        <v>111</v>
      </c>
      <c r="D33" s="75"/>
      <c r="E33" s="75"/>
      <c r="F33" s="75"/>
      <c r="G33" s="75" t="str">
        <f>IF(OR(IPC_Trimestriel!K33="",IPC_Trimestriel!H33="",IPC_Trimestriel!D33=""),"",AVERAGE(IPC_Trimestriel!H33:K33)/AVERAGE(IPC_Trimestriel!D33:G33)-1)</f>
        <v/>
      </c>
      <c r="H33" s="75" t="str">
        <f>IF(OR(IPC_Trimestriel!L33="",IPC_Trimestriel!I33="",IPC_Trimestriel!E33=""),"",AVERAGE(IPC_Trimestriel!I33:L33)/AVERAGE(IPC_Trimestriel!E33:H33)-1)</f>
        <v/>
      </c>
      <c r="I33" s="75" t="str">
        <f>IF(OR(IPC_Trimestriel!M33="",IPC_Trimestriel!J33="",IPC_Trimestriel!F33=""),"",AVERAGE(IPC_Trimestriel!J33:M33)/AVERAGE(IPC_Trimestriel!F33:I33)-1)</f>
        <v/>
      </c>
      <c r="J33" s="75" t="str">
        <f>IF(OR(IPC_Trimestriel!N33="",IPC_Trimestriel!K33="",IPC_Trimestriel!G33=""),"",AVERAGE(IPC_Trimestriel!K33:N33)/AVERAGE(IPC_Trimestriel!G33:J33)-1)</f>
        <v/>
      </c>
      <c r="K33" s="75" t="str">
        <f>IF(OR(IPC_Trimestriel!O33="",IPC_Trimestriel!L33="",IPC_Trimestriel!H33=""),"",AVERAGE(IPC_Trimestriel!L33:O33)/AVERAGE(IPC_Trimestriel!H33:K33)-1)</f>
        <v/>
      </c>
      <c r="L33" s="75" t="str">
        <f>IF(OR(IPC_Trimestriel!P33="",IPC_Trimestriel!M33="",IPC_Trimestriel!I33=""),"",AVERAGE(IPC_Trimestriel!M33:P33)/AVERAGE(IPC_Trimestriel!I33:L33)-1)</f>
        <v/>
      </c>
      <c r="M33" s="75" t="str">
        <f>IF(OR(IPC_Trimestriel!Q33="",IPC_Trimestriel!N33="",IPC_Trimestriel!J33=""),"",AVERAGE(IPC_Trimestriel!N33:Q33)/AVERAGE(IPC_Trimestriel!J33:M33)-1)</f>
        <v/>
      </c>
      <c r="N33" s="75" t="str">
        <f>IF(OR(IPC_Trimestriel!R33="",IPC_Trimestriel!O33="",IPC_Trimestriel!K33=""),"",AVERAGE(IPC_Trimestriel!O33:R33)/AVERAGE(IPC_Trimestriel!K33:N33)-1)</f>
        <v/>
      </c>
      <c r="O33" s="75" t="str">
        <f>IF(OR(IPC_Trimestriel!S33="",IPC_Trimestriel!P33="",IPC_Trimestriel!L33=""),"",AVERAGE(IPC_Trimestriel!P33:S33)/AVERAGE(IPC_Trimestriel!L33:O33)-1)</f>
        <v/>
      </c>
      <c r="P33" s="75" t="str">
        <f>IF(OR(IPC_Trimestriel!T33="",IPC_Trimestriel!Q33="",IPC_Trimestriel!M33=""),"",AVERAGE(IPC_Trimestriel!Q33:T33)/AVERAGE(IPC_Trimestriel!M33:P33)-1)</f>
        <v/>
      </c>
      <c r="Q33" s="75" t="str">
        <f>IF(OR(IPC_Trimestriel!U33="",IPC_Trimestriel!R33="",IPC_Trimestriel!N33=""),"",AVERAGE(IPC_Trimestriel!R33:U33)/AVERAGE(IPC_Trimestriel!N33:Q33)-1)</f>
        <v/>
      </c>
      <c r="R33" s="75" t="str">
        <f>IF(OR(IPC_Trimestriel!V33="",IPC_Trimestriel!S33="",IPC_Trimestriel!O33=""),"",AVERAGE(IPC_Trimestriel!S33:V33)/AVERAGE(IPC_Trimestriel!O33:R33)-1)</f>
        <v/>
      </c>
      <c r="S33" s="75" t="str">
        <f>IF(OR(IPC_Trimestriel!W33="",IPC_Trimestriel!T33="",IPC_Trimestriel!P33=""),"",AVERAGE(IPC_Trimestriel!T33:W33)/AVERAGE(IPC_Trimestriel!P33:S33)-1)</f>
        <v/>
      </c>
      <c r="T33" s="75" t="str">
        <f>IF(OR(IPC_Trimestriel!X33="",IPC_Trimestriel!U33="",IPC_Trimestriel!Q33=""),"",AVERAGE(IPC_Trimestriel!U33:X33)/AVERAGE(IPC_Trimestriel!Q33:T33)-1)</f>
        <v/>
      </c>
      <c r="U33" s="75" t="str">
        <f>IF(OR(IPC_Trimestriel!Y33="",IPC_Trimestriel!V33="",IPC_Trimestriel!R33=""),"",AVERAGE(IPC_Trimestriel!V33:Y33)/AVERAGE(IPC_Trimestriel!R33:U33)-1)</f>
        <v/>
      </c>
      <c r="V33" s="75" t="str">
        <f>IF(OR(IPC_Trimestriel!Z33="",IPC_Trimestriel!W33="",IPC_Trimestriel!S33=""),"",AVERAGE(IPC_Trimestriel!W33:Z33)/AVERAGE(IPC_Trimestriel!S33:V33)-1)</f>
        <v/>
      </c>
      <c r="W33" s="75" t="str">
        <f>IF(OR(IPC_Trimestriel!AA33="",IPC_Trimestriel!X33="",IPC_Trimestriel!T33=""),"",AVERAGE(IPC_Trimestriel!X33:AA33)/AVERAGE(IPC_Trimestriel!T33:W33)-1)</f>
        <v/>
      </c>
      <c r="X33" s="75" t="str">
        <f>IF(OR(IPC_Trimestriel!AB33="",IPC_Trimestriel!Y33="",IPC_Trimestriel!U33=""),"",AVERAGE(IPC_Trimestriel!Y33:AB33)/AVERAGE(IPC_Trimestriel!U33:X33)-1)</f>
        <v/>
      </c>
      <c r="Y33" s="75" t="str">
        <f>IF(OR(IPC_Trimestriel!AC33="",IPC_Trimestriel!Z33="",IPC_Trimestriel!V33=""),"",AVERAGE(IPC_Trimestriel!Z33:AC33)/AVERAGE(IPC_Trimestriel!V33:Y33)-1)</f>
        <v/>
      </c>
      <c r="Z33" s="75" t="str">
        <f>IF(OR(IPC_Trimestriel!AD33="",IPC_Trimestriel!AA33="",IPC_Trimestriel!W33=""),"",AVERAGE(IPC_Trimestriel!AA33:AD33)/AVERAGE(IPC_Trimestriel!W33:Z33)-1)</f>
        <v/>
      </c>
      <c r="AA33" s="75" t="str">
        <f>IF(OR(IPC_Trimestriel!AE33="",IPC_Trimestriel!AB33="",IPC_Trimestriel!X33=""),"",AVERAGE(IPC_Trimestriel!AB33:AE33)/AVERAGE(IPC_Trimestriel!X33:AA33)-1)</f>
        <v/>
      </c>
      <c r="AB33" s="75" t="str">
        <f>IF(OR(IPC_Trimestriel!AF33="",IPC_Trimestriel!AC33="",IPC_Trimestriel!Y33=""),"",AVERAGE(IPC_Trimestriel!AC33:AF33)/AVERAGE(IPC_Trimestriel!Y33:AB33)-1)</f>
        <v/>
      </c>
      <c r="AC33" s="75" t="str">
        <f>IF(OR(IPC_Trimestriel!AG33="",IPC_Trimestriel!AD33="",IPC_Trimestriel!Z33=""),"",AVERAGE(IPC_Trimestriel!AD33:AG33)/AVERAGE(IPC_Trimestriel!Z33:AC33)-1)</f>
        <v/>
      </c>
      <c r="AD33" s="75" t="str">
        <f>IF(OR(IPC_Trimestriel!AH33="",IPC_Trimestriel!AE33="",IPC_Trimestriel!AA33=""),"",AVERAGE(IPC_Trimestriel!AE33:AH33)/AVERAGE(IPC_Trimestriel!AA33:AD33)-1)</f>
        <v/>
      </c>
      <c r="AE33" s="75" t="str">
        <f>IF(OR(IPC_Trimestriel!AI33="",IPC_Trimestriel!AF33="",IPC_Trimestriel!AB33=""),"",AVERAGE(IPC_Trimestriel!AF33:AI33)/AVERAGE(IPC_Trimestriel!AB33:AE33)-1)</f>
        <v/>
      </c>
      <c r="AF33" s="75" t="str">
        <f>IF(OR(IPC_Trimestriel!AJ33="",IPC_Trimestriel!AG33="",IPC_Trimestriel!AC33=""),"",AVERAGE(IPC_Trimestriel!AG33:AJ33)/AVERAGE(IPC_Trimestriel!AC33:AF33)-1)</f>
        <v/>
      </c>
      <c r="AG33" s="75" t="str">
        <f>IF(OR(IPC_Trimestriel!AK33="",IPC_Trimestriel!AH33="",IPC_Trimestriel!AD33=""),"",AVERAGE(IPC_Trimestriel!AH33:AK33)/AVERAGE(IPC_Trimestriel!AD33:AG33)-1)</f>
        <v/>
      </c>
      <c r="AH33" s="75" t="str">
        <f>IF(OR(IPC_Trimestriel!AL33="",IPC_Trimestriel!AI33="",IPC_Trimestriel!AE33=""),"",AVERAGE(IPC_Trimestriel!AI33:AL33)/AVERAGE(IPC_Trimestriel!AE33:AH33)-1)</f>
        <v/>
      </c>
      <c r="AI33" s="75" t="str">
        <f>IF(OR(IPC_Trimestriel!AM33="",IPC_Trimestriel!AJ33="",IPC_Trimestriel!AF33=""),"",AVERAGE(IPC_Trimestriel!AJ33:AM33)/AVERAGE(IPC_Trimestriel!AF33:AI33)-1)</f>
        <v/>
      </c>
      <c r="AJ33" s="75" t="str">
        <f>IF(OR(IPC_Trimestriel!AN33="",IPC_Trimestriel!AK33="",IPC_Trimestriel!AG33=""),"",AVERAGE(IPC_Trimestriel!AK33:AN33)/AVERAGE(IPC_Trimestriel!AG33:AJ33)-1)</f>
        <v/>
      </c>
      <c r="AK33" s="75" t="str">
        <f>IF(OR(IPC_Trimestriel!AO33="",IPC_Trimestriel!AL33="",IPC_Trimestriel!AH33=""),"",AVERAGE(IPC_Trimestriel!AL33:AO33)/AVERAGE(IPC_Trimestriel!AH33:AK33)-1)</f>
        <v/>
      </c>
      <c r="AL33" s="75" t="str">
        <f>IF(OR(IPC_Trimestriel!AP33="",IPC_Trimestriel!AM33="",IPC_Trimestriel!AI33=""),"",AVERAGE(IPC_Trimestriel!AM33:AP33)/AVERAGE(IPC_Trimestriel!AI33:AL33)-1)</f>
        <v/>
      </c>
      <c r="AM33" s="75" t="str">
        <f>IF(OR(IPC_Trimestriel!AQ33="",IPC_Trimestriel!AN33="",IPC_Trimestriel!AJ33=""),"",AVERAGE(IPC_Trimestriel!AN33:AQ33)/AVERAGE(IPC_Trimestriel!AJ33:AM33)-1)</f>
        <v/>
      </c>
      <c r="AN33" s="75" t="str">
        <f>IF(OR(IPC_Trimestriel!AR33="",IPC_Trimestriel!AO33="",IPC_Trimestriel!AK33=""),"",AVERAGE(IPC_Trimestriel!AO33:AR33)/AVERAGE(IPC_Trimestriel!AK33:AN33)-1)</f>
        <v/>
      </c>
      <c r="AO33" s="75" t="str">
        <f>IF(OR(IPC_Trimestriel!AS33="",IPC_Trimestriel!AP33="",IPC_Trimestriel!AL33=""),"",AVERAGE(IPC_Trimestriel!AP33:AS33)/AVERAGE(IPC_Trimestriel!AL33:AO33)-1)</f>
        <v/>
      </c>
      <c r="AP33" s="75" t="str">
        <f>IF(OR(IPC_Trimestriel!AT33="",IPC_Trimestriel!AQ33="",IPC_Trimestriel!AM33=""),"",AVERAGE(IPC_Trimestriel!AQ33:AT33)/AVERAGE(IPC_Trimestriel!AM33:AP33)-1)</f>
        <v/>
      </c>
      <c r="AQ33" s="75" t="str">
        <f>IF(OR(IPC_Trimestriel!AU33="",IPC_Trimestriel!AR33="",IPC_Trimestriel!AN33=""),"",AVERAGE(IPC_Trimestriel!AR33:AU33)/AVERAGE(IPC_Trimestriel!AN33:AQ33)-1)</f>
        <v/>
      </c>
      <c r="AR33" s="75" t="str">
        <f>IF(OR(IPC_Trimestriel!AV33="",IPC_Trimestriel!AS33="",IPC_Trimestriel!AO33=""),"",AVERAGE(IPC_Trimestriel!AS33:AV33)/AVERAGE(IPC_Trimestriel!AO33:AR33)-1)</f>
        <v/>
      </c>
      <c r="AS33" s="75" t="str">
        <f>IF(OR(IPC_Trimestriel!AW33="",IPC_Trimestriel!AT33="",IPC_Trimestriel!AP33=""),"",AVERAGE(IPC_Trimestriel!AT33:AW33)/AVERAGE(IPC_Trimestriel!AP33:AS33)-1)</f>
        <v/>
      </c>
      <c r="AT33" s="75" t="str">
        <f>IF(OR(IPC_Trimestriel!AX33="",IPC_Trimestriel!AU33="",IPC_Trimestriel!AQ33=""),"",AVERAGE(IPC_Trimestriel!AU33:AX33)/AVERAGE(IPC_Trimestriel!AQ33:AT33)-1)</f>
        <v/>
      </c>
      <c r="AU33" s="75" t="str">
        <f>IF(OR(IPC_Trimestriel!AY33="",IPC_Trimestriel!AV33="",IPC_Trimestriel!AR33=""),"",AVERAGE(IPC_Trimestriel!AV33:AY33)/AVERAGE(IPC_Trimestriel!AR33:AU33)-1)</f>
        <v/>
      </c>
      <c r="AV33" s="75" t="str">
        <f>IF(OR(IPC_Trimestriel!AZ33="",IPC_Trimestriel!AW33="",IPC_Trimestriel!AS33=""),"",AVERAGE(IPC_Trimestriel!AW33:AZ33)/AVERAGE(IPC_Trimestriel!AS33:AV33)-1)</f>
        <v/>
      </c>
      <c r="AW33" s="75" t="str">
        <f>IF(OR(IPC_Trimestriel!BA33="",IPC_Trimestriel!AX33="",IPC_Trimestriel!AT33=""),"",AVERAGE(IPC_Trimestriel!AX33:BA33)/AVERAGE(IPC_Trimestriel!AT33:AW33)-1)</f>
        <v/>
      </c>
      <c r="AX33" s="75" t="str">
        <f>IF(OR(IPC_Trimestriel!BB33="",IPC_Trimestriel!AY33="",IPC_Trimestriel!AU33=""),"",AVERAGE(IPC_Trimestriel!AY33:BB33)/AVERAGE(IPC_Trimestriel!AU33:AX33)-1)</f>
        <v/>
      </c>
      <c r="AY33" s="75" t="str">
        <f>IF(OR(IPC_Trimestriel!BC33="",IPC_Trimestriel!AZ33="",IPC_Trimestriel!AV33=""),"",AVERAGE(IPC_Trimestriel!AZ33:BC33)/AVERAGE(IPC_Trimestriel!AV33:AY33)-1)</f>
        <v/>
      </c>
      <c r="AZ33" s="75" t="str">
        <f>IF(OR(IPC_Trimestriel!BD33="",IPC_Trimestriel!BA33="",IPC_Trimestriel!AW33=""),"",AVERAGE(IPC_Trimestriel!BA33:BD33)/AVERAGE(IPC_Trimestriel!AW33:AZ33)-1)</f>
        <v/>
      </c>
      <c r="BA33" s="75" t="str">
        <f>IF(OR(IPC_Trimestriel!BE33="",IPC_Trimestriel!BB33="",IPC_Trimestriel!AX33=""),"",AVERAGE(IPC_Trimestriel!BB33:BE33)/AVERAGE(IPC_Trimestriel!AX33:BA33)-1)</f>
        <v/>
      </c>
      <c r="BB33" s="75" t="str">
        <f>IF(OR(IPC_Trimestriel!BF33="",IPC_Trimestriel!BC33="",IPC_Trimestriel!AY33=""),"",AVERAGE(IPC_Trimestriel!BC33:BF33)/AVERAGE(IPC_Trimestriel!AY33:BB33)-1)</f>
        <v/>
      </c>
      <c r="BC33" s="75">
        <f>IF(OR(IPC_Trimestriel!BG33="",IPC_Trimestriel!BD33="",IPC_Trimestriel!AZ33=""),"",AVERAGE(IPC_Trimestriel!BD33:BG33)/AVERAGE(IPC_Trimestriel!AZ33:BC33)-1)</f>
        <v>1.1446206954428773E-2</v>
      </c>
      <c r="BD33" s="75">
        <f>IF(OR(IPC_Trimestriel!BH33="",IPC_Trimestriel!BE33="",IPC_Trimestriel!BA33=""),"",AVERAGE(IPC_Trimestriel!BE33:BH33)/AVERAGE(IPC_Trimestriel!BA33:BD33)-1)</f>
        <v>1.2492351586089523E-2</v>
      </c>
      <c r="BE33" s="75">
        <f>IF(OR(IPC_Trimestriel!BI33="",IPC_Trimestriel!BF33="",IPC_Trimestriel!BB33=""),"",AVERAGE(IPC_Trimestriel!BF33:BI33)/AVERAGE(IPC_Trimestriel!BB33:BE33)-1)</f>
        <v>1.1186424999087619E-2</v>
      </c>
      <c r="BF33" s="75">
        <f>IF(OR(IPC_Trimestriel!BJ33="",IPC_Trimestriel!BG33="",IPC_Trimestriel!BC33=""),"",AVERAGE(IPC_Trimestriel!BG33:BJ33)/AVERAGE(IPC_Trimestriel!BC33:BF33)-1)</f>
        <v>1.2669475754817583E-2</v>
      </c>
      <c r="BG33" s="75">
        <f>IF(OR(IPC_Trimestriel!BK33="",IPC_Trimestriel!BH33="",IPC_Trimestriel!BD33=""),"",AVERAGE(IPC_Trimestriel!BH33:BK33)/AVERAGE(IPC_Trimestriel!BD33:BG33)-1)</f>
        <v>1.0954591325623042E-2</v>
      </c>
      <c r="BH33" s="75">
        <f>IF(OR(IPC_Trimestriel!BL33="",IPC_Trimestriel!BI33="",IPC_Trimestriel!BE33=""),"",AVERAGE(IPC_Trimestriel!BI33:BL33)/AVERAGE(IPC_Trimestriel!BE33:BH33)-1)</f>
        <v>1.0498044777587756E-2</v>
      </c>
      <c r="BI33" s="75">
        <f>IF(OR(IPC_Trimestriel!BM33="",IPC_Trimestriel!BJ33="",IPC_Trimestriel!BF33=""),"",AVERAGE(IPC_Trimestriel!BJ33:BM33)/AVERAGE(IPC_Trimestriel!BF33:BI33)-1)</f>
        <v>1.1668934875414205E-2</v>
      </c>
      <c r="BJ33" s="75">
        <f>IF(OR(IPC_Trimestriel!BN33="",IPC_Trimestriel!BK33="",IPC_Trimestriel!BG33=""),"",AVERAGE(IPC_Trimestriel!BK33:BN33)/AVERAGE(IPC_Trimestriel!BG33:BJ33)-1)</f>
        <v>1.2414508275455871E-2</v>
      </c>
      <c r="BK33" s="75">
        <f>IF(OR(IPC_Trimestriel!BO33="",IPC_Trimestriel!BL33="",IPC_Trimestriel!BH33=""),"",AVERAGE(IPC_Trimestriel!BL33:BO33)/AVERAGE(IPC_Trimestriel!BH33:BK33)-1)</f>
        <v>1.5473143376018905E-2</v>
      </c>
      <c r="BL33" s="75">
        <f>IF(OR(IPC_Trimestriel!BP33="",IPC_Trimestriel!BM33="",IPC_Trimestriel!BI33=""),"",AVERAGE(IPC_Trimestriel!BM33:BP33)/AVERAGE(IPC_Trimestriel!BI33:BL33)-1)</f>
        <v>1.775150309702922E-2</v>
      </c>
      <c r="BM33" s="75">
        <f>IF(OR(IPC_Trimestriel!BQ33="",IPC_Trimestriel!BN33="",IPC_Trimestriel!BJ33=""),"",AVERAGE(IPC_Trimestriel!BN33:BQ33)/AVERAGE(IPC_Trimestriel!BJ33:BM33)-1)</f>
        <v>1.7579511637762613E-2</v>
      </c>
      <c r="BN33" s="75">
        <f>IF(OR(IPC_Trimestriel!BR33="",IPC_Trimestriel!BO33="",IPC_Trimestriel!BK33=""),"",AVERAGE(IPC_Trimestriel!BO33:BR33)/AVERAGE(IPC_Trimestriel!BK33:BN33)-1)</f>
        <v>1.5017164645882319E-2</v>
      </c>
      <c r="BO33" s="75">
        <f>IF(OR(IPC_Trimestriel!BS33="",IPC_Trimestriel!BP33="",IPC_Trimestriel!BL33=""),"",AVERAGE(IPC_Trimestriel!BP33:BS33)/AVERAGE(IPC_Trimestriel!BL33:BO33)-1)</f>
        <v>1.2321804185428498E-2</v>
      </c>
      <c r="BP33" s="75">
        <f>IF(OR(IPC_Trimestriel!BT33="",IPC_Trimestriel!BQ33="",IPC_Trimestriel!BM33=""),"",AVERAGE(IPC_Trimestriel!BQ33:BT33)/AVERAGE(IPC_Trimestriel!BM33:BP33)-1)</f>
        <v>9.5302623996966762E-3</v>
      </c>
      <c r="BQ33" s="75">
        <f>IF(OR(IPC_Trimestriel!BU33="",IPC_Trimestriel!BR33="",IPC_Trimestriel!BN33=""),"",AVERAGE(IPC_Trimestriel!BR33:BU33)/AVERAGE(IPC_Trimestriel!BN33:BQ33)-1)</f>
        <v>6.4996162507482413E-3</v>
      </c>
      <c r="BR33" s="75">
        <f>IF(OR(IPC_Trimestriel!BV33="",IPC_Trimestriel!BS33="",IPC_Trimestriel!BO33=""),"",AVERAGE(IPC_Trimestriel!BS33:BV33)/AVERAGE(IPC_Trimestriel!BO33:BR33)-1)</f>
        <v>5.6750967557861465E-3</v>
      </c>
      <c r="BS33" s="75">
        <f>IF(OR(IPC_Trimestriel!BW33="",IPC_Trimestriel!BT33="",IPC_Trimestriel!BP33=""),"",AVERAGE(IPC_Trimestriel!BT33:BW33)/AVERAGE(IPC_Trimestriel!BP33:BS33)-1)</f>
        <v>3.300748570018941E-3</v>
      </c>
      <c r="BT33" s="75">
        <f>IF(OR(IPC_Trimestriel!BX33="",IPC_Trimestriel!BU33="",IPC_Trimestriel!BQ33=""),"",AVERAGE(IPC_Trimestriel!BU33:BX33)/AVERAGE(IPC_Trimestriel!BQ33:BT33)-1)</f>
        <v>3.8341119011977565E-3</v>
      </c>
      <c r="BU33" s="75">
        <f>IF(OR(IPC_Trimestriel!BY33="",IPC_Trimestriel!BV33="",IPC_Trimestriel!BR33=""),"",AVERAGE(IPC_Trimestriel!BV33:BY33)/AVERAGE(IPC_Trimestriel!BR33:BU33)-1)</f>
        <v>5.7018220735429725E-3</v>
      </c>
      <c r="BV33" s="75">
        <f>IF(OR(IPC_Trimestriel!BZ33="",IPC_Trimestriel!BW33="",IPC_Trimestriel!BS33=""),"",AVERAGE(IPC_Trimestriel!BW33:BZ33)/AVERAGE(IPC_Trimestriel!BS33:BV33)-1)</f>
        <v>8.5743275996730262E-3</v>
      </c>
      <c r="BW33" s="75">
        <f>IF(OR(IPC_Trimestriel!CA33="",IPC_Trimestriel!BX33="",IPC_Trimestriel!BT33=""),"",AVERAGE(IPC_Trimestriel!BX33:CA33)/AVERAGE(IPC_Trimestriel!BT33:BW33)-1)</f>
        <v>1.2847992614639647E-2</v>
      </c>
      <c r="BX33" s="75">
        <f>IF(OR(IPC_Trimestriel!CB33="",IPC_Trimestriel!BY33="",IPC_Trimestriel!BU33=""),"",AVERAGE(IPC_Trimestriel!BY33:CB33)/AVERAGE(IPC_Trimestriel!BU33:BX33)-1)</f>
        <v>1.5323575016680246E-2</v>
      </c>
      <c r="BY33" s="75">
        <f>IF(OR(IPC_Trimestriel!CC33="",IPC_Trimestriel!BZ33="",IPC_Trimestriel!BV33=""),"",AVERAGE(IPC_Trimestriel!BZ33:CC33)/AVERAGE(IPC_Trimestriel!BV33:BY33)-1)</f>
        <v>1.9117639270922027E-2</v>
      </c>
      <c r="BZ33" s="75">
        <f>IF(OR(IPC_Trimestriel!CD33="",IPC_Trimestriel!CA33="",IPC_Trimestriel!BW33=""),"",AVERAGE(IPC_Trimestriel!CA33:CD33)/AVERAGE(IPC_Trimestriel!BW33:BZ33)-1)</f>
        <v>2.0401329645233002E-2</v>
      </c>
      <c r="CA33" s="75">
        <f>IF(OR(IPC_Trimestriel!CE33="",IPC_Trimestriel!CB33="",IPC_Trimestriel!BX33=""),"",AVERAGE(IPC_Trimestriel!CB33:CE33)/AVERAGE(IPC_Trimestriel!BX33:CA33)-1)</f>
        <v>2.1333386567493617E-2</v>
      </c>
      <c r="CB33" s="75">
        <f>IF(OR(IPC_Trimestriel!CF33="",IPC_Trimestriel!CC33="",IPC_Trimestriel!BY33=""),"",AVERAGE(IPC_Trimestriel!CC33:CF33)/AVERAGE(IPC_Trimestriel!BY33:CB33)-1)</f>
        <v>2.1668515372214925E-2</v>
      </c>
      <c r="CC33" s="75">
        <f>IF(OR(IPC_Trimestriel!CG33="",IPC_Trimestriel!CD33="",IPC_Trimestriel!BZ33=""),"",AVERAGE(IPC_Trimestriel!CD33:CG33)/AVERAGE(IPC_Trimestriel!BZ33:CC33)-1)</f>
        <v>1.9924196078722645E-2</v>
      </c>
      <c r="CD33" s="75">
        <f>IF(OR(IPC_Trimestriel!CH33="",IPC_Trimestriel!CE33="",IPC_Trimestriel!CA33=""),"",AVERAGE(IPC_Trimestriel!CE33:CH33)/AVERAGE(IPC_Trimestriel!CA33:CD33)-1)</f>
        <v>1.9364410412925137E-2</v>
      </c>
      <c r="CE33" s="75">
        <f>IF(OR(IPC_Trimestriel!CI33="",IPC_Trimestriel!CF33="",IPC_Trimestriel!CB33=""),"",AVERAGE(IPC_Trimestriel!CF33:CI33)/AVERAGE(IPC_Trimestriel!CB33:CE33)-1)</f>
        <v>1.9324922823834578E-2</v>
      </c>
      <c r="CF33" s="75">
        <f>IF(OR(IPC_Trimestriel!CJ33="",IPC_Trimestriel!CG33="",IPC_Trimestriel!CC33=""),"",AVERAGE(IPC_Trimestriel!CG33:CJ33)/AVERAGE(IPC_Trimestriel!CC33:CF33)-1)</f>
        <v>1.9332539003294347E-2</v>
      </c>
      <c r="CG33" s="75">
        <f>IF(OR(IPC_Trimestriel!CK33="",IPC_Trimestriel!CH33="",IPC_Trimestriel!CD33=""),"",AVERAGE(IPC_Trimestriel!CH33:CK33)/AVERAGE(IPC_Trimestriel!CD33:CG33)-1)</f>
        <v>1.8569383714164722E-2</v>
      </c>
      <c r="CH33" s="75">
        <f>IF(OR(IPC_Trimestriel!CL33="",IPC_Trimestriel!CI33="",IPC_Trimestriel!CE33=""),"",AVERAGE(IPC_Trimestriel!CI33:CL33)/AVERAGE(IPC_Trimestriel!CE33:CH33)-1)</f>
        <v>1.786640157124797E-2</v>
      </c>
      <c r="CI33" s="75">
        <f>IF(OR(IPC_Trimestriel!CM33="",IPC_Trimestriel!CJ33="",IPC_Trimestriel!CF33=""),"",AVERAGE(IPC_Trimestriel!CJ33:CM33)/AVERAGE(IPC_Trimestriel!CF33:CI33)-1)</f>
        <v>1.6179012322964814E-2</v>
      </c>
      <c r="CJ33" s="75">
        <f>IF(OR(IPC_Trimestriel!CN33="",IPC_Trimestriel!CK33="",IPC_Trimestriel!CG33=""),"",AVERAGE(IPC_Trimestriel!CK33:CN33)/AVERAGE(IPC_Trimestriel!CG33:CJ33)-1)</f>
        <v>1.7272039823938545E-2</v>
      </c>
      <c r="CK33" s="75">
        <f>IF(OR(IPC_Trimestriel!CO33="",IPC_Trimestriel!CL33="",IPC_Trimestriel!CH33=""),"",AVERAGE(IPC_Trimestriel!CL33:CO33)/AVERAGE(IPC_Trimestriel!CH33:CK33)-1)</f>
        <v>2.4826721451411515E-2</v>
      </c>
      <c r="CL33" s="75">
        <f>IF(OR(IPC_Trimestriel!CP33="",IPC_Trimestriel!CM33="",IPC_Trimestriel!CI33=""),"",AVERAGE(IPC_Trimestriel!CM33:CP33)/AVERAGE(IPC_Trimestriel!CI33:CL33)-1)</f>
        <v>3.4551803422463001E-2</v>
      </c>
      <c r="CM33" s="75">
        <f>IF(OR(IPC_Trimestriel!CQ33="",IPC_Trimestriel!CN33="",IPC_Trimestriel!CJ33=""),"",AVERAGE(IPC_Trimestriel!CN33:CQ33)/AVERAGE(IPC_Trimestriel!CJ33:CM33)-1)</f>
        <v>4.6363189858008136E-2</v>
      </c>
      <c r="CN33" s="75" t="str">
        <f>IF(OR(IPC_Trimestriel!CR33="",IPC_Trimestriel!CO33="",IPC_Trimestriel!CK33=""),"",AVERAGE(IPC_Trimestriel!CO33:CR33)/AVERAGE(IPC_Trimestriel!CK33:CN33)-1)</f>
        <v/>
      </c>
      <c r="CO33" s="75" t="str">
        <f>IF(OR(IPC_Trimestriel!CS33="",IPC_Trimestriel!CP33="",IPC_Trimestriel!CL33=""),"",AVERAGE(IPC_Trimestriel!CP33:CS33)/AVERAGE(IPC_Trimestriel!CL33:CO33)-1)</f>
        <v/>
      </c>
      <c r="CP33" s="75" t="str">
        <f>IF(OR(IPC_Trimestriel!CT33="",IPC_Trimestriel!CQ33="",IPC_Trimestriel!CM33=""),"",AVERAGE(IPC_Trimestriel!CQ33:CT33)/AVERAGE(IPC_Trimestriel!CM33:CP33)-1)</f>
        <v/>
      </c>
    </row>
    <row r="34" spans="1:94" s="74" customFormat="1" ht="10.199999999999999" x14ac:dyDescent="0.2">
      <c r="B34" s="3" t="s">
        <v>112</v>
      </c>
      <c r="D34" s="75"/>
      <c r="E34" s="75"/>
      <c r="F34" s="75"/>
      <c r="G34" s="75" t="str">
        <f>IF(OR(IPC_Trimestriel!K34="",IPC_Trimestriel!H34="",IPC_Trimestriel!D34=""),"",AVERAGE(IPC_Trimestriel!H34:K34)/AVERAGE(IPC_Trimestriel!D34:G34)-1)</f>
        <v/>
      </c>
      <c r="H34" s="75" t="str">
        <f>IF(OR(IPC_Trimestriel!L34="",IPC_Trimestriel!I34="",IPC_Trimestriel!E34=""),"",AVERAGE(IPC_Trimestriel!I34:L34)/AVERAGE(IPC_Trimestriel!E34:H34)-1)</f>
        <v/>
      </c>
      <c r="I34" s="75" t="str">
        <f>IF(OR(IPC_Trimestriel!M34="",IPC_Trimestriel!J34="",IPC_Trimestriel!F34=""),"",AVERAGE(IPC_Trimestriel!J34:M34)/AVERAGE(IPC_Trimestriel!F34:I34)-1)</f>
        <v/>
      </c>
      <c r="J34" s="75" t="str">
        <f>IF(OR(IPC_Trimestriel!N34="",IPC_Trimestriel!K34="",IPC_Trimestriel!G34=""),"",AVERAGE(IPC_Trimestriel!K34:N34)/AVERAGE(IPC_Trimestriel!G34:J34)-1)</f>
        <v/>
      </c>
      <c r="K34" s="75" t="str">
        <f>IF(OR(IPC_Trimestriel!O34="",IPC_Trimestriel!L34="",IPC_Trimestriel!H34=""),"",AVERAGE(IPC_Trimestriel!L34:O34)/AVERAGE(IPC_Trimestriel!H34:K34)-1)</f>
        <v/>
      </c>
      <c r="L34" s="75" t="str">
        <f>IF(OR(IPC_Trimestriel!P34="",IPC_Trimestriel!M34="",IPC_Trimestriel!I34=""),"",AVERAGE(IPC_Trimestriel!M34:P34)/AVERAGE(IPC_Trimestriel!I34:L34)-1)</f>
        <v/>
      </c>
      <c r="M34" s="75" t="str">
        <f>IF(OR(IPC_Trimestriel!Q34="",IPC_Trimestriel!N34="",IPC_Trimestriel!J34=""),"",AVERAGE(IPC_Trimestriel!N34:Q34)/AVERAGE(IPC_Trimestriel!J34:M34)-1)</f>
        <v/>
      </c>
      <c r="N34" s="75" t="str">
        <f>IF(OR(IPC_Trimestriel!R34="",IPC_Trimestriel!O34="",IPC_Trimestriel!K34=""),"",AVERAGE(IPC_Trimestriel!O34:R34)/AVERAGE(IPC_Trimestriel!K34:N34)-1)</f>
        <v/>
      </c>
      <c r="O34" s="75" t="str">
        <f>IF(OR(IPC_Trimestriel!S34="",IPC_Trimestriel!P34="",IPC_Trimestriel!L34=""),"",AVERAGE(IPC_Trimestriel!P34:S34)/AVERAGE(IPC_Trimestriel!L34:O34)-1)</f>
        <v/>
      </c>
      <c r="P34" s="75" t="str">
        <f>IF(OR(IPC_Trimestriel!T34="",IPC_Trimestriel!Q34="",IPC_Trimestriel!M34=""),"",AVERAGE(IPC_Trimestriel!Q34:T34)/AVERAGE(IPC_Trimestriel!M34:P34)-1)</f>
        <v/>
      </c>
      <c r="Q34" s="75" t="str">
        <f>IF(OR(IPC_Trimestriel!U34="",IPC_Trimestriel!R34="",IPC_Trimestriel!N34=""),"",AVERAGE(IPC_Trimestriel!R34:U34)/AVERAGE(IPC_Trimestriel!N34:Q34)-1)</f>
        <v/>
      </c>
      <c r="R34" s="75" t="str">
        <f>IF(OR(IPC_Trimestriel!V34="",IPC_Trimestriel!S34="",IPC_Trimestriel!O34=""),"",AVERAGE(IPC_Trimestriel!S34:V34)/AVERAGE(IPC_Trimestriel!O34:R34)-1)</f>
        <v/>
      </c>
      <c r="S34" s="75" t="str">
        <f>IF(OR(IPC_Trimestriel!W34="",IPC_Trimestriel!T34="",IPC_Trimestriel!P34=""),"",AVERAGE(IPC_Trimestriel!T34:W34)/AVERAGE(IPC_Trimestriel!P34:S34)-1)</f>
        <v/>
      </c>
      <c r="T34" s="75" t="str">
        <f>IF(OR(IPC_Trimestriel!X34="",IPC_Trimestriel!U34="",IPC_Trimestriel!Q34=""),"",AVERAGE(IPC_Trimestriel!U34:X34)/AVERAGE(IPC_Trimestriel!Q34:T34)-1)</f>
        <v/>
      </c>
      <c r="U34" s="75" t="str">
        <f>IF(OR(IPC_Trimestriel!Y34="",IPC_Trimestriel!V34="",IPC_Trimestriel!R34=""),"",AVERAGE(IPC_Trimestriel!V34:Y34)/AVERAGE(IPC_Trimestriel!R34:U34)-1)</f>
        <v/>
      </c>
      <c r="V34" s="75" t="str">
        <f>IF(OR(IPC_Trimestriel!Z34="",IPC_Trimestriel!W34="",IPC_Trimestriel!S34=""),"",AVERAGE(IPC_Trimestriel!W34:Z34)/AVERAGE(IPC_Trimestriel!S34:V34)-1)</f>
        <v/>
      </c>
      <c r="W34" s="75" t="str">
        <f>IF(OR(IPC_Trimestriel!AA34="",IPC_Trimestriel!X34="",IPC_Trimestriel!T34=""),"",AVERAGE(IPC_Trimestriel!X34:AA34)/AVERAGE(IPC_Trimestriel!T34:W34)-1)</f>
        <v/>
      </c>
      <c r="X34" s="75" t="str">
        <f>IF(OR(IPC_Trimestriel!AB34="",IPC_Trimestriel!Y34="",IPC_Trimestriel!U34=""),"",AVERAGE(IPC_Trimestriel!Y34:AB34)/AVERAGE(IPC_Trimestriel!U34:X34)-1)</f>
        <v/>
      </c>
      <c r="Y34" s="75" t="str">
        <f>IF(OR(IPC_Trimestriel!AC34="",IPC_Trimestriel!Z34="",IPC_Trimestriel!V34=""),"",AVERAGE(IPC_Trimestriel!Z34:AC34)/AVERAGE(IPC_Trimestriel!V34:Y34)-1)</f>
        <v/>
      </c>
      <c r="Z34" s="75" t="str">
        <f>IF(OR(IPC_Trimestriel!AD34="",IPC_Trimestriel!AA34="",IPC_Trimestriel!W34=""),"",AVERAGE(IPC_Trimestriel!AA34:AD34)/AVERAGE(IPC_Trimestriel!W34:Z34)-1)</f>
        <v/>
      </c>
      <c r="AA34" s="75" t="str">
        <f>IF(OR(IPC_Trimestriel!AE34="",IPC_Trimestriel!AB34="",IPC_Trimestriel!X34=""),"",AVERAGE(IPC_Trimestriel!AB34:AE34)/AVERAGE(IPC_Trimestriel!X34:AA34)-1)</f>
        <v/>
      </c>
      <c r="AB34" s="75" t="str">
        <f>IF(OR(IPC_Trimestriel!AF34="",IPC_Trimestriel!AC34="",IPC_Trimestriel!Y34=""),"",AVERAGE(IPC_Trimestriel!AC34:AF34)/AVERAGE(IPC_Trimestriel!Y34:AB34)-1)</f>
        <v/>
      </c>
      <c r="AC34" s="75" t="str">
        <f>IF(OR(IPC_Trimestriel!AG34="",IPC_Trimestriel!AD34="",IPC_Trimestriel!Z34=""),"",AVERAGE(IPC_Trimestriel!AD34:AG34)/AVERAGE(IPC_Trimestriel!Z34:AC34)-1)</f>
        <v/>
      </c>
      <c r="AD34" s="75" t="str">
        <f>IF(OR(IPC_Trimestriel!AH34="",IPC_Trimestriel!AE34="",IPC_Trimestriel!AA34=""),"",AVERAGE(IPC_Trimestriel!AE34:AH34)/AVERAGE(IPC_Trimestriel!AA34:AD34)-1)</f>
        <v/>
      </c>
      <c r="AE34" s="75" t="str">
        <f>IF(OR(IPC_Trimestriel!AI34="",IPC_Trimestriel!AF34="",IPC_Trimestriel!AB34=""),"",AVERAGE(IPC_Trimestriel!AF34:AI34)/AVERAGE(IPC_Trimestriel!AB34:AE34)-1)</f>
        <v/>
      </c>
      <c r="AF34" s="75" t="str">
        <f>IF(OR(IPC_Trimestriel!AJ34="",IPC_Trimestriel!AG34="",IPC_Trimestriel!AC34=""),"",AVERAGE(IPC_Trimestriel!AG34:AJ34)/AVERAGE(IPC_Trimestriel!AC34:AF34)-1)</f>
        <v/>
      </c>
      <c r="AG34" s="75" t="str">
        <f>IF(OR(IPC_Trimestriel!AK34="",IPC_Trimestriel!AH34="",IPC_Trimestriel!AD34=""),"",AVERAGE(IPC_Trimestriel!AH34:AK34)/AVERAGE(IPC_Trimestriel!AD34:AG34)-1)</f>
        <v/>
      </c>
      <c r="AH34" s="75" t="str">
        <f>IF(OR(IPC_Trimestriel!AL34="",IPC_Trimestriel!AI34="",IPC_Trimestriel!AE34=""),"",AVERAGE(IPC_Trimestriel!AI34:AL34)/AVERAGE(IPC_Trimestriel!AE34:AH34)-1)</f>
        <v/>
      </c>
      <c r="AI34" s="75" t="str">
        <f>IF(OR(IPC_Trimestriel!AM34="",IPC_Trimestriel!AJ34="",IPC_Trimestriel!AF34=""),"",AVERAGE(IPC_Trimestriel!AJ34:AM34)/AVERAGE(IPC_Trimestriel!AF34:AI34)-1)</f>
        <v/>
      </c>
      <c r="AJ34" s="75" t="str">
        <f>IF(OR(IPC_Trimestriel!AN34="",IPC_Trimestriel!AK34="",IPC_Trimestriel!AG34=""),"",AVERAGE(IPC_Trimestriel!AK34:AN34)/AVERAGE(IPC_Trimestriel!AG34:AJ34)-1)</f>
        <v/>
      </c>
      <c r="AK34" s="75" t="str">
        <f>IF(OR(IPC_Trimestriel!AO34="",IPC_Trimestriel!AL34="",IPC_Trimestriel!AH34=""),"",AVERAGE(IPC_Trimestriel!AL34:AO34)/AVERAGE(IPC_Trimestriel!AH34:AK34)-1)</f>
        <v/>
      </c>
      <c r="AL34" s="75" t="str">
        <f>IF(OR(IPC_Trimestriel!AP34="",IPC_Trimestriel!AM34="",IPC_Trimestriel!AI34=""),"",AVERAGE(IPC_Trimestriel!AM34:AP34)/AVERAGE(IPC_Trimestriel!AI34:AL34)-1)</f>
        <v/>
      </c>
      <c r="AM34" s="75" t="str">
        <f>IF(OR(IPC_Trimestriel!AQ34="",IPC_Trimestriel!AN34="",IPC_Trimestriel!AJ34=""),"",AVERAGE(IPC_Trimestriel!AN34:AQ34)/AVERAGE(IPC_Trimestriel!AJ34:AM34)-1)</f>
        <v/>
      </c>
      <c r="AN34" s="75" t="str">
        <f>IF(OR(IPC_Trimestriel!AR34="",IPC_Trimestriel!AO34="",IPC_Trimestriel!AK34=""),"",AVERAGE(IPC_Trimestriel!AO34:AR34)/AVERAGE(IPC_Trimestriel!AK34:AN34)-1)</f>
        <v/>
      </c>
      <c r="AO34" s="75" t="str">
        <f>IF(OR(IPC_Trimestriel!AS34="",IPC_Trimestriel!AP34="",IPC_Trimestriel!AL34=""),"",AVERAGE(IPC_Trimestriel!AP34:AS34)/AVERAGE(IPC_Trimestriel!AL34:AO34)-1)</f>
        <v/>
      </c>
      <c r="AP34" s="75" t="str">
        <f>IF(OR(IPC_Trimestriel!AT34="",IPC_Trimestriel!AQ34="",IPC_Trimestriel!AM34=""),"",AVERAGE(IPC_Trimestriel!AQ34:AT34)/AVERAGE(IPC_Trimestriel!AM34:AP34)-1)</f>
        <v/>
      </c>
      <c r="AQ34" s="75" t="str">
        <f>IF(OR(IPC_Trimestriel!AU34="",IPC_Trimestriel!AR34="",IPC_Trimestriel!AN34=""),"",AVERAGE(IPC_Trimestriel!AR34:AU34)/AVERAGE(IPC_Trimestriel!AN34:AQ34)-1)</f>
        <v/>
      </c>
      <c r="AR34" s="75" t="str">
        <f>IF(OR(IPC_Trimestriel!AV34="",IPC_Trimestriel!AS34="",IPC_Trimestriel!AO34=""),"",AVERAGE(IPC_Trimestriel!AS34:AV34)/AVERAGE(IPC_Trimestriel!AO34:AR34)-1)</f>
        <v/>
      </c>
      <c r="AS34" s="75" t="str">
        <f>IF(OR(IPC_Trimestriel!AW34="",IPC_Trimestriel!AT34="",IPC_Trimestriel!AP34=""),"",AVERAGE(IPC_Trimestriel!AT34:AW34)/AVERAGE(IPC_Trimestriel!AP34:AS34)-1)</f>
        <v/>
      </c>
      <c r="AT34" s="75" t="str">
        <f>IF(OR(IPC_Trimestriel!AX34="",IPC_Trimestriel!AU34="",IPC_Trimestriel!AQ34=""),"",AVERAGE(IPC_Trimestriel!AU34:AX34)/AVERAGE(IPC_Trimestriel!AQ34:AT34)-1)</f>
        <v/>
      </c>
      <c r="AU34" s="75" t="str">
        <f>IF(OR(IPC_Trimestriel!AY34="",IPC_Trimestriel!AV34="",IPC_Trimestriel!AR34=""),"",AVERAGE(IPC_Trimestriel!AV34:AY34)/AVERAGE(IPC_Trimestriel!AR34:AU34)-1)</f>
        <v/>
      </c>
      <c r="AV34" s="75" t="str">
        <f>IF(OR(IPC_Trimestriel!AZ34="",IPC_Trimestriel!AW34="",IPC_Trimestriel!AS34=""),"",AVERAGE(IPC_Trimestriel!AW34:AZ34)/AVERAGE(IPC_Trimestriel!AS34:AV34)-1)</f>
        <v/>
      </c>
      <c r="AW34" s="75" t="str">
        <f>IF(OR(IPC_Trimestriel!BA34="",IPC_Trimestriel!AX34="",IPC_Trimestriel!AT34=""),"",AVERAGE(IPC_Trimestriel!AX34:BA34)/AVERAGE(IPC_Trimestriel!AT34:AW34)-1)</f>
        <v/>
      </c>
      <c r="AX34" s="75" t="str">
        <f>IF(OR(IPC_Trimestriel!BB34="",IPC_Trimestriel!AY34="",IPC_Trimestriel!AU34=""),"",AVERAGE(IPC_Trimestriel!AY34:BB34)/AVERAGE(IPC_Trimestriel!AU34:AX34)-1)</f>
        <v/>
      </c>
      <c r="AY34" s="75" t="str">
        <f>IF(OR(IPC_Trimestriel!BC34="",IPC_Trimestriel!AZ34="",IPC_Trimestriel!AV34=""),"",AVERAGE(IPC_Trimestriel!AZ34:BC34)/AVERAGE(IPC_Trimestriel!AV34:AY34)-1)</f>
        <v/>
      </c>
      <c r="AZ34" s="75" t="str">
        <f>IF(OR(IPC_Trimestriel!BD34="",IPC_Trimestriel!BA34="",IPC_Trimestriel!AW34=""),"",AVERAGE(IPC_Trimestriel!BA34:BD34)/AVERAGE(IPC_Trimestriel!AW34:AZ34)-1)</f>
        <v/>
      </c>
      <c r="BA34" s="75" t="str">
        <f>IF(OR(IPC_Trimestriel!BE34="",IPC_Trimestriel!BB34="",IPC_Trimestriel!AX34=""),"",AVERAGE(IPC_Trimestriel!BB34:BE34)/AVERAGE(IPC_Trimestriel!AX34:BA34)-1)</f>
        <v/>
      </c>
      <c r="BB34" s="75" t="str">
        <f>IF(OR(IPC_Trimestriel!BF34="",IPC_Trimestriel!BC34="",IPC_Trimestriel!AY34=""),"",AVERAGE(IPC_Trimestriel!BC34:BF34)/AVERAGE(IPC_Trimestriel!AY34:BB34)-1)</f>
        <v/>
      </c>
      <c r="BC34" s="75">
        <f>IF(OR(IPC_Trimestriel!BG34="",IPC_Trimestriel!BD34="",IPC_Trimestriel!AZ34=""),"",AVERAGE(IPC_Trimestriel!BD34:BG34)/AVERAGE(IPC_Trimestriel!AZ34:BC34)-1)</f>
        <v>2.4927051888718799E-2</v>
      </c>
      <c r="BD34" s="75">
        <f>IF(OR(IPC_Trimestriel!BH34="",IPC_Trimestriel!BE34="",IPC_Trimestriel!BA34=""),"",AVERAGE(IPC_Trimestriel!BE34:BH34)/AVERAGE(IPC_Trimestriel!BA34:BD34)-1)</f>
        <v>2.0807499577130573E-2</v>
      </c>
      <c r="BE34" s="75">
        <f>IF(OR(IPC_Trimestriel!BI34="",IPC_Trimestriel!BF34="",IPC_Trimestriel!BB34=""),"",AVERAGE(IPC_Trimestriel!BF34:BI34)/AVERAGE(IPC_Trimestriel!BB34:BE34)-1)</f>
        <v>1.8336234515561989E-2</v>
      </c>
      <c r="BF34" s="75">
        <f>IF(OR(IPC_Trimestriel!BJ34="",IPC_Trimestriel!BG34="",IPC_Trimestriel!BC34=""),"",AVERAGE(IPC_Trimestriel!BG34:BJ34)/AVERAGE(IPC_Trimestriel!BC34:BF34)-1)</f>
        <v>1.6761513936273342E-2</v>
      </c>
      <c r="BG34" s="75">
        <f>IF(OR(IPC_Trimestriel!BK34="",IPC_Trimestriel!BH34="",IPC_Trimestriel!BD34=""),"",AVERAGE(IPC_Trimestriel!BH34:BK34)/AVERAGE(IPC_Trimestriel!BD34:BG34)-1)</f>
        <v>1.2665595940539731E-2</v>
      </c>
      <c r="BH34" s="75">
        <f>IF(OR(IPC_Trimestriel!BL34="",IPC_Trimestriel!BI34="",IPC_Trimestriel!BE34=""),"",AVERAGE(IPC_Trimestriel!BI34:BL34)/AVERAGE(IPC_Trimestriel!BE34:BH34)-1)</f>
        <v>1.3543776302602728E-2</v>
      </c>
      <c r="BI34" s="75">
        <f>IF(OR(IPC_Trimestriel!BM34="",IPC_Trimestriel!BJ34="",IPC_Trimestriel!BF34=""),"",AVERAGE(IPC_Trimestriel!BJ34:BM34)/AVERAGE(IPC_Trimestriel!BF34:BI34)-1)</f>
        <v>2.023176286802375E-2</v>
      </c>
      <c r="BJ34" s="75">
        <f>IF(OR(IPC_Trimestriel!BN34="",IPC_Trimestriel!BK34="",IPC_Trimestriel!BG34=""),"",AVERAGE(IPC_Trimestriel!BK34:BN34)/AVERAGE(IPC_Trimestriel!BG34:BJ34)-1)</f>
        <v>2.3398828039439712E-2</v>
      </c>
      <c r="BK34" s="75">
        <f>IF(OR(IPC_Trimestriel!BO34="",IPC_Trimestriel!BL34="",IPC_Trimestriel!BH34=""),"",AVERAGE(IPC_Trimestriel!BL34:BO34)/AVERAGE(IPC_Trimestriel!BH34:BK34)-1)</f>
        <v>2.5855748306455428E-2</v>
      </c>
      <c r="BL34" s="75">
        <f>IF(OR(IPC_Trimestriel!BP34="",IPC_Trimestriel!BM34="",IPC_Trimestriel!BI34=""),"",AVERAGE(IPC_Trimestriel!BM34:BP34)/AVERAGE(IPC_Trimestriel!BI34:BL34)-1)</f>
        <v>2.5521196162079818E-2</v>
      </c>
      <c r="BM34" s="75">
        <f>IF(OR(IPC_Trimestriel!BQ34="",IPC_Trimestriel!BN34="",IPC_Trimestriel!BJ34=""),"",AVERAGE(IPC_Trimestriel!BN34:BQ34)/AVERAGE(IPC_Trimestriel!BJ34:BM34)-1)</f>
        <v>1.9744046502352619E-2</v>
      </c>
      <c r="BN34" s="75">
        <f>IF(OR(IPC_Trimestriel!BR34="",IPC_Trimestriel!BO34="",IPC_Trimestriel!BK34=""),"",AVERAGE(IPC_Trimestriel!BO34:BR34)/AVERAGE(IPC_Trimestriel!BK34:BN34)-1)</f>
        <v>1.426724879432717E-2</v>
      </c>
      <c r="BO34" s="75">
        <f>IF(OR(IPC_Trimestriel!BS34="",IPC_Trimestriel!BP34="",IPC_Trimestriel!BL34=""),"",AVERAGE(IPC_Trimestriel!BP34:BS34)/AVERAGE(IPC_Trimestriel!BL34:BO34)-1)</f>
        <v>8.8222133913775647E-3</v>
      </c>
      <c r="BP34" s="75">
        <f>IF(OR(IPC_Trimestriel!BT34="",IPC_Trimestriel!BQ34="",IPC_Trimestriel!BM34=""),"",AVERAGE(IPC_Trimestriel!BQ34:BT34)/AVERAGE(IPC_Trimestriel!BM34:BP34)-1)</f>
        <v>4.1401277627455269E-3</v>
      </c>
      <c r="BQ34" s="75">
        <f>IF(OR(IPC_Trimestriel!BU34="",IPC_Trimestriel!BR34="",IPC_Trimestriel!BN34=""),"",AVERAGE(IPC_Trimestriel!BR34:BU34)/AVERAGE(IPC_Trimestriel!BN34:BQ34)-1)</f>
        <v>7.7050345441986856E-4</v>
      </c>
      <c r="BR34" s="75">
        <f>IF(OR(IPC_Trimestriel!BV34="",IPC_Trimestriel!BS34="",IPC_Trimestriel!BO34=""),"",AVERAGE(IPC_Trimestriel!BS34:BV34)/AVERAGE(IPC_Trimestriel!BO34:BR34)-1)</f>
        <v>1.5674997541381686E-4</v>
      </c>
      <c r="BS34" s="75">
        <f>IF(OR(IPC_Trimestriel!BW34="",IPC_Trimestriel!BT34="",IPC_Trimestriel!BP34=""),"",AVERAGE(IPC_Trimestriel!BT34:BW34)/AVERAGE(IPC_Trimestriel!BP34:BS34)-1)</f>
        <v>2.9757021305205633E-3</v>
      </c>
      <c r="BT34" s="75">
        <f>IF(OR(IPC_Trimestriel!BX34="",IPC_Trimestriel!BU34="",IPC_Trimestriel!BQ34=""),"",AVERAGE(IPC_Trimestriel!BU34:BX34)/AVERAGE(IPC_Trimestriel!BQ34:BT34)-1)</f>
        <v>6.341273392210578E-3</v>
      </c>
      <c r="BU34" s="75">
        <f>IF(OR(IPC_Trimestriel!BY34="",IPC_Trimestriel!BV34="",IPC_Trimestriel!BR34=""),"",AVERAGE(IPC_Trimestriel!BV34:BY34)/AVERAGE(IPC_Trimestriel!BR34:BU34)-1)</f>
        <v>8.334869080532048E-3</v>
      </c>
      <c r="BV34" s="75">
        <f>IF(OR(IPC_Trimestriel!BZ34="",IPC_Trimestriel!BW34="",IPC_Trimestriel!BS34=""),"",AVERAGE(IPC_Trimestriel!BW34:BZ34)/AVERAGE(IPC_Trimestriel!BS34:BV34)-1)</f>
        <v>7.5665227357408771E-3</v>
      </c>
      <c r="BW34" s="75">
        <f>IF(OR(IPC_Trimestriel!CA34="",IPC_Trimestriel!BX34="",IPC_Trimestriel!BT34=""),"",AVERAGE(IPC_Trimestriel!BX34:CA34)/AVERAGE(IPC_Trimestriel!BT34:BW34)-1)</f>
        <v>8.2448742863099334E-3</v>
      </c>
      <c r="BX34" s="75">
        <f>IF(OR(IPC_Trimestriel!CB34="",IPC_Trimestriel!BY34="",IPC_Trimestriel!BU34=""),"",AVERAGE(IPC_Trimestriel!BY34:CB34)/AVERAGE(IPC_Trimestriel!BU34:BX34)-1)</f>
        <v>1.0313156184383665E-2</v>
      </c>
      <c r="BY34" s="75">
        <f>IF(OR(IPC_Trimestriel!CC34="",IPC_Trimestriel!BZ34="",IPC_Trimestriel!BV34=""),"",AVERAGE(IPC_Trimestriel!BZ34:CC34)/AVERAGE(IPC_Trimestriel!BV34:BY34)-1)</f>
        <v>1.4615666970517971E-2</v>
      </c>
      <c r="BZ34" s="75">
        <f>IF(OR(IPC_Trimestriel!CD34="",IPC_Trimestriel!CA34="",IPC_Trimestriel!BW34=""),"",AVERAGE(IPC_Trimestriel!CA34:CD34)/AVERAGE(IPC_Trimestriel!BW34:BZ34)-1)</f>
        <v>2.2493496105410404E-2</v>
      </c>
      <c r="CA34" s="75">
        <f>IF(OR(IPC_Trimestriel!CE34="",IPC_Trimestriel!CB34="",IPC_Trimestriel!BX34=""),"",AVERAGE(IPC_Trimestriel!CB34:CE34)/AVERAGE(IPC_Trimestriel!BX34:CA34)-1)</f>
        <v>2.684879915631444E-2</v>
      </c>
      <c r="CB34" s="75">
        <f>IF(OR(IPC_Trimestriel!CF34="",IPC_Trimestriel!CC34="",IPC_Trimestriel!BY34=""),"",AVERAGE(IPC_Trimestriel!CC34:CF34)/AVERAGE(IPC_Trimestriel!BY34:CB34)-1)</f>
        <v>3.1152567357571659E-2</v>
      </c>
      <c r="CC34" s="75">
        <f>IF(OR(IPC_Trimestriel!CG34="",IPC_Trimestriel!CD34="",IPC_Trimestriel!BZ34=""),"",AVERAGE(IPC_Trimestriel!CD34:CG34)/AVERAGE(IPC_Trimestriel!BZ34:CC34)-1)</f>
        <v>3.277759190281726E-2</v>
      </c>
      <c r="CD34" s="75">
        <f>IF(OR(IPC_Trimestriel!CH34="",IPC_Trimestriel!CE34="",IPC_Trimestriel!CA34=""),"",AVERAGE(IPC_Trimestriel!CE34:CH34)/AVERAGE(IPC_Trimestriel!CA34:CD34)-1)</f>
        <v>3.377345487172545E-2</v>
      </c>
      <c r="CE34" s="75">
        <f>IF(OR(IPC_Trimestriel!CI34="",IPC_Trimestriel!CF34="",IPC_Trimestriel!CB34=""),"",AVERAGE(IPC_Trimestriel!CF34:CI34)/AVERAGE(IPC_Trimestriel!CB34:CE34)-1)</f>
        <v>3.3838495640836852E-2</v>
      </c>
      <c r="CF34" s="75">
        <f>IF(OR(IPC_Trimestriel!CJ34="",IPC_Trimestriel!CG34="",IPC_Trimestriel!CC34=""),"",AVERAGE(IPC_Trimestriel!CG34:CJ34)/AVERAGE(IPC_Trimestriel!CC34:CF34)-1)</f>
        <v>3.0503338220388754E-2</v>
      </c>
      <c r="CG34" s="75">
        <f>IF(OR(IPC_Trimestriel!CK34="",IPC_Trimestriel!CH34="",IPC_Trimestriel!CD34=""),"",AVERAGE(IPC_Trimestriel!CH34:CK34)/AVERAGE(IPC_Trimestriel!CD34:CG34)-1)</f>
        <v>3.1403681698265018E-2</v>
      </c>
      <c r="CH34" s="75">
        <f>IF(OR(IPC_Trimestriel!CL34="",IPC_Trimestriel!CI34="",IPC_Trimestriel!CE34=""),"",AVERAGE(IPC_Trimestriel!CI34:CL34)/AVERAGE(IPC_Trimestriel!CE34:CH34)-1)</f>
        <v>3.1385467595804073E-2</v>
      </c>
      <c r="CI34" s="75">
        <f>IF(OR(IPC_Trimestriel!CM34="",IPC_Trimestriel!CJ34="",IPC_Trimestriel!CF34=""),"",AVERAGE(IPC_Trimestriel!CJ34:CM34)/AVERAGE(IPC_Trimestriel!CF34:CI34)-1)</f>
        <v>3.4005529004887958E-2</v>
      </c>
      <c r="CJ34" s="75">
        <f>IF(OR(IPC_Trimestriel!CN34="",IPC_Trimestriel!CK34="",IPC_Trimestriel!CG34=""),"",AVERAGE(IPC_Trimestriel!CK34:CN34)/AVERAGE(IPC_Trimestriel!CG34:CJ34)-1)</f>
        <v>4.5761183796533267E-2</v>
      </c>
      <c r="CK34" s="75">
        <f>IF(OR(IPC_Trimestriel!CO34="",IPC_Trimestriel!CL34="",IPC_Trimestriel!CH34=""),"",AVERAGE(IPC_Trimestriel!CL34:CO34)/AVERAGE(IPC_Trimestriel!CH34:CK34)-1)</f>
        <v>5.9316783157067787E-2</v>
      </c>
      <c r="CL34" s="75">
        <f>IF(OR(IPC_Trimestriel!CP34="",IPC_Trimestriel!CM34="",IPC_Trimestriel!CI34=""),"",AVERAGE(IPC_Trimestriel!CM34:CP34)/AVERAGE(IPC_Trimestriel!CI34:CL34)-1)</f>
        <v>7.6428438806711796E-2</v>
      </c>
      <c r="CM34" s="75">
        <f>IF(OR(IPC_Trimestriel!CQ34="",IPC_Trimestriel!CN34="",IPC_Trimestriel!CJ34=""),"",AVERAGE(IPC_Trimestriel!CN34:CQ34)/AVERAGE(IPC_Trimestriel!CJ34:CM34)-1)</f>
        <v>9.5721853828112158E-2</v>
      </c>
      <c r="CN34" s="75" t="str">
        <f>IF(OR(IPC_Trimestriel!CR34="",IPC_Trimestriel!CO34="",IPC_Trimestriel!CK34=""),"",AVERAGE(IPC_Trimestriel!CO34:CR34)/AVERAGE(IPC_Trimestriel!CK34:CN34)-1)</f>
        <v/>
      </c>
      <c r="CO34" s="75" t="str">
        <f>IF(OR(IPC_Trimestriel!CS34="",IPC_Trimestriel!CP34="",IPC_Trimestriel!CL34=""),"",AVERAGE(IPC_Trimestriel!CP34:CS34)/AVERAGE(IPC_Trimestriel!CL34:CO34)-1)</f>
        <v/>
      </c>
      <c r="CP34" s="75" t="str">
        <f>IF(OR(IPC_Trimestriel!CT34="",IPC_Trimestriel!CQ34="",IPC_Trimestriel!CM34=""),"",AVERAGE(IPC_Trimestriel!CQ34:CT34)/AVERAGE(IPC_Trimestriel!CM34:CP34)-1)</f>
        <v/>
      </c>
    </row>
    <row r="35" spans="1:94" s="74" customFormat="1" ht="10.199999999999999" x14ac:dyDescent="0.2">
      <c r="B35" s="3" t="s">
        <v>113</v>
      </c>
      <c r="D35" s="75"/>
      <c r="E35" s="75"/>
      <c r="F35" s="75"/>
      <c r="G35" s="75" t="str">
        <f>IF(OR(IPC_Trimestriel!K35="",IPC_Trimestriel!H35="",IPC_Trimestriel!D35=""),"",AVERAGE(IPC_Trimestriel!H35:K35)/AVERAGE(IPC_Trimestriel!D35:G35)-1)</f>
        <v/>
      </c>
      <c r="H35" s="75" t="str">
        <f>IF(OR(IPC_Trimestriel!L35="",IPC_Trimestriel!I35="",IPC_Trimestriel!E35=""),"",AVERAGE(IPC_Trimestriel!I35:L35)/AVERAGE(IPC_Trimestriel!E35:H35)-1)</f>
        <v/>
      </c>
      <c r="I35" s="75" t="str">
        <f>IF(OR(IPC_Trimestriel!M35="",IPC_Trimestriel!J35="",IPC_Trimestriel!F35=""),"",AVERAGE(IPC_Trimestriel!J35:M35)/AVERAGE(IPC_Trimestriel!F35:I35)-1)</f>
        <v/>
      </c>
      <c r="J35" s="75" t="str">
        <f>IF(OR(IPC_Trimestriel!N35="",IPC_Trimestriel!K35="",IPC_Trimestriel!G35=""),"",AVERAGE(IPC_Trimestriel!K35:N35)/AVERAGE(IPC_Trimestriel!G35:J35)-1)</f>
        <v/>
      </c>
      <c r="K35" s="75" t="str">
        <f>IF(OR(IPC_Trimestriel!O35="",IPC_Trimestriel!L35="",IPC_Trimestriel!H35=""),"",AVERAGE(IPC_Trimestriel!L35:O35)/AVERAGE(IPC_Trimestriel!H35:K35)-1)</f>
        <v/>
      </c>
      <c r="L35" s="75" t="str">
        <f>IF(OR(IPC_Trimestriel!P35="",IPC_Trimestriel!M35="",IPC_Trimestriel!I35=""),"",AVERAGE(IPC_Trimestriel!M35:P35)/AVERAGE(IPC_Trimestriel!I35:L35)-1)</f>
        <v/>
      </c>
      <c r="M35" s="75" t="str">
        <f>IF(OR(IPC_Trimestriel!Q35="",IPC_Trimestriel!N35="",IPC_Trimestriel!J35=""),"",AVERAGE(IPC_Trimestriel!N35:Q35)/AVERAGE(IPC_Trimestriel!J35:M35)-1)</f>
        <v/>
      </c>
      <c r="N35" s="75" t="str">
        <f>IF(OR(IPC_Trimestriel!R35="",IPC_Trimestriel!O35="",IPC_Trimestriel!K35=""),"",AVERAGE(IPC_Trimestriel!O35:R35)/AVERAGE(IPC_Trimestriel!K35:N35)-1)</f>
        <v/>
      </c>
      <c r="O35" s="75" t="str">
        <f>IF(OR(IPC_Trimestriel!S35="",IPC_Trimestriel!P35="",IPC_Trimestriel!L35=""),"",AVERAGE(IPC_Trimestriel!P35:S35)/AVERAGE(IPC_Trimestriel!L35:O35)-1)</f>
        <v/>
      </c>
      <c r="P35" s="75" t="str">
        <f>IF(OR(IPC_Trimestriel!T35="",IPC_Trimestriel!Q35="",IPC_Trimestriel!M35=""),"",AVERAGE(IPC_Trimestriel!Q35:T35)/AVERAGE(IPC_Trimestriel!M35:P35)-1)</f>
        <v/>
      </c>
      <c r="Q35" s="75" t="str">
        <f>IF(OR(IPC_Trimestriel!U35="",IPC_Trimestriel!R35="",IPC_Trimestriel!N35=""),"",AVERAGE(IPC_Trimestriel!R35:U35)/AVERAGE(IPC_Trimestriel!N35:Q35)-1)</f>
        <v/>
      </c>
      <c r="R35" s="75" t="str">
        <f>IF(OR(IPC_Trimestriel!V35="",IPC_Trimestriel!S35="",IPC_Trimestriel!O35=""),"",AVERAGE(IPC_Trimestriel!S35:V35)/AVERAGE(IPC_Trimestriel!O35:R35)-1)</f>
        <v/>
      </c>
      <c r="S35" s="75" t="str">
        <f>IF(OR(IPC_Trimestriel!W35="",IPC_Trimestriel!T35="",IPC_Trimestriel!P35=""),"",AVERAGE(IPC_Trimestriel!T35:W35)/AVERAGE(IPC_Trimestriel!P35:S35)-1)</f>
        <v/>
      </c>
      <c r="T35" s="75" t="str">
        <f>IF(OR(IPC_Trimestriel!X35="",IPC_Trimestriel!U35="",IPC_Trimestriel!Q35=""),"",AVERAGE(IPC_Trimestriel!U35:X35)/AVERAGE(IPC_Trimestriel!Q35:T35)-1)</f>
        <v/>
      </c>
      <c r="U35" s="75" t="str">
        <f>IF(OR(IPC_Trimestriel!Y35="",IPC_Trimestriel!V35="",IPC_Trimestriel!R35=""),"",AVERAGE(IPC_Trimestriel!V35:Y35)/AVERAGE(IPC_Trimestriel!R35:U35)-1)</f>
        <v/>
      </c>
      <c r="V35" s="75" t="str">
        <f>IF(OR(IPC_Trimestriel!Z35="",IPC_Trimestriel!W35="",IPC_Trimestriel!S35=""),"",AVERAGE(IPC_Trimestriel!W35:Z35)/AVERAGE(IPC_Trimestriel!S35:V35)-1)</f>
        <v/>
      </c>
      <c r="W35" s="75" t="str">
        <f>IF(OR(IPC_Trimestriel!AA35="",IPC_Trimestriel!X35="",IPC_Trimestriel!T35=""),"",AVERAGE(IPC_Trimestriel!X35:AA35)/AVERAGE(IPC_Trimestriel!T35:W35)-1)</f>
        <v/>
      </c>
      <c r="X35" s="75" t="str">
        <f>IF(OR(IPC_Trimestriel!AB35="",IPC_Trimestriel!Y35="",IPC_Trimestriel!U35=""),"",AVERAGE(IPC_Trimestriel!Y35:AB35)/AVERAGE(IPC_Trimestriel!U35:X35)-1)</f>
        <v/>
      </c>
      <c r="Y35" s="75" t="str">
        <f>IF(OR(IPC_Trimestriel!AC35="",IPC_Trimestriel!Z35="",IPC_Trimestriel!V35=""),"",AVERAGE(IPC_Trimestriel!Z35:AC35)/AVERAGE(IPC_Trimestriel!V35:Y35)-1)</f>
        <v/>
      </c>
      <c r="Z35" s="75" t="str">
        <f>IF(OR(IPC_Trimestriel!AD35="",IPC_Trimestriel!AA35="",IPC_Trimestriel!W35=""),"",AVERAGE(IPC_Trimestriel!AA35:AD35)/AVERAGE(IPC_Trimestriel!W35:Z35)-1)</f>
        <v/>
      </c>
      <c r="AA35" s="75" t="str">
        <f>IF(OR(IPC_Trimestriel!AE35="",IPC_Trimestriel!AB35="",IPC_Trimestriel!X35=""),"",AVERAGE(IPC_Trimestriel!AB35:AE35)/AVERAGE(IPC_Trimestriel!X35:AA35)-1)</f>
        <v/>
      </c>
      <c r="AB35" s="75" t="str">
        <f>IF(OR(IPC_Trimestriel!AF35="",IPC_Trimestriel!AC35="",IPC_Trimestriel!Y35=""),"",AVERAGE(IPC_Trimestriel!AC35:AF35)/AVERAGE(IPC_Trimestriel!Y35:AB35)-1)</f>
        <v/>
      </c>
      <c r="AC35" s="75" t="str">
        <f>IF(OR(IPC_Trimestriel!AG35="",IPC_Trimestriel!AD35="",IPC_Trimestriel!Z35=""),"",AVERAGE(IPC_Trimestriel!AD35:AG35)/AVERAGE(IPC_Trimestriel!Z35:AC35)-1)</f>
        <v/>
      </c>
      <c r="AD35" s="75" t="str">
        <f>IF(OR(IPC_Trimestriel!AH35="",IPC_Trimestriel!AE35="",IPC_Trimestriel!AA35=""),"",AVERAGE(IPC_Trimestriel!AE35:AH35)/AVERAGE(IPC_Trimestriel!AA35:AD35)-1)</f>
        <v/>
      </c>
      <c r="AE35" s="75" t="str">
        <f>IF(OR(IPC_Trimestriel!AI35="",IPC_Trimestriel!AF35="",IPC_Trimestriel!AB35=""),"",AVERAGE(IPC_Trimestriel!AF35:AI35)/AVERAGE(IPC_Trimestriel!AB35:AE35)-1)</f>
        <v/>
      </c>
      <c r="AF35" s="75" t="str">
        <f>IF(OR(IPC_Trimestriel!AJ35="",IPC_Trimestriel!AG35="",IPC_Trimestriel!AC35=""),"",AVERAGE(IPC_Trimestriel!AG35:AJ35)/AVERAGE(IPC_Trimestriel!AC35:AF35)-1)</f>
        <v/>
      </c>
      <c r="AG35" s="75" t="str">
        <f>IF(OR(IPC_Trimestriel!AK35="",IPC_Trimestriel!AH35="",IPC_Trimestriel!AD35=""),"",AVERAGE(IPC_Trimestriel!AH35:AK35)/AVERAGE(IPC_Trimestriel!AD35:AG35)-1)</f>
        <v/>
      </c>
      <c r="AH35" s="75" t="str">
        <f>IF(OR(IPC_Trimestriel!AL35="",IPC_Trimestriel!AI35="",IPC_Trimestriel!AE35=""),"",AVERAGE(IPC_Trimestriel!AI35:AL35)/AVERAGE(IPC_Trimestriel!AE35:AH35)-1)</f>
        <v/>
      </c>
      <c r="AI35" s="75" t="str">
        <f>IF(OR(IPC_Trimestriel!AM35="",IPC_Trimestriel!AJ35="",IPC_Trimestriel!AF35=""),"",AVERAGE(IPC_Trimestriel!AJ35:AM35)/AVERAGE(IPC_Trimestriel!AF35:AI35)-1)</f>
        <v/>
      </c>
      <c r="AJ35" s="75" t="str">
        <f>IF(OR(IPC_Trimestriel!AN35="",IPC_Trimestriel!AK35="",IPC_Trimestriel!AG35=""),"",AVERAGE(IPC_Trimestriel!AK35:AN35)/AVERAGE(IPC_Trimestriel!AG35:AJ35)-1)</f>
        <v/>
      </c>
      <c r="AK35" s="75" t="str">
        <f>IF(OR(IPC_Trimestriel!AO35="",IPC_Trimestriel!AL35="",IPC_Trimestriel!AH35=""),"",AVERAGE(IPC_Trimestriel!AL35:AO35)/AVERAGE(IPC_Trimestriel!AH35:AK35)-1)</f>
        <v/>
      </c>
      <c r="AL35" s="75" t="str">
        <f>IF(OR(IPC_Trimestriel!AP35="",IPC_Trimestriel!AM35="",IPC_Trimestriel!AI35=""),"",AVERAGE(IPC_Trimestriel!AM35:AP35)/AVERAGE(IPC_Trimestriel!AI35:AL35)-1)</f>
        <v/>
      </c>
      <c r="AM35" s="75" t="str">
        <f>IF(OR(IPC_Trimestriel!AQ35="",IPC_Trimestriel!AN35="",IPC_Trimestriel!AJ35=""),"",AVERAGE(IPC_Trimestriel!AN35:AQ35)/AVERAGE(IPC_Trimestriel!AJ35:AM35)-1)</f>
        <v/>
      </c>
      <c r="AN35" s="75" t="str">
        <f>IF(OR(IPC_Trimestriel!AR35="",IPC_Trimestriel!AO35="",IPC_Trimestriel!AK35=""),"",AVERAGE(IPC_Trimestriel!AO35:AR35)/AVERAGE(IPC_Trimestriel!AK35:AN35)-1)</f>
        <v/>
      </c>
      <c r="AO35" s="75" t="str">
        <f>IF(OR(IPC_Trimestriel!AS35="",IPC_Trimestriel!AP35="",IPC_Trimestriel!AL35=""),"",AVERAGE(IPC_Trimestriel!AP35:AS35)/AVERAGE(IPC_Trimestriel!AL35:AO35)-1)</f>
        <v/>
      </c>
      <c r="AP35" s="75" t="str">
        <f>IF(OR(IPC_Trimestriel!AT35="",IPC_Trimestriel!AQ35="",IPC_Trimestriel!AM35=""),"",AVERAGE(IPC_Trimestriel!AQ35:AT35)/AVERAGE(IPC_Trimestriel!AM35:AP35)-1)</f>
        <v/>
      </c>
      <c r="AQ35" s="75" t="str">
        <f>IF(OR(IPC_Trimestriel!AU35="",IPC_Trimestriel!AR35="",IPC_Trimestriel!AN35=""),"",AVERAGE(IPC_Trimestriel!AR35:AU35)/AVERAGE(IPC_Trimestriel!AN35:AQ35)-1)</f>
        <v/>
      </c>
      <c r="AR35" s="75" t="str">
        <f>IF(OR(IPC_Trimestriel!AV35="",IPC_Trimestriel!AS35="",IPC_Trimestriel!AO35=""),"",AVERAGE(IPC_Trimestriel!AS35:AV35)/AVERAGE(IPC_Trimestriel!AO35:AR35)-1)</f>
        <v/>
      </c>
      <c r="AS35" s="75" t="str">
        <f>IF(OR(IPC_Trimestriel!AW35="",IPC_Trimestriel!AT35="",IPC_Trimestriel!AP35=""),"",AVERAGE(IPC_Trimestriel!AT35:AW35)/AVERAGE(IPC_Trimestriel!AP35:AS35)-1)</f>
        <v/>
      </c>
      <c r="AT35" s="75" t="str">
        <f>IF(OR(IPC_Trimestriel!AX35="",IPC_Trimestriel!AU35="",IPC_Trimestriel!AQ35=""),"",AVERAGE(IPC_Trimestriel!AU35:AX35)/AVERAGE(IPC_Trimestriel!AQ35:AT35)-1)</f>
        <v/>
      </c>
      <c r="AU35" s="75" t="str">
        <f>IF(OR(IPC_Trimestriel!AY35="",IPC_Trimestriel!AV35="",IPC_Trimestriel!AR35=""),"",AVERAGE(IPC_Trimestriel!AV35:AY35)/AVERAGE(IPC_Trimestriel!AR35:AU35)-1)</f>
        <v/>
      </c>
      <c r="AV35" s="75" t="str">
        <f>IF(OR(IPC_Trimestriel!AZ35="",IPC_Trimestriel!AW35="",IPC_Trimestriel!AS35=""),"",AVERAGE(IPC_Trimestriel!AW35:AZ35)/AVERAGE(IPC_Trimestriel!AS35:AV35)-1)</f>
        <v/>
      </c>
      <c r="AW35" s="75" t="str">
        <f>IF(OR(IPC_Trimestriel!BA35="",IPC_Trimestriel!AX35="",IPC_Trimestriel!AT35=""),"",AVERAGE(IPC_Trimestriel!AX35:BA35)/AVERAGE(IPC_Trimestriel!AT35:AW35)-1)</f>
        <v/>
      </c>
      <c r="AX35" s="75" t="str">
        <f>IF(OR(IPC_Trimestriel!BB35="",IPC_Trimestriel!AY35="",IPC_Trimestriel!AU35=""),"",AVERAGE(IPC_Trimestriel!AY35:BB35)/AVERAGE(IPC_Trimestriel!AU35:AX35)-1)</f>
        <v/>
      </c>
      <c r="AY35" s="75" t="str">
        <f>IF(OR(IPC_Trimestriel!BC35="",IPC_Trimestriel!AZ35="",IPC_Trimestriel!AV35=""),"",AVERAGE(IPC_Trimestriel!AZ35:BC35)/AVERAGE(IPC_Trimestriel!AV35:AY35)-1)</f>
        <v/>
      </c>
      <c r="AZ35" s="75" t="str">
        <f>IF(OR(IPC_Trimestriel!BD35="",IPC_Trimestriel!BA35="",IPC_Trimestriel!AW35=""),"",AVERAGE(IPC_Trimestriel!BA35:BD35)/AVERAGE(IPC_Trimestriel!AW35:AZ35)-1)</f>
        <v/>
      </c>
      <c r="BA35" s="75" t="str">
        <f>IF(OR(IPC_Trimestriel!BE35="",IPC_Trimestriel!BB35="",IPC_Trimestriel!AX35=""),"",AVERAGE(IPC_Trimestriel!BB35:BE35)/AVERAGE(IPC_Trimestriel!AX35:BA35)-1)</f>
        <v/>
      </c>
      <c r="BB35" s="75" t="str">
        <f>IF(OR(IPC_Trimestriel!BF35="",IPC_Trimestriel!BC35="",IPC_Trimestriel!AY35=""),"",AVERAGE(IPC_Trimestriel!BC35:BF35)/AVERAGE(IPC_Trimestriel!AY35:BB35)-1)</f>
        <v/>
      </c>
      <c r="BC35" s="75">
        <f>IF(OR(IPC_Trimestriel!BG35="",IPC_Trimestriel!BD35="",IPC_Trimestriel!AZ35=""),"",AVERAGE(IPC_Trimestriel!BD35:BG35)/AVERAGE(IPC_Trimestriel!AZ35:BC35)-1)</f>
        <v>1.3305078601534071E-2</v>
      </c>
      <c r="BD35" s="75">
        <f>IF(OR(IPC_Trimestriel!BH35="",IPC_Trimestriel!BE35="",IPC_Trimestriel!BA35=""),"",AVERAGE(IPC_Trimestriel!BE35:BH35)/AVERAGE(IPC_Trimestriel!BA35:BD35)-1)</f>
        <v>1.2165343731648681E-2</v>
      </c>
      <c r="BE35" s="75">
        <f>IF(OR(IPC_Trimestriel!BI35="",IPC_Trimestriel!BF35="",IPC_Trimestriel!BB35=""),"",AVERAGE(IPC_Trimestriel!BF35:BI35)/AVERAGE(IPC_Trimestriel!BB35:BE35)-1)</f>
        <v>1.1488832129163518E-2</v>
      </c>
      <c r="BF35" s="75">
        <f>IF(OR(IPC_Trimestriel!BJ35="",IPC_Trimestriel!BG35="",IPC_Trimestriel!BC35=""),"",AVERAGE(IPC_Trimestriel!BG35:BJ35)/AVERAGE(IPC_Trimestriel!BC35:BF35)-1)</f>
        <v>1.0949072684548034E-2</v>
      </c>
      <c r="BG35" s="75">
        <f>IF(OR(IPC_Trimestriel!BK35="",IPC_Trimestriel!BH35="",IPC_Trimestriel!BD35=""),"",AVERAGE(IPC_Trimestriel!BH35:BK35)/AVERAGE(IPC_Trimestriel!BD35:BG35)-1)</f>
        <v>1.0105958958509298E-2</v>
      </c>
      <c r="BH35" s="75">
        <f>IF(OR(IPC_Trimestriel!BL35="",IPC_Trimestriel!BI35="",IPC_Trimestriel!BE35=""),"",AVERAGE(IPC_Trimestriel!BI35:BL35)/AVERAGE(IPC_Trimestriel!BE35:BH35)-1)</f>
        <v>1.0005359036506345E-2</v>
      </c>
      <c r="BI35" s="75">
        <f>IF(OR(IPC_Trimestriel!BM35="",IPC_Trimestriel!BJ35="",IPC_Trimestriel!BF35=""),"",AVERAGE(IPC_Trimestriel!BJ35:BM35)/AVERAGE(IPC_Trimestriel!BF35:BI35)-1)</f>
        <v>8.1570277528397739E-3</v>
      </c>
      <c r="BJ35" s="75">
        <f>IF(OR(IPC_Trimestriel!BN35="",IPC_Trimestriel!BK35="",IPC_Trimestriel!BG35=""),"",AVERAGE(IPC_Trimestriel!BK35:BN35)/AVERAGE(IPC_Trimestriel!BG35:BJ35)-1)</f>
        <v>6.2717109341414723E-3</v>
      </c>
      <c r="BK35" s="75">
        <f>IF(OR(IPC_Trimestriel!BO35="",IPC_Trimestriel!BL35="",IPC_Trimestriel!BH35=""),"",AVERAGE(IPC_Trimestriel!BL35:BO35)/AVERAGE(IPC_Trimestriel!BH35:BK35)-1)</f>
        <v>3.8497166393864912E-3</v>
      </c>
      <c r="BL35" s="75">
        <f>IF(OR(IPC_Trimestriel!BP35="",IPC_Trimestriel!BM35="",IPC_Trimestriel!BI35=""),"",AVERAGE(IPC_Trimestriel!BM35:BP35)/AVERAGE(IPC_Trimestriel!BI35:BL35)-1)</f>
        <v>1.9885881777652603E-3</v>
      </c>
      <c r="BM35" s="75">
        <f>IF(OR(IPC_Trimestriel!BQ35="",IPC_Trimestriel!BN35="",IPC_Trimestriel!BJ35=""),"",AVERAGE(IPC_Trimestriel!BN35:BQ35)/AVERAGE(IPC_Trimestriel!BJ35:BM35)-1)</f>
        <v>1.6193978505159023E-3</v>
      </c>
      <c r="BN35" s="75">
        <f>IF(OR(IPC_Trimestriel!BR35="",IPC_Trimestriel!BO35="",IPC_Trimestriel!BK35=""),"",AVERAGE(IPC_Trimestriel!BO35:BR35)/AVERAGE(IPC_Trimestriel!BK35:BN35)-1)</f>
        <v>1.7026417129706317E-3</v>
      </c>
      <c r="BO35" s="75">
        <f>IF(OR(IPC_Trimestriel!BS35="",IPC_Trimestriel!BP35="",IPC_Trimestriel!BL35=""),"",AVERAGE(IPC_Trimestriel!BP35:BS35)/AVERAGE(IPC_Trimestriel!BL35:BO35)-1)</f>
        <v>3.1930050760595741E-3</v>
      </c>
      <c r="BP35" s="75">
        <f>IF(OR(IPC_Trimestriel!BT35="",IPC_Trimestriel!BQ35="",IPC_Trimestriel!BM35=""),"",AVERAGE(IPC_Trimestriel!BQ35:BT35)/AVERAGE(IPC_Trimestriel!BM35:BP35)-1)</f>
        <v>5.1980471312946808E-3</v>
      </c>
      <c r="BQ35" s="75">
        <f>IF(OR(IPC_Trimestriel!BU35="",IPC_Trimestriel!BR35="",IPC_Trimestriel!BN35=""),"",AVERAGE(IPC_Trimestriel!BR35:BU35)/AVERAGE(IPC_Trimestriel!BN35:BQ35)-1)</f>
        <v>7.8433262164103734E-3</v>
      </c>
      <c r="BR35" s="75">
        <f>IF(OR(IPC_Trimestriel!BV35="",IPC_Trimestriel!BS35="",IPC_Trimestriel!BO35=""),"",AVERAGE(IPC_Trimestriel!BS35:BV35)/AVERAGE(IPC_Trimestriel!BO35:BR35)-1)</f>
        <v>8.9349182968945229E-3</v>
      </c>
      <c r="BS35" s="75">
        <f>IF(OR(IPC_Trimestriel!BW35="",IPC_Trimestriel!BT35="",IPC_Trimestriel!BP35=""),"",AVERAGE(IPC_Trimestriel!BT35:BW35)/AVERAGE(IPC_Trimestriel!BP35:BS35)-1)</f>
        <v>9.5977540307663478E-3</v>
      </c>
      <c r="BT35" s="75">
        <f>IF(OR(IPC_Trimestriel!BX35="",IPC_Trimestriel!BU35="",IPC_Trimestriel!BQ35=""),"",AVERAGE(IPC_Trimestriel!BU35:BX35)/AVERAGE(IPC_Trimestriel!BQ35:BT35)-1)</f>
        <v>9.3296991446172317E-3</v>
      </c>
      <c r="BU35" s="75">
        <f>IF(OR(IPC_Trimestriel!BY35="",IPC_Trimestriel!BV35="",IPC_Trimestriel!BR35=""),"",AVERAGE(IPC_Trimestriel!BV35:BY35)/AVERAGE(IPC_Trimestriel!BR35:BU35)-1)</f>
        <v>9.9187188460041487E-3</v>
      </c>
      <c r="BV35" s="75">
        <f>IF(OR(IPC_Trimestriel!BZ35="",IPC_Trimestriel!BW35="",IPC_Trimestriel!BS35=""),"",AVERAGE(IPC_Trimestriel!BW35:BZ35)/AVERAGE(IPC_Trimestriel!BS35:BV35)-1)</f>
        <v>1.1982644235477791E-2</v>
      </c>
      <c r="BW35" s="75">
        <f>IF(OR(IPC_Trimestriel!CA35="",IPC_Trimestriel!BX35="",IPC_Trimestriel!BT35=""),"",AVERAGE(IPC_Trimestriel!BX35:CA35)/AVERAGE(IPC_Trimestriel!BT35:BW35)-1)</f>
        <v>1.5509575560465949E-2</v>
      </c>
      <c r="BX35" s="75">
        <f>IF(OR(IPC_Trimestriel!CB35="",IPC_Trimestriel!BY35="",IPC_Trimestriel!BU35=""),"",AVERAGE(IPC_Trimestriel!BY35:CB35)/AVERAGE(IPC_Trimestriel!BU35:BX35)-1)</f>
        <v>1.9003287744121078E-2</v>
      </c>
      <c r="BY35" s="75">
        <f>IF(OR(IPC_Trimestriel!CC35="",IPC_Trimestriel!BZ35="",IPC_Trimestriel!BV35=""),"",AVERAGE(IPC_Trimestriel!BZ35:CC35)/AVERAGE(IPC_Trimestriel!BV35:BY35)-1)</f>
        <v>2.1071249254229096E-2</v>
      </c>
      <c r="BZ35" s="75">
        <f>IF(OR(IPC_Trimestriel!CD35="",IPC_Trimestriel!CA35="",IPC_Trimestriel!BW35=""),"",AVERAGE(IPC_Trimestriel!CA35:CD35)/AVERAGE(IPC_Trimestriel!BW35:BZ35)-1)</f>
        <v>2.2731604812704864E-2</v>
      </c>
      <c r="CA35" s="75">
        <f>IF(OR(IPC_Trimestriel!CE35="",IPC_Trimestriel!CB35="",IPC_Trimestriel!BX35=""),"",AVERAGE(IPC_Trimestriel!CB35:CE35)/AVERAGE(IPC_Trimestriel!BX35:CA35)-1)</f>
        <v>2.3408318196893596E-2</v>
      </c>
      <c r="CB35" s="75">
        <f>IF(OR(IPC_Trimestriel!CF35="",IPC_Trimestriel!CC35="",IPC_Trimestriel!BY35=""),"",AVERAGE(IPC_Trimestriel!CC35:CF35)/AVERAGE(IPC_Trimestriel!BY35:CB35)-1)</f>
        <v>2.3733031406085958E-2</v>
      </c>
      <c r="CC35" s="75">
        <f>IF(OR(IPC_Trimestriel!CG35="",IPC_Trimestriel!CD35="",IPC_Trimestriel!BZ35=""),"",AVERAGE(IPC_Trimestriel!CD35:CG35)/AVERAGE(IPC_Trimestriel!BZ35:CC35)-1)</f>
        <v>2.4031127329273705E-2</v>
      </c>
      <c r="CD35" s="75">
        <f>IF(OR(IPC_Trimestriel!CH35="",IPC_Trimestriel!CE35="",IPC_Trimestriel!CA35=""),"",AVERAGE(IPC_Trimestriel!CE35:CH35)/AVERAGE(IPC_Trimestriel!CA35:CD35)-1)</f>
        <v>2.3822615750318743E-2</v>
      </c>
      <c r="CE35" s="75">
        <f>IF(OR(IPC_Trimestriel!CI35="",IPC_Trimestriel!CF35="",IPC_Trimestriel!CB35=""),"",AVERAGE(IPC_Trimestriel!CF35:CI35)/AVERAGE(IPC_Trimestriel!CB35:CE35)-1)</f>
        <v>2.2388487654259936E-2</v>
      </c>
      <c r="CF35" s="75">
        <f>IF(OR(IPC_Trimestriel!CJ35="",IPC_Trimestriel!CG35="",IPC_Trimestriel!CC35=""),"",AVERAGE(IPC_Trimestriel!CG35:CJ35)/AVERAGE(IPC_Trimestriel!CC35:CF35)-1)</f>
        <v>2.1843243561701087E-2</v>
      </c>
      <c r="CG35" s="75">
        <f>IF(OR(IPC_Trimestriel!CK35="",IPC_Trimestriel!CH35="",IPC_Trimestriel!CD35=""),"",AVERAGE(IPC_Trimestriel!CH35:CK35)/AVERAGE(IPC_Trimestriel!CD35:CG35)-1)</f>
        <v>2.0724682892497848E-2</v>
      </c>
      <c r="CH35" s="75">
        <f>IF(OR(IPC_Trimestriel!CL35="",IPC_Trimestriel!CI35="",IPC_Trimestriel!CE35=""),"",AVERAGE(IPC_Trimestriel!CI35:CL35)/AVERAGE(IPC_Trimestriel!CE35:CH35)-1)</f>
        <v>2.0573134087863876E-2</v>
      </c>
      <c r="CI35" s="75">
        <f>IF(OR(IPC_Trimestriel!CM35="",IPC_Trimestriel!CJ35="",IPC_Trimestriel!CF35=""),"",AVERAGE(IPC_Trimestriel!CJ35:CM35)/AVERAGE(IPC_Trimestriel!CF35:CI35)-1)</f>
        <v>2.1021255367080993E-2</v>
      </c>
      <c r="CJ35" s="75">
        <f>IF(OR(IPC_Trimestriel!CN35="",IPC_Trimestriel!CK35="",IPC_Trimestriel!CG35=""),"",AVERAGE(IPC_Trimestriel!CK35:CN35)/AVERAGE(IPC_Trimestriel!CG35:CJ35)-1)</f>
        <v>2.2242447166275214E-2</v>
      </c>
      <c r="CK35" s="75">
        <f>IF(OR(IPC_Trimestriel!CO35="",IPC_Trimestriel!CL35="",IPC_Trimestriel!CH35=""),"",AVERAGE(IPC_Trimestriel!CL35:CO35)/AVERAGE(IPC_Trimestriel!CH35:CK35)-1)</f>
        <v>2.7474845977770057E-2</v>
      </c>
      <c r="CL35" s="75">
        <f>IF(OR(IPC_Trimestriel!CP35="",IPC_Trimestriel!CM35="",IPC_Trimestriel!CI35=""),"",AVERAGE(IPC_Trimestriel!CM35:CP35)/AVERAGE(IPC_Trimestriel!CI35:CL35)-1)</f>
        <v>3.2956785689119972E-2</v>
      </c>
      <c r="CM35" s="75">
        <f>IF(OR(IPC_Trimestriel!CQ35="",IPC_Trimestriel!CN35="",IPC_Trimestriel!CJ35=""),"",AVERAGE(IPC_Trimestriel!CN35:CQ35)/AVERAGE(IPC_Trimestriel!CJ35:CM35)-1)</f>
        <v>3.8878081549296395E-2</v>
      </c>
      <c r="CN35" s="75" t="str">
        <f>IF(OR(IPC_Trimestriel!CR35="",IPC_Trimestriel!CO35="",IPC_Trimestriel!CK35=""),"",AVERAGE(IPC_Trimestriel!CO35:CR35)/AVERAGE(IPC_Trimestriel!CK35:CN35)-1)</f>
        <v/>
      </c>
      <c r="CO35" s="75" t="str">
        <f>IF(OR(IPC_Trimestriel!CS35="",IPC_Trimestriel!CP35="",IPC_Trimestriel!CL35=""),"",AVERAGE(IPC_Trimestriel!CP35:CS35)/AVERAGE(IPC_Trimestriel!CL35:CO35)-1)</f>
        <v/>
      </c>
      <c r="CP35" s="75" t="str">
        <f>IF(OR(IPC_Trimestriel!CT35="",IPC_Trimestriel!CQ35="",IPC_Trimestriel!CM35=""),"",AVERAGE(IPC_Trimestriel!CQ35:CT35)/AVERAGE(IPC_Trimestriel!CM35:CP35)-1)</f>
        <v/>
      </c>
    </row>
    <row r="36" spans="1:94" s="81" customFormat="1" ht="10.199999999999999" x14ac:dyDescent="0.2">
      <c r="B36" s="81" t="s">
        <v>114</v>
      </c>
      <c r="D36" s="84"/>
      <c r="E36" s="84"/>
      <c r="F36" s="84"/>
      <c r="G36" s="84" t="str">
        <f>IF(OR(IPC_Trimestriel!K36="",IPC_Trimestriel!H36="",IPC_Trimestriel!D36=""),"",AVERAGE(IPC_Trimestriel!H36:K36)/AVERAGE(IPC_Trimestriel!D36:G36)-1)</f>
        <v/>
      </c>
      <c r="H36" s="84" t="str">
        <f>IF(OR(IPC_Trimestriel!L36="",IPC_Trimestriel!I36="",IPC_Trimestriel!E36=""),"",AVERAGE(IPC_Trimestriel!I36:L36)/AVERAGE(IPC_Trimestriel!E36:H36)-1)</f>
        <v/>
      </c>
      <c r="I36" s="84" t="str">
        <f>IF(OR(IPC_Trimestriel!M36="",IPC_Trimestriel!J36="",IPC_Trimestriel!F36=""),"",AVERAGE(IPC_Trimestriel!J36:M36)/AVERAGE(IPC_Trimestriel!F36:I36)-1)</f>
        <v/>
      </c>
      <c r="J36" s="84" t="str">
        <f>IF(OR(IPC_Trimestriel!N36="",IPC_Trimestriel!K36="",IPC_Trimestriel!G36=""),"",AVERAGE(IPC_Trimestriel!K36:N36)/AVERAGE(IPC_Trimestriel!G36:J36)-1)</f>
        <v/>
      </c>
      <c r="K36" s="84" t="str">
        <f>IF(OR(IPC_Trimestriel!O36="",IPC_Trimestriel!L36="",IPC_Trimestriel!H36=""),"",AVERAGE(IPC_Trimestriel!L36:O36)/AVERAGE(IPC_Trimestriel!H36:K36)-1)</f>
        <v/>
      </c>
      <c r="L36" s="84" t="str">
        <f>IF(OR(IPC_Trimestriel!P36="",IPC_Trimestriel!M36="",IPC_Trimestriel!I36=""),"",AVERAGE(IPC_Trimestriel!M36:P36)/AVERAGE(IPC_Trimestriel!I36:L36)-1)</f>
        <v/>
      </c>
      <c r="M36" s="84" t="str">
        <f>IF(OR(IPC_Trimestriel!Q36="",IPC_Trimestriel!N36="",IPC_Trimestriel!J36=""),"",AVERAGE(IPC_Trimestriel!N36:Q36)/AVERAGE(IPC_Trimestriel!J36:M36)-1)</f>
        <v/>
      </c>
      <c r="N36" s="84" t="str">
        <f>IF(OR(IPC_Trimestriel!R36="",IPC_Trimestriel!O36="",IPC_Trimestriel!K36=""),"",AVERAGE(IPC_Trimestriel!O36:R36)/AVERAGE(IPC_Trimestriel!K36:N36)-1)</f>
        <v/>
      </c>
      <c r="O36" s="84" t="str">
        <f>IF(OR(IPC_Trimestriel!S36="",IPC_Trimestriel!P36="",IPC_Trimestriel!L36=""),"",AVERAGE(IPC_Trimestriel!P36:S36)/AVERAGE(IPC_Trimestriel!L36:O36)-1)</f>
        <v/>
      </c>
      <c r="P36" s="84" t="str">
        <f>IF(OR(IPC_Trimestriel!T36="",IPC_Trimestriel!Q36="",IPC_Trimestriel!M36=""),"",AVERAGE(IPC_Trimestriel!Q36:T36)/AVERAGE(IPC_Trimestriel!M36:P36)-1)</f>
        <v/>
      </c>
      <c r="Q36" s="84" t="str">
        <f>IF(OR(IPC_Trimestriel!U36="",IPC_Trimestriel!R36="",IPC_Trimestriel!N36=""),"",AVERAGE(IPC_Trimestriel!R36:U36)/AVERAGE(IPC_Trimestriel!N36:Q36)-1)</f>
        <v/>
      </c>
      <c r="R36" s="84" t="str">
        <f>IF(OR(IPC_Trimestriel!V36="",IPC_Trimestriel!S36="",IPC_Trimestriel!O36=""),"",AVERAGE(IPC_Trimestriel!S36:V36)/AVERAGE(IPC_Trimestriel!O36:R36)-1)</f>
        <v/>
      </c>
      <c r="S36" s="84" t="str">
        <f>IF(OR(IPC_Trimestriel!W36="",IPC_Trimestriel!T36="",IPC_Trimestriel!P36=""),"",AVERAGE(IPC_Trimestriel!T36:W36)/AVERAGE(IPC_Trimestriel!P36:S36)-1)</f>
        <v/>
      </c>
      <c r="T36" s="84" t="str">
        <f>IF(OR(IPC_Trimestriel!X36="",IPC_Trimestriel!U36="",IPC_Trimestriel!Q36=""),"",AVERAGE(IPC_Trimestriel!U36:X36)/AVERAGE(IPC_Trimestriel!Q36:T36)-1)</f>
        <v/>
      </c>
      <c r="U36" s="84" t="str">
        <f>IF(OR(IPC_Trimestriel!Y36="",IPC_Trimestriel!V36="",IPC_Trimestriel!R36=""),"",AVERAGE(IPC_Trimestriel!V36:Y36)/AVERAGE(IPC_Trimestriel!R36:U36)-1)</f>
        <v/>
      </c>
      <c r="V36" s="84" t="str">
        <f>IF(OR(IPC_Trimestriel!Z36="",IPC_Trimestriel!W36="",IPC_Trimestriel!S36=""),"",AVERAGE(IPC_Trimestriel!W36:Z36)/AVERAGE(IPC_Trimestriel!S36:V36)-1)</f>
        <v/>
      </c>
      <c r="W36" s="84" t="str">
        <f>IF(OR(IPC_Trimestriel!AA36="",IPC_Trimestriel!X36="",IPC_Trimestriel!T36=""),"",AVERAGE(IPC_Trimestriel!X36:AA36)/AVERAGE(IPC_Trimestriel!T36:W36)-1)</f>
        <v/>
      </c>
      <c r="X36" s="84" t="str">
        <f>IF(OR(IPC_Trimestriel!AB36="",IPC_Trimestriel!Y36="",IPC_Trimestriel!U36=""),"",AVERAGE(IPC_Trimestriel!Y36:AB36)/AVERAGE(IPC_Trimestriel!U36:X36)-1)</f>
        <v/>
      </c>
      <c r="Y36" s="84" t="str">
        <f>IF(OR(IPC_Trimestriel!AC36="",IPC_Trimestriel!Z36="",IPC_Trimestriel!V36=""),"",AVERAGE(IPC_Trimestriel!Z36:AC36)/AVERAGE(IPC_Trimestriel!V36:Y36)-1)</f>
        <v/>
      </c>
      <c r="Z36" s="84" t="str">
        <f>IF(OR(IPC_Trimestriel!AD36="",IPC_Trimestriel!AA36="",IPC_Trimestriel!W36=""),"",AVERAGE(IPC_Trimestriel!AA36:AD36)/AVERAGE(IPC_Trimestriel!W36:Z36)-1)</f>
        <v/>
      </c>
      <c r="AA36" s="84" t="str">
        <f>IF(OR(IPC_Trimestriel!AE36="",IPC_Trimestriel!AB36="",IPC_Trimestriel!X36=""),"",AVERAGE(IPC_Trimestriel!AB36:AE36)/AVERAGE(IPC_Trimestriel!X36:AA36)-1)</f>
        <v/>
      </c>
      <c r="AB36" s="84" t="str">
        <f>IF(OR(IPC_Trimestriel!AF36="",IPC_Trimestriel!AC36="",IPC_Trimestriel!Y36=""),"",AVERAGE(IPC_Trimestriel!AC36:AF36)/AVERAGE(IPC_Trimestriel!Y36:AB36)-1)</f>
        <v/>
      </c>
      <c r="AC36" s="84" t="str">
        <f>IF(OR(IPC_Trimestriel!AG36="",IPC_Trimestriel!AD36="",IPC_Trimestriel!Z36=""),"",AVERAGE(IPC_Trimestriel!AD36:AG36)/AVERAGE(IPC_Trimestriel!Z36:AC36)-1)</f>
        <v/>
      </c>
      <c r="AD36" s="84" t="str">
        <f>IF(OR(IPC_Trimestriel!AH36="",IPC_Trimestriel!AE36="",IPC_Trimestriel!AA36=""),"",AVERAGE(IPC_Trimestriel!AE36:AH36)/AVERAGE(IPC_Trimestriel!AA36:AD36)-1)</f>
        <v/>
      </c>
      <c r="AE36" s="84" t="str">
        <f>IF(OR(IPC_Trimestriel!AI36="",IPC_Trimestriel!AF36="",IPC_Trimestriel!AB36=""),"",AVERAGE(IPC_Trimestriel!AF36:AI36)/AVERAGE(IPC_Trimestriel!AB36:AE36)-1)</f>
        <v/>
      </c>
      <c r="AF36" s="84" t="str">
        <f>IF(OR(IPC_Trimestriel!AJ36="",IPC_Trimestriel!AG36="",IPC_Trimestriel!AC36=""),"",AVERAGE(IPC_Trimestriel!AG36:AJ36)/AVERAGE(IPC_Trimestriel!AC36:AF36)-1)</f>
        <v/>
      </c>
      <c r="AG36" s="84" t="str">
        <f>IF(OR(IPC_Trimestriel!AK36="",IPC_Trimestriel!AH36="",IPC_Trimestriel!AD36=""),"",AVERAGE(IPC_Trimestriel!AH36:AK36)/AVERAGE(IPC_Trimestriel!AD36:AG36)-1)</f>
        <v/>
      </c>
      <c r="AH36" s="84" t="str">
        <f>IF(OR(IPC_Trimestriel!AL36="",IPC_Trimestriel!AI36="",IPC_Trimestriel!AE36=""),"",AVERAGE(IPC_Trimestriel!AI36:AL36)/AVERAGE(IPC_Trimestriel!AE36:AH36)-1)</f>
        <v/>
      </c>
      <c r="AI36" s="84" t="str">
        <f>IF(OR(IPC_Trimestriel!AM36="",IPC_Trimestriel!AJ36="",IPC_Trimestriel!AF36=""),"",AVERAGE(IPC_Trimestriel!AJ36:AM36)/AVERAGE(IPC_Trimestriel!AF36:AI36)-1)</f>
        <v/>
      </c>
      <c r="AJ36" s="84" t="str">
        <f>IF(OR(IPC_Trimestriel!AN36="",IPC_Trimestriel!AK36="",IPC_Trimestriel!AG36=""),"",AVERAGE(IPC_Trimestriel!AK36:AN36)/AVERAGE(IPC_Trimestriel!AG36:AJ36)-1)</f>
        <v/>
      </c>
      <c r="AK36" s="84" t="str">
        <f>IF(OR(IPC_Trimestriel!AO36="",IPC_Trimestriel!AL36="",IPC_Trimestriel!AH36=""),"",AVERAGE(IPC_Trimestriel!AL36:AO36)/AVERAGE(IPC_Trimestriel!AH36:AK36)-1)</f>
        <v/>
      </c>
      <c r="AL36" s="84" t="str">
        <f>IF(OR(IPC_Trimestriel!AP36="",IPC_Trimestriel!AM36="",IPC_Trimestriel!AI36=""),"",AVERAGE(IPC_Trimestriel!AM36:AP36)/AVERAGE(IPC_Trimestriel!AI36:AL36)-1)</f>
        <v/>
      </c>
      <c r="AM36" s="84" t="str">
        <f>IF(OR(IPC_Trimestriel!AQ36="",IPC_Trimestriel!AN36="",IPC_Trimestriel!AJ36=""),"",AVERAGE(IPC_Trimestriel!AN36:AQ36)/AVERAGE(IPC_Trimestriel!AJ36:AM36)-1)</f>
        <v/>
      </c>
      <c r="AN36" s="84" t="str">
        <f>IF(OR(IPC_Trimestriel!AR36="",IPC_Trimestriel!AO36="",IPC_Trimestriel!AK36=""),"",AVERAGE(IPC_Trimestriel!AO36:AR36)/AVERAGE(IPC_Trimestriel!AK36:AN36)-1)</f>
        <v/>
      </c>
      <c r="AO36" s="84" t="str">
        <f>IF(OR(IPC_Trimestriel!AS36="",IPC_Trimestriel!AP36="",IPC_Trimestriel!AL36=""),"",AVERAGE(IPC_Trimestriel!AP36:AS36)/AVERAGE(IPC_Trimestriel!AL36:AO36)-1)</f>
        <v/>
      </c>
      <c r="AP36" s="84" t="str">
        <f>IF(OR(IPC_Trimestriel!AT36="",IPC_Trimestriel!AQ36="",IPC_Trimestriel!AM36=""),"",AVERAGE(IPC_Trimestriel!AQ36:AT36)/AVERAGE(IPC_Trimestriel!AM36:AP36)-1)</f>
        <v/>
      </c>
      <c r="AQ36" s="84" t="str">
        <f>IF(OR(IPC_Trimestriel!AU36="",IPC_Trimestriel!AR36="",IPC_Trimestriel!AN36=""),"",AVERAGE(IPC_Trimestriel!AR36:AU36)/AVERAGE(IPC_Trimestriel!AN36:AQ36)-1)</f>
        <v/>
      </c>
      <c r="AR36" s="84" t="str">
        <f>IF(OR(IPC_Trimestriel!AV36="",IPC_Trimestriel!AS36="",IPC_Trimestriel!AO36=""),"",AVERAGE(IPC_Trimestriel!AS36:AV36)/AVERAGE(IPC_Trimestriel!AO36:AR36)-1)</f>
        <v/>
      </c>
      <c r="AS36" s="84" t="str">
        <f>IF(OR(IPC_Trimestriel!AW36="",IPC_Trimestriel!AT36="",IPC_Trimestriel!AP36=""),"",AVERAGE(IPC_Trimestriel!AT36:AW36)/AVERAGE(IPC_Trimestriel!AP36:AS36)-1)</f>
        <v/>
      </c>
      <c r="AT36" s="84" t="str">
        <f>IF(OR(IPC_Trimestriel!AX36="",IPC_Trimestriel!AU36="",IPC_Trimestriel!AQ36=""),"",AVERAGE(IPC_Trimestriel!AU36:AX36)/AVERAGE(IPC_Trimestriel!AQ36:AT36)-1)</f>
        <v/>
      </c>
      <c r="AU36" s="84" t="str">
        <f>IF(OR(IPC_Trimestriel!AY36="",IPC_Trimestriel!AV36="",IPC_Trimestriel!AR36=""),"",AVERAGE(IPC_Trimestriel!AV36:AY36)/AVERAGE(IPC_Trimestriel!AR36:AU36)-1)</f>
        <v/>
      </c>
      <c r="AV36" s="84" t="str">
        <f>IF(OR(IPC_Trimestriel!AZ36="",IPC_Trimestriel!AW36="",IPC_Trimestriel!AS36=""),"",AVERAGE(IPC_Trimestriel!AW36:AZ36)/AVERAGE(IPC_Trimestriel!AS36:AV36)-1)</f>
        <v/>
      </c>
      <c r="AW36" s="84" t="str">
        <f>IF(OR(IPC_Trimestriel!BA36="",IPC_Trimestriel!AX36="",IPC_Trimestriel!AT36=""),"",AVERAGE(IPC_Trimestriel!AX36:BA36)/AVERAGE(IPC_Trimestriel!AT36:AW36)-1)</f>
        <v/>
      </c>
      <c r="AX36" s="84" t="str">
        <f>IF(OR(IPC_Trimestriel!BB36="",IPC_Trimestriel!AY36="",IPC_Trimestriel!AU36=""),"",AVERAGE(IPC_Trimestriel!AY36:BB36)/AVERAGE(IPC_Trimestriel!AU36:AX36)-1)</f>
        <v/>
      </c>
      <c r="AY36" s="84" t="str">
        <f>IF(OR(IPC_Trimestriel!BC36="",IPC_Trimestriel!AZ36="",IPC_Trimestriel!AV36=""),"",AVERAGE(IPC_Trimestriel!AZ36:BC36)/AVERAGE(IPC_Trimestriel!AV36:AY36)-1)</f>
        <v/>
      </c>
      <c r="AZ36" s="84" t="str">
        <f>IF(OR(IPC_Trimestriel!BD36="",IPC_Trimestriel!BA36="",IPC_Trimestriel!AW36=""),"",AVERAGE(IPC_Trimestriel!BA36:BD36)/AVERAGE(IPC_Trimestriel!AW36:AZ36)-1)</f>
        <v/>
      </c>
      <c r="BA36" s="84" t="str">
        <f>IF(OR(IPC_Trimestriel!BE36="",IPC_Trimestriel!BB36="",IPC_Trimestriel!AX36=""),"",AVERAGE(IPC_Trimestriel!BB36:BE36)/AVERAGE(IPC_Trimestriel!AX36:BA36)-1)</f>
        <v/>
      </c>
      <c r="BB36" s="84" t="str">
        <f>IF(OR(IPC_Trimestriel!BF36="",IPC_Trimestriel!BC36="",IPC_Trimestriel!AY36=""),"",AVERAGE(IPC_Trimestriel!BC36:BF36)/AVERAGE(IPC_Trimestriel!AY36:BB36)-1)</f>
        <v/>
      </c>
      <c r="BC36" s="84">
        <f>IF(OR(IPC_Trimestriel!BG36="",IPC_Trimestriel!BD36="",IPC_Trimestriel!AZ36=""),"",AVERAGE(IPC_Trimestriel!BD36:BG36)/AVERAGE(IPC_Trimestriel!AZ36:BC36)-1)</f>
        <v>1.6762429629624487E-2</v>
      </c>
      <c r="BD36" s="84">
        <f>IF(OR(IPC_Trimestriel!BH36="",IPC_Trimestriel!BE36="",IPC_Trimestriel!BA36=""),"",AVERAGE(IPC_Trimestriel!BE36:BH36)/AVERAGE(IPC_Trimestriel!BA36:BD36)-1)</f>
        <v>1.4256811798382563E-2</v>
      </c>
      <c r="BE36" s="84">
        <f>IF(OR(IPC_Trimestriel!BI36="",IPC_Trimestriel!BF36="",IPC_Trimestriel!BB36=""),"",AVERAGE(IPC_Trimestriel!BF36:BI36)/AVERAGE(IPC_Trimestriel!BB36:BE36)-1)</f>
        <v>1.1952460889199434E-2</v>
      </c>
      <c r="BF36" s="84">
        <f>IF(OR(IPC_Trimestriel!BJ36="",IPC_Trimestriel!BG36="",IPC_Trimestriel!BC36=""),"",AVERAGE(IPC_Trimestriel!BG36:BJ36)/AVERAGE(IPC_Trimestriel!BC36:BF36)-1)</f>
        <v>2.1519505860774224E-2</v>
      </c>
      <c r="BG36" s="84">
        <f>IF(OR(IPC_Trimestriel!BK36="",IPC_Trimestriel!BH36="",IPC_Trimestriel!BD36=""),"",AVERAGE(IPC_Trimestriel!BH36:BK36)/AVERAGE(IPC_Trimestriel!BD36:BG36)-1)</f>
        <v>3.1259743650548621E-2</v>
      </c>
      <c r="BH36" s="84">
        <f>IF(OR(IPC_Trimestriel!BL36="",IPC_Trimestriel!BI36="",IPC_Trimestriel!BE36=""),"",AVERAGE(IPC_Trimestriel!BI36:BL36)/AVERAGE(IPC_Trimestriel!BE36:BH36)-1)</f>
        <v>4.1866409353323641E-2</v>
      </c>
      <c r="BI36" s="84">
        <f>IF(OR(IPC_Trimestriel!BM36="",IPC_Trimestriel!BJ36="",IPC_Trimestriel!BF36=""),"",AVERAGE(IPC_Trimestriel!BJ36:BM36)/AVERAGE(IPC_Trimestriel!BF36:BI36)-1)</f>
        <v>5.4670741932294709E-2</v>
      </c>
      <c r="BJ36" s="84">
        <f>IF(OR(IPC_Trimestriel!BN36="",IPC_Trimestriel!BK36="",IPC_Trimestriel!BG36=""),"",AVERAGE(IPC_Trimestriel!BK36:BN36)/AVERAGE(IPC_Trimestriel!BG36:BJ36)-1)</f>
        <v>4.7160369688997283E-2</v>
      </c>
      <c r="BK36" s="84">
        <f>IF(OR(IPC_Trimestriel!BO36="",IPC_Trimestriel!BL36="",IPC_Trimestriel!BH36=""),"",AVERAGE(IPC_Trimestriel!BL36:BO36)/AVERAGE(IPC_Trimestriel!BH36:BK36)-1)</f>
        <v>3.9040977429181112E-2</v>
      </c>
      <c r="BL36" s="84">
        <f>IF(OR(IPC_Trimestriel!BP36="",IPC_Trimestriel!BM36="",IPC_Trimestriel!BI36=""),"",AVERAGE(IPC_Trimestriel!BM36:BP36)/AVERAGE(IPC_Trimestriel!BI36:BL36)-1)</f>
        <v>2.9429494348581109E-2</v>
      </c>
      <c r="BM36" s="84">
        <f>IF(OR(IPC_Trimestriel!BQ36="",IPC_Trimestriel!BN36="",IPC_Trimestriel!BJ36=""),"",AVERAGE(IPC_Trimestriel!BN36:BQ36)/AVERAGE(IPC_Trimestriel!BJ36:BM36)-1)</f>
        <v>1.6640744173912703E-2</v>
      </c>
      <c r="BN36" s="84">
        <f>IF(OR(IPC_Trimestriel!BR36="",IPC_Trimestriel!BO36="",IPC_Trimestriel!BK36=""),"",AVERAGE(IPC_Trimestriel!BO36:BR36)/AVERAGE(IPC_Trimestriel!BK36:BN36)-1)</f>
        <v>1.2566874529379213E-2</v>
      </c>
      <c r="BO36" s="84">
        <f>IF(OR(IPC_Trimestriel!BS36="",IPC_Trimestriel!BP36="",IPC_Trimestriel!BL36=""),"",AVERAGE(IPC_Trimestriel!BP36:BS36)/AVERAGE(IPC_Trimestriel!BL36:BO36)-1)</f>
        <v>9.5649789672394014E-3</v>
      </c>
      <c r="BP36" s="84">
        <f>IF(OR(IPC_Trimestriel!BT36="",IPC_Trimestriel!BQ36="",IPC_Trimestriel!BM36=""),"",AVERAGE(IPC_Trimestriel!BQ36:BT36)/AVERAGE(IPC_Trimestriel!BM36:BP36)-1)</f>
        <v>7.8033276799804874E-3</v>
      </c>
      <c r="BQ36" s="84">
        <f>IF(OR(IPC_Trimestriel!BU36="",IPC_Trimestriel!BR36="",IPC_Trimestriel!BN36=""),"",AVERAGE(IPC_Trimestriel!BR36:BU36)/AVERAGE(IPC_Trimestriel!BN36:BQ36)-1)</f>
        <v>7.948878087311595E-3</v>
      </c>
      <c r="BR36" s="84">
        <f>IF(OR(IPC_Trimestriel!BV36="",IPC_Trimestriel!BS36="",IPC_Trimestriel!BO36=""),"",AVERAGE(IPC_Trimestriel!BS36:BV36)/AVERAGE(IPC_Trimestriel!BO36:BR36)-1)</f>
        <v>8.6311745174705301E-3</v>
      </c>
      <c r="BS36" s="84">
        <f>IF(OR(IPC_Trimestriel!BW36="",IPC_Trimestriel!BT36="",IPC_Trimestriel!BP36=""),"",AVERAGE(IPC_Trimestriel!BT36:BW36)/AVERAGE(IPC_Trimestriel!BP36:BS36)-1)</f>
        <v>8.4713690905779959E-3</v>
      </c>
      <c r="BT36" s="84">
        <f>IF(OR(IPC_Trimestriel!BX36="",IPC_Trimestriel!BU36="",IPC_Trimestriel!BQ36=""),"",AVERAGE(IPC_Trimestriel!BU36:BX36)/AVERAGE(IPC_Trimestriel!BQ36:BT36)-1)</f>
        <v>7.2729615631936806E-3</v>
      </c>
      <c r="BU36" s="84">
        <f>IF(OR(IPC_Trimestriel!BY36="",IPC_Trimestriel!BV36="",IPC_Trimestriel!BR36=""),"",AVERAGE(IPC_Trimestriel!BV36:BY36)/AVERAGE(IPC_Trimestriel!BR36:BU36)-1)</f>
        <v>6.6785388124641631E-3</v>
      </c>
      <c r="BV36" s="84">
        <f>IF(OR(IPC_Trimestriel!BZ36="",IPC_Trimestriel!BW36="",IPC_Trimestriel!BS36=""),"",AVERAGE(IPC_Trimestriel!BW36:BZ36)/AVERAGE(IPC_Trimestriel!BS36:BV36)-1)</f>
        <v>8.3168661437595937E-3</v>
      </c>
      <c r="BW36" s="84">
        <f>IF(OR(IPC_Trimestriel!CA36="",IPC_Trimestriel!BX36="",IPC_Trimestriel!BT36=""),"",AVERAGE(IPC_Trimestriel!BX36:CA36)/AVERAGE(IPC_Trimestriel!BT36:BW36)-1)</f>
        <v>1.1968648243827484E-2</v>
      </c>
      <c r="BX36" s="84">
        <f>IF(OR(IPC_Trimestriel!CB36="",IPC_Trimestriel!BY36="",IPC_Trimestriel!BU36=""),"",AVERAGE(IPC_Trimestriel!BY36:CB36)/AVERAGE(IPC_Trimestriel!BU36:BX36)-1)</f>
        <v>1.7036288039785852E-2</v>
      </c>
      <c r="BY36" s="84">
        <f>IF(OR(IPC_Trimestriel!CC36="",IPC_Trimestriel!BZ36="",IPC_Trimestriel!BV36=""),"",AVERAGE(IPC_Trimestriel!BZ36:CC36)/AVERAGE(IPC_Trimestriel!BV36:BY36)-1)</f>
        <v>2.1317848432592879E-2</v>
      </c>
      <c r="BZ36" s="84">
        <f>IF(OR(IPC_Trimestriel!CD36="",IPC_Trimestriel!CA36="",IPC_Trimestriel!BW36=""),"",AVERAGE(IPC_Trimestriel!CA36:CD36)/AVERAGE(IPC_Trimestriel!BW36:BZ36)-1)</f>
        <v>2.195141126206912E-2</v>
      </c>
      <c r="CA36" s="84">
        <f>IF(OR(IPC_Trimestriel!CE36="",IPC_Trimestriel!CB36="",IPC_Trimestriel!BX36=""),"",AVERAGE(IPC_Trimestriel!CB36:CE36)/AVERAGE(IPC_Trimestriel!BX36:CA36)-1)</f>
        <v>2.0574670280741003E-2</v>
      </c>
      <c r="CB36" s="84">
        <f>IF(OR(IPC_Trimestriel!CF36="",IPC_Trimestriel!CC36="",IPC_Trimestriel!BY36=""),"",AVERAGE(IPC_Trimestriel!CC36:CF36)/AVERAGE(IPC_Trimestriel!BY36:CB36)-1)</f>
        <v>1.7899436453917561E-2</v>
      </c>
      <c r="CC36" s="84">
        <f>IF(OR(IPC_Trimestriel!CG36="",IPC_Trimestriel!CD36="",IPC_Trimestriel!BZ36=""),"",AVERAGE(IPC_Trimestriel!CD36:CG36)/AVERAGE(IPC_Trimestriel!BZ36:CC36)-1)</f>
        <v>1.6120967642420325E-2</v>
      </c>
      <c r="CD36" s="84">
        <f>IF(OR(IPC_Trimestriel!CH36="",IPC_Trimestriel!CE36="",IPC_Trimestriel!CA36=""),"",AVERAGE(IPC_Trimestriel!CE36:CH36)/AVERAGE(IPC_Trimestriel!CA36:CD36)-1)</f>
        <v>1.4781882344965691E-2</v>
      </c>
      <c r="CE36" s="84">
        <f>IF(OR(IPC_Trimestriel!CI36="",IPC_Trimestriel!CF36="",IPC_Trimestriel!CB36=""),"",AVERAGE(IPC_Trimestriel!CF36:CI36)/AVERAGE(IPC_Trimestriel!CB36:CE36)-1)</f>
        <v>1.4207077029042559E-2</v>
      </c>
      <c r="CF36" s="84">
        <f>IF(OR(IPC_Trimestriel!CJ36="",IPC_Trimestriel!CG36="",IPC_Trimestriel!CC36=""),"",AVERAGE(IPC_Trimestriel!CG36:CJ36)/AVERAGE(IPC_Trimestriel!CC36:CF36)-1)</f>
        <v>1.3450726699960391E-2</v>
      </c>
      <c r="CG36" s="84">
        <f>IF(OR(IPC_Trimestriel!CK36="",IPC_Trimestriel!CH36="",IPC_Trimestriel!CD36=""),"",AVERAGE(IPC_Trimestriel!CH36:CK36)/AVERAGE(IPC_Trimestriel!CD36:CG36)-1)</f>
        <v>1.019723808795403E-2</v>
      </c>
      <c r="CH36" s="84">
        <f>IF(OR(IPC_Trimestriel!CL36="",IPC_Trimestriel!CI36="",IPC_Trimestriel!CE36=""),"",AVERAGE(IPC_Trimestriel!CI36:CL36)/AVERAGE(IPC_Trimestriel!CE36:CH36)-1)</f>
        <v>9.5152295753417881E-3</v>
      </c>
      <c r="CI36" s="84">
        <f>IF(OR(IPC_Trimestriel!CM36="",IPC_Trimestriel!CJ36="",IPC_Trimestriel!CF36=""),"",AVERAGE(IPC_Trimestriel!CJ36:CM36)/AVERAGE(IPC_Trimestriel!CF36:CI36)-1)</f>
        <v>9.0513131570910677E-3</v>
      </c>
      <c r="CJ36" s="84">
        <f>IF(OR(IPC_Trimestriel!CN36="",IPC_Trimestriel!CK36="",IPC_Trimestriel!CG36=""),"",AVERAGE(IPC_Trimestriel!CK36:CN36)/AVERAGE(IPC_Trimestriel!CG36:CJ36)-1)</f>
        <v>1.0802539525961663E-2</v>
      </c>
      <c r="CK36" s="84">
        <f>IF(OR(IPC_Trimestriel!CO36="",IPC_Trimestriel!CL36="",IPC_Trimestriel!CH36=""),"",AVERAGE(IPC_Trimestriel!CL36:CO36)/AVERAGE(IPC_Trimestriel!CH36:CK36)-1)</f>
        <v>1.6397358504184778E-2</v>
      </c>
      <c r="CL36" s="84">
        <f>IF(OR(IPC_Trimestriel!CP36="",IPC_Trimestriel!CM36="",IPC_Trimestriel!CI36=""),"",AVERAGE(IPC_Trimestriel!CM36:CP36)/AVERAGE(IPC_Trimestriel!CI36:CL36)-1)</f>
        <v>2.2738706125577046E-2</v>
      </c>
      <c r="CM36" s="84">
        <f>IF(OR(IPC_Trimestriel!CQ36="",IPC_Trimestriel!CN36="",IPC_Trimestriel!CJ36=""),"",AVERAGE(IPC_Trimestriel!CN36:CQ36)/AVERAGE(IPC_Trimestriel!CJ36:CM36)-1)</f>
        <v>2.9078367413755801E-2</v>
      </c>
      <c r="CN36" s="84" t="str">
        <f>IF(OR(IPC_Trimestriel!CR36="",IPC_Trimestriel!CO36="",IPC_Trimestriel!CK36=""),"",AVERAGE(IPC_Trimestriel!CO36:CR36)/AVERAGE(IPC_Trimestriel!CK36:CN36)-1)</f>
        <v/>
      </c>
      <c r="CO36" s="84" t="str">
        <f>IF(OR(IPC_Trimestriel!CS36="",IPC_Trimestriel!CP36="",IPC_Trimestriel!CL36=""),"",AVERAGE(IPC_Trimestriel!CP36:CS36)/AVERAGE(IPC_Trimestriel!CL36:CO36)-1)</f>
        <v/>
      </c>
      <c r="CP36" s="84" t="str">
        <f>IF(OR(IPC_Trimestriel!CT36="",IPC_Trimestriel!CQ36="",IPC_Trimestriel!CM36=""),"",AVERAGE(IPC_Trimestriel!CQ36:CT36)/AVERAGE(IPC_Trimestriel!CM36:CP36)-1)</f>
        <v/>
      </c>
    </row>
    <row r="37" spans="1:94" s="74" customFormat="1" ht="10.199999999999999" x14ac:dyDescent="0.2"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</row>
    <row r="38" spans="1:94" s="14" customFormat="1" ht="10.199999999999999" x14ac:dyDescent="0.2">
      <c r="B38" s="9" t="s">
        <v>5</v>
      </c>
      <c r="C38" s="62">
        <f>SUM(C7:C8)</f>
        <v>0</v>
      </c>
      <c r="D38" s="34"/>
      <c r="E38" s="34"/>
      <c r="F38" s="34"/>
      <c r="G38" s="34" t="str">
        <f>IF(OR(IPC_Trimestriel!K38="",IPC_Trimestriel!H38="",IPC_Trimestriel!D38=""),"",AVERAGE(IPC_Trimestriel!H38:K38)/AVERAGE(IPC_Trimestriel!D38:G38)-1)</f>
        <v/>
      </c>
      <c r="H38" s="34" t="str">
        <f>IF(OR(IPC_Trimestriel!L38="",IPC_Trimestriel!I38="",IPC_Trimestriel!E38=""),"",AVERAGE(IPC_Trimestriel!I38:L38)/AVERAGE(IPC_Trimestriel!E38:H38)-1)</f>
        <v/>
      </c>
      <c r="I38" s="34" t="str">
        <f>IF(OR(IPC_Trimestriel!M38="",IPC_Trimestriel!J38="",IPC_Trimestriel!F38=""),"",AVERAGE(IPC_Trimestriel!J38:M38)/AVERAGE(IPC_Trimestriel!F38:I38)-1)</f>
        <v/>
      </c>
      <c r="J38" s="34" t="str">
        <f>IF(OR(IPC_Trimestriel!N38="",IPC_Trimestriel!K38="",IPC_Trimestriel!G38=""),"",AVERAGE(IPC_Trimestriel!K38:N38)/AVERAGE(IPC_Trimestriel!G38:J38)-1)</f>
        <v/>
      </c>
      <c r="K38" s="34" t="str">
        <f>IF(OR(IPC_Trimestriel!O38="",IPC_Trimestriel!L38="",IPC_Trimestriel!H38=""),"",AVERAGE(IPC_Trimestriel!L38:O38)/AVERAGE(IPC_Trimestriel!H38:K38)-1)</f>
        <v/>
      </c>
      <c r="L38" s="34" t="str">
        <f>IF(OR(IPC_Trimestriel!P38="",IPC_Trimestriel!M38="",IPC_Trimestriel!I38=""),"",AVERAGE(IPC_Trimestriel!M38:P38)/AVERAGE(IPC_Trimestriel!I38:L38)-1)</f>
        <v/>
      </c>
      <c r="M38" s="34" t="str">
        <f>IF(OR(IPC_Trimestriel!Q38="",IPC_Trimestriel!N38="",IPC_Trimestriel!J38=""),"",AVERAGE(IPC_Trimestriel!N38:Q38)/AVERAGE(IPC_Trimestriel!J38:M38)-1)</f>
        <v/>
      </c>
      <c r="N38" s="34" t="str">
        <f>IF(OR(IPC_Trimestriel!R38="",IPC_Trimestriel!O38="",IPC_Trimestriel!K38=""),"",AVERAGE(IPC_Trimestriel!O38:R38)/AVERAGE(IPC_Trimestriel!K38:N38)-1)</f>
        <v/>
      </c>
      <c r="O38" s="34" t="str">
        <f>IF(OR(IPC_Trimestriel!S38="",IPC_Trimestriel!P38="",IPC_Trimestriel!L38=""),"",AVERAGE(IPC_Trimestriel!P38:S38)/AVERAGE(IPC_Trimestriel!L38:O38)-1)</f>
        <v/>
      </c>
      <c r="P38" s="34" t="str">
        <f>IF(OR(IPC_Trimestriel!T38="",IPC_Trimestriel!Q38="",IPC_Trimestriel!M38=""),"",AVERAGE(IPC_Trimestriel!Q38:T38)/AVERAGE(IPC_Trimestriel!M38:P38)-1)</f>
        <v/>
      </c>
      <c r="Q38" s="34" t="str">
        <f>IF(OR(IPC_Trimestriel!U38="",IPC_Trimestriel!R38="",IPC_Trimestriel!N38=""),"",AVERAGE(IPC_Trimestriel!R38:U38)/AVERAGE(IPC_Trimestriel!N38:Q38)-1)</f>
        <v/>
      </c>
      <c r="R38" s="34" t="str">
        <f>IF(OR(IPC_Trimestriel!V38="",IPC_Trimestriel!S38="",IPC_Trimestriel!O38=""),"",AVERAGE(IPC_Trimestriel!S38:V38)/AVERAGE(IPC_Trimestriel!O38:R38)-1)</f>
        <v/>
      </c>
      <c r="S38" s="34" t="str">
        <f>IF(OR(IPC_Trimestriel!W38="",IPC_Trimestriel!T38="",IPC_Trimestriel!P38=""),"",AVERAGE(IPC_Trimestriel!T38:W38)/AVERAGE(IPC_Trimestriel!P38:S38)-1)</f>
        <v/>
      </c>
      <c r="T38" s="34" t="str">
        <f>IF(OR(IPC_Trimestriel!X38="",IPC_Trimestriel!U38="",IPC_Trimestriel!Q38=""),"",AVERAGE(IPC_Trimestriel!U38:X38)/AVERAGE(IPC_Trimestriel!Q38:T38)-1)</f>
        <v/>
      </c>
      <c r="U38" s="34" t="str">
        <f>IF(OR(IPC_Trimestriel!Y38="",IPC_Trimestriel!V38="",IPC_Trimestriel!R38=""),"",AVERAGE(IPC_Trimestriel!V38:Y38)/AVERAGE(IPC_Trimestriel!R38:U38)-1)</f>
        <v/>
      </c>
      <c r="V38" s="34" t="str">
        <f>IF(OR(IPC_Trimestriel!Z38="",IPC_Trimestriel!W38="",IPC_Trimestriel!S38=""),"",AVERAGE(IPC_Trimestriel!W38:Z38)/AVERAGE(IPC_Trimestriel!S38:V38)-1)</f>
        <v/>
      </c>
      <c r="W38" s="34" t="str">
        <f>IF(OR(IPC_Trimestriel!AA38="",IPC_Trimestriel!X38="",IPC_Trimestriel!T38=""),"",AVERAGE(IPC_Trimestriel!X38:AA38)/AVERAGE(IPC_Trimestriel!T38:W38)-1)</f>
        <v/>
      </c>
      <c r="X38" s="34" t="str">
        <f>IF(OR(IPC_Trimestriel!AB38="",IPC_Trimestriel!Y38="",IPC_Trimestriel!U38=""),"",AVERAGE(IPC_Trimestriel!Y38:AB38)/AVERAGE(IPC_Trimestriel!U38:X38)-1)</f>
        <v/>
      </c>
      <c r="Y38" s="34" t="str">
        <f>IF(OR(IPC_Trimestriel!AC38="",IPC_Trimestriel!Z38="",IPC_Trimestriel!V38=""),"",AVERAGE(IPC_Trimestriel!Z38:AC38)/AVERAGE(IPC_Trimestriel!V38:Y38)-1)</f>
        <v/>
      </c>
      <c r="Z38" s="34" t="str">
        <f>IF(OR(IPC_Trimestriel!AD38="",IPC_Trimestriel!AA38="",IPC_Trimestriel!W38=""),"",AVERAGE(IPC_Trimestriel!AA38:AD38)/AVERAGE(IPC_Trimestriel!W38:Z38)-1)</f>
        <v/>
      </c>
      <c r="AA38" s="34" t="str">
        <f>IF(OR(IPC_Trimestriel!AE38="",IPC_Trimestriel!AB38="",IPC_Trimestriel!X38=""),"",AVERAGE(IPC_Trimestriel!AB38:AE38)/AVERAGE(IPC_Trimestriel!X38:AA38)-1)</f>
        <v/>
      </c>
      <c r="AB38" s="34" t="str">
        <f>IF(OR(IPC_Trimestriel!AF38="",IPC_Trimestriel!AC38="",IPC_Trimestriel!Y38=""),"",AVERAGE(IPC_Trimestriel!AC38:AF38)/AVERAGE(IPC_Trimestriel!Y38:AB38)-1)</f>
        <v/>
      </c>
      <c r="AC38" s="34" t="str">
        <f>IF(OR(IPC_Trimestriel!AG38="",IPC_Trimestriel!AD38="",IPC_Trimestriel!Z38=""),"",AVERAGE(IPC_Trimestriel!AD38:AG38)/AVERAGE(IPC_Trimestriel!Z38:AC38)-1)</f>
        <v/>
      </c>
      <c r="AD38" s="34" t="str">
        <f>IF(OR(IPC_Trimestriel!AH38="",IPC_Trimestriel!AE38="",IPC_Trimestriel!AA38=""),"",AVERAGE(IPC_Trimestriel!AE38:AH38)/AVERAGE(IPC_Trimestriel!AA38:AD38)-1)</f>
        <v/>
      </c>
      <c r="AE38" s="34" t="str">
        <f>IF(OR(IPC_Trimestriel!AI38="",IPC_Trimestriel!AF38="",IPC_Trimestriel!AB38=""),"",AVERAGE(IPC_Trimestriel!AF38:AI38)/AVERAGE(IPC_Trimestriel!AB38:AE38)-1)</f>
        <v/>
      </c>
      <c r="AF38" s="34" t="str">
        <f>IF(OR(IPC_Trimestriel!AJ38="",IPC_Trimestriel!AG38="",IPC_Trimestriel!AC38=""),"",AVERAGE(IPC_Trimestriel!AG38:AJ38)/AVERAGE(IPC_Trimestriel!AC38:AF38)-1)</f>
        <v/>
      </c>
      <c r="AG38" s="34" t="str">
        <f>IF(OR(IPC_Trimestriel!AK38="",IPC_Trimestriel!AH38="",IPC_Trimestriel!AD38=""),"",AVERAGE(IPC_Trimestriel!AH38:AK38)/AVERAGE(IPC_Trimestriel!AD38:AG38)-1)</f>
        <v/>
      </c>
      <c r="AH38" s="34" t="str">
        <f>IF(OR(IPC_Trimestriel!AL38="",IPC_Trimestriel!AI38="",IPC_Trimestriel!AE38=""),"",AVERAGE(IPC_Trimestriel!AI38:AL38)/AVERAGE(IPC_Trimestriel!AE38:AH38)-1)</f>
        <v/>
      </c>
      <c r="AI38" s="34" t="str">
        <f>IF(OR(IPC_Trimestriel!AM38="",IPC_Trimestriel!AJ38="",IPC_Trimestriel!AF38=""),"",AVERAGE(IPC_Trimestriel!AJ38:AM38)/AVERAGE(IPC_Trimestriel!AF38:AI38)-1)</f>
        <v/>
      </c>
      <c r="AJ38" s="34" t="str">
        <f>IF(OR(IPC_Trimestriel!AN38="",IPC_Trimestriel!AK38="",IPC_Trimestriel!AG38=""),"",AVERAGE(IPC_Trimestriel!AK38:AN38)/AVERAGE(IPC_Trimestriel!AG38:AJ38)-1)</f>
        <v/>
      </c>
      <c r="AK38" s="34" t="str">
        <f>IF(OR(IPC_Trimestriel!AO38="",IPC_Trimestriel!AL38="",IPC_Trimestriel!AH38=""),"",AVERAGE(IPC_Trimestriel!AL38:AO38)/AVERAGE(IPC_Trimestriel!AH38:AK38)-1)</f>
        <v/>
      </c>
      <c r="AL38" s="34" t="str">
        <f>IF(OR(IPC_Trimestriel!AP38="",IPC_Trimestriel!AM38="",IPC_Trimestriel!AI38=""),"",AVERAGE(IPC_Trimestriel!AM38:AP38)/AVERAGE(IPC_Trimestriel!AI38:AL38)-1)</f>
        <v/>
      </c>
      <c r="AM38" s="34" t="str">
        <f>IF(OR(IPC_Trimestriel!AQ38="",IPC_Trimestriel!AN38="",IPC_Trimestriel!AJ38=""),"",AVERAGE(IPC_Trimestriel!AN38:AQ38)/AVERAGE(IPC_Trimestriel!AJ38:AM38)-1)</f>
        <v/>
      </c>
      <c r="AN38" s="34" t="str">
        <f>IF(OR(IPC_Trimestriel!AR38="",IPC_Trimestriel!AO38="",IPC_Trimestriel!AK38=""),"",AVERAGE(IPC_Trimestriel!AO38:AR38)/AVERAGE(IPC_Trimestriel!AK38:AN38)-1)</f>
        <v/>
      </c>
      <c r="AO38" s="34" t="str">
        <f>IF(OR(IPC_Trimestriel!AS38="",IPC_Trimestriel!AP38="",IPC_Trimestriel!AL38=""),"",AVERAGE(IPC_Trimestriel!AP38:AS38)/AVERAGE(IPC_Trimestriel!AL38:AO38)-1)</f>
        <v/>
      </c>
      <c r="AP38" s="34" t="str">
        <f>IF(OR(IPC_Trimestriel!AT38="",IPC_Trimestriel!AQ38="",IPC_Trimestriel!AM38=""),"",AVERAGE(IPC_Trimestriel!AQ38:AT38)/AVERAGE(IPC_Trimestriel!AM38:AP38)-1)</f>
        <v/>
      </c>
      <c r="AQ38" s="34" t="str">
        <f>IF(OR(IPC_Trimestriel!AU38="",IPC_Trimestriel!AR38="",IPC_Trimestriel!AN38=""),"",AVERAGE(IPC_Trimestriel!AR38:AU38)/AVERAGE(IPC_Trimestriel!AN38:AQ38)-1)</f>
        <v/>
      </c>
      <c r="AR38" s="34" t="str">
        <f>IF(OR(IPC_Trimestriel!AV38="",IPC_Trimestriel!AS38="",IPC_Trimestriel!AO38=""),"",AVERAGE(IPC_Trimestriel!AS38:AV38)/AVERAGE(IPC_Trimestriel!AO38:AR38)-1)</f>
        <v/>
      </c>
      <c r="AS38" s="34" t="str">
        <f>IF(OR(IPC_Trimestriel!AW38="",IPC_Trimestriel!AT38="",IPC_Trimestriel!AP38=""),"",AVERAGE(IPC_Trimestriel!AT38:AW38)/AVERAGE(IPC_Trimestriel!AP38:AS38)-1)</f>
        <v/>
      </c>
      <c r="AT38" s="34" t="str">
        <f>IF(OR(IPC_Trimestriel!AX38="",IPC_Trimestriel!AU38="",IPC_Trimestriel!AQ38=""),"",AVERAGE(IPC_Trimestriel!AU38:AX38)/AVERAGE(IPC_Trimestriel!AQ38:AT38)-1)</f>
        <v/>
      </c>
      <c r="AU38" s="34" t="str">
        <f>IF(OR(IPC_Trimestriel!AY38="",IPC_Trimestriel!AV38="",IPC_Trimestriel!AR38=""),"",AVERAGE(IPC_Trimestriel!AV38:AY38)/AVERAGE(IPC_Trimestriel!AR38:AU38)-1)</f>
        <v/>
      </c>
      <c r="AV38" s="34" t="str">
        <f>IF(OR(IPC_Trimestriel!AZ38="",IPC_Trimestriel!AW38="",IPC_Trimestriel!AS38=""),"",AVERAGE(IPC_Trimestriel!AW38:AZ38)/AVERAGE(IPC_Trimestriel!AS38:AV38)-1)</f>
        <v/>
      </c>
      <c r="AW38" s="34" t="str">
        <f>IF(OR(IPC_Trimestriel!BA38="",IPC_Trimestriel!AX38="",IPC_Trimestriel!AT38=""),"",AVERAGE(IPC_Trimestriel!AX38:BA38)/AVERAGE(IPC_Trimestriel!AT38:AW38)-1)</f>
        <v/>
      </c>
      <c r="AX38" s="34" t="str">
        <f>IF(OR(IPC_Trimestriel!BB38="",IPC_Trimestriel!AY38="",IPC_Trimestriel!AU38=""),"",AVERAGE(IPC_Trimestriel!AY38:BB38)/AVERAGE(IPC_Trimestriel!AU38:AX38)-1)</f>
        <v/>
      </c>
      <c r="AY38" s="34" t="str">
        <f>IF(OR(IPC_Trimestriel!BC38="",IPC_Trimestriel!AZ38="",IPC_Trimestriel!AV38=""),"",AVERAGE(IPC_Trimestriel!AZ38:BC38)/AVERAGE(IPC_Trimestriel!AV38:AY38)-1)</f>
        <v/>
      </c>
      <c r="AZ38" s="34" t="str">
        <f>IF(OR(IPC_Trimestriel!BD38="",IPC_Trimestriel!BA38="",IPC_Trimestriel!AW38=""),"",AVERAGE(IPC_Trimestriel!BA38:BD38)/AVERAGE(IPC_Trimestriel!AW38:AZ38)-1)</f>
        <v/>
      </c>
      <c r="BA38" s="34" t="str">
        <f>IF(OR(IPC_Trimestriel!BE38="",IPC_Trimestriel!BB38="",IPC_Trimestriel!AX38=""),"",AVERAGE(IPC_Trimestriel!BB38:BE38)/AVERAGE(IPC_Trimestriel!AX38:BA38)-1)</f>
        <v/>
      </c>
      <c r="BB38" s="34" t="str">
        <f>IF(OR(IPC_Trimestriel!BF38="",IPC_Trimestriel!BC38="",IPC_Trimestriel!AY38=""),"",AVERAGE(IPC_Trimestriel!BC38:BF38)/AVERAGE(IPC_Trimestriel!AY38:BB38)-1)</f>
        <v/>
      </c>
      <c r="BC38" s="34">
        <f>IF(OR(IPC_Trimestriel!BG38="",IPC_Trimestriel!BD38="",IPC_Trimestriel!AZ38=""),"",AVERAGE(IPC_Trimestriel!BD38:BG38)/AVERAGE(IPC_Trimestriel!AZ38:BC38)-1)</f>
        <v>1.4000957929250823E-2</v>
      </c>
      <c r="BD38" s="34">
        <f>IF(OR(IPC_Trimestriel!BH38="",IPC_Trimestriel!BE38="",IPC_Trimestriel!BA38=""),"",AVERAGE(IPC_Trimestriel!BE38:BH38)/AVERAGE(IPC_Trimestriel!BA38:BD38)-1)</f>
        <v>1.2541943276423106E-2</v>
      </c>
      <c r="BE38" s="34">
        <f>IF(OR(IPC_Trimestriel!BI38="",IPC_Trimestriel!BF38="",IPC_Trimestriel!BB38=""),"",AVERAGE(IPC_Trimestriel!BF38:BI38)/AVERAGE(IPC_Trimestriel!BB38:BE38)-1)</f>
        <v>1.1356537679181544E-2</v>
      </c>
      <c r="BF38" s="34">
        <f>IF(OR(IPC_Trimestriel!BJ38="",IPC_Trimestriel!BG38="",IPC_Trimestriel!BC38=""),"",AVERAGE(IPC_Trimestriel!BG38:BJ38)/AVERAGE(IPC_Trimestriel!BC38:BF38)-1)</f>
        <v>1.6678071527979732E-2</v>
      </c>
      <c r="BG38" s="34">
        <f>IF(OR(IPC_Trimestriel!BK38="",IPC_Trimestriel!BH38="",IPC_Trimestriel!BD38=""),"",AVERAGE(IPC_Trimestriel!BH38:BK38)/AVERAGE(IPC_Trimestriel!BD38:BG38)-1)</f>
        <v>2.1520288107308883E-2</v>
      </c>
      <c r="BH38" s="34">
        <f>IF(OR(IPC_Trimestriel!BL38="",IPC_Trimestriel!BI38="",IPC_Trimestriel!BE38=""),"",AVERAGE(IPC_Trimestriel!BI38:BL38)/AVERAGE(IPC_Trimestriel!BE38:BH38)-1)</f>
        <v>2.7289851843994573E-2</v>
      </c>
      <c r="BI38" s="34">
        <f>IF(OR(IPC_Trimestriel!BM38="",IPC_Trimestriel!BJ38="",IPC_Trimestriel!BF38=""),"",AVERAGE(IPC_Trimestriel!BJ38:BM38)/AVERAGE(IPC_Trimestriel!BF38:BI38)-1)</f>
        <v>3.5468588003908508E-2</v>
      </c>
      <c r="BJ38" s="34">
        <f>IF(OR(IPC_Trimestriel!BN38="",IPC_Trimestriel!BK38="",IPC_Trimestriel!BG38=""),"",AVERAGE(IPC_Trimestriel!BK38:BN38)/AVERAGE(IPC_Trimestriel!BG38:BJ38)-1)</f>
        <v>3.1799270677494329E-2</v>
      </c>
      <c r="BK38" s="34">
        <f>IF(OR(IPC_Trimestriel!BO38="",IPC_Trimestriel!BL38="",IPC_Trimestriel!BH38=""),"",AVERAGE(IPC_Trimestriel!BL38:BO38)/AVERAGE(IPC_Trimestriel!BH38:BK38)-1)</f>
        <v>2.7033306701836679E-2</v>
      </c>
      <c r="BL38" s="34">
        <f>IF(OR(IPC_Trimestriel!BP38="",IPC_Trimestriel!BM38="",IPC_Trimestriel!BI38=""),"",AVERAGE(IPC_Trimestriel!BM38:BP38)/AVERAGE(IPC_Trimestriel!BI38:BL38)-1)</f>
        <v>2.1306841081585759E-2</v>
      </c>
      <c r="BM38" s="34">
        <f>IF(OR(IPC_Trimestriel!BQ38="",IPC_Trimestriel!BN38="",IPC_Trimestriel!BJ38=""),"",AVERAGE(IPC_Trimestriel!BN38:BQ38)/AVERAGE(IPC_Trimestriel!BJ38:BM38)-1)</f>
        <v>1.2445420115114292E-2</v>
      </c>
      <c r="BN38" s="34">
        <f>IF(OR(IPC_Trimestriel!BR38="",IPC_Trimestriel!BO38="",IPC_Trimestriel!BK38=""),"",AVERAGE(IPC_Trimestriel!BO38:BR38)/AVERAGE(IPC_Trimestriel!BK38:BN38)-1)</f>
        <v>8.9250321806588762E-3</v>
      </c>
      <c r="BO38" s="34">
        <f>IF(OR(IPC_Trimestriel!BS38="",IPC_Trimestriel!BP38="",IPC_Trimestriel!BL38=""),"",AVERAGE(IPC_Trimestriel!BP38:BS38)/AVERAGE(IPC_Trimestriel!BL38:BO38)-1)</f>
        <v>7.0066323667541397E-3</v>
      </c>
      <c r="BP38" s="34">
        <f>IF(OR(IPC_Trimestriel!BT38="",IPC_Trimestriel!BQ38="",IPC_Trimestriel!BM38=""),"",AVERAGE(IPC_Trimestriel!BQ38:BT38)/AVERAGE(IPC_Trimestriel!BM38:BP38)-1)</f>
        <v>6.4714802873939714E-3</v>
      </c>
      <c r="BQ38" s="34">
        <f>IF(OR(IPC_Trimestriel!BU38="",IPC_Trimestriel!BR38="",IPC_Trimestriel!BN38=""),"",AVERAGE(IPC_Trimestriel!BR38:BU38)/AVERAGE(IPC_Trimestriel!BN38:BQ38)-1)</f>
        <v>7.5358500433813091E-3</v>
      </c>
      <c r="BR38" s="34">
        <f>IF(OR(IPC_Trimestriel!BV38="",IPC_Trimestriel!BS38="",IPC_Trimestriel!BO38=""),"",AVERAGE(IPC_Trimestriel!BS38:BV38)/AVERAGE(IPC_Trimestriel!BO38:BR38)-1)</f>
        <v>8.7561677162784068E-3</v>
      </c>
      <c r="BS38" s="34">
        <f>IF(OR(IPC_Trimestriel!BW38="",IPC_Trimestriel!BT38="",IPC_Trimestriel!BP38=""),"",AVERAGE(IPC_Trimestriel!BT38:BW38)/AVERAGE(IPC_Trimestriel!BP38:BS38)-1)</f>
        <v>9.1660646506603882E-3</v>
      </c>
      <c r="BT38" s="34">
        <f>IF(OR(IPC_Trimestriel!BX38="",IPC_Trimestriel!BU38="",IPC_Trimestriel!BQ38=""),"",AVERAGE(IPC_Trimestriel!BU38:BX38)/AVERAGE(IPC_Trimestriel!BQ38:BT38)-1)</f>
        <v>8.1455519374247221E-3</v>
      </c>
      <c r="BU38" s="34">
        <f>IF(OR(IPC_Trimestriel!BY38="",IPC_Trimestriel!BV38="",IPC_Trimestriel!BR38=""),"",AVERAGE(IPC_Trimestriel!BV38:BY38)/AVERAGE(IPC_Trimestriel!BR38:BU38)-1)</f>
        <v>7.2573006277185659E-3</v>
      </c>
      <c r="BV38" s="34">
        <f>IF(OR(IPC_Trimestriel!BZ38="",IPC_Trimestriel!BW38="",IPC_Trimestriel!BS38=""),"",AVERAGE(IPC_Trimestriel!BW38:BZ38)/AVERAGE(IPC_Trimestriel!BS38:BV38)-1)</f>
        <v>7.6871169713843557E-3</v>
      </c>
      <c r="BW38" s="34">
        <f>IF(OR(IPC_Trimestriel!CA38="",IPC_Trimestriel!BX38="",IPC_Trimestriel!BT38=""),"",AVERAGE(IPC_Trimestriel!BX38:CA38)/AVERAGE(IPC_Trimestriel!BT38:BW38)-1)</f>
        <v>9.6965891421341155E-3</v>
      </c>
      <c r="BX38" s="34">
        <f>IF(OR(IPC_Trimestriel!CB38="",IPC_Trimestriel!BY38="",IPC_Trimestriel!BU38=""),"",AVERAGE(IPC_Trimestriel!BY38:CB38)/AVERAGE(IPC_Trimestriel!BU38:BX38)-1)</f>
        <v>1.3376188759204544E-2</v>
      </c>
      <c r="BY38" s="34">
        <f>IF(OR(IPC_Trimestriel!CC38="",IPC_Trimestriel!BZ38="",IPC_Trimestriel!BV38=""),"",AVERAGE(IPC_Trimestriel!BZ38:CC38)/AVERAGE(IPC_Trimestriel!BV38:BY38)-1)</f>
        <v>1.7478723583439715E-2</v>
      </c>
      <c r="BZ38" s="34">
        <f>IF(OR(IPC_Trimestriel!CD38="",IPC_Trimestriel!CA38="",IPC_Trimestriel!BW38=""),"",AVERAGE(IPC_Trimestriel!CA38:CD38)/AVERAGE(IPC_Trimestriel!BW38:BZ38)-1)</f>
        <v>1.9917392719620564E-2</v>
      </c>
      <c r="CA38" s="34">
        <f>IF(OR(IPC_Trimestriel!CE38="",IPC_Trimestriel!CB38="",IPC_Trimestriel!BX38=""),"",AVERAGE(IPC_Trimestriel!CB38:CE38)/AVERAGE(IPC_Trimestriel!BX38:CA38)-1)</f>
        <v>2.1680257288021698E-2</v>
      </c>
      <c r="CB38" s="34">
        <f>IF(OR(IPC_Trimestriel!CF38="",IPC_Trimestriel!CC38="",IPC_Trimestriel!BY38=""),"",AVERAGE(IPC_Trimestriel!CC38:CF38)/AVERAGE(IPC_Trimestriel!BY38:CB38)-1)</f>
        <v>2.197693475581719E-2</v>
      </c>
      <c r="CC38" s="34" t="str">
        <f>IF(OR(IPC_Trimestriel!CG38="",IPC_Trimestriel!CD38="",IPC_Trimestriel!BZ38=""),"",AVERAGE(IPC_Trimestriel!CD38:CG38)/AVERAGE(IPC_Trimestriel!BZ38:CC38)-1)</f>
        <v/>
      </c>
      <c r="CD38" s="34">
        <f>IF(OR(IPC_Trimestriel!CH38="",IPC_Trimestriel!CE38="",IPC_Trimestriel!CA38=""),"",AVERAGE(IPC_Trimestriel!CE38:CH38)/AVERAGE(IPC_Trimestriel!CA38:CD38)-1)</f>
        <v>1.9504105046028064E-2</v>
      </c>
      <c r="CE38" s="34">
        <f>IF(OR(IPC_Trimestriel!CI38="",IPC_Trimestriel!CF38="",IPC_Trimestriel!CB38=""),"",AVERAGE(IPC_Trimestriel!CF38:CI38)/AVERAGE(IPC_Trimestriel!CB38:CE38)-1)</f>
        <v>1.8825572219181685E-2</v>
      </c>
      <c r="CF38" s="34" t="str">
        <f>IF(OR(IPC_Trimestriel!CJ38="",IPC_Trimestriel!CG38="",IPC_Trimestriel!CC38=""),"",AVERAGE(IPC_Trimestriel!CG38:CJ38)/AVERAGE(IPC_Trimestriel!CC38:CF38)-1)</f>
        <v/>
      </c>
      <c r="CG38" s="34">
        <f>IF(OR(IPC_Trimestriel!CK38="",IPC_Trimestriel!CH38="",IPC_Trimestriel!CD38=""),"",AVERAGE(IPC_Trimestriel!CH38:CK38)/AVERAGE(IPC_Trimestriel!CD38:CG38)-1)</f>
        <v>1.737620020743269E-2</v>
      </c>
      <c r="CH38" s="34">
        <f>IF(OR(IPC_Trimestriel!CL38="",IPC_Trimestriel!CI38="",IPC_Trimestriel!CE38=""),"",AVERAGE(IPC_Trimestriel!CI38:CL38)/AVERAGE(IPC_Trimestriel!CE38:CH38)-1)</f>
        <v>1.5024576980781301E-2</v>
      </c>
      <c r="CI38" s="34">
        <f>IF(OR(IPC_Trimestriel!CM38="",IPC_Trimestriel!CJ38="",IPC_Trimestriel!CF38=""),"",AVERAGE(IPC_Trimestriel!CJ38:CM38)/AVERAGE(IPC_Trimestriel!CF38:CI38)-1)</f>
        <v>1.3272673582557015E-2</v>
      </c>
      <c r="CJ38" s="34" t="str">
        <f>IF(OR(IPC_Trimestriel!CN38="",IPC_Trimestriel!CK38="",IPC_Trimestriel!CG38=""),"",AVERAGE(IPC_Trimestriel!CK38:CN38)/AVERAGE(IPC_Trimestriel!CG38:CJ38)-1)</f>
        <v/>
      </c>
      <c r="CK38" s="34">
        <f>IF(OR(IPC_Trimestriel!CO38="",IPC_Trimestriel!CL38="",IPC_Trimestriel!CH38=""),"",AVERAGE(IPC_Trimestriel!CL38:CO38)/AVERAGE(IPC_Trimestriel!CH38:CK38)-1)</f>
        <v>2.410252384096756E-2</v>
      </c>
      <c r="CL38" s="34">
        <f>IF(OR(IPC_Trimestriel!CP38="",IPC_Trimestriel!CM38="",IPC_Trimestriel!CI38=""),"",AVERAGE(IPC_Trimestriel!CM38:CP38)/AVERAGE(IPC_Trimestriel!CI38:CL38)-1)</f>
        <v>2.9007684743564077E-2</v>
      </c>
      <c r="CM38" s="34">
        <f>IF(OR(IPC_Trimestriel!CQ38="",IPC_Trimestriel!CN38="",IPC_Trimestriel!CJ38=""),"",AVERAGE(IPC_Trimestriel!CN38:CQ38)/AVERAGE(IPC_Trimestriel!CJ38:CM38)-1)</f>
        <v>3.5785646396740756E-2</v>
      </c>
      <c r="CN38" s="34">
        <f>IF(OR(IPC_Trimestriel!CR38="",IPC_Trimestriel!CO38="",IPC_Trimestriel!CK38=""),"",AVERAGE(IPC_Trimestriel!CO38:CR38)/AVERAGE(IPC_Trimestriel!CK38:CN38)-1)</f>
        <v>3.3403403126447406E-2</v>
      </c>
      <c r="CO38" s="34">
        <f>IF(OR(IPC_Trimestriel!CS38="",IPC_Trimestriel!CP38="",IPC_Trimestriel!CL38=""),"",AVERAGE(IPC_Trimestriel!CP38:CS38)/AVERAGE(IPC_Trimestriel!CL38:CO38)-1)</f>
        <v>4.1437069187831854E-2</v>
      </c>
      <c r="CP38" s="34">
        <f>IF(OR(IPC_Trimestriel!CT38="",IPC_Trimestriel!CQ38="",IPC_Trimestriel!CM38=""),"",AVERAGE(IPC_Trimestriel!CQ38:CT38)/AVERAGE(IPC_Trimestriel!CM38:CP38)-1)</f>
        <v>4.7400959618415062E-2</v>
      </c>
    </row>
    <row r="39" spans="1:94" s="14" customFormat="1" ht="10.199999999999999" x14ac:dyDescent="0.2">
      <c r="B39" s="9" t="s">
        <v>6</v>
      </c>
      <c r="C39" s="9"/>
      <c r="D39" s="34"/>
      <c r="E39" s="34"/>
      <c r="F39" s="34"/>
      <c r="G39" s="34" t="str">
        <f>IF(OR(IPC_Trimestriel!K39="",IPC_Trimestriel!H39="",IPC_Trimestriel!D39=""),"",AVERAGE(IPC_Trimestriel!H39:K39)/AVERAGE(IPC_Trimestriel!D39:G39)-1)</f>
        <v/>
      </c>
      <c r="H39" s="34" t="str">
        <f>IF(OR(IPC_Trimestriel!L39="",IPC_Trimestriel!I39="",IPC_Trimestriel!E39=""),"",AVERAGE(IPC_Trimestriel!I39:L39)/AVERAGE(IPC_Trimestriel!E39:H39)-1)</f>
        <v/>
      </c>
      <c r="I39" s="34" t="str">
        <f>IF(OR(IPC_Trimestriel!M39="",IPC_Trimestriel!J39="",IPC_Trimestriel!F39=""),"",AVERAGE(IPC_Trimestriel!J39:M39)/AVERAGE(IPC_Trimestriel!F39:I39)-1)</f>
        <v/>
      </c>
      <c r="J39" s="34" t="str">
        <f>IF(OR(IPC_Trimestriel!N39="",IPC_Trimestriel!K39="",IPC_Trimestriel!G39=""),"",AVERAGE(IPC_Trimestriel!K39:N39)/AVERAGE(IPC_Trimestriel!G39:J39)-1)</f>
        <v/>
      </c>
      <c r="K39" s="34" t="str">
        <f>IF(OR(IPC_Trimestriel!O39="",IPC_Trimestriel!L39="",IPC_Trimestriel!H39=""),"",AVERAGE(IPC_Trimestriel!L39:O39)/AVERAGE(IPC_Trimestriel!H39:K39)-1)</f>
        <v/>
      </c>
      <c r="L39" s="34" t="str">
        <f>IF(OR(IPC_Trimestriel!P39="",IPC_Trimestriel!M39="",IPC_Trimestriel!I39=""),"",AVERAGE(IPC_Trimestriel!M39:P39)/AVERAGE(IPC_Trimestriel!I39:L39)-1)</f>
        <v/>
      </c>
      <c r="M39" s="34" t="str">
        <f>IF(OR(IPC_Trimestriel!Q39="",IPC_Trimestriel!N39="",IPC_Trimestriel!J39=""),"",AVERAGE(IPC_Trimestriel!N39:Q39)/AVERAGE(IPC_Trimestriel!J39:M39)-1)</f>
        <v/>
      </c>
      <c r="N39" s="34" t="str">
        <f>IF(OR(IPC_Trimestriel!R39="",IPC_Trimestriel!O39="",IPC_Trimestriel!K39=""),"",AVERAGE(IPC_Trimestriel!O39:R39)/AVERAGE(IPC_Trimestriel!K39:N39)-1)</f>
        <v/>
      </c>
      <c r="O39" s="34" t="str">
        <f>IF(OR(IPC_Trimestriel!S39="",IPC_Trimestriel!P39="",IPC_Trimestriel!L39=""),"",AVERAGE(IPC_Trimestriel!P39:S39)/AVERAGE(IPC_Trimestriel!L39:O39)-1)</f>
        <v/>
      </c>
      <c r="P39" s="34" t="str">
        <f>IF(OR(IPC_Trimestriel!T39="",IPC_Trimestriel!Q39="",IPC_Trimestriel!M39=""),"",AVERAGE(IPC_Trimestriel!Q39:T39)/AVERAGE(IPC_Trimestriel!M39:P39)-1)</f>
        <v/>
      </c>
      <c r="Q39" s="34" t="str">
        <f>IF(OR(IPC_Trimestriel!U39="",IPC_Trimestriel!R39="",IPC_Trimestriel!N39=""),"",AVERAGE(IPC_Trimestriel!R39:U39)/AVERAGE(IPC_Trimestriel!N39:Q39)-1)</f>
        <v/>
      </c>
      <c r="R39" s="34" t="str">
        <f>IF(OR(IPC_Trimestriel!V39="",IPC_Trimestriel!S39="",IPC_Trimestriel!O39=""),"",AVERAGE(IPC_Trimestriel!S39:V39)/AVERAGE(IPC_Trimestriel!O39:R39)-1)</f>
        <v/>
      </c>
      <c r="S39" s="34" t="str">
        <f>IF(OR(IPC_Trimestriel!W39="",IPC_Trimestriel!T39="",IPC_Trimestriel!P39=""),"",AVERAGE(IPC_Trimestriel!T39:W39)/AVERAGE(IPC_Trimestriel!P39:S39)-1)</f>
        <v/>
      </c>
      <c r="T39" s="34" t="str">
        <f>IF(OR(IPC_Trimestriel!X39="",IPC_Trimestriel!U39="",IPC_Trimestriel!Q39=""),"",AVERAGE(IPC_Trimestriel!U39:X39)/AVERAGE(IPC_Trimestriel!Q39:T39)-1)</f>
        <v/>
      </c>
      <c r="U39" s="34" t="str">
        <f>IF(OR(IPC_Trimestriel!Y39="",IPC_Trimestriel!V39="",IPC_Trimestriel!R39=""),"",AVERAGE(IPC_Trimestriel!V39:Y39)/AVERAGE(IPC_Trimestriel!R39:U39)-1)</f>
        <v/>
      </c>
      <c r="V39" s="34" t="str">
        <f>IF(OR(IPC_Trimestriel!Z39="",IPC_Trimestriel!W39="",IPC_Trimestriel!S39=""),"",AVERAGE(IPC_Trimestriel!W39:Z39)/AVERAGE(IPC_Trimestriel!S39:V39)-1)</f>
        <v/>
      </c>
      <c r="W39" s="34" t="str">
        <f>IF(OR(IPC_Trimestriel!AA39="",IPC_Trimestriel!X39="",IPC_Trimestriel!T39=""),"",AVERAGE(IPC_Trimestriel!X39:AA39)/AVERAGE(IPC_Trimestriel!T39:W39)-1)</f>
        <v/>
      </c>
      <c r="X39" s="34" t="str">
        <f>IF(OR(IPC_Trimestriel!AB39="",IPC_Trimestriel!Y39="",IPC_Trimestriel!U39=""),"",AVERAGE(IPC_Trimestriel!Y39:AB39)/AVERAGE(IPC_Trimestriel!U39:X39)-1)</f>
        <v/>
      </c>
      <c r="Y39" s="34" t="str">
        <f>IF(OR(IPC_Trimestriel!AC39="",IPC_Trimestriel!Z39="",IPC_Trimestriel!V39=""),"",AVERAGE(IPC_Trimestriel!Z39:AC39)/AVERAGE(IPC_Trimestriel!V39:Y39)-1)</f>
        <v/>
      </c>
      <c r="Z39" s="34" t="str">
        <f>IF(OR(IPC_Trimestriel!AD39="",IPC_Trimestriel!AA39="",IPC_Trimestriel!W39=""),"",AVERAGE(IPC_Trimestriel!AA39:AD39)/AVERAGE(IPC_Trimestriel!W39:Z39)-1)</f>
        <v/>
      </c>
      <c r="AA39" s="34" t="str">
        <f>IF(OR(IPC_Trimestriel!AE39="",IPC_Trimestriel!AB39="",IPC_Trimestriel!X39=""),"",AVERAGE(IPC_Trimestriel!AB39:AE39)/AVERAGE(IPC_Trimestriel!X39:AA39)-1)</f>
        <v/>
      </c>
      <c r="AB39" s="34" t="str">
        <f>IF(OR(IPC_Trimestriel!AF39="",IPC_Trimestriel!AC39="",IPC_Trimestriel!Y39=""),"",AVERAGE(IPC_Trimestriel!AC39:AF39)/AVERAGE(IPC_Trimestriel!Y39:AB39)-1)</f>
        <v/>
      </c>
      <c r="AC39" s="34" t="str">
        <f>IF(OR(IPC_Trimestriel!AG39="",IPC_Trimestriel!AD39="",IPC_Trimestriel!Z39=""),"",AVERAGE(IPC_Trimestriel!AD39:AG39)/AVERAGE(IPC_Trimestriel!Z39:AC39)-1)</f>
        <v/>
      </c>
      <c r="AD39" s="34" t="str">
        <f>IF(OR(IPC_Trimestriel!AH39="",IPC_Trimestriel!AE39="",IPC_Trimestriel!AA39=""),"",AVERAGE(IPC_Trimestriel!AE39:AH39)/AVERAGE(IPC_Trimestriel!AA39:AD39)-1)</f>
        <v/>
      </c>
      <c r="AE39" s="34" t="str">
        <f>IF(OR(IPC_Trimestriel!AI39="",IPC_Trimestriel!AF39="",IPC_Trimestriel!AB39=""),"",AVERAGE(IPC_Trimestriel!AF39:AI39)/AVERAGE(IPC_Trimestriel!AB39:AE39)-1)</f>
        <v/>
      </c>
      <c r="AF39" s="34" t="str">
        <f>IF(OR(IPC_Trimestriel!AJ39="",IPC_Trimestriel!AG39="",IPC_Trimestriel!AC39=""),"",AVERAGE(IPC_Trimestriel!AG39:AJ39)/AVERAGE(IPC_Trimestriel!AC39:AF39)-1)</f>
        <v/>
      </c>
      <c r="AG39" s="34" t="str">
        <f>IF(OR(IPC_Trimestriel!AK39="",IPC_Trimestriel!AH39="",IPC_Trimestriel!AD39=""),"",AVERAGE(IPC_Trimestriel!AH39:AK39)/AVERAGE(IPC_Trimestriel!AD39:AG39)-1)</f>
        <v/>
      </c>
      <c r="AH39" s="34" t="str">
        <f>IF(OR(IPC_Trimestriel!AL39="",IPC_Trimestriel!AI39="",IPC_Trimestriel!AE39=""),"",AVERAGE(IPC_Trimestriel!AI39:AL39)/AVERAGE(IPC_Trimestriel!AE39:AH39)-1)</f>
        <v/>
      </c>
      <c r="AI39" s="34" t="str">
        <f>IF(OR(IPC_Trimestriel!AM39="",IPC_Trimestriel!AJ39="",IPC_Trimestriel!AF39=""),"",AVERAGE(IPC_Trimestriel!AJ39:AM39)/AVERAGE(IPC_Trimestriel!AF39:AI39)-1)</f>
        <v/>
      </c>
      <c r="AJ39" s="34" t="str">
        <f>IF(OR(IPC_Trimestriel!AN39="",IPC_Trimestriel!AK39="",IPC_Trimestriel!AG39=""),"",AVERAGE(IPC_Trimestriel!AK39:AN39)/AVERAGE(IPC_Trimestriel!AG39:AJ39)-1)</f>
        <v/>
      </c>
      <c r="AK39" s="34" t="str">
        <f>IF(OR(IPC_Trimestriel!AO39="",IPC_Trimestriel!AL39="",IPC_Trimestriel!AH39=""),"",AVERAGE(IPC_Trimestriel!AL39:AO39)/AVERAGE(IPC_Trimestriel!AH39:AK39)-1)</f>
        <v/>
      </c>
      <c r="AL39" s="34" t="str">
        <f>IF(OR(IPC_Trimestriel!AP39="",IPC_Trimestriel!AM39="",IPC_Trimestriel!AI39=""),"",AVERAGE(IPC_Trimestriel!AM39:AP39)/AVERAGE(IPC_Trimestriel!AI39:AL39)-1)</f>
        <v/>
      </c>
      <c r="AM39" s="34" t="str">
        <f>IF(OR(IPC_Trimestriel!AQ39="",IPC_Trimestriel!AN39="",IPC_Trimestriel!AJ39=""),"",AVERAGE(IPC_Trimestriel!AN39:AQ39)/AVERAGE(IPC_Trimestriel!AJ39:AM39)-1)</f>
        <v/>
      </c>
      <c r="AN39" s="34" t="str">
        <f>IF(OR(IPC_Trimestriel!AR39="",IPC_Trimestriel!AO39="",IPC_Trimestriel!AK39=""),"",AVERAGE(IPC_Trimestriel!AO39:AR39)/AVERAGE(IPC_Trimestriel!AK39:AN39)-1)</f>
        <v/>
      </c>
      <c r="AO39" s="34" t="str">
        <f>IF(OR(IPC_Trimestriel!AS39="",IPC_Trimestriel!AP39="",IPC_Trimestriel!AL39=""),"",AVERAGE(IPC_Trimestriel!AP39:AS39)/AVERAGE(IPC_Trimestriel!AL39:AO39)-1)</f>
        <v/>
      </c>
      <c r="AP39" s="34" t="str">
        <f>IF(OR(IPC_Trimestriel!AT39="",IPC_Trimestriel!AQ39="",IPC_Trimestriel!AM39=""),"",AVERAGE(IPC_Trimestriel!AQ39:AT39)/AVERAGE(IPC_Trimestriel!AM39:AP39)-1)</f>
        <v/>
      </c>
      <c r="AQ39" s="34" t="str">
        <f>IF(OR(IPC_Trimestriel!AU39="",IPC_Trimestriel!AR39="",IPC_Trimestriel!AN39=""),"",AVERAGE(IPC_Trimestriel!AR39:AU39)/AVERAGE(IPC_Trimestriel!AN39:AQ39)-1)</f>
        <v/>
      </c>
      <c r="AR39" s="34" t="str">
        <f>IF(OR(IPC_Trimestriel!AV39="",IPC_Trimestriel!AS39="",IPC_Trimestriel!AO39=""),"",AVERAGE(IPC_Trimestriel!AS39:AV39)/AVERAGE(IPC_Trimestriel!AO39:AR39)-1)</f>
        <v/>
      </c>
      <c r="AS39" s="34" t="str">
        <f>IF(OR(IPC_Trimestriel!AW39="",IPC_Trimestriel!AT39="",IPC_Trimestriel!AP39=""),"",AVERAGE(IPC_Trimestriel!AT39:AW39)/AVERAGE(IPC_Trimestriel!AP39:AS39)-1)</f>
        <v/>
      </c>
      <c r="AT39" s="34" t="str">
        <f>IF(OR(IPC_Trimestriel!AX39="",IPC_Trimestriel!AU39="",IPC_Trimestriel!AQ39=""),"",AVERAGE(IPC_Trimestriel!AU39:AX39)/AVERAGE(IPC_Trimestriel!AQ39:AT39)-1)</f>
        <v/>
      </c>
      <c r="AU39" s="34" t="str">
        <f>IF(OR(IPC_Trimestriel!AY39="",IPC_Trimestriel!AV39="",IPC_Trimestriel!AR39=""),"",AVERAGE(IPC_Trimestriel!AV39:AY39)/AVERAGE(IPC_Trimestriel!AR39:AU39)-1)</f>
        <v/>
      </c>
      <c r="AV39" s="34" t="str">
        <f>IF(OR(IPC_Trimestriel!AZ39="",IPC_Trimestriel!AW39="",IPC_Trimestriel!AS39=""),"",AVERAGE(IPC_Trimestriel!AW39:AZ39)/AVERAGE(IPC_Trimestriel!AS39:AV39)-1)</f>
        <v/>
      </c>
      <c r="AW39" s="34" t="str">
        <f>IF(OR(IPC_Trimestriel!BA39="",IPC_Trimestriel!AX39="",IPC_Trimestriel!AT39=""),"",AVERAGE(IPC_Trimestriel!AX39:BA39)/AVERAGE(IPC_Trimestriel!AT39:AW39)-1)</f>
        <v/>
      </c>
      <c r="AX39" s="34" t="str">
        <f>IF(OR(IPC_Trimestriel!BB39="",IPC_Trimestriel!AY39="",IPC_Trimestriel!AU39=""),"",AVERAGE(IPC_Trimestriel!AY39:BB39)/AVERAGE(IPC_Trimestriel!AU39:AX39)-1)</f>
        <v/>
      </c>
      <c r="AY39" s="34" t="str">
        <f>IF(OR(IPC_Trimestriel!BC39="",IPC_Trimestriel!AZ39="",IPC_Trimestriel!AV39=""),"",AVERAGE(IPC_Trimestriel!AZ39:BC39)/AVERAGE(IPC_Trimestriel!AV39:AY39)-1)</f>
        <v/>
      </c>
      <c r="AZ39" s="34" t="str">
        <f>IF(OR(IPC_Trimestriel!BD39="",IPC_Trimestriel!BA39="",IPC_Trimestriel!AW39=""),"",AVERAGE(IPC_Trimestriel!BA39:BD39)/AVERAGE(IPC_Trimestriel!AW39:AZ39)-1)</f>
        <v/>
      </c>
      <c r="BA39" s="34" t="str">
        <f>IF(OR(IPC_Trimestriel!BE39="",IPC_Trimestriel!BB39="",IPC_Trimestriel!AX39=""),"",AVERAGE(IPC_Trimestriel!BB39:BE39)/AVERAGE(IPC_Trimestriel!AX39:BA39)-1)</f>
        <v/>
      </c>
      <c r="BB39" s="34" t="str">
        <f>IF(OR(IPC_Trimestriel!BF39="",IPC_Trimestriel!BC39="",IPC_Trimestriel!AY39=""),"",AVERAGE(IPC_Trimestriel!BC39:BF39)/AVERAGE(IPC_Trimestriel!AY39:BB39)-1)</f>
        <v/>
      </c>
      <c r="BC39" s="34">
        <f>IF(OR(IPC_Trimestriel!BG39="",IPC_Trimestriel!BD39="",IPC_Trimestriel!AZ39=""),"",AVERAGE(IPC_Trimestriel!BD39:BG39)/AVERAGE(IPC_Trimestriel!AZ39:BC39)-1)</f>
        <v>1.9434789242234629E-2</v>
      </c>
      <c r="BD39" s="34">
        <f>IF(OR(IPC_Trimestriel!BH39="",IPC_Trimestriel!BE39="",IPC_Trimestriel!BA39=""),"",AVERAGE(IPC_Trimestriel!BE39:BH39)/AVERAGE(IPC_Trimestriel!BA39:BD39)-1)</f>
        <v>1.6491857855595926E-2</v>
      </c>
      <c r="BE39" s="34">
        <f>IF(OR(IPC_Trimestriel!BI39="",IPC_Trimestriel!BF39="",IPC_Trimestriel!BB39=""),"",AVERAGE(IPC_Trimestriel!BF39:BI39)/AVERAGE(IPC_Trimestriel!BB39:BE39)-1)</f>
        <v>1.4451669256208E-2</v>
      </c>
      <c r="BF39" s="34">
        <f>IF(OR(IPC_Trimestriel!BJ39="",IPC_Trimestriel!BG39="",IPC_Trimestriel!BC39=""),"",AVERAGE(IPC_Trimestriel!BG39:BJ39)/AVERAGE(IPC_Trimestriel!BC39:BF39)-1)</f>
        <v>1.3072426547491078E-2</v>
      </c>
      <c r="BG39" s="34">
        <f>IF(OR(IPC_Trimestriel!BK39="",IPC_Trimestriel!BH39="",IPC_Trimestriel!BD39=""),"",AVERAGE(IPC_Trimestriel!BH39:BK39)/AVERAGE(IPC_Trimestriel!BD39:BG39)-1)</f>
        <v>1.0138586021285256E-2</v>
      </c>
      <c r="BH39" s="34">
        <f>IF(OR(IPC_Trimestriel!BL39="",IPC_Trimestriel!BI39="",IPC_Trimestriel!BE39=""),"",AVERAGE(IPC_Trimestriel!BI39:BL39)/AVERAGE(IPC_Trimestriel!BE39:BH39)-1)</f>
        <v>1.0297754161556094E-2</v>
      </c>
      <c r="BI39" s="34">
        <f>IF(OR(IPC_Trimestriel!BM39="",IPC_Trimestriel!BJ39="",IPC_Trimestriel!BF39=""),"",AVERAGE(IPC_Trimestriel!BJ39:BM39)/AVERAGE(IPC_Trimestriel!BF39:BI39)-1)</f>
        <v>1.3792957608407708E-2</v>
      </c>
      <c r="BJ39" s="34">
        <f>IF(OR(IPC_Trimestriel!BN39="",IPC_Trimestriel!BK39="",IPC_Trimestriel!BG39=""),"",AVERAGE(IPC_Trimestriel!BK39:BN39)/AVERAGE(IPC_Trimestriel!BG39:BJ39)-1)</f>
        <v>1.626385022407395E-2</v>
      </c>
      <c r="BK39" s="34">
        <f>IF(OR(IPC_Trimestriel!BO39="",IPC_Trimestriel!BL39="",IPC_Trimestriel!BH39=""),"",AVERAGE(IPC_Trimestriel!BL39:BO39)/AVERAGE(IPC_Trimestriel!BH39:BK39)-1)</f>
        <v>1.8575454045869577E-2</v>
      </c>
      <c r="BL39" s="34">
        <f>IF(OR(IPC_Trimestriel!BP39="",IPC_Trimestriel!BM39="",IPC_Trimestriel!BI39=""),"",AVERAGE(IPC_Trimestriel!BM39:BP39)/AVERAGE(IPC_Trimestriel!BI39:BL39)-1)</f>
        <v>1.9530524312196373E-2</v>
      </c>
      <c r="BM39" s="34">
        <f>IF(OR(IPC_Trimestriel!BQ39="",IPC_Trimestriel!BN39="",IPC_Trimestriel!BJ39=""),"",AVERAGE(IPC_Trimestriel!BN39:BQ39)/AVERAGE(IPC_Trimestriel!BJ39:BM39)-1)</f>
        <v>1.6747954090428285E-2</v>
      </c>
      <c r="BN39" s="34">
        <f>IF(OR(IPC_Trimestriel!BR39="",IPC_Trimestriel!BO39="",IPC_Trimestriel!BK39=""),"",AVERAGE(IPC_Trimestriel!BO39:BR39)/AVERAGE(IPC_Trimestriel!BK39:BN39)-1)</f>
        <v>1.3269894132947879E-2</v>
      </c>
      <c r="BO39" s="34">
        <f>IF(OR(IPC_Trimestriel!BS39="",IPC_Trimestriel!BP39="",IPC_Trimestriel!BL39=""),"",AVERAGE(IPC_Trimestriel!BP39:BS39)/AVERAGE(IPC_Trimestriel!BL39:BO39)-1)</f>
        <v>1.0182989064145831E-2</v>
      </c>
      <c r="BP39" s="34">
        <f>IF(OR(IPC_Trimestriel!BT39="",IPC_Trimestriel!BQ39="",IPC_Trimestriel!BM39=""),"",AVERAGE(IPC_Trimestriel!BQ39:BT39)/AVERAGE(IPC_Trimestriel!BM39:BP39)-1)</f>
        <v>7.0615189452665206E-3</v>
      </c>
      <c r="BQ39" s="34">
        <f>IF(OR(IPC_Trimestriel!BU39="",IPC_Trimestriel!BR39="",IPC_Trimestriel!BN39=""),"",AVERAGE(IPC_Trimestriel!BR39:BU39)/AVERAGE(IPC_Trimestriel!BN39:BQ39)-1)</f>
        <v>5.4716958905820512E-3</v>
      </c>
      <c r="BR39" s="34">
        <f>IF(OR(IPC_Trimestriel!BV39="",IPC_Trimestriel!BS39="",IPC_Trimestriel!BO39=""),"",AVERAGE(IPC_Trimestriel!BS39:BV39)/AVERAGE(IPC_Trimestriel!BO39:BR39)-1)</f>
        <v>5.325193252441407E-3</v>
      </c>
      <c r="BS39" s="34">
        <f>IF(OR(IPC_Trimestriel!BW39="",IPC_Trimestriel!BT39="",IPC_Trimestriel!BP39=""),"",AVERAGE(IPC_Trimestriel!BT39:BW39)/AVERAGE(IPC_Trimestriel!BP39:BS39)-1)</f>
        <v>6.3827771811277856E-3</v>
      </c>
      <c r="BT39" s="34">
        <f>IF(OR(IPC_Trimestriel!BX39="",IPC_Trimestriel!BU39="",IPC_Trimestriel!BQ39=""),"",AVERAGE(IPC_Trimestriel!BU39:BX39)/AVERAGE(IPC_Trimestriel!BQ39:BT39)-1)</f>
        <v>7.6292880743833447E-3</v>
      </c>
      <c r="BU39" s="34">
        <f>IF(OR(IPC_Trimestriel!BY39="",IPC_Trimestriel!BV39="",IPC_Trimestriel!BR39=""),"",AVERAGE(IPC_Trimestriel!BV39:BY39)/AVERAGE(IPC_Trimestriel!BR39:BU39)-1)</f>
        <v>8.5247343143768362E-3</v>
      </c>
      <c r="BV39" s="34">
        <f>IF(OR(IPC_Trimestriel!BZ39="",IPC_Trimestriel!BW39="",IPC_Trimestriel!BS39=""),"",AVERAGE(IPC_Trimestriel!BW39:BZ39)/AVERAGE(IPC_Trimestriel!BS39:BV39)-1)</f>
        <v>8.8314779917268993E-3</v>
      </c>
      <c r="BW39" s="34">
        <f>IF(OR(IPC_Trimestriel!CA39="",IPC_Trimestriel!BX39="",IPC_Trimestriel!BT39=""),"",AVERAGE(IPC_Trimestriel!BX39:CA39)/AVERAGE(IPC_Trimestriel!BT39:BW39)-1)</f>
        <v>1.0879811299244535E-2</v>
      </c>
      <c r="BX39" s="34">
        <f>IF(OR(IPC_Trimestriel!CB39="",IPC_Trimestriel!BY39="",IPC_Trimestriel!BU39=""),"",AVERAGE(IPC_Trimestriel!BY39:CB39)/AVERAGE(IPC_Trimestriel!BU39:BX39)-1)</f>
        <v>1.408980570103413E-2</v>
      </c>
      <c r="BY39" s="34">
        <f>IF(OR(IPC_Trimestriel!CC39="",IPC_Trimestriel!BZ39="",IPC_Trimestriel!BV39=""),"",AVERAGE(IPC_Trimestriel!BZ39:CC39)/AVERAGE(IPC_Trimestriel!BV39:BY39)-1)</f>
        <v>1.7845407383439094E-2</v>
      </c>
      <c r="BZ39" s="34">
        <f>IF(OR(IPC_Trimestriel!CD39="",IPC_Trimestriel!CA39="",IPC_Trimestriel!BW39=""),"",AVERAGE(IPC_Trimestriel!CA39:CD39)/AVERAGE(IPC_Trimestriel!BW39:BZ39)-1)</f>
        <v>2.242101071907121E-2</v>
      </c>
      <c r="CA39" s="34">
        <f>IF(OR(IPC_Trimestriel!CE39="",IPC_Trimestriel!CB39="",IPC_Trimestriel!BX39=""),"",AVERAGE(IPC_Trimestriel!CB39:CE39)/AVERAGE(IPC_Trimestriel!BX39:CA39)-1)</f>
        <v>2.4388839311277888E-2</v>
      </c>
      <c r="CB39" s="34">
        <f>IF(OR(IPC_Trimestriel!CF39="",IPC_Trimestriel!CC39="",IPC_Trimestriel!BY39=""),"",AVERAGE(IPC_Trimestriel!CC39:CF39)/AVERAGE(IPC_Trimestriel!BY39:CB39)-1)</f>
        <v>2.560418972762224E-2</v>
      </c>
      <c r="CC39" s="34">
        <f>IF(OR(IPC_Trimestriel!CG39="",IPC_Trimestriel!CD39="",IPC_Trimestriel!BZ39=""),"",AVERAGE(IPC_Trimestriel!CD39:CG39)/AVERAGE(IPC_Trimestriel!BZ39:CC39)-1)</f>
        <v>2.5356253752543134E-2</v>
      </c>
      <c r="CD39" s="34">
        <f>IF(OR(IPC_Trimestriel!CH39="",IPC_Trimestriel!CE39="",IPC_Trimestriel!CA39=""),"",AVERAGE(IPC_Trimestriel!CE39:CH39)/AVERAGE(IPC_Trimestriel!CA39:CD39)-1)</f>
        <v>2.5031880700197462E-2</v>
      </c>
      <c r="CE39" s="34">
        <f>IF(OR(IPC_Trimestriel!CI39="",IPC_Trimestriel!CF39="",IPC_Trimestriel!CB39=""),"",AVERAGE(IPC_Trimestriel!CF39:CI39)/AVERAGE(IPC_Trimestriel!CB39:CE39)-1)</f>
        <v>2.4259452095469536E-2</v>
      </c>
      <c r="CF39" s="34">
        <f>IF(OR(IPC_Trimestriel!CJ39="",IPC_Trimestriel!CG39="",IPC_Trimestriel!CC39=""),"",AVERAGE(IPC_Trimestriel!CG39:CJ39)/AVERAGE(IPC_Trimestriel!CC39:CF39)-1)</f>
        <v>2.2332357290178351E-2</v>
      </c>
      <c r="CG39" s="34">
        <f>IF(OR(IPC_Trimestriel!CK39="",IPC_Trimestriel!CH39="",IPC_Trimestriel!CD39=""),"",AVERAGE(IPC_Trimestriel!CH39:CK39)/AVERAGE(IPC_Trimestriel!CD39:CG39)-1)</f>
        <v>2.2413668309628321E-2</v>
      </c>
      <c r="CH39" s="34">
        <f>IF(OR(IPC_Trimestriel!CL39="",IPC_Trimestriel!CI39="",IPC_Trimestriel!CE39=""),"",AVERAGE(IPC_Trimestriel!CI39:CL39)/AVERAGE(IPC_Trimestriel!CE39:CH39)-1)</f>
        <v>2.2266123091420731E-2</v>
      </c>
      <c r="CI39" s="34">
        <f>IF(OR(IPC_Trimestriel!CM39="",IPC_Trimestriel!CJ39="",IPC_Trimestriel!CF39=""),"",AVERAGE(IPC_Trimestriel!CJ39:CM39)/AVERAGE(IPC_Trimestriel!CF39:CI39)-1)</f>
        <v>2.3559265672258967E-2</v>
      </c>
      <c r="CJ39" s="34">
        <f>IF(OR(IPC_Trimestriel!CN39="",IPC_Trimestriel!CK39="",IPC_Trimestriel!CG39=""),"",AVERAGE(IPC_Trimestriel!CK39:CN39)/AVERAGE(IPC_Trimestriel!CG39:CJ39)-1)</f>
        <v>3.6319557444528083E-2</v>
      </c>
      <c r="CK39" s="34">
        <f>IF(OR(IPC_Trimestriel!CO39="",IPC_Trimestriel!CL39="",IPC_Trimestriel!CH39=""),"",AVERAGE(IPC_Trimestriel!CL39:CO39)/AVERAGE(IPC_Trimestriel!CH39:CK39)-1)</f>
        <v>4.5269814654090634E-2</v>
      </c>
      <c r="CL39" s="34">
        <f>IF(OR(IPC_Trimestriel!CP39="",IPC_Trimestriel!CM39="",IPC_Trimestriel!CI39=""),"",AVERAGE(IPC_Trimestriel!CM39:CP39)/AVERAGE(IPC_Trimestriel!CI39:CL39)-1)</f>
        <v>5.6835576709358904E-2</v>
      </c>
      <c r="CM39" s="34">
        <f>IF(OR(IPC_Trimestriel!CQ39="",IPC_Trimestriel!CN39="",IPC_Trimestriel!CJ39=""),"",AVERAGE(IPC_Trimestriel!CN39:CQ39)/AVERAGE(IPC_Trimestriel!CJ39:CM39)-1)</f>
        <v>7.0042608069645684E-2</v>
      </c>
      <c r="CN39" s="34">
        <f>IF(OR(IPC_Trimestriel!CR39="",IPC_Trimestriel!CO39="",IPC_Trimestriel!CK39=""),"",AVERAGE(IPC_Trimestriel!CO39:CR39)/AVERAGE(IPC_Trimestriel!CK39:CN39)-1)</f>
        <v>6.4712538507834871E-2</v>
      </c>
      <c r="CO39" s="34">
        <f>IF(OR(IPC_Trimestriel!CS39="",IPC_Trimestriel!CP39="",IPC_Trimestriel!CL39=""),"",AVERAGE(IPC_Trimestriel!CP39:CS39)/AVERAGE(IPC_Trimestriel!CL39:CO39)-1)</f>
        <v>6.6519561526584781E-2</v>
      </c>
      <c r="CP39" s="34">
        <f>IF(OR(IPC_Trimestriel!CT39="",IPC_Trimestriel!CQ39="",IPC_Trimestriel!CM39=""),"",AVERAGE(IPC_Trimestriel!CQ39:CT39)/AVERAGE(IPC_Trimestriel!CM39:CP39)-1)</f>
        <v>6.4008607894489922E-2</v>
      </c>
    </row>
    <row r="40" spans="1:94" s="14" customFormat="1" ht="10.199999999999999" x14ac:dyDescent="0.2">
      <c r="B40" s="9" t="s">
        <v>7</v>
      </c>
      <c r="C40" s="9"/>
      <c r="D40" s="34"/>
      <c r="E40" s="34"/>
      <c r="F40" s="34"/>
      <c r="G40" s="34" t="str">
        <f>IF(OR(IPC_Trimestriel!K40="",IPC_Trimestriel!H40="",IPC_Trimestriel!D40=""),"",AVERAGE(IPC_Trimestriel!H40:K40)/AVERAGE(IPC_Trimestriel!D40:G40)-1)</f>
        <v/>
      </c>
      <c r="H40" s="34" t="str">
        <f>IF(OR(IPC_Trimestriel!L40="",IPC_Trimestriel!I40="",IPC_Trimestriel!E40=""),"",AVERAGE(IPC_Trimestriel!I40:L40)/AVERAGE(IPC_Trimestriel!E40:H40)-1)</f>
        <v/>
      </c>
      <c r="I40" s="34" t="str">
        <f>IF(OR(IPC_Trimestriel!M40="",IPC_Trimestriel!J40="",IPC_Trimestriel!F40=""),"",AVERAGE(IPC_Trimestriel!J40:M40)/AVERAGE(IPC_Trimestriel!F40:I40)-1)</f>
        <v/>
      </c>
      <c r="J40" s="34" t="str">
        <f>IF(OR(IPC_Trimestriel!N40="",IPC_Trimestriel!K40="",IPC_Trimestriel!G40=""),"",AVERAGE(IPC_Trimestriel!K40:N40)/AVERAGE(IPC_Trimestriel!G40:J40)-1)</f>
        <v/>
      </c>
      <c r="K40" s="34" t="str">
        <f>IF(OR(IPC_Trimestriel!O40="",IPC_Trimestriel!L40="",IPC_Trimestriel!H40=""),"",AVERAGE(IPC_Trimestriel!L40:O40)/AVERAGE(IPC_Trimestriel!H40:K40)-1)</f>
        <v/>
      </c>
      <c r="L40" s="34" t="str">
        <f>IF(OR(IPC_Trimestriel!P40="",IPC_Trimestriel!M40="",IPC_Trimestriel!I40=""),"",AVERAGE(IPC_Trimestriel!M40:P40)/AVERAGE(IPC_Trimestriel!I40:L40)-1)</f>
        <v/>
      </c>
      <c r="M40" s="34" t="str">
        <f>IF(OR(IPC_Trimestriel!Q40="",IPC_Trimestriel!N40="",IPC_Trimestriel!J40=""),"",AVERAGE(IPC_Trimestriel!N40:Q40)/AVERAGE(IPC_Trimestriel!J40:M40)-1)</f>
        <v/>
      </c>
      <c r="N40" s="34" t="str">
        <f>IF(OR(IPC_Trimestriel!R40="",IPC_Trimestriel!O40="",IPC_Trimestriel!K40=""),"",AVERAGE(IPC_Trimestriel!O40:R40)/AVERAGE(IPC_Trimestriel!K40:N40)-1)</f>
        <v/>
      </c>
      <c r="O40" s="34" t="str">
        <f>IF(OR(IPC_Trimestriel!S40="",IPC_Trimestriel!P40="",IPC_Trimestriel!L40=""),"",AVERAGE(IPC_Trimestriel!P40:S40)/AVERAGE(IPC_Trimestriel!L40:O40)-1)</f>
        <v/>
      </c>
      <c r="P40" s="34" t="str">
        <f>IF(OR(IPC_Trimestriel!T40="",IPC_Trimestriel!Q40="",IPC_Trimestriel!M40=""),"",AVERAGE(IPC_Trimestriel!Q40:T40)/AVERAGE(IPC_Trimestriel!M40:P40)-1)</f>
        <v/>
      </c>
      <c r="Q40" s="34" t="str">
        <f>IF(OR(IPC_Trimestriel!U40="",IPC_Trimestriel!R40="",IPC_Trimestriel!N40=""),"",AVERAGE(IPC_Trimestriel!R40:U40)/AVERAGE(IPC_Trimestriel!N40:Q40)-1)</f>
        <v/>
      </c>
      <c r="R40" s="34" t="str">
        <f>IF(OR(IPC_Trimestriel!V40="",IPC_Trimestriel!S40="",IPC_Trimestriel!O40=""),"",AVERAGE(IPC_Trimestriel!S40:V40)/AVERAGE(IPC_Trimestriel!O40:R40)-1)</f>
        <v/>
      </c>
      <c r="S40" s="34" t="str">
        <f>IF(OR(IPC_Trimestriel!W40="",IPC_Trimestriel!T40="",IPC_Trimestriel!P40=""),"",AVERAGE(IPC_Trimestriel!T40:W40)/AVERAGE(IPC_Trimestriel!P40:S40)-1)</f>
        <v/>
      </c>
      <c r="T40" s="34" t="str">
        <f>IF(OR(IPC_Trimestriel!X40="",IPC_Trimestriel!U40="",IPC_Trimestriel!Q40=""),"",AVERAGE(IPC_Trimestriel!U40:X40)/AVERAGE(IPC_Trimestriel!Q40:T40)-1)</f>
        <v/>
      </c>
      <c r="U40" s="34" t="str">
        <f>IF(OR(IPC_Trimestriel!Y40="",IPC_Trimestriel!V40="",IPC_Trimestriel!R40=""),"",AVERAGE(IPC_Trimestriel!V40:Y40)/AVERAGE(IPC_Trimestriel!R40:U40)-1)</f>
        <v/>
      </c>
      <c r="V40" s="34" t="str">
        <f>IF(OR(IPC_Trimestriel!Z40="",IPC_Trimestriel!W40="",IPC_Trimestriel!S40=""),"",AVERAGE(IPC_Trimestriel!W40:Z40)/AVERAGE(IPC_Trimestriel!S40:V40)-1)</f>
        <v/>
      </c>
      <c r="W40" s="34" t="str">
        <f>IF(OR(IPC_Trimestriel!AA40="",IPC_Trimestriel!X40="",IPC_Trimestriel!T40=""),"",AVERAGE(IPC_Trimestriel!X40:AA40)/AVERAGE(IPC_Trimestriel!T40:W40)-1)</f>
        <v/>
      </c>
      <c r="X40" s="34" t="str">
        <f>IF(OR(IPC_Trimestriel!AB40="",IPC_Trimestriel!Y40="",IPC_Trimestriel!U40=""),"",AVERAGE(IPC_Trimestriel!Y40:AB40)/AVERAGE(IPC_Trimestriel!U40:X40)-1)</f>
        <v/>
      </c>
      <c r="Y40" s="34" t="str">
        <f>IF(OR(IPC_Trimestriel!AC40="",IPC_Trimestriel!Z40="",IPC_Trimestriel!V40=""),"",AVERAGE(IPC_Trimestriel!Z40:AC40)/AVERAGE(IPC_Trimestriel!V40:Y40)-1)</f>
        <v/>
      </c>
      <c r="Z40" s="34" t="str">
        <f>IF(OR(IPC_Trimestriel!AD40="",IPC_Trimestriel!AA40="",IPC_Trimestriel!W40=""),"",AVERAGE(IPC_Trimestriel!AA40:AD40)/AVERAGE(IPC_Trimestriel!W40:Z40)-1)</f>
        <v/>
      </c>
      <c r="AA40" s="34" t="str">
        <f>IF(OR(IPC_Trimestriel!AE40="",IPC_Trimestriel!AB40="",IPC_Trimestriel!X40=""),"",AVERAGE(IPC_Trimestriel!AB40:AE40)/AVERAGE(IPC_Trimestriel!X40:AA40)-1)</f>
        <v/>
      </c>
      <c r="AB40" s="34" t="str">
        <f>IF(OR(IPC_Trimestriel!AF40="",IPC_Trimestriel!AC40="",IPC_Trimestriel!Y40=""),"",AVERAGE(IPC_Trimestriel!AC40:AF40)/AVERAGE(IPC_Trimestriel!Y40:AB40)-1)</f>
        <v/>
      </c>
      <c r="AC40" s="34" t="str">
        <f>IF(OR(IPC_Trimestriel!AG40="",IPC_Trimestriel!AD40="",IPC_Trimestriel!Z40=""),"",AVERAGE(IPC_Trimestriel!AD40:AG40)/AVERAGE(IPC_Trimestriel!Z40:AC40)-1)</f>
        <v/>
      </c>
      <c r="AD40" s="34" t="str">
        <f>IF(OR(IPC_Trimestriel!AH40="",IPC_Trimestriel!AE40="",IPC_Trimestriel!AA40=""),"",AVERAGE(IPC_Trimestriel!AE40:AH40)/AVERAGE(IPC_Trimestriel!AA40:AD40)-1)</f>
        <v/>
      </c>
      <c r="AE40" s="34" t="str">
        <f>IF(OR(IPC_Trimestriel!AI40="",IPC_Trimestriel!AF40="",IPC_Trimestriel!AB40=""),"",AVERAGE(IPC_Trimestriel!AF40:AI40)/AVERAGE(IPC_Trimestriel!AB40:AE40)-1)</f>
        <v/>
      </c>
      <c r="AF40" s="34" t="str">
        <f>IF(OR(IPC_Trimestriel!AJ40="",IPC_Trimestriel!AG40="",IPC_Trimestriel!AC40=""),"",AVERAGE(IPC_Trimestriel!AG40:AJ40)/AVERAGE(IPC_Trimestriel!AC40:AF40)-1)</f>
        <v/>
      </c>
      <c r="AG40" s="34" t="str">
        <f>IF(OR(IPC_Trimestriel!AK40="",IPC_Trimestriel!AH40="",IPC_Trimestriel!AD40=""),"",AVERAGE(IPC_Trimestriel!AH40:AK40)/AVERAGE(IPC_Trimestriel!AD40:AG40)-1)</f>
        <v/>
      </c>
      <c r="AH40" s="34" t="str">
        <f>IF(OR(IPC_Trimestriel!AL40="",IPC_Trimestriel!AI40="",IPC_Trimestriel!AE40=""),"",AVERAGE(IPC_Trimestriel!AI40:AL40)/AVERAGE(IPC_Trimestriel!AE40:AH40)-1)</f>
        <v/>
      </c>
      <c r="AI40" s="34" t="str">
        <f>IF(OR(IPC_Trimestriel!AM40="",IPC_Trimestriel!AJ40="",IPC_Trimestriel!AF40=""),"",AVERAGE(IPC_Trimestriel!AJ40:AM40)/AVERAGE(IPC_Trimestriel!AF40:AI40)-1)</f>
        <v/>
      </c>
      <c r="AJ40" s="34" t="str">
        <f>IF(OR(IPC_Trimestriel!AN40="",IPC_Trimestriel!AK40="",IPC_Trimestriel!AG40=""),"",AVERAGE(IPC_Trimestriel!AK40:AN40)/AVERAGE(IPC_Trimestriel!AG40:AJ40)-1)</f>
        <v/>
      </c>
      <c r="AK40" s="34" t="str">
        <f>IF(OR(IPC_Trimestriel!AO40="",IPC_Trimestriel!AL40="",IPC_Trimestriel!AH40=""),"",AVERAGE(IPC_Trimestriel!AL40:AO40)/AVERAGE(IPC_Trimestriel!AH40:AK40)-1)</f>
        <v/>
      </c>
      <c r="AL40" s="34" t="str">
        <f>IF(OR(IPC_Trimestriel!AP40="",IPC_Trimestriel!AM40="",IPC_Trimestriel!AI40=""),"",AVERAGE(IPC_Trimestriel!AM40:AP40)/AVERAGE(IPC_Trimestriel!AI40:AL40)-1)</f>
        <v/>
      </c>
      <c r="AM40" s="34" t="str">
        <f>IF(OR(IPC_Trimestriel!AQ40="",IPC_Trimestriel!AN40="",IPC_Trimestriel!AJ40=""),"",AVERAGE(IPC_Trimestriel!AN40:AQ40)/AVERAGE(IPC_Trimestriel!AJ40:AM40)-1)</f>
        <v/>
      </c>
      <c r="AN40" s="34" t="str">
        <f>IF(OR(IPC_Trimestriel!AR40="",IPC_Trimestriel!AO40="",IPC_Trimestriel!AK40=""),"",AVERAGE(IPC_Trimestriel!AO40:AR40)/AVERAGE(IPC_Trimestriel!AK40:AN40)-1)</f>
        <v/>
      </c>
      <c r="AO40" s="34" t="str">
        <f>IF(OR(IPC_Trimestriel!AS40="",IPC_Trimestriel!AP40="",IPC_Trimestriel!AL40=""),"",AVERAGE(IPC_Trimestriel!AP40:AS40)/AVERAGE(IPC_Trimestriel!AL40:AO40)-1)</f>
        <v/>
      </c>
      <c r="AP40" s="34" t="str">
        <f>IF(OR(IPC_Trimestriel!AT40="",IPC_Trimestriel!AQ40="",IPC_Trimestriel!AM40=""),"",AVERAGE(IPC_Trimestriel!AQ40:AT40)/AVERAGE(IPC_Trimestriel!AM40:AP40)-1)</f>
        <v/>
      </c>
      <c r="AQ40" s="34" t="str">
        <f>IF(OR(IPC_Trimestriel!AU40="",IPC_Trimestriel!AR40="",IPC_Trimestriel!AN40=""),"",AVERAGE(IPC_Trimestriel!AR40:AU40)/AVERAGE(IPC_Trimestriel!AN40:AQ40)-1)</f>
        <v/>
      </c>
      <c r="AR40" s="34" t="str">
        <f>IF(OR(IPC_Trimestriel!AV40="",IPC_Trimestriel!AS40="",IPC_Trimestriel!AO40=""),"",AVERAGE(IPC_Trimestriel!AS40:AV40)/AVERAGE(IPC_Trimestriel!AO40:AR40)-1)</f>
        <v/>
      </c>
      <c r="AS40" s="34" t="str">
        <f>IF(OR(IPC_Trimestriel!AW40="",IPC_Trimestriel!AT40="",IPC_Trimestriel!AP40=""),"",AVERAGE(IPC_Trimestriel!AT40:AW40)/AVERAGE(IPC_Trimestriel!AP40:AS40)-1)</f>
        <v/>
      </c>
      <c r="AT40" s="34" t="str">
        <f>IF(OR(IPC_Trimestriel!AX40="",IPC_Trimestriel!AU40="",IPC_Trimestriel!AQ40=""),"",AVERAGE(IPC_Trimestriel!AU40:AX40)/AVERAGE(IPC_Trimestriel!AQ40:AT40)-1)</f>
        <v/>
      </c>
      <c r="AU40" s="34" t="str">
        <f>IF(OR(IPC_Trimestriel!AY40="",IPC_Trimestriel!AV40="",IPC_Trimestriel!AR40=""),"",AVERAGE(IPC_Trimestriel!AV40:AY40)/AVERAGE(IPC_Trimestriel!AR40:AU40)-1)</f>
        <v/>
      </c>
      <c r="AV40" s="34" t="str">
        <f>IF(OR(IPC_Trimestriel!AZ40="",IPC_Trimestriel!AW40="",IPC_Trimestriel!AS40=""),"",AVERAGE(IPC_Trimestriel!AW40:AZ40)/AVERAGE(IPC_Trimestriel!AS40:AV40)-1)</f>
        <v/>
      </c>
      <c r="AW40" s="34" t="str">
        <f>IF(OR(IPC_Trimestriel!BA40="",IPC_Trimestriel!AX40="",IPC_Trimestriel!AT40=""),"",AVERAGE(IPC_Trimestriel!AX40:BA40)/AVERAGE(IPC_Trimestriel!AT40:AW40)-1)</f>
        <v/>
      </c>
      <c r="AX40" s="34" t="str">
        <f>IF(OR(IPC_Trimestriel!BB40="",IPC_Trimestriel!AY40="",IPC_Trimestriel!AU40=""),"",AVERAGE(IPC_Trimestriel!AY40:BB40)/AVERAGE(IPC_Trimestriel!AU40:AX40)-1)</f>
        <v/>
      </c>
      <c r="AY40" s="34" t="str">
        <f>IF(OR(IPC_Trimestriel!BC40="",IPC_Trimestriel!AZ40="",IPC_Trimestriel!AV40=""),"",AVERAGE(IPC_Trimestriel!AZ40:BC40)/AVERAGE(IPC_Trimestriel!AV40:AY40)-1)</f>
        <v/>
      </c>
      <c r="AZ40" s="34" t="str">
        <f>IF(OR(IPC_Trimestriel!BD40="",IPC_Trimestriel!BA40="",IPC_Trimestriel!AW40=""),"",AVERAGE(IPC_Trimestriel!BA40:BD40)/AVERAGE(IPC_Trimestriel!AW40:AZ40)-1)</f>
        <v/>
      </c>
      <c r="BA40" s="34" t="str">
        <f>IF(OR(IPC_Trimestriel!BE40="",IPC_Trimestriel!BB40="",IPC_Trimestriel!AX40=""),"",AVERAGE(IPC_Trimestriel!BB40:BE40)/AVERAGE(IPC_Trimestriel!AX40:BA40)-1)</f>
        <v/>
      </c>
      <c r="BB40" s="34" t="str">
        <f>IF(OR(IPC_Trimestriel!BF40="",IPC_Trimestriel!BC40="",IPC_Trimestriel!AY40=""),"",AVERAGE(IPC_Trimestriel!BC40:BF40)/AVERAGE(IPC_Trimestriel!AY40:BB40)-1)</f>
        <v/>
      </c>
      <c r="BC40" s="34">
        <f>IF(OR(IPC_Trimestriel!BG40="",IPC_Trimestriel!BD40="",IPC_Trimestriel!AZ40=""),"",AVERAGE(IPC_Trimestriel!BD40:BG40)/AVERAGE(IPC_Trimestriel!AZ40:BC40)-1)</f>
        <v>1.3130393526954665E-2</v>
      </c>
      <c r="BD40" s="34">
        <f>IF(OR(IPC_Trimestriel!BH40="",IPC_Trimestriel!BE40="",IPC_Trimestriel!BA40=""),"",AVERAGE(IPC_Trimestriel!BE40:BH40)/AVERAGE(IPC_Trimestriel!BA40:BD40)-1)</f>
        <v>1.2167747864632261E-2</v>
      </c>
      <c r="BE40" s="34">
        <f>IF(OR(IPC_Trimestriel!BI40="",IPC_Trimestriel!BF40="",IPC_Trimestriel!BB40=""),"",AVERAGE(IPC_Trimestriel!BF40:BI40)/AVERAGE(IPC_Trimestriel!BB40:BE40)-1)</f>
        <v>1.1522188557171464E-2</v>
      </c>
      <c r="BF40" s="34">
        <f>IF(OR(IPC_Trimestriel!BJ40="",IPC_Trimestriel!BG40="",IPC_Trimestriel!BC40=""),"",AVERAGE(IPC_Trimestriel!BG40:BJ40)/AVERAGE(IPC_Trimestriel!BC40:BF40)-1)</f>
        <v>1.1725693777995039E-2</v>
      </c>
      <c r="BG40" s="34">
        <f>IF(OR(IPC_Trimestriel!BK40="",IPC_Trimestriel!BH40="",IPC_Trimestriel!BD40=""),"",AVERAGE(IPC_Trimestriel!BH40:BK40)/AVERAGE(IPC_Trimestriel!BD40:BG40)-1)</f>
        <v>1.13962395709577E-2</v>
      </c>
      <c r="BH40" s="34">
        <f>IF(OR(IPC_Trimestriel!BL40="",IPC_Trimestriel!BI40="",IPC_Trimestriel!BE40=""),"",AVERAGE(IPC_Trimestriel!BI40:BL40)/AVERAGE(IPC_Trimestriel!BE40:BH40)-1)</f>
        <v>1.2151877899925445E-2</v>
      </c>
      <c r="BI40" s="34">
        <f>IF(OR(IPC_Trimestriel!BM40="",IPC_Trimestriel!BJ40="",IPC_Trimestriel!BF40=""),"",AVERAGE(IPC_Trimestriel!BJ40:BM40)/AVERAGE(IPC_Trimestriel!BF40:BI40)-1)</f>
        <v>1.5464832335418954E-2</v>
      </c>
      <c r="BJ40" s="34">
        <f>IF(OR(IPC_Trimestriel!BN40="",IPC_Trimestriel!BK40="",IPC_Trimestriel!BG40=""),"",AVERAGE(IPC_Trimestriel!BK40:BN40)/AVERAGE(IPC_Trimestriel!BG40:BJ40)-1)</f>
        <v>1.7095358198568888E-2</v>
      </c>
      <c r="BK40" s="34">
        <f>IF(OR(IPC_Trimestriel!BO40="",IPC_Trimestriel!BL40="",IPC_Trimestriel!BH40=""),"",AVERAGE(IPC_Trimestriel!BL40:BO40)/AVERAGE(IPC_Trimestriel!BH40:BK40)-1)</f>
        <v>1.7698927076375215E-2</v>
      </c>
      <c r="BL40" s="34">
        <f>IF(OR(IPC_Trimestriel!BP40="",IPC_Trimestriel!BM40="",IPC_Trimestriel!BI40=""),"",AVERAGE(IPC_Trimestriel!BM40:BP40)/AVERAGE(IPC_Trimestriel!BI40:BL40)-1)</f>
        <v>1.7960441409461181E-2</v>
      </c>
      <c r="BM40" s="34">
        <f>IF(OR(IPC_Trimestriel!BQ40="",IPC_Trimestriel!BN40="",IPC_Trimestriel!BJ40=""),"",AVERAGE(IPC_Trimestriel!BN40:BQ40)/AVERAGE(IPC_Trimestriel!BJ40:BM40)-1)</f>
        <v>1.4573332476149004E-2</v>
      </c>
      <c r="BN40" s="34">
        <f>IF(OR(IPC_Trimestriel!BR40="",IPC_Trimestriel!BO40="",IPC_Trimestriel!BK40=""),"",AVERAGE(IPC_Trimestriel!BO40:BR40)/AVERAGE(IPC_Trimestriel!BK40:BN40)-1)</f>
        <v>1.1462880075556958E-2</v>
      </c>
      <c r="BO40" s="34">
        <f>IF(OR(IPC_Trimestriel!BS40="",IPC_Trimestriel!BP40="",IPC_Trimestriel!BL40=""),"",AVERAGE(IPC_Trimestriel!BP40:BS40)/AVERAGE(IPC_Trimestriel!BL40:BO40)-1)</f>
        <v>9.885218256067585E-3</v>
      </c>
      <c r="BP40" s="34">
        <f>IF(OR(IPC_Trimestriel!BT40="",IPC_Trimestriel!BQ40="",IPC_Trimestriel!BM40=""),"",AVERAGE(IPC_Trimestriel!BQ40:BT40)/AVERAGE(IPC_Trimestriel!BM40:BP40)-1)</f>
        <v>8.4464352630408968E-3</v>
      </c>
      <c r="BQ40" s="34">
        <f>IF(OR(IPC_Trimestriel!BU40="",IPC_Trimestriel!BR40="",IPC_Trimestriel!BN40=""),"",AVERAGE(IPC_Trimestriel!BR40:BU40)/AVERAGE(IPC_Trimestriel!BN40:BQ40)-1)</f>
        <v>8.8556173993128429E-3</v>
      </c>
      <c r="BR40" s="34">
        <f>IF(OR(IPC_Trimestriel!BV40="",IPC_Trimestriel!BS40="",IPC_Trimestriel!BO40=""),"",AVERAGE(IPC_Trimestriel!BS40:BV40)/AVERAGE(IPC_Trimestriel!BO40:BR40)-1)</f>
        <v>9.5265815626406347E-3</v>
      </c>
      <c r="BS40" s="34">
        <f>IF(OR(IPC_Trimestriel!BW40="",IPC_Trimestriel!BT40="",IPC_Trimestriel!BP40=""),"",AVERAGE(IPC_Trimestriel!BT40:BW40)/AVERAGE(IPC_Trimestriel!BP40:BS40)-1)</f>
        <v>9.4305350368899532E-3</v>
      </c>
      <c r="BT40" s="34">
        <f>IF(OR(IPC_Trimestriel!BX40="",IPC_Trimestriel!BU40="",IPC_Trimestriel!BQ40=""),"",AVERAGE(IPC_Trimestriel!BU40:BX40)/AVERAGE(IPC_Trimestriel!BQ40:BT40)-1)</f>
        <v>8.6851861875345548E-3</v>
      </c>
      <c r="BU40" s="34">
        <f>IF(OR(IPC_Trimestriel!BY40="",IPC_Trimestriel!BV40="",IPC_Trimestriel!BR40=""),"",AVERAGE(IPC_Trimestriel!BV40:BY40)/AVERAGE(IPC_Trimestriel!BR40:BU40)-1)</f>
        <v>8.11613774824127E-3</v>
      </c>
      <c r="BV40" s="34">
        <f>IF(OR(IPC_Trimestriel!BZ40="",IPC_Trimestriel!BW40="",IPC_Trimestriel!BS40=""),"",AVERAGE(IPC_Trimestriel!BW40:BZ40)/AVERAGE(IPC_Trimestriel!BS40:BV40)-1)</f>
        <v>8.4610089991350446E-3</v>
      </c>
      <c r="BW40" s="34">
        <f>IF(OR(IPC_Trimestriel!CA40="",IPC_Trimestriel!BX40="",IPC_Trimestriel!BT40=""),"",AVERAGE(IPC_Trimestriel!BX40:CA40)/AVERAGE(IPC_Trimestriel!BT40:BW40)-1)</f>
        <v>1.0266334339891436E-2</v>
      </c>
      <c r="BX40" s="34">
        <f>IF(OR(IPC_Trimestriel!CB40="",IPC_Trimestriel!BY40="",IPC_Trimestriel!BU40=""),"",AVERAGE(IPC_Trimestriel!BY40:CB40)/AVERAGE(IPC_Trimestriel!BU40:BX40)-1)</f>
        <v>1.3587684121951549E-2</v>
      </c>
      <c r="BY40" s="34">
        <f>IF(OR(IPC_Trimestriel!CC40="",IPC_Trimestriel!BZ40="",IPC_Trimestriel!BV40=""),"",AVERAGE(IPC_Trimestriel!BZ40:CC40)/AVERAGE(IPC_Trimestriel!BV40:BY40)-1)</f>
        <v>1.7230819170482414E-2</v>
      </c>
      <c r="BZ40" s="34">
        <f>IF(OR(IPC_Trimestriel!CD40="",IPC_Trimestriel!CA40="",IPC_Trimestriel!BW40=""),"",AVERAGE(IPC_Trimestriel!CA40:CD40)/AVERAGE(IPC_Trimestriel!BW40:BZ40)-1)</f>
        <v>1.9891843848647284E-2</v>
      </c>
      <c r="CA40" s="34">
        <f>IF(OR(IPC_Trimestriel!CE40="",IPC_Trimestriel!CB40="",IPC_Trimestriel!BX40=""),"",AVERAGE(IPC_Trimestriel!CB40:CE40)/AVERAGE(IPC_Trimestriel!BX40:CA40)-1)</f>
        <v>2.2153550955635648E-2</v>
      </c>
      <c r="CB40" s="34">
        <f>IF(OR(IPC_Trimestriel!CF40="",IPC_Trimestriel!CC40="",IPC_Trimestriel!BY40=""),"",AVERAGE(IPC_Trimestriel!CC40:CF40)/AVERAGE(IPC_Trimestriel!BY40:CB40)-1)</f>
        <v>2.2817341058837037E-2</v>
      </c>
      <c r="CC40" s="34">
        <f>IF(OR(IPC_Trimestriel!CG40="",IPC_Trimestriel!CD40="",IPC_Trimestriel!BZ40=""),"",AVERAGE(IPC_Trimestriel!CD40:CG40)/AVERAGE(IPC_Trimestriel!BZ40:CC40)-1)</f>
        <v>2.2182700108760223E-2</v>
      </c>
      <c r="CD40" s="34">
        <f>IF(OR(IPC_Trimestriel!CH40="",IPC_Trimestriel!CE40="",IPC_Trimestriel!CA40=""),"",AVERAGE(IPC_Trimestriel!CE40:CH40)/AVERAGE(IPC_Trimestriel!CA40:CD40)-1)</f>
        <v>2.1254958092521425E-2</v>
      </c>
      <c r="CE40" s="34">
        <f>IF(OR(IPC_Trimestriel!CI40="",IPC_Trimestriel!CF40="",IPC_Trimestriel!CB40=""),"",AVERAGE(IPC_Trimestriel!CF40:CI40)/AVERAGE(IPC_Trimestriel!CB40:CE40)-1)</f>
        <v>1.8723864288480607E-2</v>
      </c>
      <c r="CF40" s="34">
        <f>IF(OR(IPC_Trimestriel!CJ40="",IPC_Trimestriel!CG40="",IPC_Trimestriel!CC40=""),"",AVERAGE(IPC_Trimestriel!CG40:CJ40)/AVERAGE(IPC_Trimestriel!CC40:CF40)-1)</f>
        <v>1.679355050774034E-2</v>
      </c>
      <c r="CG40" s="34">
        <f>IF(OR(IPC_Trimestriel!CK40="",IPC_Trimestriel!CH40="",IPC_Trimestriel!CD40=""),"",AVERAGE(IPC_Trimestriel!CH40:CK40)/AVERAGE(IPC_Trimestriel!CD40:CG40)-1)</f>
        <v>1.5199554564752749E-2</v>
      </c>
      <c r="CH40" s="34">
        <f>IF(OR(IPC_Trimestriel!CL40="",IPC_Trimestriel!CI40="",IPC_Trimestriel!CE40=""),"",AVERAGE(IPC_Trimestriel!CI40:CL40)/AVERAGE(IPC_Trimestriel!CE40:CH40)-1)</f>
        <v>1.4394111992563241E-2</v>
      </c>
      <c r="CI40" s="34">
        <f>IF(OR(IPC_Trimestriel!CM40="",IPC_Trimestriel!CJ40="",IPC_Trimestriel!CF40=""),"",AVERAGE(IPC_Trimestriel!CJ40:CM40)/AVERAGE(IPC_Trimestriel!CF40:CI40)-1)</f>
        <v>1.4117409259102098E-2</v>
      </c>
      <c r="CJ40" s="34">
        <f>IF(OR(IPC_Trimestriel!CN40="",IPC_Trimestriel!CK40="",IPC_Trimestriel!CG40=""),"",AVERAGE(IPC_Trimestriel!CK40:CN40)/AVERAGE(IPC_Trimestriel!CG40:CJ40)-1)</f>
        <v>1.8933760065000582E-2</v>
      </c>
      <c r="CK40" s="34">
        <f>IF(OR(IPC_Trimestriel!CO40="",IPC_Trimestriel!CL40="",IPC_Trimestriel!CH40=""),"",AVERAGE(IPC_Trimestriel!CL40:CO40)/AVERAGE(IPC_Trimestriel!CH40:CK40)-1)</f>
        <v>2.2630689997244158E-2</v>
      </c>
      <c r="CL40" s="34">
        <f>IF(OR(IPC_Trimestriel!CP40="",IPC_Trimestriel!CM40="",IPC_Trimestriel!CI40=""),"",AVERAGE(IPC_Trimestriel!CM40:CP40)/AVERAGE(IPC_Trimestriel!CI40:CL40)-1)</f>
        <v>2.7574030742179012E-2</v>
      </c>
      <c r="CM40" s="34">
        <f>IF(OR(IPC_Trimestriel!CQ40="",IPC_Trimestriel!CN40="",IPC_Trimestriel!CJ40=""),"",AVERAGE(IPC_Trimestriel!CN40:CQ40)/AVERAGE(IPC_Trimestriel!CJ40:CM40)-1)</f>
        <v>3.4876483554134419E-2</v>
      </c>
      <c r="CN40" s="34">
        <f>IF(OR(IPC_Trimestriel!CR40="",IPC_Trimestriel!CO40="",IPC_Trimestriel!CK40=""),"",AVERAGE(IPC_Trimestriel!CO40:CR40)/AVERAGE(IPC_Trimestriel!CK40:CN40)-1)</f>
        <v>3.3551820314119851E-2</v>
      </c>
      <c r="CO40" s="34">
        <f>IF(OR(IPC_Trimestriel!CS40="",IPC_Trimestriel!CP40="",IPC_Trimestriel!CL40=""),"",AVERAGE(IPC_Trimestriel!CP40:CS40)/AVERAGE(IPC_Trimestriel!CL40:CO40)-1)</f>
        <v>3.6383548901490315E-2</v>
      </c>
      <c r="CP40" s="34">
        <f>IF(OR(IPC_Trimestriel!CT40="",IPC_Trimestriel!CQ40="",IPC_Trimestriel!CM40=""),"",AVERAGE(IPC_Trimestriel!CQ40:CT40)/AVERAGE(IPC_Trimestriel!CM40:CP40)-1)</f>
        <v>3.6718520410911948E-2</v>
      </c>
    </row>
    <row r="41" spans="1:94" s="1" customFormat="1" ht="10.199999999999999" x14ac:dyDescent="0.2"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</row>
    <row r="42" spans="1:94" s="1" customFormat="1" ht="10.8" thickBot="1" x14ac:dyDescent="0.25"/>
    <row r="43" spans="1:94" s="2" customFormat="1" ht="33" thickTop="1" thickBot="1" x14ac:dyDescent="0.55000000000000004">
      <c r="B43" s="2" t="s">
        <v>100</v>
      </c>
    </row>
    <row r="44" spans="1:94" ht="14.4" thickTop="1" thickBot="1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 spans="1:94" s="24" customFormat="1" ht="13.8" thickBot="1" x14ac:dyDescent="0.3">
      <c r="A45" s="24" t="s">
        <v>8</v>
      </c>
      <c r="B45" s="21" t="s">
        <v>0</v>
      </c>
      <c r="C45" s="22" t="s">
        <v>1</v>
      </c>
      <c r="D45" s="104" t="s">
        <v>115</v>
      </c>
      <c r="E45" s="104" t="s">
        <v>116</v>
      </c>
      <c r="F45" s="104" t="s">
        <v>117</v>
      </c>
      <c r="G45" s="104" t="s">
        <v>118</v>
      </c>
      <c r="H45" s="104" t="s">
        <v>119</v>
      </c>
      <c r="I45" s="104" t="s">
        <v>120</v>
      </c>
      <c r="J45" s="104" t="s">
        <v>121</v>
      </c>
      <c r="K45" s="104" t="s">
        <v>122</v>
      </c>
      <c r="L45" s="104" t="s">
        <v>123</v>
      </c>
      <c r="M45" s="104" t="s">
        <v>124</v>
      </c>
      <c r="N45" s="104" t="s">
        <v>125</v>
      </c>
      <c r="O45" s="104" t="s">
        <v>126</v>
      </c>
      <c r="P45" s="104" t="s">
        <v>127</v>
      </c>
      <c r="Q45" s="104" t="s">
        <v>128</v>
      </c>
      <c r="R45" s="104" t="s">
        <v>129</v>
      </c>
      <c r="S45" s="104" t="s">
        <v>130</v>
      </c>
      <c r="T45" s="105" t="s">
        <v>131</v>
      </c>
      <c r="U45" s="105" t="s">
        <v>132</v>
      </c>
      <c r="V45" s="105" t="s">
        <v>133</v>
      </c>
      <c r="W45" s="105" t="s">
        <v>134</v>
      </c>
      <c r="X45" s="105" t="s">
        <v>135</v>
      </c>
      <c r="Y45" s="105" t="s">
        <v>136</v>
      </c>
      <c r="Z45" s="105" t="s">
        <v>137</v>
      </c>
      <c r="AA45" s="105" t="s">
        <v>138</v>
      </c>
      <c r="AB45" s="105" t="s">
        <v>139</v>
      </c>
      <c r="AC45" s="105" t="s">
        <v>140</v>
      </c>
      <c r="AD45" s="105" t="s">
        <v>141</v>
      </c>
      <c r="AE45" s="105" t="s">
        <v>142</v>
      </c>
      <c r="AF45" s="105" t="s">
        <v>143</v>
      </c>
      <c r="AG45" s="105" t="s">
        <v>144</v>
      </c>
      <c r="AH45" s="105" t="s">
        <v>145</v>
      </c>
      <c r="AI45" s="105" t="s">
        <v>146</v>
      </c>
      <c r="AJ45" s="105" t="s">
        <v>147</v>
      </c>
      <c r="AK45" s="105" t="s">
        <v>148</v>
      </c>
      <c r="AL45" s="105" t="s">
        <v>149</v>
      </c>
      <c r="AM45" s="105" t="s">
        <v>150</v>
      </c>
      <c r="AN45" s="105" t="s">
        <v>151</v>
      </c>
      <c r="AO45" s="105" t="s">
        <v>152</v>
      </c>
      <c r="AP45" s="105" t="s">
        <v>153</v>
      </c>
      <c r="AQ45" s="105" t="s">
        <v>154</v>
      </c>
      <c r="AR45" s="105" t="s">
        <v>155</v>
      </c>
      <c r="AS45" s="105" t="s">
        <v>156</v>
      </c>
      <c r="AT45" s="105" t="s">
        <v>157</v>
      </c>
      <c r="AU45" s="105" t="s">
        <v>158</v>
      </c>
      <c r="AV45" s="105" t="s">
        <v>159</v>
      </c>
      <c r="AW45" s="105" t="s">
        <v>160</v>
      </c>
      <c r="AX45" s="105" t="s">
        <v>161</v>
      </c>
      <c r="AY45" s="105" t="s">
        <v>162</v>
      </c>
      <c r="AZ45" s="105" t="s">
        <v>163</v>
      </c>
      <c r="BA45" s="105" t="s">
        <v>164</v>
      </c>
      <c r="BB45" s="105" t="s">
        <v>165</v>
      </c>
      <c r="BC45" s="105" t="s">
        <v>166</v>
      </c>
      <c r="BD45" s="105" t="s">
        <v>167</v>
      </c>
      <c r="BE45" s="105" t="s">
        <v>168</v>
      </c>
      <c r="BF45" s="105" t="s">
        <v>169</v>
      </c>
      <c r="BG45" s="105" t="s">
        <v>170</v>
      </c>
      <c r="BH45" s="105" t="s">
        <v>171</v>
      </c>
      <c r="BI45" s="105" t="s">
        <v>172</v>
      </c>
      <c r="BJ45" s="105" t="s">
        <v>173</v>
      </c>
      <c r="BK45" s="105" t="s">
        <v>174</v>
      </c>
      <c r="BL45" s="105" t="s">
        <v>175</v>
      </c>
      <c r="BM45" s="105" t="s">
        <v>176</v>
      </c>
      <c r="BN45" s="105" t="s">
        <v>177</v>
      </c>
      <c r="BO45" s="105" t="s">
        <v>178</v>
      </c>
      <c r="BP45" s="105" t="s">
        <v>183</v>
      </c>
      <c r="BQ45" s="105" t="s">
        <v>184</v>
      </c>
      <c r="BR45" s="105" t="s">
        <v>185</v>
      </c>
      <c r="BS45" s="105" t="s">
        <v>187</v>
      </c>
      <c r="BT45" s="105" t="s">
        <v>188</v>
      </c>
      <c r="BU45" s="105" t="s">
        <v>189</v>
      </c>
      <c r="BV45" s="105" t="s">
        <v>190</v>
      </c>
      <c r="BW45" s="105" t="s">
        <v>191</v>
      </c>
      <c r="BX45" s="105" t="s">
        <v>192</v>
      </c>
      <c r="BY45" s="105" t="s">
        <v>193</v>
      </c>
      <c r="BZ45" s="105" t="s">
        <v>194</v>
      </c>
      <c r="CA45" s="105" t="s">
        <v>195</v>
      </c>
      <c r="CB45" s="105" t="s">
        <v>196</v>
      </c>
      <c r="CC45" s="105" t="s">
        <v>197</v>
      </c>
      <c r="CD45" s="105" t="s">
        <v>198</v>
      </c>
      <c r="CE45" s="105" t="s">
        <v>199</v>
      </c>
      <c r="CF45" s="105" t="str">
        <f>CF4</f>
        <v>2021T1</v>
      </c>
      <c r="CG45" s="105" t="str">
        <f t="shared" ref="CG45:CJ45" si="0">CG4</f>
        <v>2021T2</v>
      </c>
      <c r="CH45" s="105" t="str">
        <f t="shared" si="0"/>
        <v>2021T3</v>
      </c>
      <c r="CI45" s="105" t="str">
        <f t="shared" si="0"/>
        <v>2021T4</v>
      </c>
      <c r="CJ45" s="105" t="str">
        <f t="shared" si="0"/>
        <v>2022T1</v>
      </c>
      <c r="CK45" s="105" t="str">
        <f t="shared" ref="CK45:CM45" si="1">CK4</f>
        <v>2022T2</v>
      </c>
      <c r="CL45" s="105" t="str">
        <f t="shared" si="1"/>
        <v>2022T3</v>
      </c>
      <c r="CM45" s="105" t="str">
        <f t="shared" si="1"/>
        <v>2022T4</v>
      </c>
      <c r="CN45" s="105" t="str">
        <f t="shared" ref="CN45:CP45" si="2">CN4</f>
        <v>2023T1</v>
      </c>
      <c r="CO45" s="105" t="str">
        <f t="shared" si="2"/>
        <v>2023T2</v>
      </c>
      <c r="CP45" s="105" t="str">
        <f t="shared" si="2"/>
        <v>2023T3</v>
      </c>
    </row>
    <row r="46" spans="1:94" s="19" customFormat="1" ht="10.199999999999999" x14ac:dyDescent="0.2">
      <c r="A46" s="11" t="s">
        <v>9</v>
      </c>
      <c r="B46" s="1" t="s">
        <v>10</v>
      </c>
      <c r="C46" s="8">
        <v>616</v>
      </c>
      <c r="D46" s="35" t="str">
        <f>IF(OR(IPC_Trimestriel!H5="",IPC_Trimestriel!D5=""),"",IPC_Trimestriel!H5/IPC_Trimestriel!D5-1)</f>
        <v/>
      </c>
      <c r="E46" s="35" t="str">
        <f>IF(OR(IPC_Trimestriel!I5="",IPC_Trimestriel!E5=""),"",IPC_Trimestriel!I5/IPC_Trimestriel!E5-1)</f>
        <v/>
      </c>
      <c r="F46" s="35" t="str">
        <f>IF(OR(IPC_Trimestriel!J5="",IPC_Trimestriel!F5=""),"",IPC_Trimestriel!J5/IPC_Trimestriel!F5-1)</f>
        <v/>
      </c>
      <c r="G46" s="35" t="str">
        <f>IF(OR(IPC_Trimestriel!K5="",IPC_Trimestriel!G5=""),"",IPC_Trimestriel!K5/IPC_Trimestriel!G5-1)</f>
        <v/>
      </c>
      <c r="H46" s="35" t="str">
        <f>IF(OR(IPC_Trimestriel!L5="",IPC_Trimestriel!H5=""),"",IPC_Trimestriel!L5/IPC_Trimestriel!H5-1)</f>
        <v/>
      </c>
      <c r="I46" s="35" t="str">
        <f>IF(OR(IPC_Trimestriel!M5="",IPC_Trimestriel!I5=""),"",IPC_Trimestriel!M5/IPC_Trimestriel!I5-1)</f>
        <v/>
      </c>
      <c r="J46" s="35" t="str">
        <f>IF(OR(IPC_Trimestriel!N5="",IPC_Trimestriel!J5=""),"",IPC_Trimestriel!N5/IPC_Trimestriel!J5-1)</f>
        <v/>
      </c>
      <c r="K46" s="35" t="str">
        <f>IF(OR(IPC_Trimestriel!O5="",IPC_Trimestriel!K5=""),"",IPC_Trimestriel!O5/IPC_Trimestriel!K5-1)</f>
        <v/>
      </c>
      <c r="L46" s="35" t="str">
        <f>IF(OR(IPC_Trimestriel!P5="",IPC_Trimestriel!L5=""),"",IPC_Trimestriel!P5/IPC_Trimestriel!L5-1)</f>
        <v/>
      </c>
      <c r="M46" s="35" t="str">
        <f>IF(OR(IPC_Trimestriel!Q5="",IPC_Trimestriel!M5=""),"",IPC_Trimestriel!Q5/IPC_Trimestriel!M5-1)</f>
        <v/>
      </c>
      <c r="N46" s="35" t="str">
        <f>IF(OR(IPC_Trimestriel!R5="",IPC_Trimestriel!N5=""),"",IPC_Trimestriel!R5/IPC_Trimestriel!N5-1)</f>
        <v/>
      </c>
      <c r="O46" s="35" t="str">
        <f>IF(OR(IPC_Trimestriel!S5="",IPC_Trimestriel!O5=""),"",IPC_Trimestriel!S5/IPC_Trimestriel!O5-1)</f>
        <v/>
      </c>
      <c r="P46" s="35" t="str">
        <f>IF(OR(IPC_Trimestriel!T5="",IPC_Trimestriel!P5=""),"",IPC_Trimestriel!T5/IPC_Trimestriel!P5-1)</f>
        <v/>
      </c>
      <c r="Q46" s="35" t="str">
        <f>IF(OR(IPC_Trimestriel!U5="",IPC_Trimestriel!Q5=""),"",IPC_Trimestriel!U5/IPC_Trimestriel!Q5-1)</f>
        <v/>
      </c>
      <c r="R46" s="35" t="str">
        <f>IF(OR(IPC_Trimestriel!V5="",IPC_Trimestriel!R5=""),"",IPC_Trimestriel!V5/IPC_Trimestriel!R5-1)</f>
        <v/>
      </c>
      <c r="S46" s="35" t="str">
        <f>IF(OR(IPC_Trimestriel!W5="",IPC_Trimestriel!S5=""),"",IPC_Trimestriel!W5/IPC_Trimestriel!S5-1)</f>
        <v/>
      </c>
      <c r="T46" s="35" t="str">
        <f>IF(OR(IPC_Trimestriel!X5="",IPC_Trimestriel!T5=""),"",IPC_Trimestriel!X5/IPC_Trimestriel!T5-1)</f>
        <v/>
      </c>
      <c r="U46" s="35" t="str">
        <f>IF(OR(IPC_Trimestriel!Y5="",IPC_Trimestriel!U5=""),"",IPC_Trimestriel!Y5/IPC_Trimestriel!U5-1)</f>
        <v/>
      </c>
      <c r="V46" s="35" t="str">
        <f>IF(OR(IPC_Trimestriel!Z5="",IPC_Trimestriel!V5=""),"",IPC_Trimestriel!Z5/IPC_Trimestriel!V5-1)</f>
        <v/>
      </c>
      <c r="W46" s="35" t="str">
        <f>IF(OR(IPC_Trimestriel!AA5="",IPC_Trimestriel!W5=""),"",IPC_Trimestriel!AA5/IPC_Trimestriel!W5-1)</f>
        <v/>
      </c>
      <c r="X46" s="35" t="str">
        <f>IF(OR(IPC_Trimestriel!AB5="",IPC_Trimestriel!X5=""),"",IPC_Trimestriel!AB5/IPC_Trimestriel!X5-1)</f>
        <v/>
      </c>
      <c r="Y46" s="35" t="str">
        <f>IF(OR(IPC_Trimestriel!AC5="",IPC_Trimestriel!Y5=""),"",IPC_Trimestriel!AC5/IPC_Trimestriel!Y5-1)</f>
        <v/>
      </c>
      <c r="Z46" s="35" t="str">
        <f>IF(OR(IPC_Trimestriel!AD5="",IPC_Trimestriel!Z5=""),"",IPC_Trimestriel!AD5/IPC_Trimestriel!Z5-1)</f>
        <v/>
      </c>
      <c r="AA46" s="35" t="str">
        <f>IF(OR(IPC_Trimestriel!AE5="",IPC_Trimestriel!AA5=""),"",IPC_Trimestriel!AE5/IPC_Trimestriel!AA5-1)</f>
        <v/>
      </c>
      <c r="AB46" s="35" t="str">
        <f>IF(OR(IPC_Trimestriel!AF5="",IPC_Trimestriel!AB5=""),"",IPC_Trimestriel!AF5/IPC_Trimestriel!AB5-1)</f>
        <v/>
      </c>
      <c r="AC46" s="35" t="str">
        <f>IF(OR(IPC_Trimestriel!AG5="",IPC_Trimestriel!AC5=""),"",IPC_Trimestriel!AG5/IPC_Trimestriel!AC5-1)</f>
        <v/>
      </c>
      <c r="AD46" s="35" t="str">
        <f>IF(OR(IPC_Trimestriel!AH5="",IPC_Trimestriel!AD5=""),"",IPC_Trimestriel!AH5/IPC_Trimestriel!AD5-1)</f>
        <v/>
      </c>
      <c r="AE46" s="35" t="str">
        <f>IF(OR(IPC_Trimestriel!AI5="",IPC_Trimestriel!AE5=""),"",IPC_Trimestriel!AI5/IPC_Trimestriel!AE5-1)</f>
        <v/>
      </c>
      <c r="AF46" s="35" t="str">
        <f>IF(OR(IPC_Trimestriel!AJ5="",IPC_Trimestriel!AF5=""),"",IPC_Trimestriel!AJ5/IPC_Trimestriel!AF5-1)</f>
        <v/>
      </c>
      <c r="AG46" s="35" t="str">
        <f>IF(OR(IPC_Trimestriel!AK5="",IPC_Trimestriel!AG5=""),"",IPC_Trimestriel!AK5/IPC_Trimestriel!AG5-1)</f>
        <v/>
      </c>
      <c r="AH46" s="35" t="str">
        <f>IF(OR(IPC_Trimestriel!AL5="",IPC_Trimestriel!AH5=""),"",IPC_Trimestriel!AL5/IPC_Trimestriel!AH5-1)</f>
        <v/>
      </c>
      <c r="AI46" s="35" t="str">
        <f>IF(OR(IPC_Trimestriel!AM5="",IPC_Trimestriel!AI5=""),"",IPC_Trimestriel!AM5/IPC_Trimestriel!AI5-1)</f>
        <v/>
      </c>
      <c r="AJ46" s="35" t="str">
        <f>IF(OR(IPC_Trimestriel!AN5="",IPC_Trimestriel!AJ5=""),"",IPC_Trimestriel!AN5/IPC_Trimestriel!AJ5-1)</f>
        <v/>
      </c>
      <c r="AK46" s="35" t="str">
        <f>IF(OR(IPC_Trimestriel!AO5="",IPC_Trimestriel!AK5=""),"",IPC_Trimestriel!AO5/IPC_Trimestriel!AK5-1)</f>
        <v/>
      </c>
      <c r="AL46" s="35" t="str">
        <f>IF(OR(IPC_Trimestriel!AP5="",IPC_Trimestriel!AL5=""),"",IPC_Trimestriel!AP5/IPC_Trimestriel!AL5-1)</f>
        <v/>
      </c>
      <c r="AM46" s="35" t="str">
        <f>IF(OR(IPC_Trimestriel!AQ5="",IPC_Trimestriel!AM5=""),"",IPC_Trimestriel!AQ5/IPC_Trimestriel!AM5-1)</f>
        <v/>
      </c>
      <c r="AN46" s="35" t="str">
        <f>IF(OR(IPC_Trimestriel!AR5="",IPC_Trimestriel!AN5=""),"",IPC_Trimestriel!AR5/IPC_Trimestriel!AN5-1)</f>
        <v/>
      </c>
      <c r="AO46" s="35" t="str">
        <f>IF(OR(IPC_Trimestriel!AS5="",IPC_Trimestriel!AO5=""),"",IPC_Trimestriel!AS5/IPC_Trimestriel!AO5-1)</f>
        <v/>
      </c>
      <c r="AP46" s="35" t="str">
        <f>IF(OR(IPC_Trimestriel!AT5="",IPC_Trimestriel!AP5=""),"",IPC_Trimestriel!AT5/IPC_Trimestriel!AP5-1)</f>
        <v/>
      </c>
      <c r="AQ46" s="35" t="str">
        <f>IF(OR(IPC_Trimestriel!AU5="",IPC_Trimestriel!AQ5=""),"",IPC_Trimestriel!AU5/IPC_Trimestriel!AQ5-1)</f>
        <v/>
      </c>
      <c r="AR46" s="35" t="str">
        <f>IF(OR(IPC_Trimestriel!AV5="",IPC_Trimestriel!AR5=""),"",IPC_Trimestriel!AV5/IPC_Trimestriel!AR5-1)</f>
        <v/>
      </c>
      <c r="AS46" s="35" t="str">
        <f>IF(OR(IPC_Trimestriel!AW5="",IPC_Trimestriel!AS5=""),"",IPC_Trimestriel!AW5/IPC_Trimestriel!AS5-1)</f>
        <v/>
      </c>
      <c r="AT46" s="35" t="str">
        <f>IF(OR(IPC_Trimestriel!AX5="",IPC_Trimestriel!AT5=""),"",IPC_Trimestriel!AX5/IPC_Trimestriel!AT5-1)</f>
        <v/>
      </c>
      <c r="AU46" s="35" t="str">
        <f>IF(OR(IPC_Trimestriel!AY5="",IPC_Trimestriel!AU5=""),"",IPC_Trimestriel!AY5/IPC_Trimestriel!AU5-1)</f>
        <v/>
      </c>
      <c r="AV46" s="35" t="str">
        <f>IF(OR(IPC_Trimestriel!AZ5="",IPC_Trimestriel!AV5=""),"",IPC_Trimestriel!AZ5/IPC_Trimestriel!AV5-1)</f>
        <v/>
      </c>
      <c r="AW46" s="35" t="str">
        <f>IF(OR(IPC_Trimestriel!BA5="",IPC_Trimestriel!AW5=""),"",IPC_Trimestriel!BA5/IPC_Trimestriel!AW5-1)</f>
        <v/>
      </c>
      <c r="AX46" s="35" t="str">
        <f>IF(OR(IPC_Trimestriel!BB5="",IPC_Trimestriel!AX5=""),"",IPC_Trimestriel!BB5/IPC_Trimestriel!AX5-1)</f>
        <v/>
      </c>
      <c r="AY46" s="35" t="str">
        <f>IF(OR(IPC_Trimestriel!BC5="",IPC_Trimestriel!AY5=""),"",IPC_Trimestriel!BC5/IPC_Trimestriel!AY5-1)</f>
        <v/>
      </c>
      <c r="AZ46" s="35">
        <f>IF(OR(IPC_Trimestriel!BD5="",IPC_Trimestriel!AZ5=""),"",IPC_Trimestriel!BD5/IPC_Trimestriel!AZ5-1)</f>
        <v>4.28241365056099E-2</v>
      </c>
      <c r="BA46" s="35">
        <f>IF(OR(IPC_Trimestriel!BE5="",IPC_Trimestriel!BA5=""),"",IPC_Trimestriel!BE5/IPC_Trimestriel!BA5-1)</f>
        <v>2.9025145939988617E-2</v>
      </c>
      <c r="BB46" s="35">
        <f>IF(OR(IPC_Trimestriel!BF5="",IPC_Trimestriel!BB5=""),"",IPC_Trimestriel!BF5/IPC_Trimestriel!BB5-1)</f>
        <v>2.7468100584276733E-2</v>
      </c>
      <c r="BC46" s="35">
        <f>IF(OR(IPC_Trimestriel!BG5="",IPC_Trimestriel!BC5=""),"",IPC_Trimestriel!BG5/IPC_Trimestriel!BC5-1)</f>
        <v>3.1152644062507173E-2</v>
      </c>
      <c r="BD46" s="35">
        <f>IF(OR(IPC_Trimestriel!BH5="",IPC_Trimestriel!BD5=""),"",IPC_Trimestriel!BH5/IPC_Trimestriel!BD5-1)</f>
        <v>1.4185721190611789E-2</v>
      </c>
      <c r="BE46" s="35">
        <f>IF(OR(IPC_Trimestriel!BI5="",IPC_Trimestriel!BE5=""),"",IPC_Trimestriel!BI5/IPC_Trimestriel!BE5-1)</f>
        <v>9.2158705555389631E-3</v>
      </c>
      <c r="BF46" s="35">
        <f>IF(OR(IPC_Trimestriel!BJ5="",IPC_Trimestriel!BF5=""),"",IPC_Trimestriel!BJ5/IPC_Trimestriel!BF5-1)</f>
        <v>8.8685536377197671E-3</v>
      </c>
      <c r="BG46" s="35">
        <f>IF(OR(IPC_Trimestriel!BK5="",IPC_Trimestriel!BG5=""),"",IPC_Trimestriel!BK5/IPC_Trimestriel!BG5-1)</f>
        <v>-1.7063853118194361E-3</v>
      </c>
      <c r="BH46" s="35">
        <f>IF(OR(IPC_Trimestriel!BL5="",IPC_Trimestriel!BH5=""),"",IPC_Trimestriel!BL5/IPC_Trimestriel!BH5-1)</f>
        <v>9.8649140212399011E-3</v>
      </c>
      <c r="BI46" s="35">
        <f>IF(OR(IPC_Trimestriel!BM5="",IPC_Trimestriel!BI5=""),"",IPC_Trimestriel!BM5/IPC_Trimestriel!BI5-1)</f>
        <v>2.4765345368392033E-2</v>
      </c>
      <c r="BJ46" s="35">
        <f>IF(OR(IPC_Trimestriel!BN5="",IPC_Trimestriel!BJ5=""),"",IPC_Trimestriel!BN5/IPC_Trimestriel!BJ5-1)</f>
        <v>2.5572656662029569E-2</v>
      </c>
      <c r="BK46" s="35">
        <f>IF(OR(IPC_Trimestriel!BO5="",IPC_Trimestriel!BK5=""),"",IPC_Trimestriel!BO5/IPC_Trimestriel!BK5-1)</f>
        <v>2.1240925649789189E-2</v>
      </c>
      <c r="BL46" s="35">
        <f>IF(OR(IPC_Trimestriel!BP5="",IPC_Trimestriel!BL5=""),"",IPC_Trimestriel!BP5/IPC_Trimestriel!BL5-1)</f>
        <v>1.9466897496334568E-2</v>
      </c>
      <c r="BM46" s="35">
        <f>IF(OR(IPC_Trimestriel!BQ5="",IPC_Trimestriel!BM5=""),"",IPC_Trimestriel!BQ5/IPC_Trimestriel!BM5-1)</f>
        <v>1.858140651790241E-2</v>
      </c>
      <c r="BN46" s="35">
        <f>IF(OR(IPC_Trimestriel!BR5="",IPC_Trimestriel!BN5=""),"",IPC_Trimestriel!BR5/IPC_Trimestriel!BN5-1)</f>
        <v>8.739519749651592E-3</v>
      </c>
      <c r="BO46" s="35">
        <f>IF(OR(IPC_Trimestriel!BS5="",IPC_Trimestriel!BO5=""),"",IPC_Trimestriel!BS5/IPC_Trimestriel!BO5-1)</f>
        <v>-3.2728087292550612E-3</v>
      </c>
      <c r="BP46" s="35">
        <f>IF(OR(IPC_Trimestriel!BT5="",IPC_Trimestriel!BP5=""),"",IPC_Trimestriel!BT5/IPC_Trimestriel!BP5-1)</f>
        <v>-6.9602577510151642E-3</v>
      </c>
      <c r="BQ46" s="35">
        <f>IF(OR(IPC_Trimestriel!BU5="",IPC_Trimestriel!BQ5=""),"",IPC_Trimestriel!BU5/IPC_Trimestriel!BQ5-1)</f>
        <v>-4.1917193447348344E-3</v>
      </c>
      <c r="BR46" s="35">
        <f>IF(OR(IPC_Trimestriel!BV5="",IPC_Trimestriel!BR5=""),"",IPC_Trimestriel!BV5/IPC_Trimestriel!BR5-1)</f>
        <v>1.4576027026647065E-3</v>
      </c>
      <c r="BS46" s="35">
        <f>IF(OR(IPC_Trimestriel!BW5="",IPC_Trimestriel!BS5=""),"",IPC_Trimestriel!BW5/IPC_Trimestriel!BS5-1)</f>
        <v>1.0311377070899574E-2</v>
      </c>
      <c r="BT46" s="35">
        <f>IF(OR(IPC_Trimestriel!BX5="",IPC_Trimestriel!BT5=""),"",IPC_Trimestriel!BX5/IPC_Trimestriel!BT5-1)</f>
        <v>1.4474730010594072E-2</v>
      </c>
      <c r="BU46" s="35">
        <f>IF(OR(IPC_Trimestriel!BY5="",IPC_Trimestriel!BU5=""),"",IPC_Trimestriel!BY5/IPC_Trimestriel!BU5-1)</f>
        <v>1.1341947624428528E-2</v>
      </c>
      <c r="BV46" s="35">
        <f>IF(OR(IPC_Trimestriel!BZ5="",IPC_Trimestriel!BV5=""),"",IPC_Trimestriel!BZ5/IPC_Trimestriel!BV5-1)</f>
        <v>2.3794095836262574E-3</v>
      </c>
      <c r="BW46" s="35">
        <f>IF(OR(IPC_Trimestriel!CA5="",IPC_Trimestriel!BW5=""),"",IPC_Trimestriel!CA5/IPC_Trimestriel!BW5-1)</f>
        <v>2.0421222361069358E-2</v>
      </c>
      <c r="BX46" s="35">
        <f>IF(OR(IPC_Trimestriel!CB5="",IPC_Trimestriel!BX5=""),"",IPC_Trimestriel!CB5/IPC_Trimestriel!BX5-1)</f>
        <v>2.639625041899385E-2</v>
      </c>
      <c r="BY46" s="35">
        <f>IF(OR(IPC_Trimestriel!CC5="",IPC_Trimestriel!BY5=""),"",IPC_Trimestriel!CC5/IPC_Trimestriel!BY5-1)</f>
        <v>2.7265324848317674E-2</v>
      </c>
      <c r="BZ46" s="35">
        <f>IF(OR(IPC_Trimestriel!CD5="",IPC_Trimestriel!BZ5=""),"",IPC_Trimestriel!CD5/IPC_Trimestriel!BZ5-1)</f>
        <v>3.0487893935236654E-2</v>
      </c>
      <c r="CA46" s="35">
        <f>IF(OR(IPC_Trimestriel!CE5="",IPC_Trimestriel!CA5=""),"",IPC_Trimestriel!CE5/IPC_Trimestriel!CA5-1)</f>
        <v>1.4818261143648259E-2</v>
      </c>
      <c r="CB46" s="35">
        <f>IF(OR(IPC_Trimestriel!CF5="",IPC_Trimestriel!CB5=""),"",IPC_Trimestriel!CF5/IPC_Trimestriel!CB5-1)</f>
        <v>1.950561222629954E-2</v>
      </c>
      <c r="CC46" s="35">
        <f>IF(OR(IPC_Trimestriel!CG5="",IPC_Trimestriel!CC5=""),"",IPC_Trimestriel!CG5/IPC_Trimestriel!CC5-1)</f>
        <v>2.9502965707149054E-2</v>
      </c>
      <c r="CD46" s="35">
        <f>IF(OR(IPC_Trimestriel!CH5="",IPC_Trimestriel!CD5=""),"",IPC_Trimestriel!CH5/IPC_Trimestriel!CD5-1)</f>
        <v>4.5735269822412938E-2</v>
      </c>
      <c r="CE46" s="35">
        <f>IF(OR(IPC_Trimestriel!CI5="",IPC_Trimestriel!CE5=""),"",IPC_Trimestriel!CI5/IPC_Trimestriel!CE5-1)</f>
        <v>4.8545758226161917E-2</v>
      </c>
      <c r="CF46" s="35">
        <f>IF(OR(IPC_Trimestriel!CJ5="",IPC_Trimestriel!CF5=""),"",IPC_Trimestriel!CJ5/IPC_Trimestriel!CF5-1)</f>
        <v>4.4397325450099778E-2</v>
      </c>
      <c r="CG46" s="35">
        <f>IF(OR(IPC_Trimestriel!CK5="",IPC_Trimestriel!CG5=""),"",IPC_Trimestriel!CK5/IPC_Trimestriel!CG5-1)</f>
        <v>4.3328981958250079E-2</v>
      </c>
      <c r="CH46" s="35">
        <f>IF(OR(IPC_Trimestriel!CL5="",IPC_Trimestriel!CH5=""),"",IPC_Trimestriel!CL5/IPC_Trimestriel!CH5-1)</f>
        <v>4.3994156248817307E-2</v>
      </c>
      <c r="CI46" s="35">
        <f>IF(OR(IPC_Trimestriel!CM5="",IPC_Trimestriel!CI5=""),"",IPC_Trimestriel!CM5/IPC_Trimestriel!CI5-1)</f>
        <v>5.4440450865802514E-2</v>
      </c>
      <c r="CJ46" s="35">
        <f>IF(OR(IPC_Trimestriel!CN5="",IPC_Trimestriel!CJ5=""),"",IPC_Trimestriel!CN5/IPC_Trimestriel!CJ5-1)</f>
        <v>9.5540933933444983E-2</v>
      </c>
      <c r="CK46" s="35">
        <f>IF(OR(IPC_Trimestriel!CO5="",IPC_Trimestriel!CK5=""),"",IPC_Trimestriel!CO5/IPC_Trimestriel!CK5-1)</f>
        <v>0.1199015979212823</v>
      </c>
      <c r="CL46" s="35">
        <f>IF(OR(IPC_Trimestriel!CP5="",IPC_Trimestriel!CL5=""),"",IPC_Trimestriel!CP5/IPC_Trimestriel!CL5-1)</f>
        <v>0.14097148310884977</v>
      </c>
      <c r="CM46" s="35">
        <f>IF(OR(IPC_Trimestriel!CQ5="",IPC_Trimestriel!CM5=""),"",IPC_Trimestriel!CQ5/IPC_Trimestriel!CM5-1)</f>
        <v>0.1517977063796645</v>
      </c>
      <c r="CN46" s="35">
        <f>IF(OR(IPC_Trimestriel!CR5="",IPC_Trimestriel!CN5=""),"",IPC_Trimestriel!CR5/IPC_Trimestriel!CN5-1)</f>
        <v>0.13315554998312407</v>
      </c>
      <c r="CO46" s="35">
        <f>IF(OR(IPC_Trimestriel!CS5="",IPC_Trimestriel!CO5=""),"",IPC_Trimestriel!CS5/IPC_Trimestriel!CO5-1)</f>
        <v>0.11515021183773233</v>
      </c>
      <c r="CP46" s="35">
        <f>IF(OR(IPC_Trimestriel!CT5="",IPC_Trimestriel!CP5=""),"",IPC_Trimestriel!CT5/IPC_Trimestriel!CP5-1)</f>
        <v>0.10418314943240037</v>
      </c>
    </row>
    <row r="47" spans="1:94" s="19" customFormat="1" ht="10.199999999999999" x14ac:dyDescent="0.2">
      <c r="A47" s="11"/>
      <c r="B47" s="1" t="s">
        <v>97</v>
      </c>
      <c r="C47" s="8">
        <v>80</v>
      </c>
      <c r="D47" s="35" t="str">
        <f>IF(OR(IPC_Trimestriel!H6="",IPC_Trimestriel!D6=""),"",IPC_Trimestriel!H6/IPC_Trimestriel!D6-1)</f>
        <v/>
      </c>
      <c r="E47" s="35" t="str">
        <f>IF(OR(IPC_Trimestriel!I6="",IPC_Trimestriel!E6=""),"",IPC_Trimestriel!I6/IPC_Trimestriel!E6-1)</f>
        <v/>
      </c>
      <c r="F47" s="35" t="str">
        <f>IF(OR(IPC_Trimestriel!J6="",IPC_Trimestriel!F6=""),"",IPC_Trimestriel!J6/IPC_Trimestriel!F6-1)</f>
        <v/>
      </c>
      <c r="G47" s="35" t="str">
        <f>IF(OR(IPC_Trimestriel!K6="",IPC_Trimestriel!G6=""),"",IPC_Trimestriel!K6/IPC_Trimestriel!G6-1)</f>
        <v/>
      </c>
      <c r="H47" s="35" t="str">
        <f>IF(OR(IPC_Trimestriel!L6="",IPC_Trimestriel!H6=""),"",IPC_Trimestriel!L6/IPC_Trimestriel!H6-1)</f>
        <v/>
      </c>
      <c r="I47" s="35" t="str">
        <f>IF(OR(IPC_Trimestriel!M6="",IPC_Trimestriel!I6=""),"",IPC_Trimestriel!M6/IPC_Trimestriel!I6-1)</f>
        <v/>
      </c>
      <c r="J47" s="35" t="str">
        <f>IF(OR(IPC_Trimestriel!N6="",IPC_Trimestriel!J6=""),"",IPC_Trimestriel!N6/IPC_Trimestriel!J6-1)</f>
        <v/>
      </c>
      <c r="K47" s="35" t="str">
        <f>IF(OR(IPC_Trimestriel!O6="",IPC_Trimestriel!K6=""),"",IPC_Trimestriel!O6/IPC_Trimestriel!K6-1)</f>
        <v/>
      </c>
      <c r="L47" s="35" t="str">
        <f>IF(OR(IPC_Trimestriel!P6="",IPC_Trimestriel!L6=""),"",IPC_Trimestriel!P6/IPC_Trimestriel!L6-1)</f>
        <v/>
      </c>
      <c r="M47" s="35" t="str">
        <f>IF(OR(IPC_Trimestriel!Q6="",IPC_Trimestriel!M6=""),"",IPC_Trimestriel!Q6/IPC_Trimestriel!M6-1)</f>
        <v/>
      </c>
      <c r="N47" s="35" t="str">
        <f>IF(OR(IPC_Trimestriel!R6="",IPC_Trimestriel!N6=""),"",IPC_Trimestriel!R6/IPC_Trimestriel!N6-1)</f>
        <v/>
      </c>
      <c r="O47" s="35" t="str">
        <f>IF(OR(IPC_Trimestriel!S6="",IPC_Trimestriel!O6=""),"",IPC_Trimestriel!S6/IPC_Trimestriel!O6-1)</f>
        <v/>
      </c>
      <c r="P47" s="35" t="str">
        <f>IF(OR(IPC_Trimestriel!T6="",IPC_Trimestriel!P6=""),"",IPC_Trimestriel!T6/IPC_Trimestriel!P6-1)</f>
        <v/>
      </c>
      <c r="Q47" s="35" t="str">
        <f>IF(OR(IPC_Trimestriel!U6="",IPC_Trimestriel!Q6=""),"",IPC_Trimestriel!U6/IPC_Trimestriel!Q6-1)</f>
        <v/>
      </c>
      <c r="R47" s="35" t="str">
        <f>IF(OR(IPC_Trimestriel!V6="",IPC_Trimestriel!R6=""),"",IPC_Trimestriel!V6/IPC_Trimestriel!R6-1)</f>
        <v/>
      </c>
      <c r="S47" s="35" t="str">
        <f>IF(OR(IPC_Trimestriel!W6="",IPC_Trimestriel!S6=""),"",IPC_Trimestriel!W6/IPC_Trimestriel!S6-1)</f>
        <v/>
      </c>
      <c r="T47" s="35" t="str">
        <f>IF(OR(IPC_Trimestriel!X6="",IPC_Trimestriel!T6=""),"",IPC_Trimestriel!X6/IPC_Trimestriel!T6-1)</f>
        <v/>
      </c>
      <c r="U47" s="35" t="str">
        <f>IF(OR(IPC_Trimestriel!Y6="",IPC_Trimestriel!U6=""),"",IPC_Trimestriel!Y6/IPC_Trimestriel!U6-1)</f>
        <v/>
      </c>
      <c r="V47" s="35" t="str">
        <f>IF(OR(IPC_Trimestriel!Z6="",IPC_Trimestriel!V6=""),"",IPC_Trimestriel!Z6/IPC_Trimestriel!V6-1)</f>
        <v/>
      </c>
      <c r="W47" s="35" t="str">
        <f>IF(OR(IPC_Trimestriel!AA6="",IPC_Trimestriel!W6=""),"",IPC_Trimestriel!AA6/IPC_Trimestriel!W6-1)</f>
        <v/>
      </c>
      <c r="X47" s="35" t="str">
        <f>IF(OR(IPC_Trimestriel!AB6="",IPC_Trimestriel!X6=""),"",IPC_Trimestriel!AB6/IPC_Trimestriel!X6-1)</f>
        <v/>
      </c>
      <c r="Y47" s="35" t="str">
        <f>IF(OR(IPC_Trimestriel!AC6="",IPC_Trimestriel!Y6=""),"",IPC_Trimestriel!AC6/IPC_Trimestriel!Y6-1)</f>
        <v/>
      </c>
      <c r="Z47" s="35" t="str">
        <f>IF(OR(IPC_Trimestriel!AD6="",IPC_Trimestriel!Z6=""),"",IPC_Trimestriel!AD6/IPC_Trimestriel!Z6-1)</f>
        <v/>
      </c>
      <c r="AA47" s="35" t="str">
        <f>IF(OR(IPC_Trimestriel!AE6="",IPC_Trimestriel!AA6=""),"",IPC_Trimestriel!AE6/IPC_Trimestriel!AA6-1)</f>
        <v/>
      </c>
      <c r="AB47" s="35" t="str">
        <f>IF(OR(IPC_Trimestriel!AF6="",IPC_Trimestriel!AB6=""),"",IPC_Trimestriel!AF6/IPC_Trimestriel!AB6-1)</f>
        <v/>
      </c>
      <c r="AC47" s="35" t="str">
        <f>IF(OR(IPC_Trimestriel!AG6="",IPC_Trimestriel!AC6=""),"",IPC_Trimestriel!AG6/IPC_Trimestriel!AC6-1)</f>
        <v/>
      </c>
      <c r="AD47" s="35" t="str">
        <f>IF(OR(IPC_Trimestriel!AH6="",IPC_Trimestriel!AD6=""),"",IPC_Trimestriel!AH6/IPC_Trimestriel!AD6-1)</f>
        <v/>
      </c>
      <c r="AE47" s="35" t="str">
        <f>IF(OR(IPC_Trimestriel!AI6="",IPC_Trimestriel!AE6=""),"",IPC_Trimestriel!AI6/IPC_Trimestriel!AE6-1)</f>
        <v/>
      </c>
      <c r="AF47" s="35" t="str">
        <f>IF(OR(IPC_Trimestriel!AJ6="",IPC_Trimestriel!AF6=""),"",IPC_Trimestriel!AJ6/IPC_Trimestriel!AF6-1)</f>
        <v/>
      </c>
      <c r="AG47" s="35" t="str">
        <f>IF(OR(IPC_Trimestriel!AK6="",IPC_Trimestriel!AG6=""),"",IPC_Trimestriel!AK6/IPC_Trimestriel!AG6-1)</f>
        <v/>
      </c>
      <c r="AH47" s="35" t="str">
        <f>IF(OR(IPC_Trimestriel!AL6="",IPC_Trimestriel!AH6=""),"",IPC_Trimestriel!AL6/IPC_Trimestriel!AH6-1)</f>
        <v/>
      </c>
      <c r="AI47" s="35" t="str">
        <f>IF(OR(IPC_Trimestriel!AM6="",IPC_Trimestriel!AI6=""),"",IPC_Trimestriel!AM6/IPC_Trimestriel!AI6-1)</f>
        <v/>
      </c>
      <c r="AJ47" s="35" t="str">
        <f>IF(OR(IPC_Trimestriel!AN6="",IPC_Trimestriel!AJ6=""),"",IPC_Trimestriel!AN6/IPC_Trimestriel!AJ6-1)</f>
        <v/>
      </c>
      <c r="AK47" s="35" t="str">
        <f>IF(OR(IPC_Trimestriel!AO6="",IPC_Trimestriel!AK6=""),"",IPC_Trimestriel!AO6/IPC_Trimestriel!AK6-1)</f>
        <v/>
      </c>
      <c r="AL47" s="35" t="str">
        <f>IF(OR(IPC_Trimestriel!AP6="",IPC_Trimestriel!AL6=""),"",IPC_Trimestriel!AP6/IPC_Trimestriel!AL6-1)</f>
        <v/>
      </c>
      <c r="AM47" s="35" t="str">
        <f>IF(OR(IPC_Trimestriel!AQ6="",IPC_Trimestriel!AM6=""),"",IPC_Trimestriel!AQ6/IPC_Trimestriel!AM6-1)</f>
        <v/>
      </c>
      <c r="AN47" s="35" t="str">
        <f>IF(OR(IPC_Trimestriel!AR6="",IPC_Trimestriel!AN6=""),"",IPC_Trimestriel!AR6/IPC_Trimestriel!AN6-1)</f>
        <v/>
      </c>
      <c r="AO47" s="35" t="str">
        <f>IF(OR(IPC_Trimestriel!AS6="",IPC_Trimestriel!AO6=""),"",IPC_Trimestriel!AS6/IPC_Trimestriel!AO6-1)</f>
        <v/>
      </c>
      <c r="AP47" s="35" t="str">
        <f>IF(OR(IPC_Trimestriel!AT6="",IPC_Trimestriel!AP6=""),"",IPC_Trimestriel!AT6/IPC_Trimestriel!AP6-1)</f>
        <v/>
      </c>
      <c r="AQ47" s="35" t="str">
        <f>IF(OR(IPC_Trimestriel!AU6="",IPC_Trimestriel!AQ6=""),"",IPC_Trimestriel!AU6/IPC_Trimestriel!AQ6-1)</f>
        <v/>
      </c>
      <c r="AR47" s="35" t="str">
        <f>IF(OR(IPC_Trimestriel!AV6="",IPC_Trimestriel!AR6=""),"",IPC_Trimestriel!AV6/IPC_Trimestriel!AR6-1)</f>
        <v/>
      </c>
      <c r="AS47" s="35" t="str">
        <f>IF(OR(IPC_Trimestriel!AW6="",IPC_Trimestriel!AS6=""),"",IPC_Trimestriel!AW6/IPC_Trimestriel!AS6-1)</f>
        <v/>
      </c>
      <c r="AT47" s="35" t="str">
        <f>IF(OR(IPC_Trimestriel!AX6="",IPC_Trimestriel!AT6=""),"",IPC_Trimestriel!AX6/IPC_Trimestriel!AT6-1)</f>
        <v/>
      </c>
      <c r="AU47" s="35" t="str">
        <f>IF(OR(IPC_Trimestriel!AY6="",IPC_Trimestriel!AU6=""),"",IPC_Trimestriel!AY6/IPC_Trimestriel!AU6-1)</f>
        <v/>
      </c>
      <c r="AV47" s="35" t="str">
        <f>IF(OR(IPC_Trimestriel!AZ6="",IPC_Trimestriel!AV6=""),"",IPC_Trimestriel!AZ6/IPC_Trimestriel!AV6-1)</f>
        <v/>
      </c>
      <c r="AW47" s="35" t="str">
        <f>IF(OR(IPC_Trimestriel!BA6="",IPC_Trimestriel!AW6=""),"",IPC_Trimestriel!BA6/IPC_Trimestriel!AW6-1)</f>
        <v/>
      </c>
      <c r="AX47" s="35" t="str">
        <f>IF(OR(IPC_Trimestriel!BB6="",IPC_Trimestriel!AX6=""),"",IPC_Trimestriel!BB6/IPC_Trimestriel!AX6-1)</f>
        <v/>
      </c>
      <c r="AY47" s="35" t="str">
        <f>IF(OR(IPC_Trimestriel!BC6="",IPC_Trimestriel!AY6=""),"",IPC_Trimestriel!BC6/IPC_Trimestriel!AY6-1)</f>
        <v/>
      </c>
      <c r="AZ47" s="35">
        <f>IF(OR(IPC_Trimestriel!BD6="",IPC_Trimestriel!AZ6=""),"",IPC_Trimestriel!BD6/IPC_Trimestriel!AZ6-1)</f>
        <v>4.3250586482264541E-2</v>
      </c>
      <c r="BA47" s="35">
        <f>IF(OR(IPC_Trimestriel!BE6="",IPC_Trimestriel!BA6=""),"",IPC_Trimestriel!BE6/IPC_Trimestriel!BA6-1)</f>
        <v>2.9089003721909146E-2</v>
      </c>
      <c r="BB47" s="35">
        <f>IF(OR(IPC_Trimestriel!BF6="",IPC_Trimestriel!BB6=""),"",IPC_Trimestriel!BF6/IPC_Trimestriel!BB6-1)</f>
        <v>2.7677504107879169E-2</v>
      </c>
      <c r="BC47" s="35">
        <f>IF(OR(IPC_Trimestriel!BG6="",IPC_Trimestriel!BC6=""),"",IPC_Trimestriel!BG6/IPC_Trimestriel!BC6-1)</f>
        <v>3.1688333013306202E-2</v>
      </c>
      <c r="BD47" s="35">
        <f>IF(OR(IPC_Trimestriel!BH6="",IPC_Trimestriel!BD6=""),"",IPC_Trimestriel!BH6/IPC_Trimestriel!BD6-1)</f>
        <v>1.4597179691849371E-2</v>
      </c>
      <c r="BE47" s="35">
        <f>IF(OR(IPC_Trimestriel!BI6="",IPC_Trimestriel!BE6=""),"",IPC_Trimestriel!BI6/IPC_Trimestriel!BE6-1)</f>
        <v>9.5809075453503478E-3</v>
      </c>
      <c r="BF47" s="35">
        <f>IF(OR(IPC_Trimestriel!BJ6="",IPC_Trimestriel!BF6=""),"",IPC_Trimestriel!BJ6/IPC_Trimestriel!BF6-1)</f>
        <v>8.8914919054374764E-3</v>
      </c>
      <c r="BG47" s="35">
        <f>IF(OR(IPC_Trimestriel!BK6="",IPC_Trimestriel!BG6=""),"",IPC_Trimestriel!BK6/IPC_Trimestriel!BG6-1)</f>
        <v>-1.9991499215761266E-3</v>
      </c>
      <c r="BH47" s="35">
        <f>IF(OR(IPC_Trimestriel!BL6="",IPC_Trimestriel!BH6=""),"",IPC_Trimestriel!BL6/IPC_Trimestriel!BH6-1)</f>
        <v>9.6067515948878857E-3</v>
      </c>
      <c r="BI47" s="35">
        <f>IF(OR(IPC_Trimestriel!BM6="",IPC_Trimestriel!BI6=""),"",IPC_Trimestriel!BM6/IPC_Trimestriel!BI6-1)</f>
        <v>2.4370761905852856E-2</v>
      </c>
      <c r="BJ47" s="35">
        <f>IF(OR(IPC_Trimestriel!BN6="",IPC_Trimestriel!BJ6=""),"",IPC_Trimestriel!BN6/IPC_Trimestriel!BJ6-1)</f>
        <v>2.5233378729432099E-2</v>
      </c>
      <c r="BK47" s="35">
        <f>IF(OR(IPC_Trimestriel!BO6="",IPC_Trimestriel!BK6=""),"",IPC_Trimestriel!BO6/IPC_Trimestriel!BK6-1)</f>
        <v>2.0917102248766195E-2</v>
      </c>
      <c r="BL47" s="35">
        <f>IF(OR(IPC_Trimestriel!BP6="",IPC_Trimestriel!BL6=""),"",IPC_Trimestriel!BP6/IPC_Trimestriel!BL6-1)</f>
        <v>1.9300241838407839E-2</v>
      </c>
      <c r="BM47" s="35">
        <f>IF(OR(IPC_Trimestriel!BQ6="",IPC_Trimestriel!BM6=""),"",IPC_Trimestriel!BQ6/IPC_Trimestriel!BM6-1)</f>
        <v>1.9029609213269794E-2</v>
      </c>
      <c r="BN47" s="35">
        <f>IF(OR(IPC_Trimestriel!BR6="",IPC_Trimestriel!BN6=""),"",IPC_Trimestriel!BR6/IPC_Trimestriel!BN6-1)</f>
        <v>9.0553266534438848E-3</v>
      </c>
      <c r="BO47" s="35">
        <f>IF(OR(IPC_Trimestriel!BS6="",IPC_Trimestriel!BO6=""),"",IPC_Trimestriel!BS6/IPC_Trimestriel!BO6-1)</f>
        <v>-3.2610088960814965E-3</v>
      </c>
      <c r="BP47" s="35">
        <f>IF(OR(IPC_Trimestriel!BT6="",IPC_Trimestriel!BP6=""),"",IPC_Trimestriel!BT6/IPC_Trimestriel!BP6-1)</f>
        <v>-7.0641945048000032E-3</v>
      </c>
      <c r="BQ47" s="35">
        <f>IF(OR(IPC_Trimestriel!BU6="",IPC_Trimestriel!BQ6=""),"",IPC_Trimestriel!BU6/IPC_Trimestriel!BQ6-1)</f>
        <v>-4.3903903266363509E-3</v>
      </c>
      <c r="BR47" s="35">
        <f>IF(OR(IPC_Trimestriel!BV6="",IPC_Trimestriel!BR6=""),"",IPC_Trimestriel!BV6/IPC_Trimestriel!BR6-1)</f>
        <v>1.3406230631181071E-3</v>
      </c>
      <c r="BS47" s="35">
        <f>IF(OR(IPC_Trimestriel!BW6="",IPC_Trimestriel!BS6=""),"",IPC_Trimestriel!BW6/IPC_Trimestriel!BS6-1)</f>
        <v>1.042240185877108E-2</v>
      </c>
      <c r="BT47" s="35">
        <f>IF(OR(IPC_Trimestriel!BX6="",IPC_Trimestriel!BT6=""),"",IPC_Trimestriel!BX6/IPC_Trimestriel!BT6-1)</f>
        <v>1.4708176948335039E-2</v>
      </c>
      <c r="BU47" s="35">
        <f>IF(OR(IPC_Trimestriel!BY6="",IPC_Trimestriel!BU6=""),"",IPC_Trimestriel!BY6/IPC_Trimestriel!BU6-1)</f>
        <v>1.1359456779022947E-2</v>
      </c>
      <c r="BV47" s="35">
        <f>IF(OR(IPC_Trimestriel!BZ6="",IPC_Trimestriel!BV6=""),"",IPC_Trimestriel!BZ6/IPC_Trimestriel!BV6-1)</f>
        <v>2.2442167243601485E-3</v>
      </c>
      <c r="BW47" s="35">
        <f>IF(OR(IPC_Trimestriel!CA6="",IPC_Trimestriel!BW6=""),"",IPC_Trimestriel!CA6/IPC_Trimestriel!BW6-1)</f>
        <v>2.0500173866405902E-2</v>
      </c>
      <c r="BX47" s="35">
        <f>IF(OR(IPC_Trimestriel!CB6="",IPC_Trimestriel!BX6=""),"",IPC_Trimestriel!CB6/IPC_Trimestriel!BX6-1)</f>
        <v>2.6461271182215418E-2</v>
      </c>
      <c r="BY47" s="35">
        <f>IF(OR(IPC_Trimestriel!CC6="",IPC_Trimestriel!BY6=""),"",IPC_Trimestriel!CC6/IPC_Trimestriel!BY6-1)</f>
        <v>2.7068562144193287E-2</v>
      </c>
      <c r="BZ47" s="35">
        <f>IF(OR(IPC_Trimestriel!CD6="",IPC_Trimestriel!BZ6=""),"",IPC_Trimestriel!CD6/IPC_Trimestriel!BZ6-1)</f>
        <v>3.0412730502533236E-2</v>
      </c>
      <c r="CA47" s="35">
        <f>IF(OR(IPC_Trimestriel!CE6="",IPC_Trimestriel!CA6=""),"",IPC_Trimestriel!CE6/IPC_Trimestriel!CA6-1)</f>
        <v>1.4520060916458188E-2</v>
      </c>
      <c r="CB47" s="35">
        <f>IF(OR(IPC_Trimestriel!CF6="",IPC_Trimestriel!CB6=""),"",IPC_Trimestriel!CF6/IPC_Trimestriel!CB6-1)</f>
        <v>1.9454352566176558E-2</v>
      </c>
      <c r="CC47" s="35">
        <f>IF(OR(IPC_Trimestriel!CG6="",IPC_Trimestriel!CC6=""),"",IPC_Trimestriel!CG6/IPC_Trimestriel!CC6-1)</f>
        <v>2.9700960046732172E-2</v>
      </c>
      <c r="CD47" s="35">
        <f>IF(OR(IPC_Trimestriel!CH6="",IPC_Trimestriel!CD6=""),"",IPC_Trimestriel!CH6/IPC_Trimestriel!CD6-1)</f>
        <v>4.6135236693398474E-2</v>
      </c>
      <c r="CE47" s="35">
        <f>IF(OR(IPC_Trimestriel!CI6="",IPC_Trimestriel!CE6=""),"",IPC_Trimestriel!CI6/IPC_Trimestriel!CE6-1)</f>
        <v>4.8910044268688058E-2</v>
      </c>
      <c r="CF47" s="35">
        <f>IF(OR(IPC_Trimestriel!CJ6="",IPC_Trimestriel!CF6=""),"",IPC_Trimestriel!CJ6/IPC_Trimestriel!CF6-1)</f>
        <v>4.4678169760873798E-2</v>
      </c>
      <c r="CG47" s="35">
        <f>IF(OR(IPC_Trimestriel!CK6="",IPC_Trimestriel!CG6=""),"",IPC_Trimestriel!CK6/IPC_Trimestriel!CG6-1)</f>
        <v>4.3843045222406785E-2</v>
      </c>
      <c r="CH47" s="35">
        <f>IF(OR(IPC_Trimestriel!CL6="",IPC_Trimestriel!CH6=""),"",IPC_Trimestriel!CL6/IPC_Trimestriel!CH6-1)</f>
        <v>4.4455956243898642E-2</v>
      </c>
      <c r="CI47" s="35">
        <f>IF(OR(IPC_Trimestriel!CM6="",IPC_Trimestriel!CI6=""),"",IPC_Trimestriel!CM6/IPC_Trimestriel!CI6-1)</f>
        <v>5.5114742884688983E-2</v>
      </c>
      <c r="CJ47" s="35">
        <f>IF(OR(IPC_Trimestriel!CN6="",IPC_Trimestriel!CJ6=""),"",IPC_Trimestriel!CN6/IPC_Trimestriel!CJ6-1)</f>
        <v>9.6785737366522184E-2</v>
      </c>
      <c r="CK47" s="35">
        <f>IF(OR(IPC_Trimestriel!CO6="",IPC_Trimestriel!CK6=""),"",IPC_Trimestriel!CO6/IPC_Trimestriel!CK6-1)</f>
        <v>0.12145947674674029</v>
      </c>
      <c r="CL47" s="35">
        <f>IF(OR(IPC_Trimestriel!CP6="",IPC_Trimestriel!CL6=""),"",IPC_Trimestriel!CP6/IPC_Trimestriel!CL6-1)</f>
        <v>0.14288148992147343</v>
      </c>
      <c r="CM47" s="35">
        <f>IF(OR(IPC_Trimestriel!CQ6="",IPC_Trimestriel!CM6=""),"",IPC_Trimestriel!CQ6/IPC_Trimestriel!CM6-1)</f>
        <v>0.1538823967787506</v>
      </c>
      <c r="CN47" s="35">
        <f>IF(OR(IPC_Trimestriel!CR6="",IPC_Trimestriel!CN6=""),"",IPC_Trimestriel!CR6/IPC_Trimestriel!CN6-1)</f>
        <v>0.13580759796893793</v>
      </c>
      <c r="CO47" s="35">
        <f>IF(OR(IPC_Trimestriel!CS6="",IPC_Trimestriel!CO6=""),"",IPC_Trimestriel!CS6/IPC_Trimestriel!CO6-1)</f>
        <v>0.11751746072226088</v>
      </c>
      <c r="CP47" s="35">
        <f>IF(OR(IPC_Trimestriel!CT6="",IPC_Trimestriel!CP6=""),"",IPC_Trimestriel!CT6/IPC_Trimestriel!CP6-1)</f>
        <v>0.10719689421090162</v>
      </c>
    </row>
    <row r="48" spans="1:94" s="19" customFormat="1" ht="10.199999999999999" x14ac:dyDescent="0.2">
      <c r="A48" s="11"/>
      <c r="B48" s="1" t="s">
        <v>98</v>
      </c>
      <c r="C48" s="8">
        <v>174</v>
      </c>
      <c r="D48" s="35" t="str">
        <f>IF(OR(IPC_Trimestriel!H7="",IPC_Trimestriel!D7=""),"",IPC_Trimestriel!H7/IPC_Trimestriel!D7-1)</f>
        <v/>
      </c>
      <c r="E48" s="35" t="str">
        <f>IF(OR(IPC_Trimestriel!I7="",IPC_Trimestriel!E7=""),"",IPC_Trimestriel!I7/IPC_Trimestriel!E7-1)</f>
        <v/>
      </c>
      <c r="F48" s="35" t="str">
        <f>IF(OR(IPC_Trimestriel!J7="",IPC_Trimestriel!F7=""),"",IPC_Trimestriel!J7/IPC_Trimestriel!F7-1)</f>
        <v/>
      </c>
      <c r="G48" s="35" t="str">
        <f>IF(OR(IPC_Trimestriel!K7="",IPC_Trimestriel!G7=""),"",IPC_Trimestriel!K7/IPC_Trimestriel!G7-1)</f>
        <v/>
      </c>
      <c r="H48" s="35" t="str">
        <f>IF(OR(IPC_Trimestriel!L7="",IPC_Trimestriel!H7=""),"",IPC_Trimestriel!L7/IPC_Trimestriel!H7-1)</f>
        <v/>
      </c>
      <c r="I48" s="35" t="str">
        <f>IF(OR(IPC_Trimestriel!M7="",IPC_Trimestriel!I7=""),"",IPC_Trimestriel!M7/IPC_Trimestriel!I7-1)</f>
        <v/>
      </c>
      <c r="J48" s="35" t="str">
        <f>IF(OR(IPC_Trimestriel!N7="",IPC_Trimestriel!J7=""),"",IPC_Trimestriel!N7/IPC_Trimestriel!J7-1)</f>
        <v/>
      </c>
      <c r="K48" s="35" t="str">
        <f>IF(OR(IPC_Trimestriel!O7="",IPC_Trimestriel!K7=""),"",IPC_Trimestriel!O7/IPC_Trimestriel!K7-1)</f>
        <v/>
      </c>
      <c r="L48" s="35" t="str">
        <f>IF(OR(IPC_Trimestriel!P7="",IPC_Trimestriel!L7=""),"",IPC_Trimestriel!P7/IPC_Trimestriel!L7-1)</f>
        <v/>
      </c>
      <c r="M48" s="35" t="str">
        <f>IF(OR(IPC_Trimestriel!Q7="",IPC_Trimestriel!M7=""),"",IPC_Trimestriel!Q7/IPC_Trimestriel!M7-1)</f>
        <v/>
      </c>
      <c r="N48" s="35" t="str">
        <f>IF(OR(IPC_Trimestriel!R7="",IPC_Trimestriel!N7=""),"",IPC_Trimestriel!R7/IPC_Trimestriel!N7-1)</f>
        <v/>
      </c>
      <c r="O48" s="35" t="str">
        <f>IF(OR(IPC_Trimestriel!S7="",IPC_Trimestriel!O7=""),"",IPC_Trimestriel!S7/IPC_Trimestriel!O7-1)</f>
        <v/>
      </c>
      <c r="P48" s="35" t="str">
        <f>IF(OR(IPC_Trimestriel!T7="",IPC_Trimestriel!P7=""),"",IPC_Trimestriel!T7/IPC_Trimestriel!P7-1)</f>
        <v/>
      </c>
      <c r="Q48" s="35" t="str">
        <f>IF(OR(IPC_Trimestriel!U7="",IPC_Trimestriel!Q7=""),"",IPC_Trimestriel!U7/IPC_Trimestriel!Q7-1)</f>
        <v/>
      </c>
      <c r="R48" s="35" t="str">
        <f>IF(OR(IPC_Trimestriel!V7="",IPC_Trimestriel!R7=""),"",IPC_Trimestriel!V7/IPC_Trimestriel!R7-1)</f>
        <v/>
      </c>
      <c r="S48" s="35" t="str">
        <f>IF(OR(IPC_Trimestriel!W7="",IPC_Trimestriel!S7=""),"",IPC_Trimestriel!W7/IPC_Trimestriel!S7-1)</f>
        <v/>
      </c>
      <c r="T48" s="35" t="str">
        <f>IF(OR(IPC_Trimestriel!X7="",IPC_Trimestriel!T7=""),"",IPC_Trimestriel!X7/IPC_Trimestriel!T7-1)</f>
        <v/>
      </c>
      <c r="U48" s="35" t="str">
        <f>IF(OR(IPC_Trimestriel!Y7="",IPC_Trimestriel!U7=""),"",IPC_Trimestriel!Y7/IPC_Trimestriel!U7-1)</f>
        <v/>
      </c>
      <c r="V48" s="35" t="str">
        <f>IF(OR(IPC_Trimestriel!Z7="",IPC_Trimestriel!V7=""),"",IPC_Trimestriel!Z7/IPC_Trimestriel!V7-1)</f>
        <v/>
      </c>
      <c r="W48" s="35" t="str">
        <f>IF(OR(IPC_Trimestriel!AA7="",IPC_Trimestriel!W7=""),"",IPC_Trimestriel!AA7/IPC_Trimestriel!W7-1)</f>
        <v/>
      </c>
      <c r="X48" s="35" t="str">
        <f>IF(OR(IPC_Trimestriel!AB7="",IPC_Trimestriel!X7=""),"",IPC_Trimestriel!AB7/IPC_Trimestriel!X7-1)</f>
        <v/>
      </c>
      <c r="Y48" s="35" t="str">
        <f>IF(OR(IPC_Trimestriel!AC7="",IPC_Trimestriel!Y7=""),"",IPC_Trimestriel!AC7/IPC_Trimestriel!Y7-1)</f>
        <v/>
      </c>
      <c r="Z48" s="35" t="str">
        <f>IF(OR(IPC_Trimestriel!AD7="",IPC_Trimestriel!Z7=""),"",IPC_Trimestriel!AD7/IPC_Trimestriel!Z7-1)</f>
        <v/>
      </c>
      <c r="AA48" s="35" t="str">
        <f>IF(OR(IPC_Trimestriel!AE7="",IPC_Trimestriel!AA7=""),"",IPC_Trimestriel!AE7/IPC_Trimestriel!AA7-1)</f>
        <v/>
      </c>
      <c r="AB48" s="35" t="str">
        <f>IF(OR(IPC_Trimestriel!AF7="",IPC_Trimestriel!AB7=""),"",IPC_Trimestriel!AF7/IPC_Trimestriel!AB7-1)</f>
        <v/>
      </c>
      <c r="AC48" s="35" t="str">
        <f>IF(OR(IPC_Trimestriel!AG7="",IPC_Trimestriel!AC7=""),"",IPC_Trimestriel!AG7/IPC_Trimestriel!AC7-1)</f>
        <v/>
      </c>
      <c r="AD48" s="35" t="str">
        <f>IF(OR(IPC_Trimestriel!AH7="",IPC_Trimestriel!AD7=""),"",IPC_Trimestriel!AH7/IPC_Trimestriel!AD7-1)</f>
        <v/>
      </c>
      <c r="AE48" s="35" t="str">
        <f>IF(OR(IPC_Trimestriel!AI7="",IPC_Trimestriel!AE7=""),"",IPC_Trimestriel!AI7/IPC_Trimestriel!AE7-1)</f>
        <v/>
      </c>
      <c r="AF48" s="35" t="str">
        <f>IF(OR(IPC_Trimestriel!AJ7="",IPC_Trimestriel!AF7=""),"",IPC_Trimestriel!AJ7/IPC_Trimestriel!AF7-1)</f>
        <v/>
      </c>
      <c r="AG48" s="35" t="str">
        <f>IF(OR(IPC_Trimestriel!AK7="",IPC_Trimestriel!AG7=""),"",IPC_Trimestriel!AK7/IPC_Trimestriel!AG7-1)</f>
        <v/>
      </c>
      <c r="AH48" s="35" t="str">
        <f>IF(OR(IPC_Trimestriel!AL7="",IPC_Trimestriel!AH7=""),"",IPC_Trimestriel!AL7/IPC_Trimestriel!AH7-1)</f>
        <v/>
      </c>
      <c r="AI48" s="35" t="str">
        <f>IF(OR(IPC_Trimestriel!AM7="",IPC_Trimestriel!AI7=""),"",IPC_Trimestriel!AM7/IPC_Trimestriel!AI7-1)</f>
        <v/>
      </c>
      <c r="AJ48" s="35" t="str">
        <f>IF(OR(IPC_Trimestriel!AN7="",IPC_Trimestriel!AJ7=""),"",IPC_Trimestriel!AN7/IPC_Trimestriel!AJ7-1)</f>
        <v/>
      </c>
      <c r="AK48" s="35" t="str">
        <f>IF(OR(IPC_Trimestriel!AO7="",IPC_Trimestriel!AK7=""),"",IPC_Trimestriel!AO7/IPC_Trimestriel!AK7-1)</f>
        <v/>
      </c>
      <c r="AL48" s="35" t="str">
        <f>IF(OR(IPC_Trimestriel!AP7="",IPC_Trimestriel!AL7=""),"",IPC_Trimestriel!AP7/IPC_Trimestriel!AL7-1)</f>
        <v/>
      </c>
      <c r="AM48" s="35" t="str">
        <f>IF(OR(IPC_Trimestriel!AQ7="",IPC_Trimestriel!AM7=""),"",IPC_Trimestriel!AQ7/IPC_Trimestriel!AM7-1)</f>
        <v/>
      </c>
      <c r="AN48" s="35" t="str">
        <f>IF(OR(IPC_Trimestriel!AR7="",IPC_Trimestriel!AN7=""),"",IPC_Trimestriel!AR7/IPC_Trimestriel!AN7-1)</f>
        <v/>
      </c>
      <c r="AO48" s="35" t="str">
        <f>IF(OR(IPC_Trimestriel!AS7="",IPC_Trimestriel!AO7=""),"",IPC_Trimestriel!AS7/IPC_Trimestriel!AO7-1)</f>
        <v/>
      </c>
      <c r="AP48" s="35" t="str">
        <f>IF(OR(IPC_Trimestriel!AT7="",IPC_Trimestriel!AP7=""),"",IPC_Trimestriel!AT7/IPC_Trimestriel!AP7-1)</f>
        <v/>
      </c>
      <c r="AQ48" s="35" t="str">
        <f>IF(OR(IPC_Trimestriel!AU7="",IPC_Trimestriel!AQ7=""),"",IPC_Trimestriel!AU7/IPC_Trimestriel!AQ7-1)</f>
        <v/>
      </c>
      <c r="AR48" s="35" t="str">
        <f>IF(OR(IPC_Trimestriel!AV7="",IPC_Trimestriel!AR7=""),"",IPC_Trimestriel!AV7/IPC_Trimestriel!AR7-1)</f>
        <v/>
      </c>
      <c r="AS48" s="35" t="str">
        <f>IF(OR(IPC_Trimestriel!AW7="",IPC_Trimestriel!AS7=""),"",IPC_Trimestriel!AW7/IPC_Trimestriel!AS7-1)</f>
        <v/>
      </c>
      <c r="AT48" s="35" t="str">
        <f>IF(OR(IPC_Trimestriel!AX7="",IPC_Trimestriel!AT7=""),"",IPC_Trimestriel!AX7/IPC_Trimestriel!AT7-1)</f>
        <v/>
      </c>
      <c r="AU48" s="35" t="str">
        <f>IF(OR(IPC_Trimestriel!AY7="",IPC_Trimestriel!AU7=""),"",IPC_Trimestriel!AY7/IPC_Trimestriel!AU7-1)</f>
        <v/>
      </c>
      <c r="AV48" s="35" t="str">
        <f>IF(OR(IPC_Trimestriel!AZ7="",IPC_Trimestriel!AV7=""),"",IPC_Trimestriel!AZ7/IPC_Trimestriel!AV7-1)</f>
        <v/>
      </c>
      <c r="AW48" s="35" t="str">
        <f>IF(OR(IPC_Trimestriel!BA7="",IPC_Trimestriel!AW7=""),"",IPC_Trimestriel!BA7/IPC_Trimestriel!AW7-1)</f>
        <v/>
      </c>
      <c r="AX48" s="35" t="str">
        <f>IF(OR(IPC_Trimestriel!BB7="",IPC_Trimestriel!AX7=""),"",IPC_Trimestriel!BB7/IPC_Trimestriel!AX7-1)</f>
        <v/>
      </c>
      <c r="AY48" s="35" t="str">
        <f>IF(OR(IPC_Trimestriel!BC7="",IPC_Trimestriel!AY7=""),"",IPC_Trimestriel!BC7/IPC_Trimestriel!AY7-1)</f>
        <v/>
      </c>
      <c r="AZ48" s="35">
        <f>IF(OR(IPC_Trimestriel!BD7="",IPC_Trimestriel!AZ7=""),"",IPC_Trimestriel!BD7/IPC_Trimestriel!AZ7-1)</f>
        <v>2.3476572401561757E-2</v>
      </c>
      <c r="BA48" s="35">
        <f>IF(OR(IPC_Trimestriel!BE7="",IPC_Trimestriel!BA7=""),"",IPC_Trimestriel!BE7/IPC_Trimestriel!BA7-1)</f>
        <v>2.6404673830355829E-2</v>
      </c>
      <c r="BB48" s="35">
        <f>IF(OR(IPC_Trimestriel!BF7="",IPC_Trimestriel!BB7=""),"",IPC_Trimestriel!BF7/IPC_Trimestriel!BB7-1)</f>
        <v>1.8680899094709158E-2</v>
      </c>
      <c r="BC48" s="35">
        <f>IF(OR(IPC_Trimestriel!BG7="",IPC_Trimestriel!BC7=""),"",IPC_Trimestriel!BG7/IPC_Trimestriel!BC7-1)</f>
        <v>7.3724215336634646E-3</v>
      </c>
      <c r="BD48" s="35">
        <f>IF(OR(IPC_Trimestriel!BH7="",IPC_Trimestriel!BD7=""),"",IPC_Trimestriel!BH7/IPC_Trimestriel!BD7-1)</f>
        <v>-4.4083017338182318E-3</v>
      </c>
      <c r="BE48" s="35">
        <f>IF(OR(IPC_Trimestriel!BI7="",IPC_Trimestriel!BE7=""),"",IPC_Trimestriel!BI7/IPC_Trimestriel!BE7-1)</f>
        <v>-7.0243207017367526E-3</v>
      </c>
      <c r="BF48" s="35">
        <f>IF(OR(IPC_Trimestriel!BJ7="",IPC_Trimestriel!BF7=""),"",IPC_Trimestriel!BJ7/IPC_Trimestriel!BF7-1)</f>
        <v>9.6821620261107189E-3</v>
      </c>
      <c r="BG48" s="35">
        <f>IF(OR(IPC_Trimestriel!BK7="",IPC_Trimestriel!BG7=""),"",IPC_Trimestriel!BK7/IPC_Trimestriel!BG7-1)</f>
        <v>1.2122479640340744E-2</v>
      </c>
      <c r="BH48" s="35">
        <f>IF(OR(IPC_Trimestriel!BL7="",IPC_Trimestriel!BH7=""),"",IPC_Trimestriel!BL7/IPC_Trimestriel!BH7-1)</f>
        <v>2.2815828645963876E-2</v>
      </c>
      <c r="BI48" s="35">
        <f>IF(OR(IPC_Trimestriel!BM7="",IPC_Trimestriel!BI7=""),"",IPC_Trimestriel!BM7/IPC_Trimestriel!BI7-1)</f>
        <v>4.3316958854087817E-2</v>
      </c>
      <c r="BJ48" s="35">
        <f>IF(OR(IPC_Trimestriel!BN7="",IPC_Trimestriel!BJ7=""),"",IPC_Trimestriel!BN7/IPC_Trimestriel!BJ7-1)</f>
        <v>4.040501344828118E-2</v>
      </c>
      <c r="BK48" s="35">
        <f>IF(OR(IPC_Trimestriel!BO7="",IPC_Trimestriel!BK7=""),"",IPC_Trimestriel!BO7/IPC_Trimestriel!BK7-1)</f>
        <v>3.6727498032742556E-2</v>
      </c>
      <c r="BL48" s="35">
        <f>IF(OR(IPC_Trimestriel!BP7="",IPC_Trimestriel!BL7=""),"",IPC_Trimestriel!BP7/IPC_Trimestriel!BL7-1)</f>
        <v>2.6724266799650787E-2</v>
      </c>
      <c r="BM48" s="35">
        <f>IF(OR(IPC_Trimestriel!BQ7="",IPC_Trimestriel!BM7=""),"",IPC_Trimestriel!BQ7/IPC_Trimestriel!BM7-1)</f>
        <v>-1.1485575326682929E-3</v>
      </c>
      <c r="BN48" s="35">
        <f>IF(OR(IPC_Trimestriel!BR7="",IPC_Trimestriel!BN7=""),"",IPC_Trimestriel!BR7/IPC_Trimestriel!BN7-1)</f>
        <v>-5.2971694926767787E-3</v>
      </c>
      <c r="BO48" s="35">
        <f>IF(OR(IPC_Trimestriel!BS7="",IPC_Trimestriel!BO7=""),"",IPC_Trimestriel!BS7/IPC_Trimestriel!BO7-1)</f>
        <v>-1.5989615487790321E-3</v>
      </c>
      <c r="BP48" s="35">
        <f>IF(OR(IPC_Trimestriel!BT7="",IPC_Trimestriel!BP7=""),"",IPC_Trimestriel!BT7/IPC_Trimestriel!BP7-1)</f>
        <v>3.9798176121985662E-4</v>
      </c>
      <c r="BQ48" s="35">
        <f>IF(OR(IPC_Trimestriel!BU7="",IPC_Trimestriel!BQ7=""),"",IPC_Trimestriel!BU7/IPC_Trimestriel!BQ7-1)</f>
        <v>6.8861233234893682E-3</v>
      </c>
      <c r="BR48" s="35">
        <f>IF(OR(IPC_Trimestriel!BV7="",IPC_Trimestriel!BR7=""),"",IPC_Trimestriel!BV7/IPC_Trimestriel!BR7-1)</f>
        <v>7.466443579904336E-3</v>
      </c>
      <c r="BS48" s="35">
        <f>IF(OR(IPC_Trimestriel!BW7="",IPC_Trimestriel!BS7=""),"",IPC_Trimestriel!BW7/IPC_Trimestriel!BS7-1)</f>
        <v>3.9224004659459411E-3</v>
      </c>
      <c r="BT48" s="35">
        <f>IF(OR(IPC_Trimestriel!BX7="",IPC_Trimestriel!BT7=""),"",IPC_Trimestriel!BX7/IPC_Trimestriel!BT7-1)</f>
        <v>1.8377604817969573E-3</v>
      </c>
      <c r="BU48" s="35">
        <f>IF(OR(IPC_Trimestriel!BY7="",IPC_Trimestriel!BU7=""),"",IPC_Trimestriel!BY7/IPC_Trimestriel!BU7-1)</f>
        <v>9.4919673212614519E-3</v>
      </c>
      <c r="BV48" s="35">
        <f>IF(OR(IPC_Trimestriel!BZ7="",IPC_Trimestriel!BV7=""),"",IPC_Trimestriel!BZ7/IPC_Trimestriel!BV7-1)</f>
        <v>9.2676693419868617E-3</v>
      </c>
      <c r="BW48" s="35">
        <f>IF(OR(IPC_Trimestriel!CA7="",IPC_Trimestriel!BW7=""),"",IPC_Trimestriel!CA7/IPC_Trimestriel!BW7-1)</f>
        <v>1.8305115000454286E-2</v>
      </c>
      <c r="BX48" s="35">
        <f>IF(OR(IPC_Trimestriel!CB7="",IPC_Trimestriel!BX7=""),"",IPC_Trimestriel!CB7/IPC_Trimestriel!BX7-1)</f>
        <v>2.5014140883020008E-2</v>
      </c>
      <c r="BY48" s="35">
        <f>IF(OR(IPC_Trimestriel!CC7="",IPC_Trimestriel!BY7=""),"",IPC_Trimestriel!CC7/IPC_Trimestriel!BY7-1)</f>
        <v>3.7249759686734052E-2</v>
      </c>
      <c r="BZ48" s="35">
        <f>IF(OR(IPC_Trimestriel!CD7="",IPC_Trimestriel!BZ7=""),"",IPC_Trimestriel!CD7/IPC_Trimestriel!BZ7-1)</f>
        <v>3.5323190826638262E-2</v>
      </c>
      <c r="CA48" s="35">
        <f>IF(OR(IPC_Trimestriel!CE7="",IPC_Trimestriel!CA7=""),"",IPC_Trimestriel!CE7/IPC_Trimestriel!CA7-1)</f>
        <v>2.9193909148465425E-2</v>
      </c>
      <c r="CB48" s="35">
        <f>IF(OR(IPC_Trimestriel!CF7="",IPC_Trimestriel!CB7=""),"",IPC_Trimestriel!CF7/IPC_Trimestriel!CB7-1)</f>
        <v>2.1577761378190896E-2</v>
      </c>
      <c r="CC48" s="35">
        <f>IF(OR(IPC_Trimestriel!CG7="",IPC_Trimestriel!CC7=""),"",IPC_Trimestriel!CG7/IPC_Trimestriel!CC7-1)</f>
        <v>2.1960288384944127E-2</v>
      </c>
      <c r="CD48" s="35">
        <f>IF(OR(IPC_Trimestriel!CH7="",IPC_Trimestriel!CD7=""),"",IPC_Trimestriel!CH7/IPC_Trimestriel!CD7-1)</f>
        <v>2.8029932392355184E-2</v>
      </c>
      <c r="CE48" s="35">
        <f>IF(OR(IPC_Trimestriel!CI7="",IPC_Trimestriel!CE7=""),"",IPC_Trimestriel!CI7/IPC_Trimestriel!CE7-1)</f>
        <v>3.3181572855516039E-2</v>
      </c>
      <c r="CF48" s="35">
        <f>IF(OR(IPC_Trimestriel!CJ7="",IPC_Trimestriel!CF7=""),"",IPC_Trimestriel!CJ7/IPC_Trimestriel!CF7-1)</f>
        <v>3.356126545796223E-2</v>
      </c>
      <c r="CG48" s="35">
        <f>IF(OR(IPC_Trimestriel!CK7="",IPC_Trimestriel!CG7=""),"",IPC_Trimestriel!CK7/IPC_Trimestriel!CG7-1)</f>
        <v>1.8296261328298868E-2</v>
      </c>
      <c r="CH48" s="35">
        <f>IF(OR(IPC_Trimestriel!CL7="",IPC_Trimestriel!CH7=""),"",IPC_Trimestriel!CL7/IPC_Trimestriel!CH7-1)</f>
        <v>2.0675920687739824E-2</v>
      </c>
      <c r="CI48" s="35">
        <f>IF(OR(IPC_Trimestriel!CM7="",IPC_Trimestriel!CI7=""),"",IPC_Trimestriel!CM7/IPC_Trimestriel!CI7-1)</f>
        <v>2.0013272786776115E-2</v>
      </c>
      <c r="CJ48" s="35">
        <f>IF(OR(IPC_Trimestriel!CN7="",IPC_Trimestriel!CJ7=""),"",IPC_Trimestriel!CN7/IPC_Trimestriel!CJ7-1)</f>
        <v>3.2075792890498445E-2</v>
      </c>
      <c r="CK48" s="35">
        <f>IF(OR(IPC_Trimestriel!CO7="",IPC_Trimestriel!CK7=""),"",IPC_Trimestriel!CO7/IPC_Trimestriel!CK7-1)</f>
        <v>4.21050214572527E-2</v>
      </c>
      <c r="CL48" s="35">
        <f>IF(OR(IPC_Trimestriel!CP7="",IPC_Trimestriel!CL7=""),"",IPC_Trimestriel!CP7/IPC_Trimestriel!CL7-1)</f>
        <v>4.5828754946642292E-2</v>
      </c>
      <c r="CM48" s="35">
        <f>IF(OR(IPC_Trimestriel!CQ7="",IPC_Trimestriel!CM7=""),"",IPC_Trimestriel!CQ7/IPC_Trimestriel!CM7-1)</f>
        <v>4.761859404425417E-2</v>
      </c>
      <c r="CN48" s="35">
        <f>IF(OR(IPC_Trimestriel!CR7="",IPC_Trimestriel!CN7=""),"",IPC_Trimestriel!CR7/IPC_Trimestriel!CN7-1)</f>
        <v>4.1011536662820314E-2</v>
      </c>
      <c r="CO48" s="35">
        <f>IF(OR(IPC_Trimestriel!CS7="",IPC_Trimestriel!CO7=""),"",IPC_Trimestriel!CS7/IPC_Trimestriel!CO7-1)</f>
        <v>3.1902721557488745E-2</v>
      </c>
      <c r="CP48" s="35">
        <f>IF(OR(IPC_Trimestriel!CT7="",IPC_Trimestriel!CP7=""),"",IPC_Trimestriel!CT7/IPC_Trimestriel!CP7-1)</f>
        <v>2.2409779529950269E-2</v>
      </c>
    </row>
    <row r="49" spans="1:94" s="19" customFormat="1" ht="10.199999999999999" x14ac:dyDescent="0.2">
      <c r="A49" s="11" t="s">
        <v>11</v>
      </c>
      <c r="B49" s="1" t="s">
        <v>12</v>
      </c>
      <c r="C49" s="8">
        <v>56</v>
      </c>
      <c r="D49" s="35" t="str">
        <f>IF(OR(IPC_Trimestriel!H8="",IPC_Trimestriel!D8=""),"",IPC_Trimestriel!H8/IPC_Trimestriel!D8-1)</f>
        <v/>
      </c>
      <c r="E49" s="35" t="str">
        <f>IF(OR(IPC_Trimestriel!I8="",IPC_Trimestriel!E8=""),"",IPC_Trimestriel!I8/IPC_Trimestriel!E8-1)</f>
        <v/>
      </c>
      <c r="F49" s="35" t="str">
        <f>IF(OR(IPC_Trimestriel!J8="",IPC_Trimestriel!F8=""),"",IPC_Trimestriel!J8/IPC_Trimestriel!F8-1)</f>
        <v/>
      </c>
      <c r="G49" s="35" t="str">
        <f>IF(OR(IPC_Trimestriel!K8="",IPC_Trimestriel!G8=""),"",IPC_Trimestriel!K8/IPC_Trimestriel!G8-1)</f>
        <v/>
      </c>
      <c r="H49" s="35" t="str">
        <f>IF(OR(IPC_Trimestriel!L8="",IPC_Trimestriel!H8=""),"",IPC_Trimestriel!L8/IPC_Trimestriel!H8-1)</f>
        <v/>
      </c>
      <c r="I49" s="35" t="str">
        <f>IF(OR(IPC_Trimestriel!M8="",IPC_Trimestriel!I8=""),"",IPC_Trimestriel!M8/IPC_Trimestriel!I8-1)</f>
        <v/>
      </c>
      <c r="J49" s="35" t="str">
        <f>IF(OR(IPC_Trimestriel!N8="",IPC_Trimestriel!J8=""),"",IPC_Trimestriel!N8/IPC_Trimestriel!J8-1)</f>
        <v/>
      </c>
      <c r="K49" s="35" t="str">
        <f>IF(OR(IPC_Trimestriel!O8="",IPC_Trimestriel!K8=""),"",IPC_Trimestriel!O8/IPC_Trimestriel!K8-1)</f>
        <v/>
      </c>
      <c r="L49" s="35" t="str">
        <f>IF(OR(IPC_Trimestriel!P8="",IPC_Trimestriel!L8=""),"",IPC_Trimestriel!P8/IPC_Trimestriel!L8-1)</f>
        <v/>
      </c>
      <c r="M49" s="35" t="str">
        <f>IF(OR(IPC_Trimestriel!Q8="",IPC_Trimestriel!M8=""),"",IPC_Trimestriel!Q8/IPC_Trimestriel!M8-1)</f>
        <v/>
      </c>
      <c r="N49" s="35" t="str">
        <f>IF(OR(IPC_Trimestriel!R8="",IPC_Trimestriel!N8=""),"",IPC_Trimestriel!R8/IPC_Trimestriel!N8-1)</f>
        <v/>
      </c>
      <c r="O49" s="35" t="str">
        <f>IF(OR(IPC_Trimestriel!S8="",IPC_Trimestriel!O8=""),"",IPC_Trimestriel!S8/IPC_Trimestriel!O8-1)</f>
        <v/>
      </c>
      <c r="P49" s="35" t="str">
        <f>IF(OR(IPC_Trimestriel!T8="",IPC_Trimestriel!P8=""),"",IPC_Trimestriel!T8/IPC_Trimestriel!P8-1)</f>
        <v/>
      </c>
      <c r="Q49" s="35" t="str">
        <f>IF(OR(IPC_Trimestriel!U8="",IPC_Trimestriel!Q8=""),"",IPC_Trimestriel!U8/IPC_Trimestriel!Q8-1)</f>
        <v/>
      </c>
      <c r="R49" s="35" t="str">
        <f>IF(OR(IPC_Trimestriel!V8="",IPC_Trimestriel!R8=""),"",IPC_Trimestriel!V8/IPC_Trimestriel!R8-1)</f>
        <v/>
      </c>
      <c r="S49" s="35" t="str">
        <f>IF(OR(IPC_Trimestriel!W8="",IPC_Trimestriel!S8=""),"",IPC_Trimestriel!W8/IPC_Trimestriel!S8-1)</f>
        <v/>
      </c>
      <c r="T49" s="35" t="str">
        <f>IF(OR(IPC_Trimestriel!X8="",IPC_Trimestriel!T8=""),"",IPC_Trimestriel!X8/IPC_Trimestriel!T8-1)</f>
        <v/>
      </c>
      <c r="U49" s="35" t="str">
        <f>IF(OR(IPC_Trimestriel!Y8="",IPC_Trimestriel!U8=""),"",IPC_Trimestriel!Y8/IPC_Trimestriel!U8-1)</f>
        <v/>
      </c>
      <c r="V49" s="35" t="str">
        <f>IF(OR(IPC_Trimestriel!Z8="",IPC_Trimestriel!V8=""),"",IPC_Trimestriel!Z8/IPC_Trimestriel!V8-1)</f>
        <v/>
      </c>
      <c r="W49" s="35" t="str">
        <f>IF(OR(IPC_Trimestriel!AA8="",IPC_Trimestriel!W8=""),"",IPC_Trimestriel!AA8/IPC_Trimestriel!W8-1)</f>
        <v/>
      </c>
      <c r="X49" s="35" t="str">
        <f>IF(OR(IPC_Trimestriel!AB8="",IPC_Trimestriel!X8=""),"",IPC_Trimestriel!AB8/IPC_Trimestriel!X8-1)</f>
        <v/>
      </c>
      <c r="Y49" s="35" t="str">
        <f>IF(OR(IPC_Trimestriel!AC8="",IPC_Trimestriel!Y8=""),"",IPC_Trimestriel!AC8/IPC_Trimestriel!Y8-1)</f>
        <v/>
      </c>
      <c r="Z49" s="35" t="str">
        <f>IF(OR(IPC_Trimestriel!AD8="",IPC_Trimestriel!Z8=""),"",IPC_Trimestriel!AD8/IPC_Trimestriel!Z8-1)</f>
        <v/>
      </c>
      <c r="AA49" s="35" t="str">
        <f>IF(OR(IPC_Trimestriel!AE8="",IPC_Trimestriel!AA8=""),"",IPC_Trimestriel!AE8/IPC_Trimestriel!AA8-1)</f>
        <v/>
      </c>
      <c r="AB49" s="35" t="str">
        <f>IF(OR(IPC_Trimestriel!AF8="",IPC_Trimestriel!AB8=""),"",IPC_Trimestriel!AF8/IPC_Trimestriel!AB8-1)</f>
        <v/>
      </c>
      <c r="AC49" s="35" t="str">
        <f>IF(OR(IPC_Trimestriel!AG8="",IPC_Trimestriel!AC8=""),"",IPC_Trimestriel!AG8/IPC_Trimestriel!AC8-1)</f>
        <v/>
      </c>
      <c r="AD49" s="35" t="str">
        <f>IF(OR(IPC_Trimestriel!AH8="",IPC_Trimestriel!AD8=""),"",IPC_Trimestriel!AH8/IPC_Trimestriel!AD8-1)</f>
        <v/>
      </c>
      <c r="AE49" s="35" t="str">
        <f>IF(OR(IPC_Trimestriel!AI8="",IPC_Trimestriel!AE8=""),"",IPC_Trimestriel!AI8/IPC_Trimestriel!AE8-1)</f>
        <v/>
      </c>
      <c r="AF49" s="35" t="str">
        <f>IF(OR(IPC_Trimestriel!AJ8="",IPC_Trimestriel!AF8=""),"",IPC_Trimestriel!AJ8/IPC_Trimestriel!AF8-1)</f>
        <v/>
      </c>
      <c r="AG49" s="35" t="str">
        <f>IF(OR(IPC_Trimestriel!AK8="",IPC_Trimestriel!AG8=""),"",IPC_Trimestriel!AK8/IPC_Trimestriel!AG8-1)</f>
        <v/>
      </c>
      <c r="AH49" s="35" t="str">
        <f>IF(OR(IPC_Trimestriel!AL8="",IPC_Trimestriel!AH8=""),"",IPC_Trimestriel!AL8/IPC_Trimestriel!AH8-1)</f>
        <v/>
      </c>
      <c r="AI49" s="35" t="str">
        <f>IF(OR(IPC_Trimestriel!AM8="",IPC_Trimestriel!AI8=""),"",IPC_Trimestriel!AM8/IPC_Trimestriel!AI8-1)</f>
        <v/>
      </c>
      <c r="AJ49" s="35" t="str">
        <f>IF(OR(IPC_Trimestriel!AN8="",IPC_Trimestriel!AJ8=""),"",IPC_Trimestriel!AN8/IPC_Trimestriel!AJ8-1)</f>
        <v/>
      </c>
      <c r="AK49" s="35" t="str">
        <f>IF(OR(IPC_Trimestriel!AO8="",IPC_Trimestriel!AK8=""),"",IPC_Trimestriel!AO8/IPC_Trimestriel!AK8-1)</f>
        <v/>
      </c>
      <c r="AL49" s="35" t="str">
        <f>IF(OR(IPC_Trimestriel!AP8="",IPC_Trimestriel!AL8=""),"",IPC_Trimestriel!AP8/IPC_Trimestriel!AL8-1)</f>
        <v/>
      </c>
      <c r="AM49" s="35" t="str">
        <f>IF(OR(IPC_Trimestriel!AQ8="",IPC_Trimestriel!AM8=""),"",IPC_Trimestriel!AQ8/IPC_Trimestriel!AM8-1)</f>
        <v/>
      </c>
      <c r="AN49" s="35" t="str">
        <f>IF(OR(IPC_Trimestriel!AR8="",IPC_Trimestriel!AN8=""),"",IPC_Trimestriel!AR8/IPC_Trimestriel!AN8-1)</f>
        <v/>
      </c>
      <c r="AO49" s="35" t="str">
        <f>IF(OR(IPC_Trimestriel!AS8="",IPC_Trimestriel!AO8=""),"",IPC_Trimestriel!AS8/IPC_Trimestriel!AO8-1)</f>
        <v/>
      </c>
      <c r="AP49" s="35" t="str">
        <f>IF(OR(IPC_Trimestriel!AT8="",IPC_Trimestriel!AP8=""),"",IPC_Trimestriel!AT8/IPC_Trimestriel!AP8-1)</f>
        <v/>
      </c>
      <c r="AQ49" s="35" t="str">
        <f>IF(OR(IPC_Trimestriel!AU8="",IPC_Trimestriel!AQ8=""),"",IPC_Trimestriel!AU8/IPC_Trimestriel!AQ8-1)</f>
        <v/>
      </c>
      <c r="AR49" s="35" t="str">
        <f>IF(OR(IPC_Trimestriel!AV8="",IPC_Trimestriel!AR8=""),"",IPC_Trimestriel!AV8/IPC_Trimestriel!AR8-1)</f>
        <v/>
      </c>
      <c r="AS49" s="35" t="str">
        <f>IF(OR(IPC_Trimestriel!AW8="",IPC_Trimestriel!AS8=""),"",IPC_Trimestriel!AW8/IPC_Trimestriel!AS8-1)</f>
        <v/>
      </c>
      <c r="AT49" s="35" t="str">
        <f>IF(OR(IPC_Trimestriel!AX8="",IPC_Trimestriel!AT8=""),"",IPC_Trimestriel!AX8/IPC_Trimestriel!AT8-1)</f>
        <v/>
      </c>
      <c r="AU49" s="35" t="str">
        <f>IF(OR(IPC_Trimestriel!AY8="",IPC_Trimestriel!AU8=""),"",IPC_Trimestriel!AY8/IPC_Trimestriel!AU8-1)</f>
        <v/>
      </c>
      <c r="AV49" s="35" t="str">
        <f>IF(OR(IPC_Trimestriel!AZ8="",IPC_Trimestriel!AV8=""),"",IPC_Trimestriel!AZ8/IPC_Trimestriel!AV8-1)</f>
        <v/>
      </c>
      <c r="AW49" s="35" t="str">
        <f>IF(OR(IPC_Trimestriel!BA8="",IPC_Trimestriel!AW8=""),"",IPC_Trimestriel!BA8/IPC_Trimestriel!AW8-1)</f>
        <v/>
      </c>
      <c r="AX49" s="35" t="str">
        <f>IF(OR(IPC_Trimestriel!BB8="",IPC_Trimestriel!AX8=""),"",IPC_Trimestriel!BB8/IPC_Trimestriel!AX8-1)</f>
        <v/>
      </c>
      <c r="AY49" s="35" t="str">
        <f>IF(OR(IPC_Trimestriel!BC8="",IPC_Trimestriel!AY8=""),"",IPC_Trimestriel!BC8/IPC_Trimestriel!AY8-1)</f>
        <v/>
      </c>
      <c r="AZ49" s="35">
        <f>IF(OR(IPC_Trimestriel!BD8="",IPC_Trimestriel!AZ8=""),"",IPC_Trimestriel!BD8/IPC_Trimestriel!AZ8-1)</f>
        <v>1.7734479513244805E-2</v>
      </c>
      <c r="BA49" s="35">
        <f>IF(OR(IPC_Trimestriel!BE8="",IPC_Trimestriel!BA8=""),"",IPC_Trimestriel!BE8/IPC_Trimestriel!BA8-1)</f>
        <v>2.9707216658043434E-2</v>
      </c>
      <c r="BB49" s="35">
        <f>IF(OR(IPC_Trimestriel!BF8="",IPC_Trimestriel!BB8=""),"",IPC_Trimestriel!BF8/IPC_Trimestriel!BB8-1)</f>
        <v>3.5987523236177266E-2</v>
      </c>
      <c r="BC49" s="35">
        <f>IF(OR(IPC_Trimestriel!BG8="",IPC_Trimestriel!BC8=""),"",IPC_Trimestriel!BG8/IPC_Trimestriel!BC8-1)</f>
        <v>3.6749962859326857E-2</v>
      </c>
      <c r="BD49" s="35">
        <f>IF(OR(IPC_Trimestriel!BH8="",IPC_Trimestriel!BD8=""),"",IPC_Trimestriel!BH8/IPC_Trimestriel!BD8-1)</f>
        <v>2.8501364209696955E-2</v>
      </c>
      <c r="BE49" s="35">
        <f>IF(OR(IPC_Trimestriel!BI8="",IPC_Trimestriel!BE8=""),"",IPC_Trimestriel!BI8/IPC_Trimestriel!BE8-1)</f>
        <v>1.255832049703054E-2</v>
      </c>
      <c r="BF49" s="35">
        <f>IF(OR(IPC_Trimestriel!BJ8="",IPC_Trimestriel!BF8=""),"",IPC_Trimestriel!BJ8/IPC_Trimestriel!BF8-1)</f>
        <v>6.8630901809962896E-3</v>
      </c>
      <c r="BG49" s="35">
        <f>IF(OR(IPC_Trimestriel!BK8="",IPC_Trimestriel!BG8=""),"",IPC_Trimestriel!BK8/IPC_Trimestriel!BG8-1)</f>
        <v>7.6982876389124488E-3</v>
      </c>
      <c r="BH49" s="35">
        <f>IF(OR(IPC_Trimestriel!BL8="",IPC_Trimestriel!BH8=""),"",IPC_Trimestriel!BL8/IPC_Trimestriel!BH8-1)</f>
        <v>5.0142939104564688E-2</v>
      </c>
      <c r="BI49" s="35">
        <f>IF(OR(IPC_Trimestriel!BM8="",IPC_Trimestriel!BI8=""),"",IPC_Trimestriel!BM8/IPC_Trimestriel!BI8-1)</f>
        <v>9.8077320293112225E-2</v>
      </c>
      <c r="BJ49" s="35">
        <f>IF(OR(IPC_Trimestriel!BN8="",IPC_Trimestriel!BJ8=""),"",IPC_Trimestriel!BN8/IPC_Trimestriel!BJ8-1)</f>
        <v>0.1011171023627524</v>
      </c>
      <c r="BK49" s="35">
        <f>IF(OR(IPC_Trimestriel!BO8="",IPC_Trimestriel!BK8=""),"",IPC_Trimestriel!BO8/IPC_Trimestriel!BK8-1)</f>
        <v>0.10804583654294975</v>
      </c>
      <c r="BL49" s="35">
        <f>IF(OR(IPC_Trimestriel!BP8="",IPC_Trimestriel!BL8=""),"",IPC_Trimestriel!BP8/IPC_Trimestriel!BL8-1)</f>
        <v>6.886809822983686E-2</v>
      </c>
      <c r="BM49" s="35">
        <f>IF(OR(IPC_Trimestriel!BQ8="",IPC_Trimestriel!BM8=""),"",IPC_Trimestriel!BQ8/IPC_Trimestriel!BM8-1)</f>
        <v>2.2976842711226464E-2</v>
      </c>
      <c r="BN49" s="35">
        <f>IF(OR(IPC_Trimestriel!BR8="",IPC_Trimestriel!BN8=""),"",IPC_Trimestriel!BR8/IPC_Trimestriel!BN8-1)</f>
        <v>2.007108207865671E-2</v>
      </c>
      <c r="BO49" s="35">
        <f>IF(OR(IPC_Trimestriel!BS8="",IPC_Trimestriel!BO8=""),"",IPC_Trimestriel!BS8/IPC_Trimestriel!BO8-1)</f>
        <v>1.0151307871582249E-2</v>
      </c>
      <c r="BP49" s="35">
        <f>IF(OR(IPC_Trimestriel!BT8="",IPC_Trimestriel!BP8=""),"",IPC_Trimestriel!BT8/IPC_Trimestriel!BP8-1)</f>
        <v>1.6725972080036122E-2</v>
      </c>
      <c r="BQ49" s="35">
        <f>IF(OR(IPC_Trimestriel!BU8="",IPC_Trimestriel!BQ8=""),"",IPC_Trimestriel!BU8/IPC_Trimestriel!BQ8-1)</f>
        <v>9.9085932055966719E-3</v>
      </c>
      <c r="BR49" s="35">
        <f>IF(OR(IPC_Trimestriel!BV8="",IPC_Trimestriel!BR8=""),"",IPC_Trimestriel!BV8/IPC_Trimestriel!BR8-1)</f>
        <v>1.4825210756308937E-2</v>
      </c>
      <c r="BS49" s="35">
        <f>IF(OR(IPC_Trimestriel!BW8="",IPC_Trimestriel!BS8=""),"",IPC_Trimestriel!BW8/IPC_Trimestriel!BS8-1)</f>
        <v>1.584351865429201E-2</v>
      </c>
      <c r="BT49" s="35">
        <f>IF(OR(IPC_Trimestriel!BX8="",IPC_Trimestriel!BT8=""),"",IPC_Trimestriel!BX8/IPC_Trimestriel!BT8-1)</f>
        <v>5.4790204241668139E-3</v>
      </c>
      <c r="BU49" s="35">
        <f>IF(OR(IPC_Trimestriel!BY8="",IPC_Trimestriel!BU8=""),"",IPC_Trimestriel!BY8/IPC_Trimestriel!BU8-1)</f>
        <v>1.3611433340388279E-2</v>
      </c>
      <c r="BV49" s="35">
        <f>IF(OR(IPC_Trimestriel!BZ8="",IPC_Trimestriel!BV8=""),"",IPC_Trimestriel!BZ8/IPC_Trimestriel!BV8-1)</f>
        <v>1.8949396442078603E-2</v>
      </c>
      <c r="BW49" s="35">
        <f>IF(OR(IPC_Trimestriel!CA8="",IPC_Trimestriel!BW8=""),"",IPC_Trimestriel!CA8/IPC_Trimestriel!BW8-1)</f>
        <v>2.0768408640708058E-2</v>
      </c>
      <c r="BX49" s="35">
        <f>IF(OR(IPC_Trimestriel!CB8="",IPC_Trimestriel!BX8=""),"",IPC_Trimestriel!CB8/IPC_Trimestriel!BX8-1)</f>
        <v>3.5095648229418464E-2</v>
      </c>
      <c r="BY49" s="35">
        <f>IF(OR(IPC_Trimestriel!CC8="",IPC_Trimestriel!BY8=""),"",IPC_Trimestriel!CC8/IPC_Trimestriel!BY8-1)</f>
        <v>5.47480707331367E-2</v>
      </c>
      <c r="BZ49" s="35">
        <f>IF(OR(IPC_Trimestriel!CD8="",IPC_Trimestriel!BZ8=""),"",IPC_Trimestriel!CD8/IPC_Trimestriel!BZ8-1)</f>
        <v>4.752460831759997E-2</v>
      </c>
      <c r="CA49" s="35">
        <f>IF(OR(IPC_Trimestriel!CE8="",IPC_Trimestriel!CA8=""),"",IPC_Trimestriel!CE8/IPC_Trimestriel!CA8-1)</f>
        <v>4.3692818498738184E-2</v>
      </c>
      <c r="CB49" s="35">
        <f>IF(OR(IPC_Trimestriel!CF8="",IPC_Trimestriel!CB8=""),"",IPC_Trimestriel!CF8/IPC_Trimestriel!CB8-1)</f>
        <v>2.9621877332630664E-2</v>
      </c>
      <c r="CC49" s="35">
        <f>IF(OR(IPC_Trimestriel!CG8="",IPC_Trimestriel!CC8=""),"",IPC_Trimestriel!CG8/IPC_Trimestriel!CC8-1)</f>
        <v>2.3344770940733728E-2</v>
      </c>
      <c r="CD49" s="35">
        <f>IF(OR(IPC_Trimestriel!CH8="",IPC_Trimestriel!CD8=""),"",IPC_Trimestriel!CH8/IPC_Trimestriel!CD8-1)</f>
        <v>2.5517393451819359E-2</v>
      </c>
      <c r="CE49" s="35">
        <f>IF(OR(IPC_Trimestriel!CI8="",IPC_Trimestriel!CE8=""),"",IPC_Trimestriel!CI8/IPC_Trimestriel!CE8-1)</f>
        <v>3.5586491182286739E-2</v>
      </c>
      <c r="CF49" s="35">
        <f>IF(OR(IPC_Trimestriel!CJ8="",IPC_Trimestriel!CF8=""),"",IPC_Trimestriel!CJ8/IPC_Trimestriel!CF8-1)</f>
        <v>3.4523881632490871E-2</v>
      </c>
      <c r="CG49" s="35">
        <f>IF(OR(IPC_Trimestriel!CK8="",IPC_Trimestriel!CG8=""),"",IPC_Trimestriel!CK8/IPC_Trimestriel!CG8-1)</f>
        <v>2.1271753337328114E-2</v>
      </c>
      <c r="CH49" s="35">
        <f>IF(OR(IPC_Trimestriel!CL8="",IPC_Trimestriel!CH8=""),"",IPC_Trimestriel!CL8/IPC_Trimestriel!CH8-1)</f>
        <v>2.1763780506107944E-2</v>
      </c>
      <c r="CI49" s="35">
        <f>IF(OR(IPC_Trimestriel!CM8="",IPC_Trimestriel!CI8=""),"",IPC_Trimestriel!CM8/IPC_Trimestriel!CI8-1)</f>
        <v>2.1075882562349824E-2</v>
      </c>
      <c r="CJ49" s="35">
        <f>IF(OR(IPC_Trimestriel!CN8="",IPC_Trimestriel!CJ8=""),"",IPC_Trimestriel!CN8/IPC_Trimestriel!CJ8-1)</f>
        <v>3.379397183757038E-2</v>
      </c>
      <c r="CK49" s="35">
        <f>IF(OR(IPC_Trimestriel!CO8="",IPC_Trimestriel!CK8=""),"",IPC_Trimestriel!CO8/IPC_Trimestriel!CK8-1)</f>
        <v>3.8508257059864492E-2</v>
      </c>
      <c r="CL49" s="35">
        <f>IF(OR(IPC_Trimestriel!CP8="",IPC_Trimestriel!CL8=""),"",IPC_Trimestriel!CP8/IPC_Trimestriel!CL8-1)</f>
        <v>4.6886126031771447E-2</v>
      </c>
      <c r="CM49" s="35">
        <f>IF(OR(IPC_Trimestriel!CQ8="",IPC_Trimestriel!CM8=""),"",IPC_Trimestriel!CQ8/IPC_Trimestriel!CM8-1)</f>
        <v>4.5832732527603781E-2</v>
      </c>
      <c r="CN49" s="35">
        <f>IF(OR(IPC_Trimestriel!CR8="",IPC_Trimestriel!CN8=""),"",IPC_Trimestriel!CR8/IPC_Trimestriel!CN8-1)</f>
        <v>3.5898515452359225E-2</v>
      </c>
      <c r="CO49" s="35">
        <f>IF(OR(IPC_Trimestriel!CS8="",IPC_Trimestriel!CO8=""),"",IPC_Trimestriel!CS8/IPC_Trimestriel!CO8-1)</f>
        <v>4.3498792000276065E-2</v>
      </c>
      <c r="CP49" s="35">
        <f>IF(OR(IPC_Trimestriel!CT8="",IPC_Trimestriel!CP8=""),"",IPC_Trimestriel!CT8/IPC_Trimestriel!CP8-1)</f>
        <v>3.3217833237068284E-2</v>
      </c>
    </row>
    <row r="50" spans="1:94" s="19" customFormat="1" ht="10.199999999999999" x14ac:dyDescent="0.2">
      <c r="A50" s="11" t="s">
        <v>13</v>
      </c>
      <c r="B50" s="1" t="s">
        <v>14</v>
      </c>
      <c r="C50" s="8">
        <v>94</v>
      </c>
      <c r="D50" s="35" t="str">
        <f>IF(OR(IPC_Trimestriel!H9="",IPC_Trimestriel!D9=""),"",IPC_Trimestriel!H9/IPC_Trimestriel!D9-1)</f>
        <v/>
      </c>
      <c r="E50" s="35" t="str">
        <f>IF(OR(IPC_Trimestriel!I9="",IPC_Trimestriel!E9=""),"",IPC_Trimestriel!I9/IPC_Trimestriel!E9-1)</f>
        <v/>
      </c>
      <c r="F50" s="35" t="str">
        <f>IF(OR(IPC_Trimestriel!J9="",IPC_Trimestriel!F9=""),"",IPC_Trimestriel!J9/IPC_Trimestriel!F9-1)</f>
        <v/>
      </c>
      <c r="G50" s="35" t="str">
        <f>IF(OR(IPC_Trimestriel!K9="",IPC_Trimestriel!G9=""),"",IPC_Trimestriel!K9/IPC_Trimestriel!G9-1)</f>
        <v/>
      </c>
      <c r="H50" s="35" t="str">
        <f>IF(OR(IPC_Trimestriel!L9="",IPC_Trimestriel!H9=""),"",IPC_Trimestriel!L9/IPC_Trimestriel!H9-1)</f>
        <v/>
      </c>
      <c r="I50" s="35" t="str">
        <f>IF(OR(IPC_Trimestriel!M9="",IPC_Trimestriel!I9=""),"",IPC_Trimestriel!M9/IPC_Trimestriel!I9-1)</f>
        <v/>
      </c>
      <c r="J50" s="35" t="str">
        <f>IF(OR(IPC_Trimestriel!N9="",IPC_Trimestriel!J9=""),"",IPC_Trimestriel!N9/IPC_Trimestriel!J9-1)</f>
        <v/>
      </c>
      <c r="K50" s="35" t="str">
        <f>IF(OR(IPC_Trimestriel!O9="",IPC_Trimestriel!K9=""),"",IPC_Trimestriel!O9/IPC_Trimestriel!K9-1)</f>
        <v/>
      </c>
      <c r="L50" s="35" t="str">
        <f>IF(OR(IPC_Trimestriel!P9="",IPC_Trimestriel!L9=""),"",IPC_Trimestriel!P9/IPC_Trimestriel!L9-1)</f>
        <v/>
      </c>
      <c r="M50" s="35" t="str">
        <f>IF(OR(IPC_Trimestriel!Q9="",IPC_Trimestriel!M9=""),"",IPC_Trimestriel!Q9/IPC_Trimestriel!M9-1)</f>
        <v/>
      </c>
      <c r="N50" s="35" t="str">
        <f>IF(OR(IPC_Trimestriel!R9="",IPC_Trimestriel!N9=""),"",IPC_Trimestriel!R9/IPC_Trimestriel!N9-1)</f>
        <v/>
      </c>
      <c r="O50" s="35" t="str">
        <f>IF(OR(IPC_Trimestriel!S9="",IPC_Trimestriel!O9=""),"",IPC_Trimestriel!S9/IPC_Trimestriel!O9-1)</f>
        <v/>
      </c>
      <c r="P50" s="35" t="str">
        <f>IF(OR(IPC_Trimestriel!T9="",IPC_Trimestriel!P9=""),"",IPC_Trimestriel!T9/IPC_Trimestriel!P9-1)</f>
        <v/>
      </c>
      <c r="Q50" s="35" t="str">
        <f>IF(OR(IPC_Trimestriel!U9="",IPC_Trimestriel!Q9=""),"",IPC_Trimestriel!U9/IPC_Trimestriel!Q9-1)</f>
        <v/>
      </c>
      <c r="R50" s="35" t="str">
        <f>IF(OR(IPC_Trimestriel!V9="",IPC_Trimestriel!R9=""),"",IPC_Trimestriel!V9/IPC_Trimestriel!R9-1)</f>
        <v/>
      </c>
      <c r="S50" s="35" t="str">
        <f>IF(OR(IPC_Trimestriel!W9="",IPC_Trimestriel!S9=""),"",IPC_Trimestriel!W9/IPC_Trimestriel!S9-1)</f>
        <v/>
      </c>
      <c r="T50" s="35" t="str">
        <f>IF(OR(IPC_Trimestriel!X9="",IPC_Trimestriel!T9=""),"",IPC_Trimestriel!X9/IPC_Trimestriel!T9-1)</f>
        <v/>
      </c>
      <c r="U50" s="35" t="str">
        <f>IF(OR(IPC_Trimestriel!Y9="",IPC_Trimestriel!U9=""),"",IPC_Trimestriel!Y9/IPC_Trimestriel!U9-1)</f>
        <v/>
      </c>
      <c r="V50" s="35" t="str">
        <f>IF(OR(IPC_Trimestriel!Z9="",IPC_Trimestriel!V9=""),"",IPC_Trimestriel!Z9/IPC_Trimestriel!V9-1)</f>
        <v/>
      </c>
      <c r="W50" s="35" t="str">
        <f>IF(OR(IPC_Trimestriel!AA9="",IPC_Trimestriel!W9=""),"",IPC_Trimestriel!AA9/IPC_Trimestriel!W9-1)</f>
        <v/>
      </c>
      <c r="X50" s="35" t="str">
        <f>IF(OR(IPC_Trimestriel!AB9="",IPC_Trimestriel!X9=""),"",IPC_Trimestriel!AB9/IPC_Trimestriel!X9-1)</f>
        <v/>
      </c>
      <c r="Y50" s="35" t="str">
        <f>IF(OR(IPC_Trimestriel!AC9="",IPC_Trimestriel!Y9=""),"",IPC_Trimestriel!AC9/IPC_Trimestriel!Y9-1)</f>
        <v/>
      </c>
      <c r="Z50" s="35" t="str">
        <f>IF(OR(IPC_Trimestriel!AD9="",IPC_Trimestriel!Z9=""),"",IPC_Trimestriel!AD9/IPC_Trimestriel!Z9-1)</f>
        <v/>
      </c>
      <c r="AA50" s="35" t="str">
        <f>IF(OR(IPC_Trimestriel!AE9="",IPC_Trimestriel!AA9=""),"",IPC_Trimestriel!AE9/IPC_Trimestriel!AA9-1)</f>
        <v/>
      </c>
      <c r="AB50" s="35" t="str">
        <f>IF(OR(IPC_Trimestriel!AF9="",IPC_Trimestriel!AB9=""),"",IPC_Trimestriel!AF9/IPC_Trimestriel!AB9-1)</f>
        <v/>
      </c>
      <c r="AC50" s="35" t="str">
        <f>IF(OR(IPC_Trimestriel!AG9="",IPC_Trimestriel!AC9=""),"",IPC_Trimestriel!AG9/IPC_Trimestriel!AC9-1)</f>
        <v/>
      </c>
      <c r="AD50" s="35" t="str">
        <f>IF(OR(IPC_Trimestriel!AH9="",IPC_Trimestriel!AD9=""),"",IPC_Trimestriel!AH9/IPC_Trimestriel!AD9-1)</f>
        <v/>
      </c>
      <c r="AE50" s="35" t="str">
        <f>IF(OR(IPC_Trimestriel!AI9="",IPC_Trimestriel!AE9=""),"",IPC_Trimestriel!AI9/IPC_Trimestriel!AE9-1)</f>
        <v/>
      </c>
      <c r="AF50" s="35" t="str">
        <f>IF(OR(IPC_Trimestriel!AJ9="",IPC_Trimestriel!AF9=""),"",IPC_Trimestriel!AJ9/IPC_Trimestriel!AF9-1)</f>
        <v/>
      </c>
      <c r="AG50" s="35" t="str">
        <f>IF(OR(IPC_Trimestriel!AK9="",IPC_Trimestriel!AG9=""),"",IPC_Trimestriel!AK9/IPC_Trimestriel!AG9-1)</f>
        <v/>
      </c>
      <c r="AH50" s="35" t="str">
        <f>IF(OR(IPC_Trimestriel!AL9="",IPC_Trimestriel!AH9=""),"",IPC_Trimestriel!AL9/IPC_Trimestriel!AH9-1)</f>
        <v/>
      </c>
      <c r="AI50" s="35" t="str">
        <f>IF(OR(IPC_Trimestriel!AM9="",IPC_Trimestriel!AI9=""),"",IPC_Trimestriel!AM9/IPC_Trimestriel!AI9-1)</f>
        <v/>
      </c>
      <c r="AJ50" s="35" t="str">
        <f>IF(OR(IPC_Trimestriel!AN9="",IPC_Trimestriel!AJ9=""),"",IPC_Trimestriel!AN9/IPC_Trimestriel!AJ9-1)</f>
        <v/>
      </c>
      <c r="AK50" s="35" t="str">
        <f>IF(OR(IPC_Trimestriel!AO9="",IPC_Trimestriel!AK9=""),"",IPC_Trimestriel!AO9/IPC_Trimestriel!AK9-1)</f>
        <v/>
      </c>
      <c r="AL50" s="35" t="str">
        <f>IF(OR(IPC_Trimestriel!AP9="",IPC_Trimestriel!AL9=""),"",IPC_Trimestriel!AP9/IPC_Trimestriel!AL9-1)</f>
        <v/>
      </c>
      <c r="AM50" s="35" t="str">
        <f>IF(OR(IPC_Trimestriel!AQ9="",IPC_Trimestriel!AM9=""),"",IPC_Trimestriel!AQ9/IPC_Trimestriel!AM9-1)</f>
        <v/>
      </c>
      <c r="AN50" s="35" t="str">
        <f>IF(OR(IPC_Trimestriel!AR9="",IPC_Trimestriel!AN9=""),"",IPC_Trimestriel!AR9/IPC_Trimestriel!AN9-1)</f>
        <v/>
      </c>
      <c r="AO50" s="35" t="str">
        <f>IF(OR(IPC_Trimestriel!AS9="",IPC_Trimestriel!AO9=""),"",IPC_Trimestriel!AS9/IPC_Trimestriel!AO9-1)</f>
        <v/>
      </c>
      <c r="AP50" s="35" t="str">
        <f>IF(OR(IPC_Trimestriel!AT9="",IPC_Trimestriel!AP9=""),"",IPC_Trimestriel!AT9/IPC_Trimestriel!AP9-1)</f>
        <v/>
      </c>
      <c r="AQ50" s="35" t="str">
        <f>IF(OR(IPC_Trimestriel!AU9="",IPC_Trimestriel!AQ9=""),"",IPC_Trimestriel!AU9/IPC_Trimestriel!AQ9-1)</f>
        <v/>
      </c>
      <c r="AR50" s="35" t="str">
        <f>IF(OR(IPC_Trimestriel!AV9="",IPC_Trimestriel!AR9=""),"",IPC_Trimestriel!AV9/IPC_Trimestriel!AR9-1)</f>
        <v/>
      </c>
      <c r="AS50" s="35" t="str">
        <f>IF(OR(IPC_Trimestriel!AW9="",IPC_Trimestriel!AS9=""),"",IPC_Trimestriel!AW9/IPC_Trimestriel!AS9-1)</f>
        <v/>
      </c>
      <c r="AT50" s="35" t="str">
        <f>IF(OR(IPC_Trimestriel!AX9="",IPC_Trimestriel!AT9=""),"",IPC_Trimestriel!AX9/IPC_Trimestriel!AT9-1)</f>
        <v/>
      </c>
      <c r="AU50" s="35" t="str">
        <f>IF(OR(IPC_Trimestriel!AY9="",IPC_Trimestriel!AU9=""),"",IPC_Trimestriel!AY9/IPC_Trimestriel!AU9-1)</f>
        <v/>
      </c>
      <c r="AV50" s="35" t="str">
        <f>IF(OR(IPC_Trimestriel!AZ9="",IPC_Trimestriel!AV9=""),"",IPC_Trimestriel!AZ9/IPC_Trimestriel!AV9-1)</f>
        <v/>
      </c>
      <c r="AW50" s="35" t="str">
        <f>IF(OR(IPC_Trimestriel!BA9="",IPC_Trimestriel!AW9=""),"",IPC_Trimestriel!BA9/IPC_Trimestriel!AW9-1)</f>
        <v/>
      </c>
      <c r="AX50" s="35" t="str">
        <f>IF(OR(IPC_Trimestriel!BB9="",IPC_Trimestriel!AX9=""),"",IPC_Trimestriel!BB9/IPC_Trimestriel!AX9-1)</f>
        <v/>
      </c>
      <c r="AY50" s="35" t="str">
        <f>IF(OR(IPC_Trimestriel!BC9="",IPC_Trimestriel!AY9=""),"",IPC_Trimestriel!BC9/IPC_Trimestriel!AY9-1)</f>
        <v/>
      </c>
      <c r="AZ50" s="35">
        <f>IF(OR(IPC_Trimestriel!BD9="",IPC_Trimestriel!AZ9=""),"",IPC_Trimestriel!BD9/IPC_Trimestriel!AZ9-1)</f>
        <v>1.3775644755403826E-2</v>
      </c>
      <c r="BA50" s="35">
        <f>IF(OR(IPC_Trimestriel!BE9="",IPC_Trimestriel!BA9=""),"",IPC_Trimestriel!BE9/IPC_Trimestriel!BA9-1)</f>
        <v>1.1053052478520398E-2</v>
      </c>
      <c r="BB50" s="35">
        <f>IF(OR(IPC_Trimestriel!BF9="",IPC_Trimestriel!BB9=""),"",IPC_Trimestriel!BF9/IPC_Trimestriel!BB9-1)</f>
        <v>1.1020588306092982E-2</v>
      </c>
      <c r="BC50" s="35">
        <f>IF(OR(IPC_Trimestriel!BG9="",IPC_Trimestriel!BC9=""),"",IPC_Trimestriel!BG9/IPC_Trimestriel!BC9-1)</f>
        <v>1.4840996746430912E-2</v>
      </c>
      <c r="BD50" s="35">
        <f>IF(OR(IPC_Trimestriel!BH9="",IPC_Trimestriel!BD9=""),"",IPC_Trimestriel!BH9/IPC_Trimestriel!BD9-1)</f>
        <v>1.2076764096234927E-2</v>
      </c>
      <c r="BE50" s="35">
        <f>IF(OR(IPC_Trimestriel!BI9="",IPC_Trimestriel!BE9=""),"",IPC_Trimestriel!BI9/IPC_Trimestriel!BE9-1)</f>
        <v>1.5872493892459927E-2</v>
      </c>
      <c r="BF50" s="35">
        <f>IF(OR(IPC_Trimestriel!BJ9="",IPC_Trimestriel!BF9=""),"",IPC_Trimestriel!BJ9/IPC_Trimestriel!BF9-1)</f>
        <v>1.7777428882388646E-2</v>
      </c>
      <c r="BG50" s="35">
        <f>IF(OR(IPC_Trimestriel!BK9="",IPC_Trimestriel!BG9=""),"",IPC_Trimestriel!BK9/IPC_Trimestriel!BG9-1)</f>
        <v>1.6456764150565073E-2</v>
      </c>
      <c r="BH50" s="35">
        <f>IF(OR(IPC_Trimestriel!BL9="",IPC_Trimestriel!BH9=""),"",IPC_Trimestriel!BL9/IPC_Trimestriel!BH9-1)</f>
        <v>1.1923888756919077E-2</v>
      </c>
      <c r="BI50" s="35">
        <f>IF(OR(IPC_Trimestriel!BM9="",IPC_Trimestriel!BI9=""),"",IPC_Trimestriel!BM9/IPC_Trimestriel!BI9-1)</f>
        <v>2.9205946002315297E-3</v>
      </c>
      <c r="BJ50" s="35">
        <f>IF(OR(IPC_Trimestriel!BN9="",IPC_Trimestriel!BJ9=""),"",IPC_Trimestriel!BN9/IPC_Trimestriel!BJ9-1)</f>
        <v>-2.67160017512591E-4</v>
      </c>
      <c r="BK50" s="35">
        <f>IF(OR(IPC_Trimestriel!BO9="",IPC_Trimestriel!BK9=""),"",IPC_Trimestriel!BO9/IPC_Trimestriel!BK9-1)</f>
        <v>-7.8692920918091991E-3</v>
      </c>
      <c r="BL50" s="35">
        <f>IF(OR(IPC_Trimestriel!BP9="",IPC_Trimestriel!BL9=""),"",IPC_Trimestriel!BP9/IPC_Trimestriel!BL9-1)</f>
        <v>-3.6854377770836333E-3</v>
      </c>
      <c r="BM50" s="35">
        <f>IF(OR(IPC_Trimestriel!BQ9="",IPC_Trimestriel!BM9=""),"",IPC_Trimestriel!BQ9/IPC_Trimestriel!BM9-1)</f>
        <v>-3.0401289161630096E-3</v>
      </c>
      <c r="BN50" s="35">
        <f>IF(OR(IPC_Trimestriel!BR9="",IPC_Trimestriel!BN9=""),"",IPC_Trimestriel!BR9/IPC_Trimestriel!BN9-1)</f>
        <v>3.9854895604276575E-3</v>
      </c>
      <c r="BO50" s="35">
        <f>IF(OR(IPC_Trimestriel!BS9="",IPC_Trimestriel!BO9=""),"",IPC_Trimestriel!BS9/IPC_Trimestriel!BO9-1)</f>
        <v>5.5724845600906292E-3</v>
      </c>
      <c r="BP50" s="35">
        <f>IF(OR(IPC_Trimestriel!BT9="",IPC_Trimestriel!BP9=""),"",IPC_Trimestriel!BT9/IPC_Trimestriel!BP9-1)</f>
        <v>1.0940477059921072E-2</v>
      </c>
      <c r="BQ50" s="35">
        <f>IF(OR(IPC_Trimestriel!BU9="",IPC_Trimestriel!BQ9=""),"",IPC_Trimestriel!BU9/IPC_Trimestriel!BQ9-1)</f>
        <v>1.3106023324597649E-2</v>
      </c>
      <c r="BR50" s="35">
        <f>IF(OR(IPC_Trimestriel!BV9="",IPC_Trimestriel!BR9=""),"",IPC_Trimestriel!BV9/IPC_Trimestriel!BR9-1)</f>
        <v>6.7467068901563287E-3</v>
      </c>
      <c r="BS50" s="35">
        <f>IF(OR(IPC_Trimestriel!BW9="",IPC_Trimestriel!BS9=""),"",IPC_Trimestriel!BW9/IPC_Trimestriel!BS9-1)</f>
        <v>7.5577881973243333E-3</v>
      </c>
      <c r="BT50" s="35">
        <f>IF(OR(IPC_Trimestriel!BX9="",IPC_Trimestriel!BT9=""),"",IPC_Trimestriel!BX9/IPC_Trimestriel!BT9-1)</f>
        <v>1.0000924085997287E-2</v>
      </c>
      <c r="BU50" s="35">
        <f>IF(OR(IPC_Trimestriel!BY9="",IPC_Trimestriel!BU9=""),"",IPC_Trimestriel!BY9/IPC_Trimestriel!BU9-1)</f>
        <v>1.7237731213787244E-2</v>
      </c>
      <c r="BV50" s="35">
        <f>IF(OR(IPC_Trimestriel!BZ9="",IPC_Trimestriel!BV9=""),"",IPC_Trimestriel!BZ9/IPC_Trimestriel!BV9-1)</f>
        <v>1.9856809498743466E-2</v>
      </c>
      <c r="BW50" s="35">
        <f>IF(OR(IPC_Trimestriel!CA9="",IPC_Trimestriel!BW9=""),"",IPC_Trimestriel!CA9/IPC_Trimestriel!BW9-1)</f>
        <v>2.8492959223548553E-2</v>
      </c>
      <c r="BX50" s="35">
        <f>IF(OR(IPC_Trimestriel!CB9="",IPC_Trimestriel!BX9=""),"",IPC_Trimestriel!CB9/IPC_Trimestriel!BX9-1)</f>
        <v>2.7403286827654805E-2</v>
      </c>
      <c r="BY50" s="35">
        <f>IF(OR(IPC_Trimestriel!CC9="",IPC_Trimestriel!BY9=""),"",IPC_Trimestriel!CC9/IPC_Trimestriel!BY9-1)</f>
        <v>2.8260171663349265E-2</v>
      </c>
      <c r="BZ50" s="35">
        <f>IF(OR(IPC_Trimestriel!CD9="",IPC_Trimestriel!BZ9=""),"",IPC_Trimestriel!CD9/IPC_Trimestriel!BZ9-1)</f>
        <v>2.5195596500055206E-2</v>
      </c>
      <c r="CA50" s="35">
        <f>IF(OR(IPC_Trimestriel!CE9="",IPC_Trimestriel!CA9=""),"",IPC_Trimestriel!CE9/IPC_Trimestriel!CA9-1)</f>
        <v>1.7121968161373458E-2</v>
      </c>
      <c r="CB50" s="35">
        <f>IF(OR(IPC_Trimestriel!CF9="",IPC_Trimestriel!CB9=""),"",IPC_Trimestriel!CF9/IPC_Trimestriel!CB9-1)</f>
        <v>1.3401922681490763E-2</v>
      </c>
      <c r="CC50" s="35">
        <f>IF(OR(IPC_Trimestriel!CG9="",IPC_Trimestriel!CC9=""),"",IPC_Trimestriel!CG9/IPC_Trimestriel!CC9-1)</f>
        <v>2.5164201504614958E-2</v>
      </c>
      <c r="CD50" s="35">
        <f>IF(OR(IPC_Trimestriel!CH9="",IPC_Trimestriel!CD9=""),"",IPC_Trimestriel!CH9/IPC_Trimestriel!CD9-1)</f>
        <v>2.7150117917187799E-2</v>
      </c>
      <c r="CE50" s="35">
        <f>IF(OR(IPC_Trimestriel!CI9="",IPC_Trimestriel!CE9=""),"",IPC_Trimestriel!CI9/IPC_Trimestriel!CE9-1)</f>
        <v>3.1344159878024191E-2</v>
      </c>
      <c r="CF50" s="35">
        <f>IF(OR(IPC_Trimestriel!CJ9="",IPC_Trimestriel!CF9=""),"",IPC_Trimestriel!CJ9/IPC_Trimestriel!CF9-1)</f>
        <v>3.5450981391384806E-2</v>
      </c>
      <c r="CG50" s="35">
        <f>IF(OR(IPC_Trimestriel!CK9="",IPC_Trimestriel!CG9=""),"",IPC_Trimestriel!CK9/IPC_Trimestriel!CG9-1)</f>
        <v>1.9996621775285606E-2</v>
      </c>
      <c r="CH50" s="35">
        <f>IF(OR(IPC_Trimestriel!CL9="",IPC_Trimestriel!CH9=""),"",IPC_Trimestriel!CL9/IPC_Trimestriel!CH9-1)</f>
        <v>2.2386607426748251E-2</v>
      </c>
      <c r="CI50" s="35">
        <f>IF(OR(IPC_Trimestriel!CM9="",IPC_Trimestriel!CI9=""),"",IPC_Trimestriel!CM9/IPC_Trimestriel!CI9-1)</f>
        <v>2.2642694727405877E-2</v>
      </c>
      <c r="CJ50" s="35">
        <f>IF(OR(IPC_Trimestriel!CN9="",IPC_Trimestriel!CJ9=""),"",IPC_Trimestriel!CN9/IPC_Trimestriel!CJ9-1)</f>
        <v>2.8270857498474466E-2</v>
      </c>
      <c r="CK50" s="35">
        <f>IF(OR(IPC_Trimestriel!CO9="",IPC_Trimestriel!CK9=""),"",IPC_Trimestriel!CO9/IPC_Trimestriel!CK9-1)</f>
        <v>4.2825668990558396E-2</v>
      </c>
      <c r="CL50" s="35">
        <f>IF(OR(IPC_Trimestriel!CP9="",IPC_Trimestriel!CL9=""),"",IPC_Trimestriel!CP9/IPC_Trimestriel!CL9-1)</f>
        <v>4.2230861852974311E-2</v>
      </c>
      <c r="CM50" s="35">
        <f>IF(OR(IPC_Trimestriel!CQ9="",IPC_Trimestriel!CM9=""),"",IPC_Trimestriel!CQ9/IPC_Trimestriel!CM9-1)</f>
        <v>4.4831351266659825E-2</v>
      </c>
      <c r="CN50" s="35">
        <f>IF(OR(IPC_Trimestriel!CR9="",IPC_Trimestriel!CN9=""),"",IPC_Trimestriel!CR9/IPC_Trimestriel!CN9-1)</f>
        <v>4.505471982848186E-2</v>
      </c>
      <c r="CO50" s="35">
        <f>IF(OR(IPC_Trimestriel!CS9="",IPC_Trimestriel!CO9=""),"",IPC_Trimestriel!CS9/IPC_Trimestriel!CO9-1)</f>
        <v>4.2922820455916444E-2</v>
      </c>
      <c r="CP50" s="35">
        <f>IF(OR(IPC_Trimestriel!CT9="",IPC_Trimestriel!CP9=""),"",IPC_Trimestriel!CT9/IPC_Trimestriel!CP9-1)</f>
        <v>4.3896406032533752E-2</v>
      </c>
    </row>
    <row r="51" spans="1:94" s="19" customFormat="1" ht="10.199999999999999" x14ac:dyDescent="0.2">
      <c r="A51" s="11" t="s">
        <v>15</v>
      </c>
      <c r="B51" s="1" t="s">
        <v>16</v>
      </c>
      <c r="C51" s="8">
        <v>71</v>
      </c>
      <c r="D51" s="35" t="str">
        <f>IF(OR(IPC_Trimestriel!H10="",IPC_Trimestriel!D10=""),"",IPC_Trimestriel!H10/IPC_Trimestriel!D10-1)</f>
        <v/>
      </c>
      <c r="E51" s="35" t="str">
        <f>IF(OR(IPC_Trimestriel!I10="",IPC_Trimestriel!E10=""),"",IPC_Trimestriel!I10/IPC_Trimestriel!E10-1)</f>
        <v/>
      </c>
      <c r="F51" s="35" t="str">
        <f>IF(OR(IPC_Trimestriel!J10="",IPC_Trimestriel!F10=""),"",IPC_Trimestriel!J10/IPC_Trimestriel!F10-1)</f>
        <v/>
      </c>
      <c r="G51" s="35" t="str">
        <f>IF(OR(IPC_Trimestriel!K10="",IPC_Trimestriel!G10=""),"",IPC_Trimestriel!K10/IPC_Trimestriel!G10-1)</f>
        <v/>
      </c>
      <c r="H51" s="35" t="str">
        <f>IF(OR(IPC_Trimestriel!L10="",IPC_Trimestriel!H10=""),"",IPC_Trimestriel!L10/IPC_Trimestriel!H10-1)</f>
        <v/>
      </c>
      <c r="I51" s="35" t="str">
        <f>IF(OR(IPC_Trimestriel!M10="",IPC_Trimestriel!I10=""),"",IPC_Trimestriel!M10/IPC_Trimestriel!I10-1)</f>
        <v/>
      </c>
      <c r="J51" s="35" t="str">
        <f>IF(OR(IPC_Trimestriel!N10="",IPC_Trimestriel!J10=""),"",IPC_Trimestriel!N10/IPC_Trimestriel!J10-1)</f>
        <v/>
      </c>
      <c r="K51" s="35" t="str">
        <f>IF(OR(IPC_Trimestriel!O10="",IPC_Trimestriel!K10=""),"",IPC_Trimestriel!O10/IPC_Trimestriel!K10-1)</f>
        <v/>
      </c>
      <c r="L51" s="35" t="str">
        <f>IF(OR(IPC_Trimestriel!P10="",IPC_Trimestriel!L10=""),"",IPC_Trimestriel!P10/IPC_Trimestriel!L10-1)</f>
        <v/>
      </c>
      <c r="M51" s="35" t="str">
        <f>IF(OR(IPC_Trimestriel!Q10="",IPC_Trimestriel!M10=""),"",IPC_Trimestriel!Q10/IPC_Trimestriel!M10-1)</f>
        <v/>
      </c>
      <c r="N51" s="35" t="str">
        <f>IF(OR(IPC_Trimestriel!R10="",IPC_Trimestriel!N10=""),"",IPC_Trimestriel!R10/IPC_Trimestriel!N10-1)</f>
        <v/>
      </c>
      <c r="O51" s="35" t="str">
        <f>IF(OR(IPC_Trimestriel!S10="",IPC_Trimestriel!O10=""),"",IPC_Trimestriel!S10/IPC_Trimestriel!O10-1)</f>
        <v/>
      </c>
      <c r="P51" s="35" t="str">
        <f>IF(OR(IPC_Trimestriel!T10="",IPC_Trimestriel!P10=""),"",IPC_Trimestriel!T10/IPC_Trimestriel!P10-1)</f>
        <v/>
      </c>
      <c r="Q51" s="35" t="str">
        <f>IF(OR(IPC_Trimestriel!U10="",IPC_Trimestriel!Q10=""),"",IPC_Trimestriel!U10/IPC_Trimestriel!Q10-1)</f>
        <v/>
      </c>
      <c r="R51" s="35" t="str">
        <f>IF(OR(IPC_Trimestriel!V10="",IPC_Trimestriel!R10=""),"",IPC_Trimestriel!V10/IPC_Trimestriel!R10-1)</f>
        <v/>
      </c>
      <c r="S51" s="35" t="str">
        <f>IF(OR(IPC_Trimestriel!W10="",IPC_Trimestriel!S10=""),"",IPC_Trimestriel!W10/IPC_Trimestriel!S10-1)</f>
        <v/>
      </c>
      <c r="T51" s="35" t="str">
        <f>IF(OR(IPC_Trimestriel!X10="",IPC_Trimestriel!T10=""),"",IPC_Trimestriel!X10/IPC_Trimestriel!T10-1)</f>
        <v/>
      </c>
      <c r="U51" s="35" t="str">
        <f>IF(OR(IPC_Trimestriel!Y10="",IPC_Trimestriel!U10=""),"",IPC_Trimestriel!Y10/IPC_Trimestriel!U10-1)</f>
        <v/>
      </c>
      <c r="V51" s="35" t="str">
        <f>IF(OR(IPC_Trimestriel!Z10="",IPC_Trimestriel!V10=""),"",IPC_Trimestriel!Z10/IPC_Trimestriel!V10-1)</f>
        <v/>
      </c>
      <c r="W51" s="35" t="str">
        <f>IF(OR(IPC_Trimestriel!AA10="",IPC_Trimestriel!W10=""),"",IPC_Trimestriel!AA10/IPC_Trimestriel!W10-1)</f>
        <v/>
      </c>
      <c r="X51" s="35" t="str">
        <f>IF(OR(IPC_Trimestriel!AB10="",IPC_Trimestriel!X10=""),"",IPC_Trimestriel!AB10/IPC_Trimestriel!X10-1)</f>
        <v/>
      </c>
      <c r="Y51" s="35" t="str">
        <f>IF(OR(IPC_Trimestriel!AC10="",IPC_Trimestriel!Y10=""),"",IPC_Trimestriel!AC10/IPC_Trimestriel!Y10-1)</f>
        <v/>
      </c>
      <c r="Z51" s="35" t="str">
        <f>IF(OR(IPC_Trimestriel!AD10="",IPC_Trimestriel!Z10=""),"",IPC_Trimestriel!AD10/IPC_Trimestriel!Z10-1)</f>
        <v/>
      </c>
      <c r="AA51" s="35" t="str">
        <f>IF(OR(IPC_Trimestriel!AE10="",IPC_Trimestriel!AA10=""),"",IPC_Trimestriel!AE10/IPC_Trimestriel!AA10-1)</f>
        <v/>
      </c>
      <c r="AB51" s="35" t="str">
        <f>IF(OR(IPC_Trimestriel!AF10="",IPC_Trimestriel!AB10=""),"",IPC_Trimestriel!AF10/IPC_Trimestriel!AB10-1)</f>
        <v/>
      </c>
      <c r="AC51" s="35" t="str">
        <f>IF(OR(IPC_Trimestriel!AG10="",IPC_Trimestriel!AC10=""),"",IPC_Trimestriel!AG10/IPC_Trimestriel!AC10-1)</f>
        <v/>
      </c>
      <c r="AD51" s="35" t="str">
        <f>IF(OR(IPC_Trimestriel!AH10="",IPC_Trimestriel!AD10=""),"",IPC_Trimestriel!AH10/IPC_Trimestriel!AD10-1)</f>
        <v/>
      </c>
      <c r="AE51" s="35" t="str">
        <f>IF(OR(IPC_Trimestriel!AI10="",IPC_Trimestriel!AE10=""),"",IPC_Trimestriel!AI10/IPC_Trimestriel!AE10-1)</f>
        <v/>
      </c>
      <c r="AF51" s="35" t="str">
        <f>IF(OR(IPC_Trimestriel!AJ10="",IPC_Trimestriel!AF10=""),"",IPC_Trimestriel!AJ10/IPC_Trimestriel!AF10-1)</f>
        <v/>
      </c>
      <c r="AG51" s="35" t="str">
        <f>IF(OR(IPC_Trimestriel!AK10="",IPC_Trimestriel!AG10=""),"",IPC_Trimestriel!AK10/IPC_Trimestriel!AG10-1)</f>
        <v/>
      </c>
      <c r="AH51" s="35" t="str">
        <f>IF(OR(IPC_Trimestriel!AL10="",IPC_Trimestriel!AH10=""),"",IPC_Trimestriel!AL10/IPC_Trimestriel!AH10-1)</f>
        <v/>
      </c>
      <c r="AI51" s="35" t="str">
        <f>IF(OR(IPC_Trimestriel!AM10="",IPC_Trimestriel!AI10=""),"",IPC_Trimestriel!AM10/IPC_Trimestriel!AI10-1)</f>
        <v/>
      </c>
      <c r="AJ51" s="35" t="str">
        <f>IF(OR(IPC_Trimestriel!AN10="",IPC_Trimestriel!AJ10=""),"",IPC_Trimestriel!AN10/IPC_Trimestriel!AJ10-1)</f>
        <v/>
      </c>
      <c r="AK51" s="35" t="str">
        <f>IF(OR(IPC_Trimestriel!AO10="",IPC_Trimestriel!AK10=""),"",IPC_Trimestriel!AO10/IPC_Trimestriel!AK10-1)</f>
        <v/>
      </c>
      <c r="AL51" s="35" t="str">
        <f>IF(OR(IPC_Trimestriel!AP10="",IPC_Trimestriel!AL10=""),"",IPC_Trimestriel!AP10/IPC_Trimestriel!AL10-1)</f>
        <v/>
      </c>
      <c r="AM51" s="35" t="str">
        <f>IF(OR(IPC_Trimestriel!AQ10="",IPC_Trimestriel!AM10=""),"",IPC_Trimestriel!AQ10/IPC_Trimestriel!AM10-1)</f>
        <v/>
      </c>
      <c r="AN51" s="35" t="str">
        <f>IF(OR(IPC_Trimestriel!AR10="",IPC_Trimestriel!AN10=""),"",IPC_Trimestriel!AR10/IPC_Trimestriel!AN10-1)</f>
        <v/>
      </c>
      <c r="AO51" s="35" t="str">
        <f>IF(OR(IPC_Trimestriel!AS10="",IPC_Trimestriel!AO10=""),"",IPC_Trimestriel!AS10/IPC_Trimestriel!AO10-1)</f>
        <v/>
      </c>
      <c r="AP51" s="35" t="str">
        <f>IF(OR(IPC_Trimestriel!AT10="",IPC_Trimestriel!AP10=""),"",IPC_Trimestriel!AT10/IPC_Trimestriel!AP10-1)</f>
        <v/>
      </c>
      <c r="AQ51" s="35" t="str">
        <f>IF(OR(IPC_Trimestriel!AU10="",IPC_Trimestriel!AQ10=""),"",IPC_Trimestriel!AU10/IPC_Trimestriel!AQ10-1)</f>
        <v/>
      </c>
      <c r="AR51" s="35" t="str">
        <f>IF(OR(IPC_Trimestriel!AV10="",IPC_Trimestriel!AR10=""),"",IPC_Trimestriel!AV10/IPC_Trimestriel!AR10-1)</f>
        <v/>
      </c>
      <c r="AS51" s="35" t="str">
        <f>IF(OR(IPC_Trimestriel!AW10="",IPC_Trimestriel!AS10=""),"",IPC_Trimestriel!AW10/IPC_Trimestriel!AS10-1)</f>
        <v/>
      </c>
      <c r="AT51" s="35" t="str">
        <f>IF(OR(IPC_Trimestriel!AX10="",IPC_Trimestriel!AT10=""),"",IPC_Trimestriel!AX10/IPC_Trimestriel!AT10-1)</f>
        <v/>
      </c>
      <c r="AU51" s="35" t="str">
        <f>IF(OR(IPC_Trimestriel!AY10="",IPC_Trimestriel!AU10=""),"",IPC_Trimestriel!AY10/IPC_Trimestriel!AU10-1)</f>
        <v/>
      </c>
      <c r="AV51" s="35" t="str">
        <f>IF(OR(IPC_Trimestriel!AZ10="",IPC_Trimestriel!AV10=""),"",IPC_Trimestriel!AZ10/IPC_Trimestriel!AV10-1)</f>
        <v/>
      </c>
      <c r="AW51" s="35" t="str">
        <f>IF(OR(IPC_Trimestriel!BA10="",IPC_Trimestriel!AW10=""),"",IPC_Trimestriel!BA10/IPC_Trimestriel!AW10-1)</f>
        <v/>
      </c>
      <c r="AX51" s="35" t="str">
        <f>IF(OR(IPC_Trimestriel!BB10="",IPC_Trimestriel!AX10=""),"",IPC_Trimestriel!BB10/IPC_Trimestriel!AX10-1)</f>
        <v/>
      </c>
      <c r="AY51" s="35" t="str">
        <f>IF(OR(IPC_Trimestriel!BC10="",IPC_Trimestriel!AY10=""),"",IPC_Trimestriel!BC10/IPC_Trimestriel!AY10-1)</f>
        <v/>
      </c>
      <c r="AZ51" s="35">
        <f>IF(OR(IPC_Trimestriel!BD10="",IPC_Trimestriel!AZ10=""),"",IPC_Trimestriel!BD10/IPC_Trimestriel!AZ10-1)</f>
        <v>3.3676452950921698E-2</v>
      </c>
      <c r="BA51" s="35">
        <f>IF(OR(IPC_Trimestriel!BE10="",IPC_Trimestriel!BA10=""),"",IPC_Trimestriel!BE10/IPC_Trimestriel!BA10-1)</f>
        <v>1.9920570461828602E-2</v>
      </c>
      <c r="BB51" s="35">
        <f>IF(OR(IPC_Trimestriel!BF10="",IPC_Trimestriel!BB10=""),"",IPC_Trimestriel!BF10/IPC_Trimestriel!BB10-1)</f>
        <v>2.4511090814171466E-2</v>
      </c>
      <c r="BC51" s="35">
        <f>IF(OR(IPC_Trimestriel!BG10="",IPC_Trimestriel!BC10=""),"",IPC_Trimestriel!BG10/IPC_Trimestriel!BC10-1)</f>
        <v>3.2041926058156811E-2</v>
      </c>
      <c r="BD51" s="35">
        <f>IF(OR(IPC_Trimestriel!BH10="",IPC_Trimestriel!BD10=""),"",IPC_Trimestriel!BH10/IPC_Trimestriel!BD10-1)</f>
        <v>2.6222039102941963E-2</v>
      </c>
      <c r="BE51" s="35">
        <f>IF(OR(IPC_Trimestriel!BI10="",IPC_Trimestriel!BE10=""),"",IPC_Trimestriel!BI10/IPC_Trimestriel!BE10-1)</f>
        <v>1.3362129950392987E-2</v>
      </c>
      <c r="BF51" s="35">
        <f>IF(OR(IPC_Trimestriel!BJ10="",IPC_Trimestriel!BF10=""),"",IPC_Trimestriel!BJ10/IPC_Trimestriel!BF10-1)</f>
        <v>1.8030288943468253E-2</v>
      </c>
      <c r="BG51" s="35">
        <f>IF(OR(IPC_Trimestriel!BK10="",IPC_Trimestriel!BG10=""),"",IPC_Trimestriel!BK10/IPC_Trimestriel!BG10-1)</f>
        <v>2.2544020380694141E-2</v>
      </c>
      <c r="BH51" s="35">
        <f>IF(OR(IPC_Trimestriel!BL10="",IPC_Trimestriel!BH10=""),"",IPC_Trimestriel!BL10/IPC_Trimestriel!BH10-1)</f>
        <v>1.8969823979767542E-2</v>
      </c>
      <c r="BI51" s="35">
        <f>IF(OR(IPC_Trimestriel!BM10="",IPC_Trimestriel!BI10=""),"",IPC_Trimestriel!BM10/IPC_Trimestriel!BI10-1)</f>
        <v>4.3716011453012404E-2</v>
      </c>
      <c r="BJ51" s="35">
        <f>IF(OR(IPC_Trimestriel!BN10="",IPC_Trimestriel!BJ10=""),"",IPC_Trimestriel!BN10/IPC_Trimestriel!BJ10-1)</f>
        <v>3.6423141678519455E-2</v>
      </c>
      <c r="BK51" s="35">
        <f>IF(OR(IPC_Trimestriel!BO10="",IPC_Trimestriel!BK10=""),"",IPC_Trimestriel!BO10/IPC_Trimestriel!BK10-1)</f>
        <v>1.8578674364940095E-2</v>
      </c>
      <c r="BL51" s="35">
        <f>IF(OR(IPC_Trimestriel!BP10="",IPC_Trimestriel!BL10=""),"",IPC_Trimestriel!BP10/IPC_Trimestriel!BL10-1)</f>
        <v>2.0270141002743713E-2</v>
      </c>
      <c r="BM51" s="35">
        <f>IF(OR(IPC_Trimestriel!BQ10="",IPC_Trimestriel!BM10=""),"",IPC_Trimestriel!BQ10/IPC_Trimestriel!BM10-1)</f>
        <v>1.4825797733041046E-2</v>
      </c>
      <c r="BN51" s="35">
        <f>IF(OR(IPC_Trimestriel!BR10="",IPC_Trimestriel!BN10=""),"",IPC_Trimestriel!BR10/IPC_Trimestriel!BN10-1)</f>
        <v>8.7205248200874497E-3</v>
      </c>
      <c r="BO51" s="35">
        <f>IF(OR(IPC_Trimestriel!BS10="",IPC_Trimestriel!BO10=""),"",IPC_Trimestriel!BS10/IPC_Trimestriel!BO10-1)</f>
        <v>1.3828732459501003E-2</v>
      </c>
      <c r="BP51" s="35">
        <f>IF(OR(IPC_Trimestriel!BT10="",IPC_Trimestriel!BP10=""),"",IPC_Trimestriel!BT10/IPC_Trimestriel!BP10-1)</f>
        <v>1.214785754671599E-2</v>
      </c>
      <c r="BQ51" s="35">
        <f>IF(OR(IPC_Trimestriel!BU10="",IPC_Trimestriel!BQ10=""),"",IPC_Trimestriel!BU10/IPC_Trimestriel!BQ10-1)</f>
        <v>1.164684837415253E-2</v>
      </c>
      <c r="BR51" s="35">
        <f>IF(OR(IPC_Trimestriel!BV10="",IPC_Trimestriel!BR10=""),"",IPC_Trimestriel!BV10/IPC_Trimestriel!BR10-1)</f>
        <v>1.2337439096959946E-2</v>
      </c>
      <c r="BS51" s="35">
        <f>IF(OR(IPC_Trimestriel!BW10="",IPC_Trimestriel!BS10=""),"",IPC_Trimestriel!BW10/IPC_Trimestriel!BS10-1)</f>
        <v>1.1467084915691705E-2</v>
      </c>
      <c r="BT51" s="35">
        <f>IF(OR(IPC_Trimestriel!BX10="",IPC_Trimestriel!BT10=""),"",IPC_Trimestriel!BX10/IPC_Trimestriel!BT10-1)</f>
        <v>5.9566762929783579E-3</v>
      </c>
      <c r="BU51" s="35">
        <f>IF(OR(IPC_Trimestriel!BY10="",IPC_Trimestriel!BU10=""),"",IPC_Trimestriel!BY10/IPC_Trimestriel!BU10-1)</f>
        <v>2.271958233811544E-3</v>
      </c>
      <c r="BV51" s="35">
        <f>IF(OR(IPC_Trimestriel!BZ10="",IPC_Trimestriel!BV10=""),"",IPC_Trimestriel!BZ10/IPC_Trimestriel!BV10-1)</f>
        <v>1.6324389871422706E-3</v>
      </c>
      <c r="BW51" s="35">
        <f>IF(OR(IPC_Trimestriel!CA10="",IPC_Trimestriel!BW10=""),"",IPC_Trimestriel!CA10/IPC_Trimestriel!BW10-1)</f>
        <v>6.3133654745313184E-3</v>
      </c>
      <c r="BX51" s="35">
        <f>IF(OR(IPC_Trimestriel!CB10="",IPC_Trimestriel!BX10=""),"",IPC_Trimestriel!CB10/IPC_Trimestriel!BX10-1)</f>
        <v>1.1093907202747166E-2</v>
      </c>
      <c r="BY51" s="35">
        <f>IF(OR(IPC_Trimestriel!CC10="",IPC_Trimestriel!BY10=""),"",IPC_Trimestriel!CC10/IPC_Trimestriel!BY10-1)</f>
        <v>8.7606927561614256E-3</v>
      </c>
      <c r="BZ51" s="35">
        <f>IF(OR(IPC_Trimestriel!CD10="",IPC_Trimestriel!BZ10=""),"",IPC_Trimestriel!CD10/IPC_Trimestriel!BZ10-1)</f>
        <v>7.5997646440286726E-3</v>
      </c>
      <c r="CA51" s="35">
        <f>IF(OR(IPC_Trimestriel!CE10="",IPC_Trimestriel!CA10=""),"",IPC_Trimestriel!CE10/IPC_Trimestriel!CA10-1)</f>
        <v>3.7919701206270418E-3</v>
      </c>
      <c r="CB51" s="35">
        <f>IF(OR(IPC_Trimestriel!CF10="",IPC_Trimestriel!CB10=""),"",IPC_Trimestriel!CF10/IPC_Trimestriel!CB10-1)</f>
        <v>7.8114643332152234E-3</v>
      </c>
      <c r="CC51" s="35">
        <f>IF(OR(IPC_Trimestriel!CG10="",IPC_Trimestriel!CC10=""),"",IPC_Trimestriel!CG10/IPC_Trimestriel!CC10-1)</f>
        <v>3.997765207715509E-2</v>
      </c>
      <c r="CD51" s="35">
        <f>IF(OR(IPC_Trimestriel!CH10="",IPC_Trimestriel!CD10=""),"",IPC_Trimestriel!CH10/IPC_Trimestriel!CD10-1)</f>
        <v>3.8331461474202522E-2</v>
      </c>
      <c r="CE51" s="35">
        <f>IF(OR(IPC_Trimestriel!CI10="",IPC_Trimestriel!CE10=""),"",IPC_Trimestriel!CI10/IPC_Trimestriel!CE10-1)</f>
        <v>4.2943746928634674E-2</v>
      </c>
      <c r="CF51" s="35">
        <f>IF(OR(IPC_Trimestriel!CJ10="",IPC_Trimestriel!CF10=""),"",IPC_Trimestriel!CJ10/IPC_Trimestriel!CF10-1)</f>
        <v>4.4701116288806464E-2</v>
      </c>
      <c r="CG51" s="35">
        <f>IF(OR(IPC_Trimestriel!CK10="",IPC_Trimestriel!CG10=""),"",IPC_Trimestriel!CK10/IPC_Trimestriel!CG10-1)</f>
        <v>1.9451308620463292E-2</v>
      </c>
      <c r="CH51" s="35">
        <f>IF(OR(IPC_Trimestriel!CL10="",IPC_Trimestriel!CH10=""),"",IPC_Trimestriel!CL10/IPC_Trimestriel!CH10-1)</f>
        <v>2.2959768206846087E-2</v>
      </c>
      <c r="CI51" s="35">
        <f>IF(OR(IPC_Trimestriel!CM10="",IPC_Trimestriel!CI10=""),"",IPC_Trimestriel!CM10/IPC_Trimestriel!CI10-1)</f>
        <v>1.4291589133790028E-2</v>
      </c>
      <c r="CJ51" s="35">
        <f>IF(OR(IPC_Trimestriel!CN10="",IPC_Trimestriel!CJ10=""),"",IPC_Trimestriel!CN10/IPC_Trimestriel!CJ10-1)</f>
        <v>1.7483262430670887E-2</v>
      </c>
      <c r="CK51" s="35">
        <f>IF(OR(IPC_Trimestriel!CO10="",IPC_Trimestriel!CK10=""),"",IPC_Trimestriel!CO10/IPC_Trimestriel!CK10-1)</f>
        <v>1.6128441700998586E-2</v>
      </c>
      <c r="CL51" s="35">
        <f>IF(OR(IPC_Trimestriel!CP10="",IPC_Trimestriel!CL10=""),"",IPC_Trimestriel!CP10/IPC_Trimestriel!CL10-1)</f>
        <v>1.1806005406698628E-2</v>
      </c>
      <c r="CM51" s="35">
        <f>IF(OR(IPC_Trimestriel!CQ10="",IPC_Trimestriel!CM10=""),"",IPC_Trimestriel!CQ10/IPC_Trimestriel!CM10-1)</f>
        <v>2.8803284008926067E-2</v>
      </c>
      <c r="CN51" s="35">
        <f>IF(OR(IPC_Trimestriel!CR10="",IPC_Trimestriel!CN10=""),"",IPC_Trimestriel!CR10/IPC_Trimestriel!CN10-1)</f>
        <v>2.933533381136022E-2</v>
      </c>
      <c r="CO51" s="35">
        <f>IF(OR(IPC_Trimestriel!CS10="",IPC_Trimestriel!CO10=""),"",IPC_Trimestriel!CS10/IPC_Trimestriel!CO10-1)</f>
        <v>3.2604970035611025E-2</v>
      </c>
      <c r="CP51" s="35">
        <f>IF(OR(IPC_Trimestriel!CT10="",IPC_Trimestriel!CP10=""),"",IPC_Trimestriel!CT10/IPC_Trimestriel!CP10-1)</f>
        <v>4.3184555324474516E-2</v>
      </c>
    </row>
    <row r="52" spans="1:94" s="19" customFormat="1" ht="10.199999999999999" x14ac:dyDescent="0.2">
      <c r="A52" s="11" t="s">
        <v>17</v>
      </c>
      <c r="B52" s="1" t="s">
        <v>18</v>
      </c>
      <c r="C52" s="8">
        <v>25</v>
      </c>
      <c r="D52" s="35" t="str">
        <f>IF(OR(IPC_Trimestriel!H11="",IPC_Trimestriel!D11=""),"",IPC_Trimestriel!H11/IPC_Trimestriel!D11-1)</f>
        <v/>
      </c>
      <c r="E52" s="35" t="str">
        <f>IF(OR(IPC_Trimestriel!I11="",IPC_Trimestriel!E11=""),"",IPC_Trimestriel!I11/IPC_Trimestriel!E11-1)</f>
        <v/>
      </c>
      <c r="F52" s="35" t="str">
        <f>IF(OR(IPC_Trimestriel!J11="",IPC_Trimestriel!F11=""),"",IPC_Trimestriel!J11/IPC_Trimestriel!F11-1)</f>
        <v/>
      </c>
      <c r="G52" s="35" t="str">
        <f>IF(OR(IPC_Trimestriel!K11="",IPC_Trimestriel!G11=""),"",IPC_Trimestriel!K11/IPC_Trimestriel!G11-1)</f>
        <v/>
      </c>
      <c r="H52" s="35" t="str">
        <f>IF(OR(IPC_Trimestriel!L11="",IPC_Trimestriel!H11=""),"",IPC_Trimestriel!L11/IPC_Trimestriel!H11-1)</f>
        <v/>
      </c>
      <c r="I52" s="35" t="str">
        <f>IF(OR(IPC_Trimestriel!M11="",IPC_Trimestriel!I11=""),"",IPC_Trimestriel!M11/IPC_Trimestriel!I11-1)</f>
        <v/>
      </c>
      <c r="J52" s="35" t="str">
        <f>IF(OR(IPC_Trimestriel!N11="",IPC_Trimestriel!J11=""),"",IPC_Trimestriel!N11/IPC_Trimestriel!J11-1)</f>
        <v/>
      </c>
      <c r="K52" s="35" t="str">
        <f>IF(OR(IPC_Trimestriel!O11="",IPC_Trimestriel!K11=""),"",IPC_Trimestriel!O11/IPC_Trimestriel!K11-1)</f>
        <v/>
      </c>
      <c r="L52" s="35" t="str">
        <f>IF(OR(IPC_Trimestriel!P11="",IPC_Trimestriel!L11=""),"",IPC_Trimestriel!P11/IPC_Trimestriel!L11-1)</f>
        <v/>
      </c>
      <c r="M52" s="35" t="str">
        <f>IF(OR(IPC_Trimestriel!Q11="",IPC_Trimestriel!M11=""),"",IPC_Trimestriel!Q11/IPC_Trimestriel!M11-1)</f>
        <v/>
      </c>
      <c r="N52" s="35" t="str">
        <f>IF(OR(IPC_Trimestriel!R11="",IPC_Trimestriel!N11=""),"",IPC_Trimestriel!R11/IPC_Trimestriel!N11-1)</f>
        <v/>
      </c>
      <c r="O52" s="35" t="str">
        <f>IF(OR(IPC_Trimestriel!S11="",IPC_Trimestriel!O11=""),"",IPC_Trimestriel!S11/IPC_Trimestriel!O11-1)</f>
        <v/>
      </c>
      <c r="P52" s="35" t="str">
        <f>IF(OR(IPC_Trimestriel!T11="",IPC_Trimestriel!P11=""),"",IPC_Trimestriel!T11/IPC_Trimestriel!P11-1)</f>
        <v/>
      </c>
      <c r="Q52" s="35" t="str">
        <f>IF(OR(IPC_Trimestriel!U11="",IPC_Trimestriel!Q11=""),"",IPC_Trimestriel!U11/IPC_Trimestriel!Q11-1)</f>
        <v/>
      </c>
      <c r="R52" s="35" t="str">
        <f>IF(OR(IPC_Trimestriel!V11="",IPC_Trimestriel!R11=""),"",IPC_Trimestriel!V11/IPC_Trimestriel!R11-1)</f>
        <v/>
      </c>
      <c r="S52" s="35" t="str">
        <f>IF(OR(IPC_Trimestriel!W11="",IPC_Trimestriel!S11=""),"",IPC_Trimestriel!W11/IPC_Trimestriel!S11-1)</f>
        <v/>
      </c>
      <c r="T52" s="35" t="str">
        <f>IF(OR(IPC_Trimestriel!X11="",IPC_Trimestriel!T11=""),"",IPC_Trimestriel!X11/IPC_Trimestriel!T11-1)</f>
        <v/>
      </c>
      <c r="U52" s="35" t="str">
        <f>IF(OR(IPC_Trimestriel!Y11="",IPC_Trimestriel!U11=""),"",IPC_Trimestriel!Y11/IPC_Trimestriel!U11-1)</f>
        <v/>
      </c>
      <c r="V52" s="35" t="str">
        <f>IF(OR(IPC_Trimestriel!Z11="",IPC_Trimestriel!V11=""),"",IPC_Trimestriel!Z11/IPC_Trimestriel!V11-1)</f>
        <v/>
      </c>
      <c r="W52" s="35" t="str">
        <f>IF(OR(IPC_Trimestriel!AA11="",IPC_Trimestriel!W11=""),"",IPC_Trimestriel!AA11/IPC_Trimestriel!W11-1)</f>
        <v/>
      </c>
      <c r="X52" s="35" t="str">
        <f>IF(OR(IPC_Trimestriel!AB11="",IPC_Trimestriel!X11=""),"",IPC_Trimestriel!AB11/IPC_Trimestriel!X11-1)</f>
        <v/>
      </c>
      <c r="Y52" s="35" t="str">
        <f>IF(OR(IPC_Trimestriel!AC11="",IPC_Trimestriel!Y11=""),"",IPC_Trimestriel!AC11/IPC_Trimestriel!Y11-1)</f>
        <v/>
      </c>
      <c r="Z52" s="35" t="str">
        <f>IF(OR(IPC_Trimestriel!AD11="",IPC_Trimestriel!Z11=""),"",IPC_Trimestriel!AD11/IPC_Trimestriel!Z11-1)</f>
        <v/>
      </c>
      <c r="AA52" s="35" t="str">
        <f>IF(OR(IPC_Trimestriel!AE11="",IPC_Trimestriel!AA11=""),"",IPC_Trimestriel!AE11/IPC_Trimestriel!AA11-1)</f>
        <v/>
      </c>
      <c r="AB52" s="35" t="str">
        <f>IF(OR(IPC_Trimestriel!AF11="",IPC_Trimestriel!AB11=""),"",IPC_Trimestriel!AF11/IPC_Trimestriel!AB11-1)</f>
        <v/>
      </c>
      <c r="AC52" s="35" t="str">
        <f>IF(OR(IPC_Trimestriel!AG11="",IPC_Trimestriel!AC11=""),"",IPC_Trimestriel!AG11/IPC_Trimestriel!AC11-1)</f>
        <v/>
      </c>
      <c r="AD52" s="35" t="str">
        <f>IF(OR(IPC_Trimestriel!AH11="",IPC_Trimestriel!AD11=""),"",IPC_Trimestriel!AH11/IPC_Trimestriel!AD11-1)</f>
        <v/>
      </c>
      <c r="AE52" s="35" t="str">
        <f>IF(OR(IPC_Trimestriel!AI11="",IPC_Trimestriel!AE11=""),"",IPC_Trimestriel!AI11/IPC_Trimestriel!AE11-1)</f>
        <v/>
      </c>
      <c r="AF52" s="35" t="str">
        <f>IF(OR(IPC_Trimestriel!AJ11="",IPC_Trimestriel!AF11=""),"",IPC_Trimestriel!AJ11/IPC_Trimestriel!AF11-1)</f>
        <v/>
      </c>
      <c r="AG52" s="35" t="str">
        <f>IF(OR(IPC_Trimestriel!AK11="",IPC_Trimestriel!AG11=""),"",IPC_Trimestriel!AK11/IPC_Trimestriel!AG11-1)</f>
        <v/>
      </c>
      <c r="AH52" s="35" t="str">
        <f>IF(OR(IPC_Trimestriel!AL11="",IPC_Trimestriel!AH11=""),"",IPC_Trimestriel!AL11/IPC_Trimestriel!AH11-1)</f>
        <v/>
      </c>
      <c r="AI52" s="35" t="str">
        <f>IF(OR(IPC_Trimestriel!AM11="",IPC_Trimestriel!AI11=""),"",IPC_Trimestriel!AM11/IPC_Trimestriel!AI11-1)</f>
        <v/>
      </c>
      <c r="AJ52" s="35" t="str">
        <f>IF(OR(IPC_Trimestriel!AN11="",IPC_Trimestriel!AJ11=""),"",IPC_Trimestriel!AN11/IPC_Trimestriel!AJ11-1)</f>
        <v/>
      </c>
      <c r="AK52" s="35" t="str">
        <f>IF(OR(IPC_Trimestriel!AO11="",IPC_Trimestriel!AK11=""),"",IPC_Trimestriel!AO11/IPC_Trimestriel!AK11-1)</f>
        <v/>
      </c>
      <c r="AL52" s="35" t="str">
        <f>IF(OR(IPC_Trimestriel!AP11="",IPC_Trimestriel!AL11=""),"",IPC_Trimestriel!AP11/IPC_Trimestriel!AL11-1)</f>
        <v/>
      </c>
      <c r="AM52" s="35" t="str">
        <f>IF(OR(IPC_Trimestriel!AQ11="",IPC_Trimestriel!AM11=""),"",IPC_Trimestriel!AQ11/IPC_Trimestriel!AM11-1)</f>
        <v/>
      </c>
      <c r="AN52" s="35" t="str">
        <f>IF(OR(IPC_Trimestriel!AR11="",IPC_Trimestriel!AN11=""),"",IPC_Trimestriel!AR11/IPC_Trimestriel!AN11-1)</f>
        <v/>
      </c>
      <c r="AO52" s="35" t="str">
        <f>IF(OR(IPC_Trimestriel!AS11="",IPC_Trimestriel!AO11=""),"",IPC_Trimestriel!AS11/IPC_Trimestriel!AO11-1)</f>
        <v/>
      </c>
      <c r="AP52" s="35" t="str">
        <f>IF(OR(IPC_Trimestriel!AT11="",IPC_Trimestriel!AP11=""),"",IPC_Trimestriel!AT11/IPC_Trimestriel!AP11-1)</f>
        <v/>
      </c>
      <c r="AQ52" s="35" t="str">
        <f>IF(OR(IPC_Trimestriel!AU11="",IPC_Trimestriel!AQ11=""),"",IPC_Trimestriel!AU11/IPC_Trimestriel!AQ11-1)</f>
        <v/>
      </c>
      <c r="AR52" s="35" t="str">
        <f>IF(OR(IPC_Trimestriel!AV11="",IPC_Trimestriel!AR11=""),"",IPC_Trimestriel!AV11/IPC_Trimestriel!AR11-1)</f>
        <v/>
      </c>
      <c r="AS52" s="35" t="str">
        <f>IF(OR(IPC_Trimestriel!AW11="",IPC_Trimestriel!AS11=""),"",IPC_Trimestriel!AW11/IPC_Trimestriel!AS11-1)</f>
        <v/>
      </c>
      <c r="AT52" s="35" t="str">
        <f>IF(OR(IPC_Trimestriel!AX11="",IPC_Trimestriel!AT11=""),"",IPC_Trimestriel!AX11/IPC_Trimestriel!AT11-1)</f>
        <v/>
      </c>
      <c r="AU52" s="35" t="str">
        <f>IF(OR(IPC_Trimestriel!AY11="",IPC_Trimestriel!AU11=""),"",IPC_Trimestriel!AY11/IPC_Trimestriel!AU11-1)</f>
        <v/>
      </c>
      <c r="AV52" s="35" t="str">
        <f>IF(OR(IPC_Trimestriel!AZ11="",IPC_Trimestriel!AV11=""),"",IPC_Trimestriel!AZ11/IPC_Trimestriel!AV11-1)</f>
        <v/>
      </c>
      <c r="AW52" s="35" t="str">
        <f>IF(OR(IPC_Trimestriel!BA11="",IPC_Trimestriel!AW11=""),"",IPC_Trimestriel!BA11/IPC_Trimestriel!AW11-1)</f>
        <v/>
      </c>
      <c r="AX52" s="35" t="str">
        <f>IF(OR(IPC_Trimestriel!BB11="",IPC_Trimestriel!AX11=""),"",IPC_Trimestriel!BB11/IPC_Trimestriel!AX11-1)</f>
        <v/>
      </c>
      <c r="AY52" s="35" t="str">
        <f>IF(OR(IPC_Trimestriel!BC11="",IPC_Trimestriel!AY11=""),"",IPC_Trimestriel!BC11/IPC_Trimestriel!AY11-1)</f>
        <v/>
      </c>
      <c r="AZ52" s="35">
        <f>IF(OR(IPC_Trimestriel!BD11="",IPC_Trimestriel!AZ11=""),"",IPC_Trimestriel!BD11/IPC_Trimestriel!AZ11-1)</f>
        <v>1.6043257515334641E-2</v>
      </c>
      <c r="BA52" s="35">
        <f>IF(OR(IPC_Trimestriel!BE11="",IPC_Trimestriel!BA11=""),"",IPC_Trimestriel!BE11/IPC_Trimestriel!BA11-1)</f>
        <v>1.8298095466499964E-2</v>
      </c>
      <c r="BB52" s="35">
        <f>IF(OR(IPC_Trimestriel!BF11="",IPC_Trimestriel!BB11=""),"",IPC_Trimestriel!BF11/IPC_Trimestriel!BB11-1)</f>
        <v>2.6633288138444788E-2</v>
      </c>
      <c r="BC52" s="35">
        <f>IF(OR(IPC_Trimestriel!BG11="",IPC_Trimestriel!BC11=""),"",IPC_Trimestriel!BG11/IPC_Trimestriel!BC11-1)</f>
        <v>2.1999056692307839E-2</v>
      </c>
      <c r="BD52" s="35">
        <f>IF(OR(IPC_Trimestriel!BH11="",IPC_Trimestriel!BD11=""),"",IPC_Trimestriel!BH11/IPC_Trimestriel!BD11-1)</f>
        <v>6.4123437115475301E-3</v>
      </c>
      <c r="BE52" s="35">
        <f>IF(OR(IPC_Trimestriel!BI11="",IPC_Trimestriel!BE11=""),"",IPC_Trimestriel!BI11/IPC_Trimestriel!BE11-1)</f>
        <v>4.6741413600901449E-3</v>
      </c>
      <c r="BF52" s="35">
        <f>IF(OR(IPC_Trimestriel!BJ11="",IPC_Trimestriel!BF11=""),"",IPC_Trimestriel!BJ11/IPC_Trimestriel!BF11-1)</f>
        <v>3.5512753514665985E-3</v>
      </c>
      <c r="BG52" s="35">
        <f>IF(OR(IPC_Trimestriel!BK11="",IPC_Trimestriel!BG11=""),"",IPC_Trimestriel!BK11/IPC_Trimestriel!BG11-1)</f>
        <v>1.0604266266229789E-3</v>
      </c>
      <c r="BH52" s="35">
        <f>IF(OR(IPC_Trimestriel!BL11="",IPC_Trimestriel!BH11=""),"",IPC_Trimestriel!BL11/IPC_Trimestriel!BH11-1)</f>
        <v>8.4106581210594555E-3</v>
      </c>
      <c r="BI52" s="35">
        <f>IF(OR(IPC_Trimestriel!BM11="",IPC_Trimestriel!BI11=""),"",IPC_Trimestriel!BM11/IPC_Trimestriel!BI11-1)</f>
        <v>1.678963206093731E-2</v>
      </c>
      <c r="BJ52" s="35">
        <f>IF(OR(IPC_Trimestriel!BN11="",IPC_Trimestriel!BJ11=""),"",IPC_Trimestriel!BN11/IPC_Trimestriel!BJ11-1)</f>
        <v>1.6431933326305659E-2</v>
      </c>
      <c r="BK52" s="35">
        <f>IF(OR(IPC_Trimestriel!BO11="",IPC_Trimestriel!BK11=""),"",IPC_Trimestriel!BO11/IPC_Trimestriel!BK11-1)</f>
        <v>1.6667358235255669E-2</v>
      </c>
      <c r="BL52" s="35">
        <f>IF(OR(IPC_Trimestriel!BP11="",IPC_Trimestriel!BL11=""),"",IPC_Trimestriel!BP11/IPC_Trimestriel!BL11-1)</f>
        <v>1.3254414246394619E-2</v>
      </c>
      <c r="BM52" s="35">
        <f>IF(OR(IPC_Trimestriel!BQ11="",IPC_Trimestriel!BM11=""),"",IPC_Trimestriel!BQ11/IPC_Trimestriel!BM11-1)</f>
        <v>6.6115507255901651E-3</v>
      </c>
      <c r="BN52" s="35">
        <f>IF(OR(IPC_Trimestriel!BR11="",IPC_Trimestriel!BN11=""),"",IPC_Trimestriel!BR11/IPC_Trimestriel!BN11-1)</f>
        <v>-1.3553023118245688E-3</v>
      </c>
      <c r="BO52" s="35">
        <f>IF(OR(IPC_Trimestriel!BS11="",IPC_Trimestriel!BO11=""),"",IPC_Trimestriel!BS11/IPC_Trimestriel!BO11-1)</f>
        <v>6.7707831097547633E-3</v>
      </c>
      <c r="BP52" s="35">
        <f>IF(OR(IPC_Trimestriel!BT11="",IPC_Trimestriel!BP11=""),"",IPC_Trimestriel!BT11/IPC_Trimestriel!BP11-1)</f>
        <v>4.1430197245633238E-3</v>
      </c>
      <c r="BQ52" s="35">
        <f>IF(OR(IPC_Trimestriel!BU11="",IPC_Trimestriel!BQ11=""),"",IPC_Trimestriel!BU11/IPC_Trimestriel!BQ11-1)</f>
        <v>1.147514145118933E-3</v>
      </c>
      <c r="BR52" s="35">
        <f>IF(OR(IPC_Trimestriel!BV11="",IPC_Trimestriel!BR11=""),"",IPC_Trimestriel!BV11/IPC_Trimestriel!BR11-1)</f>
        <v>5.6802424093798098E-3</v>
      </c>
      <c r="BS52" s="35">
        <f>IF(OR(IPC_Trimestriel!BW11="",IPC_Trimestriel!BS11=""),"",IPC_Trimestriel!BW11/IPC_Trimestriel!BS11-1)</f>
        <v>1.0346103639362614E-3</v>
      </c>
      <c r="BT52" s="35">
        <f>IF(OR(IPC_Trimestriel!BX11="",IPC_Trimestriel!BT11=""),"",IPC_Trimestriel!BX11/IPC_Trimestriel!BT11-1)</f>
        <v>1.5076207139070874E-3</v>
      </c>
      <c r="BU52" s="35">
        <f>IF(OR(IPC_Trimestriel!BY11="",IPC_Trimestriel!BU11=""),"",IPC_Trimestriel!BY11/IPC_Trimestriel!BU11-1)</f>
        <v>9.578835427180854E-3</v>
      </c>
      <c r="BV52" s="35">
        <f>IF(OR(IPC_Trimestriel!BZ11="",IPC_Trimestriel!BV11=""),"",IPC_Trimestriel!BZ11/IPC_Trimestriel!BV11-1)</f>
        <v>1.07964292226157E-2</v>
      </c>
      <c r="BW52" s="35">
        <f>IF(OR(IPC_Trimestriel!CA11="",IPC_Trimestriel!BW11=""),"",IPC_Trimestriel!CA11/IPC_Trimestriel!BW11-1)</f>
        <v>1.3791910689934683E-2</v>
      </c>
      <c r="BX52" s="35">
        <f>IF(OR(IPC_Trimestriel!CB11="",IPC_Trimestriel!BX11=""),"",IPC_Trimestriel!CB11/IPC_Trimestriel!BX11-1)</f>
        <v>1.9449739850709413E-2</v>
      </c>
      <c r="BY52" s="35">
        <f>IF(OR(IPC_Trimestriel!CC11="",IPC_Trimestriel!BY11=""),"",IPC_Trimestriel!CC11/IPC_Trimestriel!BY11-1)</f>
        <v>2.0184673084757021E-2</v>
      </c>
      <c r="BZ52" s="35">
        <f>IF(OR(IPC_Trimestriel!CD11="",IPC_Trimestriel!BZ11=""),"",IPC_Trimestriel!CD11/IPC_Trimestriel!BZ11-1)</f>
        <v>1.7078038429847009E-2</v>
      </c>
      <c r="CA52" s="35">
        <f>IF(OR(IPC_Trimestriel!CE11="",IPC_Trimestriel!CA11=""),"",IPC_Trimestriel!CE11/IPC_Trimestriel!CA11-1)</f>
        <v>1.2566872537399743E-2</v>
      </c>
      <c r="CB52" s="35">
        <f>IF(OR(IPC_Trimestriel!CF11="",IPC_Trimestriel!CB11=""),"",IPC_Trimestriel!CF11/IPC_Trimestriel!CB11-1)</f>
        <v>7.7426133120621632E-3</v>
      </c>
      <c r="CC52" s="35">
        <f>IF(OR(IPC_Trimestriel!CG11="",IPC_Trimestriel!CC11=""),"",IPC_Trimestriel!CG11/IPC_Trimestriel!CC11-1)</f>
        <v>1.3357059730702003E-2</v>
      </c>
      <c r="CD52" s="35">
        <f>IF(OR(IPC_Trimestriel!CH11="",IPC_Trimestriel!CD11=""),"",IPC_Trimestriel!CH11/IPC_Trimestriel!CD11-1)</f>
        <v>1.7247252159444448E-2</v>
      </c>
      <c r="CE52" s="35">
        <f>IF(OR(IPC_Trimestriel!CI11="",IPC_Trimestriel!CE11=""),"",IPC_Trimestriel!CI11/IPC_Trimestriel!CE11-1)</f>
        <v>2.2604099833601676E-2</v>
      </c>
      <c r="CF52" s="35">
        <f>IF(OR(IPC_Trimestriel!CJ11="",IPC_Trimestriel!CF11=""),"",IPC_Trimestriel!CJ11/IPC_Trimestriel!CF11-1)</f>
        <v>2.4560881095997855E-2</v>
      </c>
      <c r="CG52" s="35">
        <f>IF(OR(IPC_Trimestriel!CK11="",IPC_Trimestriel!CG11=""),"",IPC_Trimestriel!CK11/IPC_Trimestriel!CG11-1)</f>
        <v>1.4780749705825436E-2</v>
      </c>
      <c r="CH52" s="35">
        <f>IF(OR(IPC_Trimestriel!CL11="",IPC_Trimestriel!CH11=""),"",IPC_Trimestriel!CL11/IPC_Trimestriel!CH11-1)</f>
        <v>1.3239563593615999E-2</v>
      </c>
      <c r="CI52" s="35">
        <f>IF(OR(IPC_Trimestriel!CM11="",IPC_Trimestriel!CI11=""),"",IPC_Trimestriel!CM11/IPC_Trimestriel!CI11-1)</f>
        <v>1.0472948975243757E-2</v>
      </c>
      <c r="CJ52" s="35">
        <f>IF(OR(IPC_Trimestriel!CN11="",IPC_Trimestriel!CJ11=""),"",IPC_Trimestriel!CN11/IPC_Trimestriel!CJ11-1)</f>
        <v>1.9587622059899168E-2</v>
      </c>
      <c r="CK52" s="35">
        <f>IF(OR(IPC_Trimestriel!CO11="",IPC_Trimestriel!CK11=""),"",IPC_Trimestriel!CO11/IPC_Trimestriel!CK11-1)</f>
        <v>4.6021734177141171E-2</v>
      </c>
      <c r="CL52" s="35">
        <f>IF(OR(IPC_Trimestriel!CP11="",IPC_Trimestriel!CL11=""),"",IPC_Trimestriel!CP11/IPC_Trimestriel!CL11-1)</f>
        <v>6.9437073628857204E-2</v>
      </c>
      <c r="CM52" s="35">
        <f>IF(OR(IPC_Trimestriel!CQ11="",IPC_Trimestriel!CM11=""),"",IPC_Trimestriel!CQ11/IPC_Trimestriel!CM11-1)</f>
        <v>9.0265153690091582E-2</v>
      </c>
      <c r="CN52" s="35">
        <f>IF(OR(IPC_Trimestriel!CR11="",IPC_Trimestriel!CN11=""),"",IPC_Trimestriel!CR11/IPC_Trimestriel!CN11-1)</f>
        <v>9.9925386456707566E-2</v>
      </c>
      <c r="CO52" s="35">
        <f>IF(OR(IPC_Trimestriel!CS11="",IPC_Trimestriel!CO11=""),"",IPC_Trimestriel!CS11/IPC_Trimestriel!CO11-1)</f>
        <v>8.5013209916518839E-2</v>
      </c>
      <c r="CP52" s="35">
        <f>IF(OR(IPC_Trimestriel!CT11="",IPC_Trimestriel!CP11=""),"",IPC_Trimestriel!CT11/IPC_Trimestriel!CP11-1)</f>
        <v>6.1951358704618542E-2</v>
      </c>
    </row>
    <row r="53" spans="1:94" s="19" customFormat="1" ht="10.199999999999999" x14ac:dyDescent="0.2">
      <c r="A53" s="11" t="s">
        <v>19</v>
      </c>
      <c r="B53" s="1" t="s">
        <v>20</v>
      </c>
      <c r="C53" s="8">
        <v>26</v>
      </c>
      <c r="D53" s="35" t="str">
        <f>IF(OR(IPC_Trimestriel!H12="",IPC_Trimestriel!D12=""),"",IPC_Trimestriel!H12/IPC_Trimestriel!D12-1)</f>
        <v/>
      </c>
      <c r="E53" s="35" t="str">
        <f>IF(OR(IPC_Trimestriel!I12="",IPC_Trimestriel!E12=""),"",IPC_Trimestriel!I12/IPC_Trimestriel!E12-1)</f>
        <v/>
      </c>
      <c r="F53" s="35" t="str">
        <f>IF(OR(IPC_Trimestriel!J12="",IPC_Trimestriel!F12=""),"",IPC_Trimestriel!J12/IPC_Trimestriel!F12-1)</f>
        <v/>
      </c>
      <c r="G53" s="35" t="str">
        <f>IF(OR(IPC_Trimestriel!K12="",IPC_Trimestriel!G12=""),"",IPC_Trimestriel!K12/IPC_Trimestriel!G12-1)</f>
        <v/>
      </c>
      <c r="H53" s="35" t="str">
        <f>IF(OR(IPC_Trimestriel!L12="",IPC_Trimestriel!H12=""),"",IPC_Trimestriel!L12/IPC_Trimestriel!H12-1)</f>
        <v/>
      </c>
      <c r="I53" s="35" t="str">
        <f>IF(OR(IPC_Trimestriel!M12="",IPC_Trimestriel!I12=""),"",IPC_Trimestriel!M12/IPC_Trimestriel!I12-1)</f>
        <v/>
      </c>
      <c r="J53" s="35" t="str">
        <f>IF(OR(IPC_Trimestriel!N12="",IPC_Trimestriel!J12=""),"",IPC_Trimestriel!N12/IPC_Trimestriel!J12-1)</f>
        <v/>
      </c>
      <c r="K53" s="35" t="str">
        <f>IF(OR(IPC_Trimestriel!O12="",IPC_Trimestriel!K12=""),"",IPC_Trimestriel!O12/IPC_Trimestriel!K12-1)</f>
        <v/>
      </c>
      <c r="L53" s="35" t="str">
        <f>IF(OR(IPC_Trimestriel!P12="",IPC_Trimestriel!L12=""),"",IPC_Trimestriel!P12/IPC_Trimestriel!L12-1)</f>
        <v/>
      </c>
      <c r="M53" s="35" t="str">
        <f>IF(OR(IPC_Trimestriel!Q12="",IPC_Trimestriel!M12=""),"",IPC_Trimestriel!Q12/IPC_Trimestriel!M12-1)</f>
        <v/>
      </c>
      <c r="N53" s="35" t="str">
        <f>IF(OR(IPC_Trimestriel!R12="",IPC_Trimestriel!N12=""),"",IPC_Trimestriel!R12/IPC_Trimestriel!N12-1)</f>
        <v/>
      </c>
      <c r="O53" s="35" t="str">
        <f>IF(OR(IPC_Trimestriel!S12="",IPC_Trimestriel!O12=""),"",IPC_Trimestriel!S12/IPC_Trimestriel!O12-1)</f>
        <v/>
      </c>
      <c r="P53" s="35" t="str">
        <f>IF(OR(IPC_Trimestriel!T12="",IPC_Trimestriel!P12=""),"",IPC_Trimestriel!T12/IPC_Trimestriel!P12-1)</f>
        <v/>
      </c>
      <c r="Q53" s="35" t="str">
        <f>IF(OR(IPC_Trimestriel!U12="",IPC_Trimestriel!Q12=""),"",IPC_Trimestriel!U12/IPC_Trimestriel!Q12-1)</f>
        <v/>
      </c>
      <c r="R53" s="35" t="str">
        <f>IF(OR(IPC_Trimestriel!V12="",IPC_Trimestriel!R12=""),"",IPC_Trimestriel!V12/IPC_Trimestriel!R12-1)</f>
        <v/>
      </c>
      <c r="S53" s="35" t="str">
        <f>IF(OR(IPC_Trimestriel!W12="",IPC_Trimestriel!S12=""),"",IPC_Trimestriel!W12/IPC_Trimestriel!S12-1)</f>
        <v/>
      </c>
      <c r="T53" s="35" t="str">
        <f>IF(OR(IPC_Trimestriel!X12="",IPC_Trimestriel!T12=""),"",IPC_Trimestriel!X12/IPC_Trimestriel!T12-1)</f>
        <v/>
      </c>
      <c r="U53" s="35" t="str">
        <f>IF(OR(IPC_Trimestriel!Y12="",IPC_Trimestriel!U12=""),"",IPC_Trimestriel!Y12/IPC_Trimestriel!U12-1)</f>
        <v/>
      </c>
      <c r="V53" s="35" t="str">
        <f>IF(OR(IPC_Trimestriel!Z12="",IPC_Trimestriel!V12=""),"",IPC_Trimestriel!Z12/IPC_Trimestriel!V12-1)</f>
        <v/>
      </c>
      <c r="W53" s="35" t="str">
        <f>IF(OR(IPC_Trimestriel!AA12="",IPC_Trimestriel!W12=""),"",IPC_Trimestriel!AA12/IPC_Trimestriel!W12-1)</f>
        <v/>
      </c>
      <c r="X53" s="35" t="str">
        <f>IF(OR(IPC_Trimestriel!AB12="",IPC_Trimestriel!X12=""),"",IPC_Trimestriel!AB12/IPC_Trimestriel!X12-1)</f>
        <v/>
      </c>
      <c r="Y53" s="35" t="str">
        <f>IF(OR(IPC_Trimestriel!AC12="",IPC_Trimestriel!Y12=""),"",IPC_Trimestriel!AC12/IPC_Trimestriel!Y12-1)</f>
        <v/>
      </c>
      <c r="Z53" s="35" t="str">
        <f>IF(OR(IPC_Trimestriel!AD12="",IPC_Trimestriel!Z12=""),"",IPC_Trimestriel!AD12/IPC_Trimestriel!Z12-1)</f>
        <v/>
      </c>
      <c r="AA53" s="35" t="str">
        <f>IF(OR(IPC_Trimestriel!AE12="",IPC_Trimestriel!AA12=""),"",IPC_Trimestriel!AE12/IPC_Trimestriel!AA12-1)</f>
        <v/>
      </c>
      <c r="AB53" s="35" t="str">
        <f>IF(OR(IPC_Trimestriel!AF12="",IPC_Trimestriel!AB12=""),"",IPC_Trimestriel!AF12/IPC_Trimestriel!AB12-1)</f>
        <v/>
      </c>
      <c r="AC53" s="35" t="str">
        <f>IF(OR(IPC_Trimestriel!AG12="",IPC_Trimestriel!AC12=""),"",IPC_Trimestriel!AG12/IPC_Trimestriel!AC12-1)</f>
        <v/>
      </c>
      <c r="AD53" s="35" t="str">
        <f>IF(OR(IPC_Trimestriel!AH12="",IPC_Trimestriel!AD12=""),"",IPC_Trimestriel!AH12/IPC_Trimestriel!AD12-1)</f>
        <v/>
      </c>
      <c r="AE53" s="35" t="str">
        <f>IF(OR(IPC_Trimestriel!AI12="",IPC_Trimestriel!AE12=""),"",IPC_Trimestriel!AI12/IPC_Trimestriel!AE12-1)</f>
        <v/>
      </c>
      <c r="AF53" s="35" t="str">
        <f>IF(OR(IPC_Trimestriel!AJ12="",IPC_Trimestriel!AF12=""),"",IPC_Trimestriel!AJ12/IPC_Trimestriel!AF12-1)</f>
        <v/>
      </c>
      <c r="AG53" s="35" t="str">
        <f>IF(OR(IPC_Trimestriel!AK12="",IPC_Trimestriel!AG12=""),"",IPC_Trimestriel!AK12/IPC_Trimestriel!AG12-1)</f>
        <v/>
      </c>
      <c r="AH53" s="35" t="str">
        <f>IF(OR(IPC_Trimestriel!AL12="",IPC_Trimestriel!AH12=""),"",IPC_Trimestriel!AL12/IPC_Trimestriel!AH12-1)</f>
        <v/>
      </c>
      <c r="AI53" s="35" t="str">
        <f>IF(OR(IPC_Trimestriel!AM12="",IPC_Trimestriel!AI12=""),"",IPC_Trimestriel!AM12/IPC_Trimestriel!AI12-1)</f>
        <v/>
      </c>
      <c r="AJ53" s="35" t="str">
        <f>IF(OR(IPC_Trimestriel!AN12="",IPC_Trimestriel!AJ12=""),"",IPC_Trimestriel!AN12/IPC_Trimestriel!AJ12-1)</f>
        <v/>
      </c>
      <c r="AK53" s="35" t="str">
        <f>IF(OR(IPC_Trimestriel!AO12="",IPC_Trimestriel!AK12=""),"",IPC_Trimestriel!AO12/IPC_Trimestriel!AK12-1)</f>
        <v/>
      </c>
      <c r="AL53" s="35" t="str">
        <f>IF(OR(IPC_Trimestriel!AP12="",IPC_Trimestriel!AL12=""),"",IPC_Trimestriel!AP12/IPC_Trimestriel!AL12-1)</f>
        <v/>
      </c>
      <c r="AM53" s="35" t="str">
        <f>IF(OR(IPC_Trimestriel!AQ12="",IPC_Trimestriel!AM12=""),"",IPC_Trimestriel!AQ12/IPC_Trimestriel!AM12-1)</f>
        <v/>
      </c>
      <c r="AN53" s="35" t="str">
        <f>IF(OR(IPC_Trimestriel!AR12="",IPC_Trimestriel!AN12=""),"",IPC_Trimestriel!AR12/IPC_Trimestriel!AN12-1)</f>
        <v/>
      </c>
      <c r="AO53" s="35" t="str">
        <f>IF(OR(IPC_Trimestriel!AS12="",IPC_Trimestriel!AO12=""),"",IPC_Trimestriel!AS12/IPC_Trimestriel!AO12-1)</f>
        <v/>
      </c>
      <c r="AP53" s="35" t="str">
        <f>IF(OR(IPC_Trimestriel!AT12="",IPC_Trimestriel!AP12=""),"",IPC_Trimestriel!AT12/IPC_Trimestriel!AP12-1)</f>
        <v/>
      </c>
      <c r="AQ53" s="35" t="str">
        <f>IF(OR(IPC_Trimestriel!AU12="",IPC_Trimestriel!AQ12=""),"",IPC_Trimestriel!AU12/IPC_Trimestriel!AQ12-1)</f>
        <v/>
      </c>
      <c r="AR53" s="35" t="str">
        <f>IF(OR(IPC_Trimestriel!AV12="",IPC_Trimestriel!AR12=""),"",IPC_Trimestriel!AV12/IPC_Trimestriel!AR12-1)</f>
        <v/>
      </c>
      <c r="AS53" s="35" t="str">
        <f>IF(OR(IPC_Trimestriel!AW12="",IPC_Trimestriel!AS12=""),"",IPC_Trimestriel!AW12/IPC_Trimestriel!AS12-1)</f>
        <v/>
      </c>
      <c r="AT53" s="35" t="str">
        <f>IF(OR(IPC_Trimestriel!AX12="",IPC_Trimestriel!AT12=""),"",IPC_Trimestriel!AX12/IPC_Trimestriel!AT12-1)</f>
        <v/>
      </c>
      <c r="AU53" s="35" t="str">
        <f>IF(OR(IPC_Trimestriel!AY12="",IPC_Trimestriel!AU12=""),"",IPC_Trimestriel!AY12/IPC_Trimestriel!AU12-1)</f>
        <v/>
      </c>
      <c r="AV53" s="35" t="str">
        <f>IF(OR(IPC_Trimestriel!AZ12="",IPC_Trimestriel!AV12=""),"",IPC_Trimestriel!AZ12/IPC_Trimestriel!AV12-1)</f>
        <v/>
      </c>
      <c r="AW53" s="35" t="str">
        <f>IF(OR(IPC_Trimestriel!BA12="",IPC_Trimestriel!AW12=""),"",IPC_Trimestriel!BA12/IPC_Trimestriel!AW12-1)</f>
        <v/>
      </c>
      <c r="AX53" s="35" t="str">
        <f>IF(OR(IPC_Trimestriel!BB12="",IPC_Trimestriel!AX12=""),"",IPC_Trimestriel!BB12/IPC_Trimestriel!AX12-1)</f>
        <v/>
      </c>
      <c r="AY53" s="35" t="str">
        <f>IF(OR(IPC_Trimestriel!BC12="",IPC_Trimestriel!AY12=""),"",IPC_Trimestriel!BC12/IPC_Trimestriel!AY12-1)</f>
        <v/>
      </c>
      <c r="AZ53" s="35">
        <f>IF(OR(IPC_Trimestriel!BD12="",IPC_Trimestriel!AZ12=""),"",IPC_Trimestriel!BD12/IPC_Trimestriel!AZ12-1)</f>
        <v>2.1185056786532375E-3</v>
      </c>
      <c r="BA53" s="35">
        <f>IF(OR(IPC_Trimestriel!BE12="",IPC_Trimestriel!BA12=""),"",IPC_Trimestriel!BE12/IPC_Trimestriel!BA12-1)</f>
        <v>5.9386515028641007E-3</v>
      </c>
      <c r="BB53" s="35">
        <f>IF(OR(IPC_Trimestriel!BF12="",IPC_Trimestriel!BB12=""),"",IPC_Trimestriel!BF12/IPC_Trimestriel!BB12-1)</f>
        <v>2.3518179348096524E-3</v>
      </c>
      <c r="BC53" s="35">
        <f>IF(OR(IPC_Trimestriel!BG12="",IPC_Trimestriel!BC12=""),"",IPC_Trimestriel!BG12/IPC_Trimestriel!BC12-1)</f>
        <v>1.1709116973544376E-2</v>
      </c>
      <c r="BD53" s="35">
        <f>IF(OR(IPC_Trimestriel!BH12="",IPC_Trimestriel!BD12=""),"",IPC_Trimestriel!BH12/IPC_Trimestriel!BD12-1)</f>
        <v>9.9402899534026812E-3</v>
      </c>
      <c r="BE53" s="35">
        <f>IF(OR(IPC_Trimestriel!BI12="",IPC_Trimestriel!BE12=""),"",IPC_Trimestriel!BI12/IPC_Trimestriel!BE12-1)</f>
        <v>7.8889585519867911E-3</v>
      </c>
      <c r="BF53" s="35">
        <f>IF(OR(IPC_Trimestriel!BJ12="",IPC_Trimestriel!BF12=""),"",IPC_Trimestriel!BJ12/IPC_Trimestriel!BF12-1)</f>
        <v>1.0447710633647578E-2</v>
      </c>
      <c r="BG53" s="35">
        <f>IF(OR(IPC_Trimestriel!BK12="",IPC_Trimestriel!BG12=""),"",IPC_Trimestriel!BK12/IPC_Trimestriel!BG12-1)</f>
        <v>1.2961558294699582E-3</v>
      </c>
      <c r="BH53" s="35">
        <f>IF(OR(IPC_Trimestriel!BL12="",IPC_Trimestriel!BH12=""),"",IPC_Trimestriel!BL12/IPC_Trimestriel!BH12-1)</f>
        <v>5.3245191444626361E-3</v>
      </c>
      <c r="BI53" s="35">
        <f>IF(OR(IPC_Trimestriel!BM12="",IPC_Trimestriel!BI12=""),"",IPC_Trimestriel!BM12/IPC_Trimestriel!BI12-1)</f>
        <v>5.4012429799095152E-3</v>
      </c>
      <c r="BJ53" s="35">
        <f>IF(OR(IPC_Trimestriel!BN12="",IPC_Trimestriel!BJ12=""),"",IPC_Trimestriel!BN12/IPC_Trimestriel!BJ12-1)</f>
        <v>1.736614815320614E-3</v>
      </c>
      <c r="BK53" s="35">
        <f>IF(OR(IPC_Trimestriel!BO12="",IPC_Trimestriel!BK12=""),"",IPC_Trimestriel!BO12/IPC_Trimestriel!BK12-1)</f>
        <v>6.5491525745906554E-3</v>
      </c>
      <c r="BL53" s="35">
        <f>IF(OR(IPC_Trimestriel!BP12="",IPC_Trimestriel!BL12=""),"",IPC_Trimestriel!BP12/IPC_Trimestriel!BL12-1)</f>
        <v>-2.5964638285564945E-3</v>
      </c>
      <c r="BM53" s="35">
        <f>IF(OR(IPC_Trimestriel!BQ12="",IPC_Trimestriel!BM12=""),"",IPC_Trimestriel!BQ12/IPC_Trimestriel!BM12-1)</f>
        <v>-3.83690866234776E-3</v>
      </c>
      <c r="BN53" s="35">
        <f>IF(OR(IPC_Trimestriel!BR12="",IPC_Trimestriel!BN12=""),"",IPC_Trimestriel!BR12/IPC_Trimestriel!BN12-1)</f>
        <v>-2.5798330749421394E-3</v>
      </c>
      <c r="BO53" s="35">
        <f>IF(OR(IPC_Trimestriel!BS12="",IPC_Trimestriel!BO12=""),"",IPC_Trimestriel!BS12/IPC_Trimestriel!BO12-1)</f>
        <v>-3.5520037907380564E-3</v>
      </c>
      <c r="BP53" s="35">
        <f>IF(OR(IPC_Trimestriel!BT12="",IPC_Trimestriel!BP12=""),"",IPC_Trimestriel!BT12/IPC_Trimestriel!BP12-1)</f>
        <v>1.5081657023467976E-3</v>
      </c>
      <c r="BQ53" s="35">
        <f>IF(OR(IPC_Trimestriel!BU12="",IPC_Trimestriel!BQ12=""),"",IPC_Trimestriel!BU12/IPC_Trimestriel!BQ12-1)</f>
        <v>3.1771501954918069E-3</v>
      </c>
      <c r="BR53" s="35">
        <f>IF(OR(IPC_Trimestriel!BV12="",IPC_Trimestriel!BR12=""),"",IPC_Trimestriel!BV12/IPC_Trimestriel!BR12-1)</f>
        <v>4.7980590188938521E-3</v>
      </c>
      <c r="BS53" s="35">
        <f>IF(OR(IPC_Trimestriel!BW12="",IPC_Trimestriel!BS12=""),"",IPC_Trimestriel!BW12/IPC_Trimestriel!BS12-1)</f>
        <v>2.5303361713722161E-3</v>
      </c>
      <c r="BT53" s="35">
        <f>IF(OR(IPC_Trimestriel!BX12="",IPC_Trimestriel!BT12=""),"",IPC_Trimestriel!BX12/IPC_Trimestriel!BT12-1)</f>
        <v>1.0292781726721767E-3</v>
      </c>
      <c r="BU53" s="35">
        <f>IF(OR(IPC_Trimestriel!BY12="",IPC_Trimestriel!BU12=""),"",IPC_Trimestriel!BY12/IPC_Trimestriel!BU12-1)</f>
        <v>3.4235022673421156E-3</v>
      </c>
      <c r="BV53" s="35">
        <f>IF(OR(IPC_Trimestriel!BZ12="",IPC_Trimestriel!BV12=""),"",IPC_Trimestriel!BZ12/IPC_Trimestriel!BV12-1)</f>
        <v>7.0757462567612173E-3</v>
      </c>
      <c r="BW53" s="35">
        <f>IF(OR(IPC_Trimestriel!CA12="",IPC_Trimestriel!BW12=""),"",IPC_Trimestriel!CA12/IPC_Trimestriel!BW12-1)</f>
        <v>6.3596468829216768E-3</v>
      </c>
      <c r="BX53" s="35">
        <f>IF(OR(IPC_Trimestriel!CB12="",IPC_Trimestriel!BX12=""),"",IPC_Trimestriel!CB12/IPC_Trimestriel!BX12-1)</f>
        <v>8.034268979643544E-3</v>
      </c>
      <c r="BY53" s="35">
        <f>IF(OR(IPC_Trimestriel!CC12="",IPC_Trimestriel!BY12=""),"",IPC_Trimestriel!CC12/IPC_Trimestriel!BY12-1)</f>
        <v>7.2051266394210778E-3</v>
      </c>
      <c r="BZ53" s="35">
        <f>IF(OR(IPC_Trimestriel!CD12="",IPC_Trimestriel!BZ12=""),"",IPC_Trimestriel!CD12/IPC_Trimestriel!BZ12-1)</f>
        <v>3.5284629889389407E-3</v>
      </c>
      <c r="CA53" s="35">
        <f>IF(OR(IPC_Trimestriel!CE12="",IPC_Trimestriel!CA12=""),"",IPC_Trimestriel!CE12/IPC_Trimestriel!CA12-1)</f>
        <v>3.4801829501700521E-3</v>
      </c>
      <c r="CB53" s="35">
        <f>IF(OR(IPC_Trimestriel!CF12="",IPC_Trimestriel!CB12=""),"",IPC_Trimestriel!CF12/IPC_Trimestriel!CB12-1)</f>
        <v>2.6530333082204205E-3</v>
      </c>
      <c r="CC53" s="35">
        <f>IF(OR(IPC_Trimestriel!CG12="",IPC_Trimestriel!CC12=""),"",IPC_Trimestriel!CG12/IPC_Trimestriel!CC12-1)</f>
        <v>1.9428302178745582E-3</v>
      </c>
      <c r="CD53" s="35">
        <f>IF(OR(IPC_Trimestriel!CH12="",IPC_Trimestriel!CD12=""),"",IPC_Trimestriel!CH12/IPC_Trimestriel!CD12-1)</f>
        <v>1.7028129266338787E-3</v>
      </c>
      <c r="CE53" s="35">
        <f>IF(OR(IPC_Trimestriel!CI12="",IPC_Trimestriel!CE12=""),"",IPC_Trimestriel!CI12/IPC_Trimestriel!CE12-1)</f>
        <v>2.6590044785073097E-3</v>
      </c>
      <c r="CF53" s="35">
        <f>IF(OR(IPC_Trimestriel!CJ12="",IPC_Trimestriel!CF12=""),"",IPC_Trimestriel!CJ12/IPC_Trimestriel!CF12-1)</f>
        <v>2.4719907895034421E-3</v>
      </c>
      <c r="CG53" s="35">
        <f>IF(OR(IPC_Trimestriel!CK12="",IPC_Trimestriel!CG12=""),"",IPC_Trimestriel!CK12/IPC_Trimestriel!CG12-1)</f>
        <v>1.1145438732860224E-3</v>
      </c>
      <c r="CH53" s="35">
        <f>IF(OR(IPC_Trimestriel!CL12="",IPC_Trimestriel!CH12=""),"",IPC_Trimestriel!CL12/IPC_Trimestriel!CH12-1)</f>
        <v>1.6786312501582135E-3</v>
      </c>
      <c r="CI53" s="35">
        <f>IF(OR(IPC_Trimestriel!CM12="",IPC_Trimestriel!CI12=""),"",IPC_Trimestriel!CM12/IPC_Trimestriel!CI12-1)</f>
        <v>1.2242602159253657E-3</v>
      </c>
      <c r="CJ53" s="35">
        <f>IF(OR(IPC_Trimestriel!CN12="",IPC_Trimestriel!CJ12=""),"",IPC_Trimestriel!CN12/IPC_Trimestriel!CJ12-1)</f>
        <v>2.1876914175740225E-3</v>
      </c>
      <c r="CK53" s="35">
        <f>IF(OR(IPC_Trimestriel!CO12="",IPC_Trimestriel!CK12=""),"",IPC_Trimestriel!CO12/IPC_Trimestriel!CK12-1)</f>
        <v>4.2160974608012047E-3</v>
      </c>
      <c r="CL53" s="35">
        <f>IF(OR(IPC_Trimestriel!CP12="",IPC_Trimestriel!CL12=""),"",IPC_Trimestriel!CP12/IPC_Trimestriel!CL12-1)</f>
        <v>4.7433239886010004E-3</v>
      </c>
      <c r="CM53" s="35">
        <f>IF(OR(IPC_Trimestriel!CQ12="",IPC_Trimestriel!CM12=""),"",IPC_Trimestriel!CQ12/IPC_Trimestriel!CM12-1)</f>
        <v>5.8692277777365742E-3</v>
      </c>
      <c r="CN53" s="35">
        <f>IF(OR(IPC_Trimestriel!CR12="",IPC_Trimestriel!CN12=""),"",IPC_Trimestriel!CR12/IPC_Trimestriel!CN12-1)</f>
        <v>8.5963302662690477E-3</v>
      </c>
      <c r="CO53" s="35">
        <f>IF(OR(IPC_Trimestriel!CS12="",IPC_Trimestriel!CO12=""),"",IPC_Trimestriel!CS12/IPC_Trimestriel!CO12-1)</f>
        <v>8.7394473759454527E-3</v>
      </c>
      <c r="CP53" s="35">
        <f>IF(OR(IPC_Trimestriel!CT12="",IPC_Trimestriel!CP12=""),"",IPC_Trimestriel!CT12/IPC_Trimestriel!CP12-1)</f>
        <v>8.7583082303352988E-3</v>
      </c>
    </row>
    <row r="54" spans="1:94" s="19" customFormat="1" ht="10.199999999999999" x14ac:dyDescent="0.2">
      <c r="A54" s="11" t="s">
        <v>21</v>
      </c>
      <c r="B54" s="1" t="s">
        <v>22</v>
      </c>
      <c r="C54" s="8">
        <v>44</v>
      </c>
      <c r="D54" s="35" t="str">
        <f>IF(OR(IPC_Trimestriel!H13="",IPC_Trimestriel!D13=""),"",IPC_Trimestriel!H13/IPC_Trimestriel!D13-1)</f>
        <v/>
      </c>
      <c r="E54" s="35" t="str">
        <f>IF(OR(IPC_Trimestriel!I13="",IPC_Trimestriel!E13=""),"",IPC_Trimestriel!I13/IPC_Trimestriel!E13-1)</f>
        <v/>
      </c>
      <c r="F54" s="35" t="str">
        <f>IF(OR(IPC_Trimestriel!J13="",IPC_Trimestriel!F13=""),"",IPC_Trimestriel!J13/IPC_Trimestriel!F13-1)</f>
        <v/>
      </c>
      <c r="G54" s="35" t="str">
        <f>IF(OR(IPC_Trimestriel!K13="",IPC_Trimestriel!G13=""),"",IPC_Trimestriel!K13/IPC_Trimestriel!G13-1)</f>
        <v/>
      </c>
      <c r="H54" s="35" t="str">
        <f>IF(OR(IPC_Trimestriel!L13="",IPC_Trimestriel!H13=""),"",IPC_Trimestriel!L13/IPC_Trimestriel!H13-1)</f>
        <v/>
      </c>
      <c r="I54" s="35" t="str">
        <f>IF(OR(IPC_Trimestriel!M13="",IPC_Trimestriel!I13=""),"",IPC_Trimestriel!M13/IPC_Trimestriel!I13-1)</f>
        <v/>
      </c>
      <c r="J54" s="35" t="str">
        <f>IF(OR(IPC_Trimestriel!N13="",IPC_Trimestriel!J13=""),"",IPC_Trimestriel!N13/IPC_Trimestriel!J13-1)</f>
        <v/>
      </c>
      <c r="K54" s="35" t="str">
        <f>IF(OR(IPC_Trimestriel!O13="",IPC_Trimestriel!K13=""),"",IPC_Trimestriel!O13/IPC_Trimestriel!K13-1)</f>
        <v/>
      </c>
      <c r="L54" s="35" t="str">
        <f>IF(OR(IPC_Trimestriel!P13="",IPC_Trimestriel!L13=""),"",IPC_Trimestriel!P13/IPC_Trimestriel!L13-1)</f>
        <v/>
      </c>
      <c r="M54" s="35" t="str">
        <f>IF(OR(IPC_Trimestriel!Q13="",IPC_Trimestriel!M13=""),"",IPC_Trimestriel!Q13/IPC_Trimestriel!M13-1)</f>
        <v/>
      </c>
      <c r="N54" s="35" t="str">
        <f>IF(OR(IPC_Trimestriel!R13="",IPC_Trimestriel!N13=""),"",IPC_Trimestriel!R13/IPC_Trimestriel!N13-1)</f>
        <v/>
      </c>
      <c r="O54" s="35" t="str">
        <f>IF(OR(IPC_Trimestriel!S13="",IPC_Trimestriel!O13=""),"",IPC_Trimestriel!S13/IPC_Trimestriel!O13-1)</f>
        <v/>
      </c>
      <c r="P54" s="35" t="str">
        <f>IF(OR(IPC_Trimestriel!T13="",IPC_Trimestriel!P13=""),"",IPC_Trimestriel!T13/IPC_Trimestriel!P13-1)</f>
        <v/>
      </c>
      <c r="Q54" s="35" t="str">
        <f>IF(OR(IPC_Trimestriel!U13="",IPC_Trimestriel!Q13=""),"",IPC_Trimestriel!U13/IPC_Trimestriel!Q13-1)</f>
        <v/>
      </c>
      <c r="R54" s="35" t="str">
        <f>IF(OR(IPC_Trimestriel!V13="",IPC_Trimestriel!R13=""),"",IPC_Trimestriel!V13/IPC_Trimestriel!R13-1)</f>
        <v/>
      </c>
      <c r="S54" s="35" t="str">
        <f>IF(OR(IPC_Trimestriel!W13="",IPC_Trimestriel!S13=""),"",IPC_Trimestriel!W13/IPC_Trimestriel!S13-1)</f>
        <v/>
      </c>
      <c r="T54" s="35" t="str">
        <f>IF(OR(IPC_Trimestriel!X13="",IPC_Trimestriel!T13=""),"",IPC_Trimestriel!X13/IPC_Trimestriel!T13-1)</f>
        <v/>
      </c>
      <c r="U54" s="35" t="str">
        <f>IF(OR(IPC_Trimestriel!Y13="",IPC_Trimestriel!U13=""),"",IPC_Trimestriel!Y13/IPC_Trimestriel!U13-1)</f>
        <v/>
      </c>
      <c r="V54" s="35" t="str">
        <f>IF(OR(IPC_Trimestriel!Z13="",IPC_Trimestriel!V13=""),"",IPC_Trimestriel!Z13/IPC_Trimestriel!V13-1)</f>
        <v/>
      </c>
      <c r="W54" s="35" t="str">
        <f>IF(OR(IPC_Trimestriel!AA13="",IPC_Trimestriel!W13=""),"",IPC_Trimestriel!AA13/IPC_Trimestriel!W13-1)</f>
        <v/>
      </c>
      <c r="X54" s="35" t="str">
        <f>IF(OR(IPC_Trimestriel!AB13="",IPC_Trimestriel!X13=""),"",IPC_Trimestriel!AB13/IPC_Trimestriel!X13-1)</f>
        <v/>
      </c>
      <c r="Y54" s="35" t="str">
        <f>IF(OR(IPC_Trimestriel!AC13="",IPC_Trimestriel!Y13=""),"",IPC_Trimestriel!AC13/IPC_Trimestriel!Y13-1)</f>
        <v/>
      </c>
      <c r="Z54" s="35" t="str">
        <f>IF(OR(IPC_Trimestriel!AD13="",IPC_Trimestriel!Z13=""),"",IPC_Trimestriel!AD13/IPC_Trimestriel!Z13-1)</f>
        <v/>
      </c>
      <c r="AA54" s="35" t="str">
        <f>IF(OR(IPC_Trimestriel!AE13="",IPC_Trimestriel!AA13=""),"",IPC_Trimestriel!AE13/IPC_Trimestriel!AA13-1)</f>
        <v/>
      </c>
      <c r="AB54" s="35" t="str">
        <f>IF(OR(IPC_Trimestriel!AF13="",IPC_Trimestriel!AB13=""),"",IPC_Trimestriel!AF13/IPC_Trimestriel!AB13-1)</f>
        <v/>
      </c>
      <c r="AC54" s="35" t="str">
        <f>IF(OR(IPC_Trimestriel!AG13="",IPC_Trimestriel!AC13=""),"",IPC_Trimestriel!AG13/IPC_Trimestriel!AC13-1)</f>
        <v/>
      </c>
      <c r="AD54" s="35" t="str">
        <f>IF(OR(IPC_Trimestriel!AH13="",IPC_Trimestriel!AD13=""),"",IPC_Trimestriel!AH13/IPC_Trimestriel!AD13-1)</f>
        <v/>
      </c>
      <c r="AE54" s="35" t="str">
        <f>IF(OR(IPC_Trimestriel!AI13="",IPC_Trimestriel!AE13=""),"",IPC_Trimestriel!AI13/IPC_Trimestriel!AE13-1)</f>
        <v/>
      </c>
      <c r="AF54" s="35" t="str">
        <f>IF(OR(IPC_Trimestriel!AJ13="",IPC_Trimestriel!AF13=""),"",IPC_Trimestriel!AJ13/IPC_Trimestriel!AF13-1)</f>
        <v/>
      </c>
      <c r="AG54" s="35" t="str">
        <f>IF(OR(IPC_Trimestriel!AK13="",IPC_Trimestriel!AG13=""),"",IPC_Trimestriel!AK13/IPC_Trimestriel!AG13-1)</f>
        <v/>
      </c>
      <c r="AH54" s="35" t="str">
        <f>IF(OR(IPC_Trimestriel!AL13="",IPC_Trimestriel!AH13=""),"",IPC_Trimestriel!AL13/IPC_Trimestriel!AH13-1)</f>
        <v/>
      </c>
      <c r="AI54" s="35" t="str">
        <f>IF(OR(IPC_Trimestriel!AM13="",IPC_Trimestriel!AI13=""),"",IPC_Trimestriel!AM13/IPC_Trimestriel!AI13-1)</f>
        <v/>
      </c>
      <c r="AJ54" s="35" t="str">
        <f>IF(OR(IPC_Trimestriel!AN13="",IPC_Trimestriel!AJ13=""),"",IPC_Trimestriel!AN13/IPC_Trimestriel!AJ13-1)</f>
        <v/>
      </c>
      <c r="AK54" s="35" t="str">
        <f>IF(OR(IPC_Trimestriel!AO13="",IPC_Trimestriel!AK13=""),"",IPC_Trimestriel!AO13/IPC_Trimestriel!AK13-1)</f>
        <v/>
      </c>
      <c r="AL54" s="35" t="str">
        <f>IF(OR(IPC_Trimestriel!AP13="",IPC_Trimestriel!AL13=""),"",IPC_Trimestriel!AP13/IPC_Trimestriel!AL13-1)</f>
        <v/>
      </c>
      <c r="AM54" s="35" t="str">
        <f>IF(OR(IPC_Trimestriel!AQ13="",IPC_Trimestriel!AM13=""),"",IPC_Trimestriel!AQ13/IPC_Trimestriel!AM13-1)</f>
        <v/>
      </c>
      <c r="AN54" s="35" t="str">
        <f>IF(OR(IPC_Trimestriel!AR13="",IPC_Trimestriel!AN13=""),"",IPC_Trimestriel!AR13/IPC_Trimestriel!AN13-1)</f>
        <v/>
      </c>
      <c r="AO54" s="35" t="str">
        <f>IF(OR(IPC_Trimestriel!AS13="",IPC_Trimestriel!AO13=""),"",IPC_Trimestriel!AS13/IPC_Trimestriel!AO13-1)</f>
        <v/>
      </c>
      <c r="AP54" s="35" t="str">
        <f>IF(OR(IPC_Trimestriel!AT13="",IPC_Trimestriel!AP13=""),"",IPC_Trimestriel!AT13/IPC_Trimestriel!AP13-1)</f>
        <v/>
      </c>
      <c r="AQ54" s="35" t="str">
        <f>IF(OR(IPC_Trimestriel!AU13="",IPC_Trimestriel!AQ13=""),"",IPC_Trimestriel!AU13/IPC_Trimestriel!AQ13-1)</f>
        <v/>
      </c>
      <c r="AR54" s="35" t="str">
        <f>IF(OR(IPC_Trimestriel!AV13="",IPC_Trimestriel!AR13=""),"",IPC_Trimestriel!AV13/IPC_Trimestriel!AR13-1)</f>
        <v/>
      </c>
      <c r="AS54" s="35" t="str">
        <f>IF(OR(IPC_Trimestriel!AW13="",IPC_Trimestriel!AS13=""),"",IPC_Trimestriel!AW13/IPC_Trimestriel!AS13-1)</f>
        <v/>
      </c>
      <c r="AT54" s="35" t="str">
        <f>IF(OR(IPC_Trimestriel!AX13="",IPC_Trimestriel!AT13=""),"",IPC_Trimestriel!AX13/IPC_Trimestriel!AT13-1)</f>
        <v/>
      </c>
      <c r="AU54" s="35" t="str">
        <f>IF(OR(IPC_Trimestriel!AY13="",IPC_Trimestriel!AU13=""),"",IPC_Trimestriel!AY13/IPC_Trimestriel!AU13-1)</f>
        <v/>
      </c>
      <c r="AV54" s="35" t="str">
        <f>IF(OR(IPC_Trimestriel!AZ13="",IPC_Trimestriel!AV13=""),"",IPC_Trimestriel!AZ13/IPC_Trimestriel!AV13-1)</f>
        <v/>
      </c>
      <c r="AW54" s="35" t="str">
        <f>IF(OR(IPC_Trimestriel!BA13="",IPC_Trimestriel!AW13=""),"",IPC_Trimestriel!BA13/IPC_Trimestriel!AW13-1)</f>
        <v/>
      </c>
      <c r="AX54" s="35" t="str">
        <f>IF(OR(IPC_Trimestriel!BB13="",IPC_Trimestriel!AX13=""),"",IPC_Trimestriel!BB13/IPC_Trimestriel!AX13-1)</f>
        <v/>
      </c>
      <c r="AY54" s="35" t="str">
        <f>IF(OR(IPC_Trimestriel!BC13="",IPC_Trimestriel!AY13=""),"",IPC_Trimestriel!BC13/IPC_Trimestriel!AY13-1)</f>
        <v/>
      </c>
      <c r="AZ54" s="35">
        <f>IF(OR(IPC_Trimestriel!BD13="",IPC_Trimestriel!AZ13=""),"",IPC_Trimestriel!BD13/IPC_Trimestriel!AZ13-1)</f>
        <v>2.9699943744877944E-2</v>
      </c>
      <c r="BA54" s="35">
        <f>IF(OR(IPC_Trimestriel!BE13="",IPC_Trimestriel!BA13=""),"",IPC_Trimestriel!BE13/IPC_Trimestriel!BA13-1)</f>
        <v>2.6421940347405304E-2</v>
      </c>
      <c r="BB54" s="35">
        <f>IF(OR(IPC_Trimestriel!BF13="",IPC_Trimestriel!BB13=""),"",IPC_Trimestriel!BF13/IPC_Trimestriel!BB13-1)</f>
        <v>9.2096912700447842E-3</v>
      </c>
      <c r="BC54" s="35">
        <f>IF(OR(IPC_Trimestriel!BG13="",IPC_Trimestriel!BC13=""),"",IPC_Trimestriel!BG13/IPC_Trimestriel!BC13-1)</f>
        <v>1.0362717417796485E-2</v>
      </c>
      <c r="BD54" s="35">
        <f>IF(OR(IPC_Trimestriel!BH13="",IPC_Trimestriel!BD13=""),"",IPC_Trimestriel!BH13/IPC_Trimestriel!BD13-1)</f>
        <v>1.2660165305073967E-2</v>
      </c>
      <c r="BE54" s="35">
        <f>IF(OR(IPC_Trimestriel!BI13="",IPC_Trimestriel!BE13=""),"",IPC_Trimestriel!BI13/IPC_Trimestriel!BE13-1)</f>
        <v>9.5564564993366741E-3</v>
      </c>
      <c r="BF54" s="35">
        <f>IF(OR(IPC_Trimestriel!BJ13="",IPC_Trimestriel!BF13=""),"",IPC_Trimestriel!BJ13/IPC_Trimestriel!BF13-1)</f>
        <v>0.14243091436085065</v>
      </c>
      <c r="BG54" s="35">
        <f>IF(OR(IPC_Trimestriel!BK13="",IPC_Trimestriel!BG13=""),"",IPC_Trimestriel!BK13/IPC_Trimestriel!BG13-1)</f>
        <v>0.1432099601011485</v>
      </c>
      <c r="BH54" s="35">
        <f>IF(OR(IPC_Trimestriel!BL13="",IPC_Trimestriel!BH13=""),"",IPC_Trimestriel!BL13/IPC_Trimestriel!BH13-1)</f>
        <v>0.14599966459895297</v>
      </c>
      <c r="BI54" s="35">
        <f>IF(OR(IPC_Trimestriel!BM13="",IPC_Trimestriel!BI13=""),"",IPC_Trimestriel!BM13/IPC_Trimestriel!BI13-1)</f>
        <v>0.14971445831422758</v>
      </c>
      <c r="BJ54" s="35">
        <f>IF(OR(IPC_Trimestriel!BN13="",IPC_Trimestriel!BJ13=""),"",IPC_Trimestriel!BN13/IPC_Trimestriel!BJ13-1)</f>
        <v>1.4265657489309858E-2</v>
      </c>
      <c r="BK54" s="35">
        <f>IF(OR(IPC_Trimestriel!BO13="",IPC_Trimestriel!BK13=""),"",IPC_Trimestriel!BO13/IPC_Trimestriel!BK13-1)</f>
        <v>8.3484795700097258E-3</v>
      </c>
      <c r="BL54" s="35">
        <f>IF(OR(IPC_Trimestriel!BP13="",IPC_Trimestriel!BL13=""),"",IPC_Trimestriel!BP13/IPC_Trimestriel!BL13-1)</f>
        <v>-6.2727610302629744E-3</v>
      </c>
      <c r="BM54" s="35">
        <f>IF(OR(IPC_Trimestriel!BQ13="",IPC_Trimestriel!BM13=""),"",IPC_Trimestriel!BQ13/IPC_Trimestriel!BM13-1)</f>
        <v>-7.8208897252837195E-3</v>
      </c>
      <c r="BN54" s="35">
        <f>IF(OR(IPC_Trimestriel!BR13="",IPC_Trimestriel!BN13=""),"",IPC_Trimestriel!BR13/IPC_Trimestriel!BN13-1)</f>
        <v>-7.9564833916507816E-3</v>
      </c>
      <c r="BO54" s="35">
        <f>IF(OR(IPC_Trimestriel!BS13="",IPC_Trimestriel!BO13=""),"",IPC_Trimestriel!BS13/IPC_Trimestriel!BO13-1)</f>
        <v>-6.1585285778518184E-3</v>
      </c>
      <c r="BP54" s="35">
        <f>IF(OR(IPC_Trimestriel!BT13="",IPC_Trimestriel!BP13=""),"",IPC_Trimestriel!BT13/IPC_Trimestriel!BP13-1)</f>
        <v>9.1524349434104479E-3</v>
      </c>
      <c r="BQ54" s="35">
        <f>IF(OR(IPC_Trimestriel!BU13="",IPC_Trimestriel!BQ13=""),"",IPC_Trimestriel!BU13/IPC_Trimestriel!BQ13-1)</f>
        <v>9.2212947041108162E-3</v>
      </c>
      <c r="BR54" s="35">
        <f>IF(OR(IPC_Trimestriel!BV13="",IPC_Trimestriel!BR13=""),"",IPC_Trimestriel!BV13/IPC_Trimestriel!BR13-1)</f>
        <v>7.6446156675487043E-3</v>
      </c>
      <c r="BS54" s="35">
        <f>IF(OR(IPC_Trimestriel!BW13="",IPC_Trimestriel!BS13=""),"",IPC_Trimestriel!BW13/IPC_Trimestriel!BS13-1)</f>
        <v>5.3959207602265469E-3</v>
      </c>
      <c r="BT54" s="35">
        <f>IF(OR(IPC_Trimestriel!BX13="",IPC_Trimestriel!BT13=""),"",IPC_Trimestriel!BX13/IPC_Trimestriel!BT13-1)</f>
        <v>-3.6192347513686052E-4</v>
      </c>
      <c r="BU54" s="35">
        <f>IF(OR(IPC_Trimestriel!BY13="",IPC_Trimestriel!BU13=""),"",IPC_Trimestriel!BY13/IPC_Trimestriel!BU13-1)</f>
        <v>-6.6743302759308953E-4</v>
      </c>
      <c r="BV54" s="35">
        <f>IF(OR(IPC_Trimestriel!BZ13="",IPC_Trimestriel!BV13=""),"",IPC_Trimestriel!BZ13/IPC_Trimestriel!BV13-1)</f>
        <v>1.1003074524456258E-2</v>
      </c>
      <c r="BW54" s="35">
        <f>IF(OR(IPC_Trimestriel!CA13="",IPC_Trimestriel!BW13=""),"",IPC_Trimestriel!CA13/IPC_Trimestriel!BW13-1)</f>
        <v>1.7493204115181182E-2</v>
      </c>
      <c r="BX54" s="35">
        <f>IF(OR(IPC_Trimestriel!CB13="",IPC_Trimestriel!BX13=""),"",IPC_Trimestriel!CB13/IPC_Trimestriel!BX13-1)</f>
        <v>2.1494063590531409E-2</v>
      </c>
      <c r="BY54" s="35">
        <f>IF(OR(IPC_Trimestriel!CC13="",IPC_Trimestriel!BY13=""),"",IPC_Trimestriel!CC13/IPC_Trimestriel!BY13-1)</f>
        <v>2.4876706345978716E-2</v>
      </c>
      <c r="BZ54" s="35">
        <f>IF(OR(IPC_Trimestriel!CD13="",IPC_Trimestriel!BZ13=""),"",IPC_Trimestriel!CD13/IPC_Trimestriel!BZ13-1)</f>
        <v>1.468648028914088E-2</v>
      </c>
      <c r="CA54" s="35">
        <f>IF(OR(IPC_Trimestriel!CE13="",IPC_Trimestriel!CA13=""),"",IPC_Trimestriel!CE13/IPC_Trimestriel!CA13-1)</f>
        <v>1.081048469504875E-2</v>
      </c>
      <c r="CB54" s="35">
        <f>IF(OR(IPC_Trimestriel!CF13="",IPC_Trimestriel!CB13=""),"",IPC_Trimestriel!CF13/IPC_Trimestriel!CB13-1)</f>
        <v>7.247490362190856E-3</v>
      </c>
      <c r="CC54" s="35">
        <f>IF(OR(IPC_Trimestriel!CG13="",IPC_Trimestriel!CC13=""),"",IPC_Trimestriel!CG13/IPC_Trimestriel!CC13-1)</f>
        <v>3.0893509284261711E-2</v>
      </c>
      <c r="CD54" s="35">
        <f>IF(OR(IPC_Trimestriel!CH13="",IPC_Trimestriel!CD13=""),"",IPC_Trimestriel!CH13/IPC_Trimestriel!CD13-1)</f>
        <v>1.803406935643892E-2</v>
      </c>
      <c r="CE54" s="35">
        <f>IF(OR(IPC_Trimestriel!CI13="",IPC_Trimestriel!CE13=""),"",IPC_Trimestriel!CI13/IPC_Trimestriel!CE13-1)</f>
        <v>2.2242379050672723E-2</v>
      </c>
      <c r="CF54" s="35">
        <f>IF(OR(IPC_Trimestriel!CJ13="",IPC_Trimestriel!CF13=""),"",IPC_Trimestriel!CJ13/IPC_Trimestriel!CF13-1)</f>
        <v>2.1467418005857164E-2</v>
      </c>
      <c r="CG54" s="35">
        <f>IF(OR(IPC_Trimestriel!CK13="",IPC_Trimestriel!CG13=""),"",IPC_Trimestriel!CK13/IPC_Trimestriel!CG13-1)</f>
        <v>-4.7955163284958413E-3</v>
      </c>
      <c r="CH54" s="35">
        <f>IF(OR(IPC_Trimestriel!CL13="",IPC_Trimestriel!CH13=""),"",IPC_Trimestriel!CL13/IPC_Trimestriel!CH13-1)</f>
        <v>1.2011371448549912E-2</v>
      </c>
      <c r="CI54" s="35">
        <f>IF(OR(IPC_Trimestriel!CM13="",IPC_Trimestriel!CI13=""),"",IPC_Trimestriel!CM13/IPC_Trimestriel!CI13-1)</f>
        <v>1.2225096143547276E-2</v>
      </c>
      <c r="CJ54" s="35">
        <f>IF(OR(IPC_Trimestriel!CN13="",IPC_Trimestriel!CJ13=""),"",IPC_Trimestriel!CN13/IPC_Trimestriel!CJ13-1)</f>
        <v>2.0010319494650597E-2</v>
      </c>
      <c r="CK54" s="35">
        <f>IF(OR(IPC_Trimestriel!CO13="",IPC_Trimestriel!CK13=""),"",IPC_Trimestriel!CO13/IPC_Trimestriel!CK13-1)</f>
        <v>2.7214836301881595E-2</v>
      </c>
      <c r="CL54" s="35">
        <f>IF(OR(IPC_Trimestriel!CP13="",IPC_Trimestriel!CL13=""),"",IPC_Trimestriel!CP13/IPC_Trimestriel!CL13-1)</f>
        <v>3.1027689266188707E-2</v>
      </c>
      <c r="CM54" s="35">
        <f>IF(OR(IPC_Trimestriel!CQ13="",IPC_Trimestriel!CM13=""),"",IPC_Trimestriel!CQ13/IPC_Trimestriel!CM13-1)</f>
        <v>2.8973388146303236E-2</v>
      </c>
      <c r="CN54" s="35">
        <f>IF(OR(IPC_Trimestriel!CR13="",IPC_Trimestriel!CN13=""),"",IPC_Trimestriel!CR13/IPC_Trimestriel!CN13-1)</f>
        <v>9.8406152038728711E-2</v>
      </c>
      <c r="CO54" s="35">
        <f>IF(OR(IPC_Trimestriel!CS13="",IPC_Trimestriel!CO13=""),"",IPC_Trimestriel!CS13/IPC_Trimestriel!CO13-1)</f>
        <v>0.16329663578495635</v>
      </c>
      <c r="CP54" s="35">
        <f>IF(OR(IPC_Trimestriel!CT13="",IPC_Trimestriel!CP13=""),"",IPC_Trimestriel!CT13/IPC_Trimestriel!CP13-1)</f>
        <v>0.16833416100551468</v>
      </c>
    </row>
    <row r="55" spans="1:94" s="19" customFormat="1" ht="10.199999999999999" x14ac:dyDescent="0.2">
      <c r="A55" s="11" t="s">
        <v>23</v>
      </c>
      <c r="B55" s="1" t="s">
        <v>24</v>
      </c>
      <c r="C55" s="8">
        <v>1</v>
      </c>
      <c r="D55" s="35" t="str">
        <f>IF(OR(IPC_Trimestriel!H14="",IPC_Trimestriel!D14=""),"",IPC_Trimestriel!H14/IPC_Trimestriel!D14-1)</f>
        <v/>
      </c>
      <c r="E55" s="35" t="str">
        <f>IF(OR(IPC_Trimestriel!I14="",IPC_Trimestriel!E14=""),"",IPC_Trimestriel!I14/IPC_Trimestriel!E14-1)</f>
        <v/>
      </c>
      <c r="F55" s="35" t="str">
        <f>IF(OR(IPC_Trimestriel!J14="",IPC_Trimestriel!F14=""),"",IPC_Trimestriel!J14/IPC_Trimestriel!F14-1)</f>
        <v/>
      </c>
      <c r="G55" s="35" t="str">
        <f>IF(OR(IPC_Trimestriel!K14="",IPC_Trimestriel!G14=""),"",IPC_Trimestriel!K14/IPC_Trimestriel!G14-1)</f>
        <v/>
      </c>
      <c r="H55" s="35" t="str">
        <f>IF(OR(IPC_Trimestriel!L14="",IPC_Trimestriel!H14=""),"",IPC_Trimestriel!L14/IPC_Trimestriel!H14-1)</f>
        <v/>
      </c>
      <c r="I55" s="35" t="str">
        <f>IF(OR(IPC_Trimestriel!M14="",IPC_Trimestriel!I14=""),"",IPC_Trimestriel!M14/IPC_Trimestriel!I14-1)</f>
        <v/>
      </c>
      <c r="J55" s="35" t="str">
        <f>IF(OR(IPC_Trimestriel!N14="",IPC_Trimestriel!J14=""),"",IPC_Trimestriel!N14/IPC_Trimestriel!J14-1)</f>
        <v/>
      </c>
      <c r="K55" s="35" t="str">
        <f>IF(OR(IPC_Trimestriel!O14="",IPC_Trimestriel!K14=""),"",IPC_Trimestriel!O14/IPC_Trimestriel!K14-1)</f>
        <v/>
      </c>
      <c r="L55" s="35" t="str">
        <f>IF(OR(IPC_Trimestriel!P14="",IPC_Trimestriel!L14=""),"",IPC_Trimestriel!P14/IPC_Trimestriel!L14-1)</f>
        <v/>
      </c>
      <c r="M55" s="35" t="str">
        <f>IF(OR(IPC_Trimestriel!Q14="",IPC_Trimestriel!M14=""),"",IPC_Trimestriel!Q14/IPC_Trimestriel!M14-1)</f>
        <v/>
      </c>
      <c r="N55" s="35" t="str">
        <f>IF(OR(IPC_Trimestriel!R14="",IPC_Trimestriel!N14=""),"",IPC_Trimestriel!R14/IPC_Trimestriel!N14-1)</f>
        <v/>
      </c>
      <c r="O55" s="35" t="str">
        <f>IF(OR(IPC_Trimestriel!S14="",IPC_Trimestriel!O14=""),"",IPC_Trimestriel!S14/IPC_Trimestriel!O14-1)</f>
        <v/>
      </c>
      <c r="P55" s="35" t="str">
        <f>IF(OR(IPC_Trimestriel!T14="",IPC_Trimestriel!P14=""),"",IPC_Trimestriel!T14/IPC_Trimestriel!P14-1)</f>
        <v/>
      </c>
      <c r="Q55" s="35" t="str">
        <f>IF(OR(IPC_Trimestriel!U14="",IPC_Trimestriel!Q14=""),"",IPC_Trimestriel!U14/IPC_Trimestriel!Q14-1)</f>
        <v/>
      </c>
      <c r="R55" s="35" t="str">
        <f>IF(OR(IPC_Trimestriel!V14="",IPC_Trimestriel!R14=""),"",IPC_Trimestriel!V14/IPC_Trimestriel!R14-1)</f>
        <v/>
      </c>
      <c r="S55" s="35" t="str">
        <f>IF(OR(IPC_Trimestriel!W14="",IPC_Trimestriel!S14=""),"",IPC_Trimestriel!W14/IPC_Trimestriel!S14-1)</f>
        <v/>
      </c>
      <c r="T55" s="35" t="str">
        <f>IF(OR(IPC_Trimestriel!X14="",IPC_Trimestriel!T14=""),"",IPC_Trimestriel!X14/IPC_Trimestriel!T14-1)</f>
        <v/>
      </c>
      <c r="U55" s="35" t="str">
        <f>IF(OR(IPC_Trimestriel!Y14="",IPC_Trimestriel!U14=""),"",IPC_Trimestriel!Y14/IPC_Trimestriel!U14-1)</f>
        <v/>
      </c>
      <c r="V55" s="35" t="str">
        <f>IF(OR(IPC_Trimestriel!Z14="",IPC_Trimestriel!V14=""),"",IPC_Trimestriel!Z14/IPC_Trimestriel!V14-1)</f>
        <v/>
      </c>
      <c r="W55" s="35" t="str">
        <f>IF(OR(IPC_Trimestriel!AA14="",IPC_Trimestriel!W14=""),"",IPC_Trimestriel!AA14/IPC_Trimestriel!W14-1)</f>
        <v/>
      </c>
      <c r="X55" s="35" t="str">
        <f>IF(OR(IPC_Trimestriel!AB14="",IPC_Trimestriel!X14=""),"",IPC_Trimestriel!AB14/IPC_Trimestriel!X14-1)</f>
        <v/>
      </c>
      <c r="Y55" s="35" t="str">
        <f>IF(OR(IPC_Trimestriel!AC14="",IPC_Trimestriel!Y14=""),"",IPC_Trimestriel!AC14/IPC_Trimestriel!Y14-1)</f>
        <v/>
      </c>
      <c r="Z55" s="35" t="str">
        <f>IF(OR(IPC_Trimestriel!AD14="",IPC_Trimestriel!Z14=""),"",IPC_Trimestriel!AD14/IPC_Trimestriel!Z14-1)</f>
        <v/>
      </c>
      <c r="AA55" s="35" t="str">
        <f>IF(OR(IPC_Trimestriel!AE14="",IPC_Trimestriel!AA14=""),"",IPC_Trimestriel!AE14/IPC_Trimestriel!AA14-1)</f>
        <v/>
      </c>
      <c r="AB55" s="35" t="str">
        <f>IF(OR(IPC_Trimestriel!AF14="",IPC_Trimestriel!AB14=""),"",IPC_Trimestriel!AF14/IPC_Trimestriel!AB14-1)</f>
        <v/>
      </c>
      <c r="AC55" s="35" t="str">
        <f>IF(OR(IPC_Trimestriel!AG14="",IPC_Trimestriel!AC14=""),"",IPC_Trimestriel!AG14/IPC_Trimestriel!AC14-1)</f>
        <v/>
      </c>
      <c r="AD55" s="35" t="str">
        <f>IF(OR(IPC_Trimestriel!AH14="",IPC_Trimestriel!AD14=""),"",IPC_Trimestriel!AH14/IPC_Trimestriel!AD14-1)</f>
        <v/>
      </c>
      <c r="AE55" s="35" t="str">
        <f>IF(OR(IPC_Trimestriel!AI14="",IPC_Trimestriel!AE14=""),"",IPC_Trimestriel!AI14/IPC_Trimestriel!AE14-1)</f>
        <v/>
      </c>
      <c r="AF55" s="35" t="str">
        <f>IF(OR(IPC_Trimestriel!AJ14="",IPC_Trimestriel!AF14=""),"",IPC_Trimestriel!AJ14/IPC_Trimestriel!AF14-1)</f>
        <v/>
      </c>
      <c r="AG55" s="35" t="str">
        <f>IF(OR(IPC_Trimestriel!AK14="",IPC_Trimestriel!AG14=""),"",IPC_Trimestriel!AK14/IPC_Trimestriel!AG14-1)</f>
        <v/>
      </c>
      <c r="AH55" s="35" t="str">
        <f>IF(OR(IPC_Trimestriel!AL14="",IPC_Trimestriel!AH14=""),"",IPC_Trimestriel!AL14/IPC_Trimestriel!AH14-1)</f>
        <v/>
      </c>
      <c r="AI55" s="35" t="str">
        <f>IF(OR(IPC_Trimestriel!AM14="",IPC_Trimestriel!AI14=""),"",IPC_Trimestriel!AM14/IPC_Trimestriel!AI14-1)</f>
        <v/>
      </c>
      <c r="AJ55" s="35" t="str">
        <f>IF(OR(IPC_Trimestriel!AN14="",IPC_Trimestriel!AJ14=""),"",IPC_Trimestriel!AN14/IPC_Trimestriel!AJ14-1)</f>
        <v/>
      </c>
      <c r="AK55" s="35" t="str">
        <f>IF(OR(IPC_Trimestriel!AO14="",IPC_Trimestriel!AK14=""),"",IPC_Trimestriel!AO14/IPC_Trimestriel!AK14-1)</f>
        <v/>
      </c>
      <c r="AL55" s="35" t="str">
        <f>IF(OR(IPC_Trimestriel!AP14="",IPC_Trimestriel!AL14=""),"",IPC_Trimestriel!AP14/IPC_Trimestriel!AL14-1)</f>
        <v/>
      </c>
      <c r="AM55" s="35" t="str">
        <f>IF(OR(IPC_Trimestriel!AQ14="",IPC_Trimestriel!AM14=""),"",IPC_Trimestriel!AQ14/IPC_Trimestriel!AM14-1)</f>
        <v/>
      </c>
      <c r="AN55" s="35" t="str">
        <f>IF(OR(IPC_Trimestriel!AR14="",IPC_Trimestriel!AN14=""),"",IPC_Trimestriel!AR14/IPC_Trimestriel!AN14-1)</f>
        <v/>
      </c>
      <c r="AO55" s="35" t="str">
        <f>IF(OR(IPC_Trimestriel!AS14="",IPC_Trimestriel!AO14=""),"",IPC_Trimestriel!AS14/IPC_Trimestriel!AO14-1)</f>
        <v/>
      </c>
      <c r="AP55" s="35" t="str">
        <f>IF(OR(IPC_Trimestriel!AT14="",IPC_Trimestriel!AP14=""),"",IPC_Trimestriel!AT14/IPC_Trimestriel!AP14-1)</f>
        <v/>
      </c>
      <c r="AQ55" s="35" t="str">
        <f>IF(OR(IPC_Trimestriel!AU14="",IPC_Trimestriel!AQ14=""),"",IPC_Trimestriel!AU14/IPC_Trimestriel!AQ14-1)</f>
        <v/>
      </c>
      <c r="AR55" s="35" t="str">
        <f>IF(OR(IPC_Trimestriel!AV14="",IPC_Trimestriel!AR14=""),"",IPC_Trimestriel!AV14/IPC_Trimestriel!AR14-1)</f>
        <v/>
      </c>
      <c r="AS55" s="35" t="str">
        <f>IF(OR(IPC_Trimestriel!AW14="",IPC_Trimestriel!AS14=""),"",IPC_Trimestriel!AW14/IPC_Trimestriel!AS14-1)</f>
        <v/>
      </c>
      <c r="AT55" s="35" t="str">
        <f>IF(OR(IPC_Trimestriel!AX14="",IPC_Trimestriel!AT14=""),"",IPC_Trimestriel!AX14/IPC_Trimestriel!AT14-1)</f>
        <v/>
      </c>
      <c r="AU55" s="35" t="str">
        <f>IF(OR(IPC_Trimestriel!AY14="",IPC_Trimestriel!AU14=""),"",IPC_Trimestriel!AY14/IPC_Trimestriel!AU14-1)</f>
        <v/>
      </c>
      <c r="AV55" s="35" t="str">
        <f>IF(OR(IPC_Trimestriel!AZ14="",IPC_Trimestriel!AV14=""),"",IPC_Trimestriel!AZ14/IPC_Trimestriel!AV14-1)</f>
        <v/>
      </c>
      <c r="AW55" s="35" t="str">
        <f>IF(OR(IPC_Trimestriel!BA14="",IPC_Trimestriel!AW14=""),"",IPC_Trimestriel!BA14/IPC_Trimestriel!AW14-1)</f>
        <v/>
      </c>
      <c r="AX55" s="35" t="str">
        <f>IF(OR(IPC_Trimestriel!BB14="",IPC_Trimestriel!AX14=""),"",IPC_Trimestriel!BB14/IPC_Trimestriel!AX14-1)</f>
        <v/>
      </c>
      <c r="AY55" s="35" t="str">
        <f>IF(OR(IPC_Trimestriel!BC14="",IPC_Trimestriel!AY14=""),"",IPC_Trimestriel!BC14/IPC_Trimestriel!AY14-1)</f>
        <v/>
      </c>
      <c r="AZ55" s="35">
        <f>IF(OR(IPC_Trimestriel!BD14="",IPC_Trimestriel!AZ14=""),"",IPC_Trimestriel!BD14/IPC_Trimestriel!AZ14-1)</f>
        <v>-2.6351423651115091E-2</v>
      </c>
      <c r="BA55" s="35">
        <f>IF(OR(IPC_Trimestriel!BE14="",IPC_Trimestriel!BA14=""),"",IPC_Trimestriel!BE14/IPC_Trimestriel!BA14-1)</f>
        <v>-2.6997623298957385E-2</v>
      </c>
      <c r="BB55" s="35">
        <f>IF(OR(IPC_Trimestriel!BF14="",IPC_Trimestriel!BB14=""),"",IPC_Trimestriel!BF14/IPC_Trimestriel!BB14-1)</f>
        <v>-3.2084668947116368E-2</v>
      </c>
      <c r="BC55" s="35">
        <f>IF(OR(IPC_Trimestriel!BG14="",IPC_Trimestriel!BC14=""),"",IPC_Trimestriel!BG14/IPC_Trimestriel!BC14-1)</f>
        <v>-3.0470525862374864E-2</v>
      </c>
      <c r="BD55" s="35">
        <f>IF(OR(IPC_Trimestriel!BH14="",IPC_Trimestriel!BD14=""),"",IPC_Trimestriel!BH14/IPC_Trimestriel!BD14-1)</f>
        <v>-2.6070278759816379E-2</v>
      </c>
      <c r="BE55" s="35">
        <f>IF(OR(IPC_Trimestriel!BI14="",IPC_Trimestriel!BE14=""),"",IPC_Trimestriel!BI14/IPC_Trimestriel!BE14-1)</f>
        <v>-2.9821645241465022E-2</v>
      </c>
      <c r="BF55" s="35">
        <f>IF(OR(IPC_Trimestriel!BJ14="",IPC_Trimestriel!BF14=""),"",IPC_Trimestriel!BJ14/IPC_Trimestriel!BF14-1)</f>
        <v>-1.9048079361509651E-2</v>
      </c>
      <c r="BG55" s="35">
        <f>IF(OR(IPC_Trimestriel!BK14="",IPC_Trimestriel!BG14=""),"",IPC_Trimestriel!BK14/IPC_Trimestriel!BG14-1)</f>
        <v>-2.4577999892940183E-2</v>
      </c>
      <c r="BH55" s="35">
        <f>IF(OR(IPC_Trimestriel!BL14="",IPC_Trimestriel!BH14=""),"",IPC_Trimestriel!BL14/IPC_Trimestriel!BH14-1)</f>
        <v>-3.0982071782269971E-2</v>
      </c>
      <c r="BI55" s="35">
        <f>IF(OR(IPC_Trimestriel!BM14="",IPC_Trimestriel!BI14=""),"",IPC_Trimestriel!BM14/IPC_Trimestriel!BI14-1)</f>
        <v>-2.2479209585850479E-2</v>
      </c>
      <c r="BJ55" s="35">
        <f>IF(OR(IPC_Trimestriel!BN14="",IPC_Trimestriel!BJ14=""),"",IPC_Trimestriel!BN14/IPC_Trimestriel!BJ14-1)</f>
        <v>-2.3768602881022227E-2</v>
      </c>
      <c r="BK55" s="35">
        <f>IF(OR(IPC_Trimestriel!BO14="",IPC_Trimestriel!BK14=""),"",IPC_Trimestriel!BO14/IPC_Trimestriel!BK14-1)</f>
        <v>-3.193781611218216E-2</v>
      </c>
      <c r="BL55" s="35">
        <f>IF(OR(IPC_Trimestriel!BP14="",IPC_Trimestriel!BL14=""),"",IPC_Trimestriel!BP14/IPC_Trimestriel!BL14-1)</f>
        <v>-1.8965561958930621E-2</v>
      </c>
      <c r="BM55" s="35">
        <f>IF(OR(IPC_Trimestriel!BQ14="",IPC_Trimestriel!BM14=""),"",IPC_Trimestriel!BQ14/IPC_Trimestriel!BM14-1)</f>
        <v>-3.3755843113020267E-2</v>
      </c>
      <c r="BN55" s="35">
        <f>IF(OR(IPC_Trimestriel!BR14="",IPC_Trimestriel!BN14=""),"",IPC_Trimestriel!BR14/IPC_Trimestriel!BN14-1)</f>
        <v>-2.6923289672320494E-2</v>
      </c>
      <c r="BO55" s="35">
        <f>IF(OR(IPC_Trimestriel!BS14="",IPC_Trimestriel!BO14=""),"",IPC_Trimestriel!BS14/IPC_Trimestriel!BO14-1)</f>
        <v>-8.7232311887222025E-3</v>
      </c>
      <c r="BP55" s="35">
        <f>IF(OR(IPC_Trimestriel!BT14="",IPC_Trimestriel!BP14=""),"",IPC_Trimestriel!BT14/IPC_Trimestriel!BP14-1)</f>
        <v>-2.8302287213465283E-3</v>
      </c>
      <c r="BQ55" s="35">
        <f>IF(OR(IPC_Trimestriel!BU14="",IPC_Trimestriel!BQ14=""),"",IPC_Trimestriel!BU14/IPC_Trimestriel!BQ14-1)</f>
        <v>1.0844168197475357E-2</v>
      </c>
      <c r="BR55" s="35">
        <f>IF(OR(IPC_Trimestriel!BV14="",IPC_Trimestriel!BR14=""),"",IPC_Trimestriel!BV14/IPC_Trimestriel!BR14-1)</f>
        <v>1.1907341675812644E-2</v>
      </c>
      <c r="BS55" s="35">
        <f>IF(OR(IPC_Trimestriel!BW14="",IPC_Trimestriel!BS14=""),"",IPC_Trimestriel!BW14/IPC_Trimestriel!BS14-1)</f>
        <v>7.9088387561938589E-3</v>
      </c>
      <c r="BT55" s="35">
        <f>IF(OR(IPC_Trimestriel!BX14="",IPC_Trimestriel!BT14=""),"",IPC_Trimestriel!BX14/IPC_Trimestriel!BT14-1)</f>
        <v>1.5925633565379016E-3</v>
      </c>
      <c r="BU55" s="35">
        <f>IF(OR(IPC_Trimestriel!BY14="",IPC_Trimestriel!BU14=""),"",IPC_Trimestriel!BY14/IPC_Trimestriel!BU14-1)</f>
        <v>1.7323962223332323E-3</v>
      </c>
      <c r="BV55" s="35">
        <f>IF(OR(IPC_Trimestriel!BZ14="",IPC_Trimestriel!BV14=""),"",IPC_Trimestriel!BZ14/IPC_Trimestriel!BV14-1)</f>
        <v>2.1296401438704038E-3</v>
      </c>
      <c r="BW55" s="35">
        <f>IF(OR(IPC_Trimestriel!CA14="",IPC_Trimestriel!BW14=""),"",IPC_Trimestriel!CA14/IPC_Trimestriel!BW14-1)</f>
        <v>3.5931528114101496E-3</v>
      </c>
      <c r="BX55" s="35">
        <f>IF(OR(IPC_Trimestriel!CB14="",IPC_Trimestriel!BX14=""),"",IPC_Trimestriel!CB14/IPC_Trimestriel!BX14-1)</f>
        <v>1.8656944490758054E-3</v>
      </c>
      <c r="BY55" s="35">
        <f>IF(OR(IPC_Trimestriel!CC14="",IPC_Trimestriel!BY14=""),"",IPC_Trimestriel!CC14/IPC_Trimestriel!BY14-1)</f>
        <v>2.1132623290793795E-3</v>
      </c>
      <c r="BZ55" s="35">
        <f>IF(OR(IPC_Trimestriel!CD14="",IPC_Trimestriel!BZ14=""),"",IPC_Trimestriel!CD14/IPC_Trimestriel!BZ14-1)</f>
        <v>2.4329231730735312E-3</v>
      </c>
      <c r="CA55" s="35">
        <f>IF(OR(IPC_Trimestriel!CE14="",IPC_Trimestriel!CA14=""),"",IPC_Trimestriel!CE14/IPC_Trimestriel!CA14-1)</f>
        <v>1.5951946145664753E-3</v>
      </c>
      <c r="CB55" s="35">
        <f>IF(OR(IPC_Trimestriel!CF14="",IPC_Trimestriel!CB14=""),"",IPC_Trimestriel!CF14/IPC_Trimestriel!CB14-1)</f>
        <v>1.8672189050641386E-3</v>
      </c>
      <c r="CC55" s="35">
        <f>IF(OR(IPC_Trimestriel!CG14="",IPC_Trimestriel!CC14=""),"",IPC_Trimestriel!CG14/IPC_Trimestriel!CC14-1)</f>
        <v>6.7916470459044032E-3</v>
      </c>
      <c r="CD55" s="35">
        <f>IF(OR(IPC_Trimestriel!CH14="",IPC_Trimestriel!CD14=""),"",IPC_Trimestriel!CH14/IPC_Trimestriel!CD14-1)</f>
        <v>6.6769032718096977E-3</v>
      </c>
      <c r="CE55" s="35">
        <f>IF(OR(IPC_Trimestriel!CI14="",IPC_Trimestriel!CE14=""),"",IPC_Trimestriel!CI14/IPC_Trimestriel!CE14-1)</f>
        <v>9.0920049929461566E-3</v>
      </c>
      <c r="CF55" s="35">
        <f>IF(OR(IPC_Trimestriel!CJ14="",IPC_Trimestriel!CF14=""),"",IPC_Trimestriel!CJ14/IPC_Trimestriel!CF14-1)</f>
        <v>9.9333087940449705E-3</v>
      </c>
      <c r="CG55" s="35">
        <f>IF(OR(IPC_Trimestriel!CK14="",IPC_Trimestriel!CG14=""),"",IPC_Trimestriel!CK14/IPC_Trimestriel!CG14-1)</f>
        <v>4.3940091133463088E-3</v>
      </c>
      <c r="CH55" s="35">
        <f>IF(OR(IPC_Trimestriel!CL14="",IPC_Trimestriel!CH14=""),"",IPC_Trimestriel!CL14/IPC_Trimestriel!CH14-1)</f>
        <v>4.9904016490598391E-3</v>
      </c>
      <c r="CI55" s="35">
        <f>IF(OR(IPC_Trimestriel!CM14="",IPC_Trimestriel!CI14=""),"",IPC_Trimestriel!CM14/IPC_Trimestriel!CI14-1)</f>
        <v>3.4050524666586757E-3</v>
      </c>
      <c r="CJ55" s="35">
        <f>IF(OR(IPC_Trimestriel!CN14="",IPC_Trimestriel!CJ14=""),"",IPC_Trimestriel!CN14/IPC_Trimestriel!CJ14-1)</f>
        <v>3.1961369200803613E-3</v>
      </c>
      <c r="CK55" s="35">
        <f>IF(OR(IPC_Trimestriel!CO14="",IPC_Trimestriel!CK14=""),"",IPC_Trimestriel!CO14/IPC_Trimestriel!CK14-1)</f>
        <v>6.0505596737447931E-3</v>
      </c>
      <c r="CL55" s="35">
        <f>IF(OR(IPC_Trimestriel!CP14="",IPC_Trimestriel!CL14=""),"",IPC_Trimestriel!CP14/IPC_Trimestriel!CL14-1)</f>
        <v>1.0329597159714154E-2</v>
      </c>
      <c r="CM55" s="35">
        <f>IF(OR(IPC_Trimestriel!CQ14="",IPC_Trimestriel!CM14=""),"",IPC_Trimestriel!CQ14/IPC_Trimestriel!CM14-1)</f>
        <v>1.0605534050224685E-2</v>
      </c>
      <c r="CN55" s="35">
        <f>IF(OR(IPC_Trimestriel!CR14="",IPC_Trimestriel!CN14=""),"",IPC_Trimestriel!CR14/IPC_Trimestriel!CN14-1)</f>
        <v>9.3552176524525077E-3</v>
      </c>
      <c r="CO55" s="35">
        <f>IF(OR(IPC_Trimestriel!CS14="",IPC_Trimestriel!CO14=""),"",IPC_Trimestriel!CS14/IPC_Trimestriel!CO14-1)</f>
        <v>5.8539494111415902E-3</v>
      </c>
      <c r="CP55" s="35">
        <f>IF(OR(IPC_Trimestriel!CT14="",IPC_Trimestriel!CP14=""),"",IPC_Trimestriel!CT14/IPC_Trimestriel!CP14-1)</f>
        <v>3.9755124082296867E-4</v>
      </c>
    </row>
    <row r="56" spans="1:94" s="19" customFormat="1" ht="10.199999999999999" x14ac:dyDescent="0.2">
      <c r="A56" s="11" t="s">
        <v>25</v>
      </c>
      <c r="B56" s="1" t="s">
        <v>26</v>
      </c>
      <c r="C56" s="8">
        <v>7</v>
      </c>
      <c r="D56" s="35" t="str">
        <f>IF(OR(IPC_Trimestriel!H15="",IPC_Trimestriel!D15=""),"",IPC_Trimestriel!H15/IPC_Trimestriel!D15-1)</f>
        <v/>
      </c>
      <c r="E56" s="35" t="str">
        <f>IF(OR(IPC_Trimestriel!I15="",IPC_Trimestriel!E15=""),"",IPC_Trimestriel!I15/IPC_Trimestriel!E15-1)</f>
        <v/>
      </c>
      <c r="F56" s="35" t="str">
        <f>IF(OR(IPC_Trimestriel!J15="",IPC_Trimestriel!F15=""),"",IPC_Trimestriel!J15/IPC_Trimestriel!F15-1)</f>
        <v/>
      </c>
      <c r="G56" s="35" t="str">
        <f>IF(OR(IPC_Trimestriel!K15="",IPC_Trimestriel!G15=""),"",IPC_Trimestriel!K15/IPC_Trimestriel!G15-1)</f>
        <v/>
      </c>
      <c r="H56" s="35" t="str">
        <f>IF(OR(IPC_Trimestriel!L15="",IPC_Trimestriel!H15=""),"",IPC_Trimestriel!L15/IPC_Trimestriel!H15-1)</f>
        <v/>
      </c>
      <c r="I56" s="35" t="str">
        <f>IF(OR(IPC_Trimestriel!M15="",IPC_Trimestriel!I15=""),"",IPC_Trimestriel!M15/IPC_Trimestriel!I15-1)</f>
        <v/>
      </c>
      <c r="J56" s="35" t="str">
        <f>IF(OR(IPC_Trimestriel!N15="",IPC_Trimestriel!J15=""),"",IPC_Trimestriel!N15/IPC_Trimestriel!J15-1)</f>
        <v/>
      </c>
      <c r="K56" s="35" t="str">
        <f>IF(OR(IPC_Trimestriel!O15="",IPC_Trimestriel!K15=""),"",IPC_Trimestriel!O15/IPC_Trimestriel!K15-1)</f>
        <v/>
      </c>
      <c r="L56" s="35" t="str">
        <f>IF(OR(IPC_Trimestriel!P15="",IPC_Trimestriel!L15=""),"",IPC_Trimestriel!P15/IPC_Trimestriel!L15-1)</f>
        <v/>
      </c>
      <c r="M56" s="35" t="str">
        <f>IF(OR(IPC_Trimestriel!Q15="",IPC_Trimestriel!M15=""),"",IPC_Trimestriel!Q15/IPC_Trimestriel!M15-1)</f>
        <v/>
      </c>
      <c r="N56" s="35" t="str">
        <f>IF(OR(IPC_Trimestriel!R15="",IPC_Trimestriel!N15=""),"",IPC_Trimestriel!R15/IPC_Trimestriel!N15-1)</f>
        <v/>
      </c>
      <c r="O56" s="35" t="str">
        <f>IF(OR(IPC_Trimestriel!S15="",IPC_Trimestriel!O15=""),"",IPC_Trimestriel!S15/IPC_Trimestriel!O15-1)</f>
        <v/>
      </c>
      <c r="P56" s="35" t="str">
        <f>IF(OR(IPC_Trimestriel!T15="",IPC_Trimestriel!P15=""),"",IPC_Trimestriel!T15/IPC_Trimestriel!P15-1)</f>
        <v/>
      </c>
      <c r="Q56" s="35" t="str">
        <f>IF(OR(IPC_Trimestriel!U15="",IPC_Trimestriel!Q15=""),"",IPC_Trimestriel!U15/IPC_Trimestriel!Q15-1)</f>
        <v/>
      </c>
      <c r="R56" s="35" t="str">
        <f>IF(OR(IPC_Trimestriel!V15="",IPC_Trimestriel!R15=""),"",IPC_Trimestriel!V15/IPC_Trimestriel!R15-1)</f>
        <v/>
      </c>
      <c r="S56" s="35" t="str">
        <f>IF(OR(IPC_Trimestriel!W15="",IPC_Trimestriel!S15=""),"",IPC_Trimestriel!W15/IPC_Trimestriel!S15-1)</f>
        <v/>
      </c>
      <c r="T56" s="35" t="str">
        <f>IF(OR(IPC_Trimestriel!X15="",IPC_Trimestriel!T15=""),"",IPC_Trimestriel!X15/IPC_Trimestriel!T15-1)</f>
        <v/>
      </c>
      <c r="U56" s="35" t="str">
        <f>IF(OR(IPC_Trimestriel!Y15="",IPC_Trimestriel!U15=""),"",IPC_Trimestriel!Y15/IPC_Trimestriel!U15-1)</f>
        <v/>
      </c>
      <c r="V56" s="35" t="str">
        <f>IF(OR(IPC_Trimestriel!Z15="",IPC_Trimestriel!V15=""),"",IPC_Trimestriel!Z15/IPC_Trimestriel!V15-1)</f>
        <v/>
      </c>
      <c r="W56" s="35" t="str">
        <f>IF(OR(IPC_Trimestriel!AA15="",IPC_Trimestriel!W15=""),"",IPC_Trimestriel!AA15/IPC_Trimestriel!W15-1)</f>
        <v/>
      </c>
      <c r="X56" s="35" t="str">
        <f>IF(OR(IPC_Trimestriel!AB15="",IPC_Trimestriel!X15=""),"",IPC_Trimestriel!AB15/IPC_Trimestriel!X15-1)</f>
        <v/>
      </c>
      <c r="Y56" s="35" t="str">
        <f>IF(OR(IPC_Trimestriel!AC15="",IPC_Trimestriel!Y15=""),"",IPC_Trimestriel!AC15/IPC_Trimestriel!Y15-1)</f>
        <v/>
      </c>
      <c r="Z56" s="35" t="str">
        <f>IF(OR(IPC_Trimestriel!AD15="",IPC_Trimestriel!Z15=""),"",IPC_Trimestriel!AD15/IPC_Trimestriel!Z15-1)</f>
        <v/>
      </c>
      <c r="AA56" s="35" t="str">
        <f>IF(OR(IPC_Trimestriel!AE15="",IPC_Trimestriel!AA15=""),"",IPC_Trimestriel!AE15/IPC_Trimestriel!AA15-1)</f>
        <v/>
      </c>
      <c r="AB56" s="35" t="str">
        <f>IF(OR(IPC_Trimestriel!AF15="",IPC_Trimestriel!AB15=""),"",IPC_Trimestriel!AF15/IPC_Trimestriel!AB15-1)</f>
        <v/>
      </c>
      <c r="AC56" s="35" t="str">
        <f>IF(OR(IPC_Trimestriel!AG15="",IPC_Trimestriel!AC15=""),"",IPC_Trimestriel!AG15/IPC_Trimestriel!AC15-1)</f>
        <v/>
      </c>
      <c r="AD56" s="35" t="str">
        <f>IF(OR(IPC_Trimestriel!AH15="",IPC_Trimestriel!AD15=""),"",IPC_Trimestriel!AH15/IPC_Trimestriel!AD15-1)</f>
        <v/>
      </c>
      <c r="AE56" s="35" t="str">
        <f>IF(OR(IPC_Trimestriel!AI15="",IPC_Trimestriel!AE15=""),"",IPC_Trimestriel!AI15/IPC_Trimestriel!AE15-1)</f>
        <v/>
      </c>
      <c r="AF56" s="35" t="str">
        <f>IF(OR(IPC_Trimestriel!AJ15="",IPC_Trimestriel!AF15=""),"",IPC_Trimestriel!AJ15/IPC_Trimestriel!AF15-1)</f>
        <v/>
      </c>
      <c r="AG56" s="35" t="str">
        <f>IF(OR(IPC_Trimestriel!AK15="",IPC_Trimestriel!AG15=""),"",IPC_Trimestriel!AK15/IPC_Trimestriel!AG15-1)</f>
        <v/>
      </c>
      <c r="AH56" s="35" t="str">
        <f>IF(OR(IPC_Trimestriel!AL15="",IPC_Trimestriel!AH15=""),"",IPC_Trimestriel!AL15/IPC_Trimestriel!AH15-1)</f>
        <v/>
      </c>
      <c r="AI56" s="35" t="str">
        <f>IF(OR(IPC_Trimestriel!AM15="",IPC_Trimestriel!AI15=""),"",IPC_Trimestriel!AM15/IPC_Trimestriel!AI15-1)</f>
        <v/>
      </c>
      <c r="AJ56" s="35" t="str">
        <f>IF(OR(IPC_Trimestriel!AN15="",IPC_Trimestriel!AJ15=""),"",IPC_Trimestriel!AN15/IPC_Trimestriel!AJ15-1)</f>
        <v/>
      </c>
      <c r="AK56" s="35" t="str">
        <f>IF(OR(IPC_Trimestriel!AO15="",IPC_Trimestriel!AK15=""),"",IPC_Trimestriel!AO15/IPC_Trimestriel!AK15-1)</f>
        <v/>
      </c>
      <c r="AL56" s="35" t="str">
        <f>IF(OR(IPC_Trimestriel!AP15="",IPC_Trimestriel!AL15=""),"",IPC_Trimestriel!AP15/IPC_Trimestriel!AL15-1)</f>
        <v/>
      </c>
      <c r="AM56" s="35" t="str">
        <f>IF(OR(IPC_Trimestriel!AQ15="",IPC_Trimestriel!AM15=""),"",IPC_Trimestriel!AQ15/IPC_Trimestriel!AM15-1)</f>
        <v/>
      </c>
      <c r="AN56" s="35" t="str">
        <f>IF(OR(IPC_Trimestriel!AR15="",IPC_Trimestriel!AN15=""),"",IPC_Trimestriel!AR15/IPC_Trimestriel!AN15-1)</f>
        <v/>
      </c>
      <c r="AO56" s="35" t="str">
        <f>IF(OR(IPC_Trimestriel!AS15="",IPC_Trimestriel!AO15=""),"",IPC_Trimestriel!AS15/IPC_Trimestriel!AO15-1)</f>
        <v/>
      </c>
      <c r="AP56" s="35" t="str">
        <f>IF(OR(IPC_Trimestriel!AT15="",IPC_Trimestriel!AP15=""),"",IPC_Trimestriel!AT15/IPC_Trimestriel!AP15-1)</f>
        <v/>
      </c>
      <c r="AQ56" s="35" t="str">
        <f>IF(OR(IPC_Trimestriel!AU15="",IPC_Trimestriel!AQ15=""),"",IPC_Trimestriel!AU15/IPC_Trimestriel!AQ15-1)</f>
        <v/>
      </c>
      <c r="AR56" s="35" t="str">
        <f>IF(OR(IPC_Trimestriel!AV15="",IPC_Trimestriel!AR15=""),"",IPC_Trimestriel!AV15/IPC_Trimestriel!AR15-1)</f>
        <v/>
      </c>
      <c r="AS56" s="35" t="str">
        <f>IF(OR(IPC_Trimestriel!AW15="",IPC_Trimestriel!AS15=""),"",IPC_Trimestriel!AW15/IPC_Trimestriel!AS15-1)</f>
        <v/>
      </c>
      <c r="AT56" s="35" t="str">
        <f>IF(OR(IPC_Trimestriel!AX15="",IPC_Trimestriel!AT15=""),"",IPC_Trimestriel!AX15/IPC_Trimestriel!AT15-1)</f>
        <v/>
      </c>
      <c r="AU56" s="35" t="str">
        <f>IF(OR(IPC_Trimestriel!AY15="",IPC_Trimestriel!AU15=""),"",IPC_Trimestriel!AY15/IPC_Trimestriel!AU15-1)</f>
        <v/>
      </c>
      <c r="AV56" s="35" t="str">
        <f>IF(OR(IPC_Trimestriel!AZ15="",IPC_Trimestriel!AV15=""),"",IPC_Trimestriel!AZ15/IPC_Trimestriel!AV15-1)</f>
        <v/>
      </c>
      <c r="AW56" s="35" t="str">
        <f>IF(OR(IPC_Trimestriel!BA15="",IPC_Trimestriel!AW15=""),"",IPC_Trimestriel!BA15/IPC_Trimestriel!AW15-1)</f>
        <v/>
      </c>
      <c r="AX56" s="35" t="str">
        <f>IF(OR(IPC_Trimestriel!BB15="",IPC_Trimestriel!AX15=""),"",IPC_Trimestriel!BB15/IPC_Trimestriel!AX15-1)</f>
        <v/>
      </c>
      <c r="AY56" s="35" t="str">
        <f>IF(OR(IPC_Trimestriel!BC15="",IPC_Trimestriel!AY15=""),"",IPC_Trimestriel!BC15/IPC_Trimestriel!AY15-1)</f>
        <v/>
      </c>
      <c r="AZ56" s="35">
        <f>IF(OR(IPC_Trimestriel!BD15="",IPC_Trimestriel!AZ15=""),"",IPC_Trimestriel!BD15/IPC_Trimestriel!AZ15-1)</f>
        <v>3.2347496677254117E-3</v>
      </c>
      <c r="BA56" s="35">
        <f>IF(OR(IPC_Trimestriel!BE15="",IPC_Trimestriel!BA15=""),"",IPC_Trimestriel!BE15/IPC_Trimestriel!BA15-1)</f>
        <v>6.5978055946884773E-3</v>
      </c>
      <c r="BB56" s="35">
        <f>IF(OR(IPC_Trimestriel!BF15="",IPC_Trimestriel!BB15=""),"",IPC_Trimestriel!BF15/IPC_Trimestriel!BB15-1)</f>
        <v>-2.4050279135223729E-4</v>
      </c>
      <c r="BC56" s="35">
        <f>IF(OR(IPC_Trimestriel!BG15="",IPC_Trimestriel!BC15=""),"",IPC_Trimestriel!BG15/IPC_Trimestriel!BC15-1)</f>
        <v>-5.6493967836468428E-5</v>
      </c>
      <c r="BD56" s="35">
        <f>IF(OR(IPC_Trimestriel!BH15="",IPC_Trimestriel!BD15=""),"",IPC_Trimestriel!BH15/IPC_Trimestriel!BD15-1)</f>
        <v>2.5451976041916957E-3</v>
      </c>
      <c r="BE56" s="35">
        <f>IF(OR(IPC_Trimestriel!BI15="",IPC_Trimestriel!BE15=""),"",IPC_Trimestriel!BI15/IPC_Trimestriel!BE15-1)</f>
        <v>8.3733886362546972E-3</v>
      </c>
      <c r="BF56" s="35">
        <f>IF(OR(IPC_Trimestriel!BJ15="",IPC_Trimestriel!BF15=""),"",IPC_Trimestriel!BJ15/IPC_Trimestriel!BF15-1)</f>
        <v>1.1652281913159257E-2</v>
      </c>
      <c r="BG56" s="35">
        <f>IF(OR(IPC_Trimestriel!BK15="",IPC_Trimestriel!BG15=""),"",IPC_Trimestriel!BK15/IPC_Trimestriel!BG15-1)</f>
        <v>5.9096495865333942E-3</v>
      </c>
      <c r="BH56" s="35">
        <f>IF(OR(IPC_Trimestriel!BL15="",IPC_Trimestriel!BH15=""),"",IPC_Trimestriel!BL15/IPC_Trimestriel!BH15-1)</f>
        <v>4.6719510295822886E-4</v>
      </c>
      <c r="BI56" s="35">
        <f>IF(OR(IPC_Trimestriel!BM15="",IPC_Trimestriel!BI15=""),"",IPC_Trimestriel!BM15/IPC_Trimestriel!BI15-1)</f>
        <v>-5.1363881588755156E-3</v>
      </c>
      <c r="BJ56" s="35">
        <f>IF(OR(IPC_Trimestriel!BN15="",IPC_Trimestriel!BJ15=""),"",IPC_Trimestriel!BN15/IPC_Trimestriel!BJ15-1)</f>
        <v>6.4537114768250525E-3</v>
      </c>
      <c r="BK56" s="35">
        <f>IF(OR(IPC_Trimestriel!BO15="",IPC_Trimestriel!BK15=""),"",IPC_Trimestriel!BO15/IPC_Trimestriel!BK15-1)</f>
        <v>1.506381190014916E-2</v>
      </c>
      <c r="BL56" s="35">
        <f>IF(OR(IPC_Trimestriel!BP15="",IPC_Trimestriel!BL15=""),"",IPC_Trimestriel!BP15/IPC_Trimestriel!BL15-1)</f>
        <v>2.0584348032637978E-2</v>
      </c>
      <c r="BM56" s="35">
        <f>IF(OR(IPC_Trimestriel!BQ15="",IPC_Trimestriel!BM15=""),"",IPC_Trimestriel!BQ15/IPC_Trimestriel!BM15-1)</f>
        <v>2.1781212293348506E-2</v>
      </c>
      <c r="BN56" s="35">
        <f>IF(OR(IPC_Trimestriel!BR15="",IPC_Trimestriel!BN15=""),"",IPC_Trimestriel!BR15/IPC_Trimestriel!BN15-1)</f>
        <v>1.0469263056534173E-2</v>
      </c>
      <c r="BO56" s="35">
        <f>IF(OR(IPC_Trimestriel!BS15="",IPC_Trimestriel!BO15=""),"",IPC_Trimestriel!BS15/IPC_Trimestriel!BO15-1)</f>
        <v>5.7122796215041127E-3</v>
      </c>
      <c r="BP56" s="35">
        <f>IF(OR(IPC_Trimestriel!BT15="",IPC_Trimestriel!BP15=""),"",IPC_Trimestriel!BT15/IPC_Trimestriel!BP15-1)</f>
        <v>6.9622509581475089E-3</v>
      </c>
      <c r="BQ56" s="35">
        <f>IF(OR(IPC_Trimestriel!BU15="",IPC_Trimestriel!BQ15=""),"",IPC_Trimestriel!BU15/IPC_Trimestriel!BQ15-1)</f>
        <v>6.0502545806038199E-3</v>
      </c>
      <c r="BR56" s="35">
        <f>IF(OR(IPC_Trimestriel!BV15="",IPC_Trimestriel!BR15=""),"",IPC_Trimestriel!BV15/IPC_Trimestriel!BR15-1)</f>
        <v>7.3314367956014426E-3</v>
      </c>
      <c r="BS56" s="35">
        <f>IF(OR(IPC_Trimestriel!BW15="",IPC_Trimestriel!BS15=""),"",IPC_Trimestriel!BW15/IPC_Trimestriel!BS15-1)</f>
        <v>5.1942700417133558E-3</v>
      </c>
      <c r="BT56" s="35">
        <f>IF(OR(IPC_Trimestriel!BX15="",IPC_Trimestriel!BT15=""),"",IPC_Trimestriel!BX15/IPC_Trimestriel!BT15-1)</f>
        <v>6.1056217560120363E-3</v>
      </c>
      <c r="BU56" s="35">
        <f>IF(OR(IPC_Trimestriel!BY15="",IPC_Trimestriel!BU15=""),"",IPC_Trimestriel!BY15/IPC_Trimestriel!BU15-1)</f>
        <v>8.1979622042187561E-3</v>
      </c>
      <c r="BV56" s="35">
        <f>IF(OR(IPC_Trimestriel!BZ15="",IPC_Trimestriel!BV15=""),"",IPC_Trimestriel!BZ15/IPC_Trimestriel!BV15-1)</f>
        <v>1.0724412013856544E-2</v>
      </c>
      <c r="BW56" s="35">
        <f>IF(OR(IPC_Trimestriel!CA15="",IPC_Trimestriel!BW15=""),"",IPC_Trimestriel!CA15/IPC_Trimestriel!BW15-1)</f>
        <v>8.4327418096930007E-3</v>
      </c>
      <c r="BX56" s="35">
        <f>IF(OR(IPC_Trimestriel!CB15="",IPC_Trimestriel!BX15=""),"",IPC_Trimestriel!CB15/IPC_Trimestriel!BX15-1)</f>
        <v>9.5734148535955299E-3</v>
      </c>
      <c r="BY56" s="35">
        <f>IF(OR(IPC_Trimestriel!CC15="",IPC_Trimestriel!BY15=""),"",IPC_Trimestriel!CC15/IPC_Trimestriel!BY15-1)</f>
        <v>1.3862757499333744E-2</v>
      </c>
      <c r="BZ56" s="35">
        <f>IF(OR(IPC_Trimestriel!CD15="",IPC_Trimestriel!BZ15=""),"",IPC_Trimestriel!CD15/IPC_Trimestriel!BZ15-1)</f>
        <v>1.0158551550357942E-2</v>
      </c>
      <c r="CA56" s="35">
        <f>IF(OR(IPC_Trimestriel!CE15="",IPC_Trimestriel!CA15=""),"",IPC_Trimestriel!CE15/IPC_Trimestriel!CA15-1)</f>
        <v>1.1512032373677927E-2</v>
      </c>
      <c r="CB56" s="35">
        <f>IF(OR(IPC_Trimestriel!CF15="",IPC_Trimestriel!CB15=""),"",IPC_Trimestriel!CF15/IPC_Trimestriel!CB15-1)</f>
        <v>1.1816996738715613E-2</v>
      </c>
      <c r="CC56" s="35">
        <f>IF(OR(IPC_Trimestriel!CG15="",IPC_Trimestriel!CC15=""),"",IPC_Trimestriel!CG15/IPC_Trimestriel!CC15-1)</f>
        <v>1.7791018941966996E-2</v>
      </c>
      <c r="CD56" s="35">
        <f>IF(OR(IPC_Trimestriel!CH15="",IPC_Trimestriel!CD15=""),"",IPC_Trimestriel!CH15/IPC_Trimestriel!CD15-1)</f>
        <v>1.6862580750685918E-2</v>
      </c>
      <c r="CE56" s="35">
        <f>IF(OR(IPC_Trimestriel!CI15="",IPC_Trimestriel!CE15=""),"",IPC_Trimestriel!CI15/IPC_Trimestriel!CE15-1)</f>
        <v>1.9101149705204934E-2</v>
      </c>
      <c r="CF56" s="35">
        <f>IF(OR(IPC_Trimestriel!CJ15="",IPC_Trimestriel!CF15=""),"",IPC_Trimestriel!CJ15/IPC_Trimestriel!CF15-1)</f>
        <v>1.8691014083328739E-2</v>
      </c>
      <c r="CG56" s="35">
        <f>IF(OR(IPC_Trimestriel!CK15="",IPC_Trimestriel!CG15=""),"",IPC_Trimestriel!CK15/IPC_Trimestriel!CG15-1)</f>
        <v>4.7672363355193426E-3</v>
      </c>
      <c r="CH56" s="35">
        <f>IF(OR(IPC_Trimestriel!CL15="",IPC_Trimestriel!CH15=""),"",IPC_Trimestriel!CL15/IPC_Trimestriel!CH15-1)</f>
        <v>8.5510777584532072E-3</v>
      </c>
      <c r="CI56" s="35">
        <f>IF(OR(IPC_Trimestriel!CM15="",IPC_Trimestriel!CI15=""),"",IPC_Trimestriel!CM15/IPC_Trimestriel!CI15-1)</f>
        <v>9.6851412647400714E-3</v>
      </c>
      <c r="CJ56" s="35">
        <f>IF(OR(IPC_Trimestriel!CN15="",IPC_Trimestriel!CJ15=""),"",IPC_Trimestriel!CN15/IPC_Trimestriel!CJ15-1)</f>
        <v>1.3851686036195687E-2</v>
      </c>
      <c r="CK56" s="35">
        <f>IF(OR(IPC_Trimestriel!CO15="",IPC_Trimestriel!CK15=""),"",IPC_Trimestriel!CO15/IPC_Trimestriel!CK15-1)</f>
        <v>1.8804651620926593E-2</v>
      </c>
      <c r="CL56" s="35">
        <f>IF(OR(IPC_Trimestriel!CP15="",IPC_Trimestriel!CL15=""),"",IPC_Trimestriel!CP15/IPC_Trimestriel!CL15-1)</f>
        <v>1.7708682074865534E-2</v>
      </c>
      <c r="CM56" s="35">
        <f>IF(OR(IPC_Trimestriel!CQ15="",IPC_Trimestriel!CM15=""),"",IPC_Trimestriel!CQ15/IPC_Trimestriel!CM15-1)</f>
        <v>1.7494245325061941E-2</v>
      </c>
      <c r="CN56" s="35">
        <f>IF(OR(IPC_Trimestriel!CR15="",IPC_Trimestriel!CN15=""),"",IPC_Trimestriel!CR15/IPC_Trimestriel!CN15-1)</f>
        <v>1.8762886832396575E-2</v>
      </c>
      <c r="CO56" s="35">
        <f>IF(OR(IPC_Trimestriel!CS15="",IPC_Trimestriel!CO15=""),"",IPC_Trimestriel!CS15/IPC_Trimestriel!CO15-1)</f>
        <v>1.6125285254924515E-2</v>
      </c>
      <c r="CP56" s="35">
        <f>IF(OR(IPC_Trimestriel!CT15="",IPC_Trimestriel!CP15=""),"",IPC_Trimestriel!CT15/IPC_Trimestriel!CP15-1)</f>
        <v>2.0314691953011277E-2</v>
      </c>
    </row>
    <row r="57" spans="1:94" s="19" customFormat="1" ht="10.199999999999999" x14ac:dyDescent="0.2">
      <c r="A57" s="11">
        <v>10</v>
      </c>
      <c r="B57" s="1" t="s">
        <v>27</v>
      </c>
      <c r="C57" s="8"/>
      <c r="D57" s="35" t="str">
        <f>IF(OR(IPC_Trimestriel!H16="",IPC_Trimestriel!D16=""),"",IPC_Trimestriel!H16/IPC_Trimestriel!D16-1)</f>
        <v/>
      </c>
      <c r="E57" s="35" t="str">
        <f>IF(OR(IPC_Trimestriel!I16="",IPC_Trimestriel!E16=""),"",IPC_Trimestriel!I16/IPC_Trimestriel!E16-1)</f>
        <v/>
      </c>
      <c r="F57" s="35" t="str">
        <f>IF(OR(IPC_Trimestriel!J16="",IPC_Trimestriel!F16=""),"",IPC_Trimestriel!J16/IPC_Trimestriel!F16-1)</f>
        <v/>
      </c>
      <c r="G57" s="35" t="str">
        <f>IF(OR(IPC_Trimestriel!K16="",IPC_Trimestriel!G16=""),"",IPC_Trimestriel!K16/IPC_Trimestriel!G16-1)</f>
        <v/>
      </c>
      <c r="H57" s="35" t="str">
        <f>IF(OR(IPC_Trimestriel!L16="",IPC_Trimestriel!H16=""),"",IPC_Trimestriel!L16/IPC_Trimestriel!H16-1)</f>
        <v/>
      </c>
      <c r="I57" s="35" t="str">
        <f>IF(OR(IPC_Trimestriel!M16="",IPC_Trimestriel!I16=""),"",IPC_Trimestriel!M16/IPC_Trimestriel!I16-1)</f>
        <v/>
      </c>
      <c r="J57" s="35" t="str">
        <f>IF(OR(IPC_Trimestriel!N16="",IPC_Trimestriel!J16=""),"",IPC_Trimestriel!N16/IPC_Trimestriel!J16-1)</f>
        <v/>
      </c>
      <c r="K57" s="35" t="str">
        <f>IF(OR(IPC_Trimestriel!O16="",IPC_Trimestriel!K16=""),"",IPC_Trimestriel!O16/IPC_Trimestriel!K16-1)</f>
        <v/>
      </c>
      <c r="L57" s="35" t="str">
        <f>IF(OR(IPC_Trimestriel!P16="",IPC_Trimestriel!L16=""),"",IPC_Trimestriel!P16/IPC_Trimestriel!L16-1)</f>
        <v/>
      </c>
      <c r="M57" s="35" t="str">
        <f>IF(OR(IPC_Trimestriel!Q16="",IPC_Trimestriel!M16=""),"",IPC_Trimestriel!Q16/IPC_Trimestriel!M16-1)</f>
        <v/>
      </c>
      <c r="N57" s="35" t="str">
        <f>IF(OR(IPC_Trimestriel!R16="",IPC_Trimestriel!N16=""),"",IPC_Trimestriel!R16/IPC_Trimestriel!N16-1)</f>
        <v/>
      </c>
      <c r="O57" s="35" t="str">
        <f>IF(OR(IPC_Trimestriel!S16="",IPC_Trimestriel!O16=""),"",IPC_Trimestriel!S16/IPC_Trimestriel!O16-1)</f>
        <v/>
      </c>
      <c r="P57" s="35" t="str">
        <f>IF(OR(IPC_Trimestriel!T16="",IPC_Trimestriel!P16=""),"",IPC_Trimestriel!T16/IPC_Trimestriel!P16-1)</f>
        <v/>
      </c>
      <c r="Q57" s="35" t="str">
        <f>IF(OR(IPC_Trimestriel!U16="",IPC_Trimestriel!Q16=""),"",IPC_Trimestriel!U16/IPC_Trimestriel!Q16-1)</f>
        <v/>
      </c>
      <c r="R57" s="35" t="str">
        <f>IF(OR(IPC_Trimestriel!V16="",IPC_Trimestriel!R16=""),"",IPC_Trimestriel!V16/IPC_Trimestriel!R16-1)</f>
        <v/>
      </c>
      <c r="S57" s="35" t="str">
        <f>IF(OR(IPC_Trimestriel!W16="",IPC_Trimestriel!S16=""),"",IPC_Trimestriel!W16/IPC_Trimestriel!S16-1)</f>
        <v/>
      </c>
      <c r="T57" s="35" t="str">
        <f>IF(OR(IPC_Trimestriel!X16="",IPC_Trimestriel!T16=""),"",IPC_Trimestriel!X16/IPC_Trimestriel!T16-1)</f>
        <v/>
      </c>
      <c r="U57" s="35" t="str">
        <f>IF(OR(IPC_Trimestriel!Y16="",IPC_Trimestriel!U16=""),"",IPC_Trimestriel!Y16/IPC_Trimestriel!U16-1)</f>
        <v/>
      </c>
      <c r="V57" s="35" t="str">
        <f>IF(OR(IPC_Trimestriel!Z16="",IPC_Trimestriel!V16=""),"",IPC_Trimestriel!Z16/IPC_Trimestriel!V16-1)</f>
        <v/>
      </c>
      <c r="W57" s="35" t="str">
        <f>IF(OR(IPC_Trimestriel!AA16="",IPC_Trimestriel!W16=""),"",IPC_Trimestriel!AA16/IPC_Trimestriel!W16-1)</f>
        <v/>
      </c>
      <c r="X57" s="35" t="str">
        <f>IF(OR(IPC_Trimestriel!AB16="",IPC_Trimestriel!X16=""),"",IPC_Trimestriel!AB16/IPC_Trimestriel!X16-1)</f>
        <v/>
      </c>
      <c r="Y57" s="35" t="str">
        <f>IF(OR(IPC_Trimestriel!AC16="",IPC_Trimestriel!Y16=""),"",IPC_Trimestriel!AC16/IPC_Trimestriel!Y16-1)</f>
        <v/>
      </c>
      <c r="Z57" s="35" t="str">
        <f>IF(OR(IPC_Trimestriel!AD16="",IPC_Trimestriel!Z16=""),"",IPC_Trimestriel!AD16/IPC_Trimestriel!Z16-1)</f>
        <v/>
      </c>
      <c r="AA57" s="35" t="str">
        <f>IF(OR(IPC_Trimestriel!AE16="",IPC_Trimestriel!AA16=""),"",IPC_Trimestriel!AE16/IPC_Trimestriel!AA16-1)</f>
        <v/>
      </c>
      <c r="AB57" s="35" t="str">
        <f>IF(OR(IPC_Trimestriel!AF16="",IPC_Trimestriel!AB16=""),"",IPC_Trimestriel!AF16/IPC_Trimestriel!AB16-1)</f>
        <v/>
      </c>
      <c r="AC57" s="35" t="str">
        <f>IF(OR(IPC_Trimestriel!AG16="",IPC_Trimestriel!AC16=""),"",IPC_Trimestriel!AG16/IPC_Trimestriel!AC16-1)</f>
        <v/>
      </c>
      <c r="AD57" s="35" t="str">
        <f>IF(OR(IPC_Trimestriel!AH16="",IPC_Trimestriel!AD16=""),"",IPC_Trimestriel!AH16/IPC_Trimestriel!AD16-1)</f>
        <v/>
      </c>
      <c r="AE57" s="35" t="str">
        <f>IF(OR(IPC_Trimestriel!AI16="",IPC_Trimestriel!AE16=""),"",IPC_Trimestriel!AI16/IPC_Trimestriel!AE16-1)</f>
        <v/>
      </c>
      <c r="AF57" s="35" t="str">
        <f>IF(OR(IPC_Trimestriel!AJ16="",IPC_Trimestriel!AF16=""),"",IPC_Trimestriel!AJ16/IPC_Trimestriel!AF16-1)</f>
        <v/>
      </c>
      <c r="AG57" s="35" t="str">
        <f>IF(OR(IPC_Trimestriel!AK16="",IPC_Trimestriel!AG16=""),"",IPC_Trimestriel!AK16/IPC_Trimestriel!AG16-1)</f>
        <v/>
      </c>
      <c r="AH57" s="35" t="str">
        <f>IF(OR(IPC_Trimestriel!AL16="",IPC_Trimestriel!AH16=""),"",IPC_Trimestriel!AL16/IPC_Trimestriel!AH16-1)</f>
        <v/>
      </c>
      <c r="AI57" s="35" t="str">
        <f>IF(OR(IPC_Trimestriel!AM16="",IPC_Trimestriel!AI16=""),"",IPC_Trimestriel!AM16/IPC_Trimestriel!AI16-1)</f>
        <v/>
      </c>
      <c r="AJ57" s="35" t="str">
        <f>IF(OR(IPC_Trimestriel!AN16="",IPC_Trimestriel!AJ16=""),"",IPC_Trimestriel!AN16/IPC_Trimestriel!AJ16-1)</f>
        <v/>
      </c>
      <c r="AK57" s="35" t="str">
        <f>IF(OR(IPC_Trimestriel!AO16="",IPC_Trimestriel!AK16=""),"",IPC_Trimestriel!AO16/IPC_Trimestriel!AK16-1)</f>
        <v/>
      </c>
      <c r="AL57" s="35" t="str">
        <f>IF(OR(IPC_Trimestriel!AP16="",IPC_Trimestriel!AL16=""),"",IPC_Trimestriel!AP16/IPC_Trimestriel!AL16-1)</f>
        <v/>
      </c>
      <c r="AM57" s="35" t="str">
        <f>IF(OR(IPC_Trimestriel!AQ16="",IPC_Trimestriel!AM16=""),"",IPC_Trimestriel!AQ16/IPC_Trimestriel!AM16-1)</f>
        <v/>
      </c>
      <c r="AN57" s="35" t="str">
        <f>IF(OR(IPC_Trimestriel!AR16="",IPC_Trimestriel!AN16=""),"",IPC_Trimestriel!AR16/IPC_Trimestriel!AN16-1)</f>
        <v/>
      </c>
      <c r="AO57" s="35" t="str">
        <f>IF(OR(IPC_Trimestriel!AS16="",IPC_Trimestriel!AO16=""),"",IPC_Trimestriel!AS16/IPC_Trimestriel!AO16-1)</f>
        <v/>
      </c>
      <c r="AP57" s="35" t="str">
        <f>IF(OR(IPC_Trimestriel!AT16="",IPC_Trimestriel!AP16=""),"",IPC_Trimestriel!AT16/IPC_Trimestriel!AP16-1)</f>
        <v/>
      </c>
      <c r="AQ57" s="35" t="str">
        <f>IF(OR(IPC_Trimestriel!AU16="",IPC_Trimestriel!AQ16=""),"",IPC_Trimestriel!AU16/IPC_Trimestriel!AQ16-1)</f>
        <v/>
      </c>
      <c r="AR57" s="35" t="str">
        <f>IF(OR(IPC_Trimestriel!AV16="",IPC_Trimestriel!AR16=""),"",IPC_Trimestriel!AV16/IPC_Trimestriel!AR16-1)</f>
        <v/>
      </c>
      <c r="AS57" s="35" t="str">
        <f>IF(OR(IPC_Trimestriel!AW16="",IPC_Trimestriel!AS16=""),"",IPC_Trimestriel!AW16/IPC_Trimestriel!AS16-1)</f>
        <v/>
      </c>
      <c r="AT57" s="35" t="str">
        <f>IF(OR(IPC_Trimestriel!AX16="",IPC_Trimestriel!AT16=""),"",IPC_Trimestriel!AX16/IPC_Trimestriel!AT16-1)</f>
        <v/>
      </c>
      <c r="AU57" s="35" t="str">
        <f>IF(OR(IPC_Trimestriel!AY16="",IPC_Trimestriel!AU16=""),"",IPC_Trimestriel!AY16/IPC_Trimestriel!AU16-1)</f>
        <v/>
      </c>
      <c r="AV57" s="35" t="str">
        <f>IF(OR(IPC_Trimestriel!AZ16="",IPC_Trimestriel!AV16=""),"",IPC_Trimestriel!AZ16/IPC_Trimestriel!AV16-1)</f>
        <v/>
      </c>
      <c r="AW57" s="35" t="str">
        <f>IF(OR(IPC_Trimestriel!BA16="",IPC_Trimestriel!AW16=""),"",IPC_Trimestriel!BA16/IPC_Trimestriel!AW16-1)</f>
        <v/>
      </c>
      <c r="AX57" s="35" t="str">
        <f>IF(OR(IPC_Trimestriel!BB16="",IPC_Trimestriel!AX16=""),"",IPC_Trimestriel!BB16/IPC_Trimestriel!AX16-1)</f>
        <v/>
      </c>
      <c r="AY57" s="35" t="str">
        <f>IF(OR(IPC_Trimestriel!BC16="",IPC_Trimestriel!AY16=""),"",IPC_Trimestriel!BC16/IPC_Trimestriel!AY16-1)</f>
        <v/>
      </c>
      <c r="AZ57" s="35">
        <f>IF(OR(IPC_Trimestriel!BD16="",IPC_Trimestriel!AZ16=""),"",IPC_Trimestriel!BD16/IPC_Trimestriel!AZ16-1)</f>
        <v>4.7657771089104184E-2</v>
      </c>
      <c r="BA57" s="35">
        <f>IF(OR(IPC_Trimestriel!BE16="",IPC_Trimestriel!BA16=""),"",IPC_Trimestriel!BE16/IPC_Trimestriel!BA16-1)</f>
        <v>4.5418542690627062E-2</v>
      </c>
      <c r="BB57" s="35">
        <f>IF(OR(IPC_Trimestriel!BF16="",IPC_Trimestriel!BB16=""),"",IPC_Trimestriel!BF16/IPC_Trimestriel!BB16-1)</f>
        <v>2.1511516459215452E-2</v>
      </c>
      <c r="BC57" s="35">
        <f>IF(OR(IPC_Trimestriel!BG16="",IPC_Trimestriel!BC16=""),"",IPC_Trimestriel!BG16/IPC_Trimestriel!BC16-1)</f>
        <v>7.1583085655226864E-3</v>
      </c>
      <c r="BD57" s="35">
        <f>IF(OR(IPC_Trimestriel!BH16="",IPC_Trimestriel!BD16=""),"",IPC_Trimestriel!BH16/IPC_Trimestriel!BD16-1)</f>
        <v>6.4719125697945135E-3</v>
      </c>
      <c r="BE57" s="35">
        <f>IF(OR(IPC_Trimestriel!BI16="",IPC_Trimestriel!BE16=""),"",IPC_Trimestriel!BI16/IPC_Trimestriel!BE16-1)</f>
        <v>7.1330534905698073E-3</v>
      </c>
      <c r="BF57" s="35">
        <f>IF(OR(IPC_Trimestriel!BJ16="",IPC_Trimestriel!BF16=""),"",IPC_Trimestriel!BJ16/IPC_Trimestriel!BF16-1)</f>
        <v>1.3536856296324951E-2</v>
      </c>
      <c r="BG57" s="35">
        <f>IF(OR(IPC_Trimestriel!BK16="",IPC_Trimestriel!BG16=""),"",IPC_Trimestriel!BK16/IPC_Trimestriel!BG16-1)</f>
        <v>1.52699489164283E-2</v>
      </c>
      <c r="BH57" s="35">
        <f>IF(OR(IPC_Trimestriel!BL16="",IPC_Trimestriel!BH16=""),"",IPC_Trimestriel!BL16/IPC_Trimestriel!BH16-1)</f>
        <v>1.7270876097602805E-2</v>
      </c>
      <c r="BI57" s="35">
        <f>IF(OR(IPC_Trimestriel!BM16="",IPC_Trimestriel!BI16=""),"",IPC_Trimestriel!BM16/IPC_Trimestriel!BI16-1)</f>
        <v>1.6487067356218965E-2</v>
      </c>
      <c r="BJ57" s="35">
        <f>IF(OR(IPC_Trimestriel!BN16="",IPC_Trimestriel!BJ16=""),"",IPC_Trimestriel!BN16/IPC_Trimestriel!BJ16-1)</f>
        <v>2.2054510080140588E-2</v>
      </c>
      <c r="BK57" s="35">
        <f>IF(OR(IPC_Trimestriel!BO16="",IPC_Trimestriel!BK16=""),"",IPC_Trimestriel!BO16/IPC_Trimestriel!BK16-1)</f>
        <v>3.2642857134893788E-2</v>
      </c>
      <c r="BL57" s="35">
        <f>IF(OR(IPC_Trimestriel!BP16="",IPC_Trimestriel!BL16=""),"",IPC_Trimestriel!BP16/IPC_Trimestriel!BL16-1)</f>
        <v>3.2620985990500895E-2</v>
      </c>
      <c r="BM57" s="35">
        <f>IF(OR(IPC_Trimestriel!BQ16="",IPC_Trimestriel!BM16=""),"",IPC_Trimestriel!BQ16/IPC_Trimestriel!BM16-1)</f>
        <v>3.5339026770415671E-2</v>
      </c>
      <c r="BN57" s="35">
        <f>IF(OR(IPC_Trimestriel!BR16="",IPC_Trimestriel!BN16=""),"",IPC_Trimestriel!BR16/IPC_Trimestriel!BN16-1)</f>
        <v>2.8194840703106738E-2</v>
      </c>
      <c r="BO57" s="35">
        <f>IF(OR(IPC_Trimestriel!BS16="",IPC_Trimestriel!BO16=""),"",IPC_Trimestriel!BS16/IPC_Trimestriel!BO16-1)</f>
        <v>8.5963069667689407E-3</v>
      </c>
      <c r="BP57" s="35">
        <f>IF(OR(IPC_Trimestriel!BT16="",IPC_Trimestriel!BP16=""),"",IPC_Trimestriel!BT16/IPC_Trimestriel!BP16-1)</f>
        <v>1.0430014439202662E-2</v>
      </c>
      <c r="BQ57" s="35">
        <f>IF(OR(IPC_Trimestriel!BU16="",IPC_Trimestriel!BQ16=""),"",IPC_Trimestriel!BU16/IPC_Trimestriel!BQ16-1)</f>
        <v>1.012543045556713E-2</v>
      </c>
      <c r="BR57" s="35">
        <f>IF(OR(IPC_Trimestriel!BV16="",IPC_Trimestriel!BR16=""),"",IPC_Trimestriel!BV16/IPC_Trimestriel!BR16-1)</f>
        <v>6.4276152512661167E-3</v>
      </c>
      <c r="BS57" s="35">
        <f>IF(OR(IPC_Trimestriel!BW16="",IPC_Trimestriel!BS16=""),"",IPC_Trimestriel!BW16/IPC_Trimestriel!BS16-1)</f>
        <v>1.2876389517139986E-2</v>
      </c>
      <c r="BT57" s="35">
        <f>IF(OR(IPC_Trimestriel!BX16="",IPC_Trimestriel!BT16=""),"",IPC_Trimestriel!BX16/IPC_Trimestriel!BT16-1)</f>
        <v>1.1603994099823822E-2</v>
      </c>
      <c r="BU57" s="35">
        <f>IF(OR(IPC_Trimestriel!BY16="",IPC_Trimestriel!BU16=""),"",IPC_Trimestriel!BY16/IPC_Trimestriel!BU16-1)</f>
        <v>1.0231257332335097E-2</v>
      </c>
      <c r="BV57" s="35">
        <f>IF(OR(IPC_Trimestriel!BZ16="",IPC_Trimestriel!BV16=""),"",IPC_Trimestriel!BZ16/IPC_Trimestriel!BV16-1)</f>
        <v>1.2087658893477071E-2</v>
      </c>
      <c r="BW57" s="35">
        <f>IF(OR(IPC_Trimestriel!CA16="",IPC_Trimestriel!BW16=""),"",IPC_Trimestriel!CA16/IPC_Trimestriel!BW16-1)</f>
        <v>1.5028611051495E-2</v>
      </c>
      <c r="BX57" s="35">
        <f>IF(OR(IPC_Trimestriel!CB16="",IPC_Trimestriel!BX16=""),"",IPC_Trimestriel!CB16/IPC_Trimestriel!BX16-1)</f>
        <v>1.5231917698379061E-2</v>
      </c>
      <c r="BY57" s="35">
        <f>IF(OR(IPC_Trimestriel!CC16="",IPC_Trimestriel!BY16=""),"",IPC_Trimestriel!CC16/IPC_Trimestriel!BY16-1)</f>
        <v>1.5127624715424171E-2</v>
      </c>
      <c r="BZ57" s="35">
        <f>IF(OR(IPC_Trimestriel!CD16="",IPC_Trimestriel!BZ16=""),"",IPC_Trimestriel!CD16/IPC_Trimestriel!BZ16-1)</f>
        <v>1.1838664573005975E-2</v>
      </c>
      <c r="CA57" s="35">
        <f>IF(OR(IPC_Trimestriel!CE16="",IPC_Trimestriel!CA16=""),"",IPC_Trimestriel!CE16/IPC_Trimestriel!CA16-1)</f>
        <v>7.2175342144915611E-3</v>
      </c>
      <c r="CB57" s="35">
        <f>IF(OR(IPC_Trimestriel!CF16="",IPC_Trimestriel!CB16=""),"",IPC_Trimestriel!CF16/IPC_Trimestriel!CB16-1)</f>
        <v>5.7245678920638809E-3</v>
      </c>
      <c r="CC57" s="35">
        <f>IF(OR(IPC_Trimestriel!CG16="",IPC_Trimestriel!CC16=""),"",IPC_Trimestriel!CG16/IPC_Trimestriel!CC16-1)</f>
        <v>5.9429982509922041E-3</v>
      </c>
      <c r="CD57" s="35">
        <f>IF(OR(IPC_Trimestriel!CH16="",IPC_Trimestriel!CD16=""),"",IPC_Trimestriel!CH16/IPC_Trimestriel!CD16-1)</f>
        <v>6.0483919096345762E-3</v>
      </c>
      <c r="CE57" s="35">
        <f>IF(OR(IPC_Trimestriel!CI16="",IPC_Trimestriel!CE16=""),"",IPC_Trimestriel!CI16/IPC_Trimestriel!CE16-1)</f>
        <v>8.3350624435587495E-3</v>
      </c>
      <c r="CF57" s="35">
        <f>IF(OR(IPC_Trimestriel!CJ16="",IPC_Trimestriel!CF16=""),"",IPC_Trimestriel!CJ16/IPC_Trimestriel!CF16-1)</f>
        <v>9.8006660299061465E-3</v>
      </c>
      <c r="CG57" s="35">
        <f>IF(OR(IPC_Trimestriel!CK16="",IPC_Trimestriel!CG16=""),"",IPC_Trimestriel!CK16/IPC_Trimestriel!CG16-1)</f>
        <v>8.8592444513249102E-3</v>
      </c>
      <c r="CH57" s="35">
        <f>IF(OR(IPC_Trimestriel!CL16="",IPC_Trimestriel!CH16=""),"",IPC_Trimestriel!CL16/IPC_Trimestriel!CH16-1)</f>
        <v>1.3667050070406583E-2</v>
      </c>
      <c r="CI57" s="35">
        <f>IF(OR(IPC_Trimestriel!CM16="",IPC_Trimestriel!CI16=""),"",IPC_Trimestriel!CM16/IPC_Trimestriel!CI16-1)</f>
        <v>1.5409636948888084E-2</v>
      </c>
      <c r="CJ57" s="35">
        <f>IF(OR(IPC_Trimestriel!CN16="",IPC_Trimestriel!CJ16=""),"",IPC_Trimestriel!CN16/IPC_Trimestriel!CJ16-1)</f>
        <v>1.6283027420391116E-2</v>
      </c>
      <c r="CK57" s="35">
        <f>IF(OR(IPC_Trimestriel!CO16="",IPC_Trimestriel!CK16=""),"",IPC_Trimestriel!CO16/IPC_Trimestriel!CK16-1)</f>
        <v>1.6901467668609227E-2</v>
      </c>
      <c r="CL57" s="35">
        <f>IF(OR(IPC_Trimestriel!CP16="",IPC_Trimestriel!CL16=""),"",IPC_Trimestriel!CP16/IPC_Trimestriel!CL16-1)</f>
        <v>3.0721413551727084E-2</v>
      </c>
      <c r="CM57" s="35">
        <f>IF(OR(IPC_Trimestriel!CQ16="",IPC_Trimestriel!CM16=""),"",IPC_Trimestriel!CQ16/IPC_Trimestriel!CM16-1)</f>
        <v>3.6836243377364575E-2</v>
      </c>
      <c r="CN57" s="35">
        <f>IF(OR(IPC_Trimestriel!CR16="",IPC_Trimestriel!CN16=""),"",IPC_Trimestriel!CR16/IPC_Trimestriel!CN16-1)</f>
        <v>3.7220323667530364E-2</v>
      </c>
      <c r="CO57" s="35">
        <f>IF(OR(IPC_Trimestriel!CS16="",IPC_Trimestriel!CO16=""),"",IPC_Trimestriel!CS16/IPC_Trimestriel!CO16-1)</f>
        <v>3.6871219210393269E-2</v>
      </c>
      <c r="CP57" s="35">
        <f>IF(OR(IPC_Trimestriel!CT16="",IPC_Trimestriel!CP16=""),"",IPC_Trimestriel!CT16/IPC_Trimestriel!CP16-1)</f>
        <v>2.8434808424724567E-2</v>
      </c>
    </row>
    <row r="58" spans="1:94" s="19" customFormat="1" ht="10.199999999999999" x14ac:dyDescent="0.2">
      <c r="A58" s="11">
        <v>11</v>
      </c>
      <c r="B58" s="1" t="s">
        <v>28</v>
      </c>
      <c r="C58" s="8">
        <v>42</v>
      </c>
      <c r="D58" s="35" t="str">
        <f>IF(OR(IPC_Trimestriel!H17="",IPC_Trimestriel!D17=""),"",IPC_Trimestriel!H17/IPC_Trimestriel!D17-1)</f>
        <v/>
      </c>
      <c r="E58" s="35" t="str">
        <f>IF(OR(IPC_Trimestriel!I17="",IPC_Trimestriel!E17=""),"",IPC_Trimestriel!I17/IPC_Trimestriel!E17-1)</f>
        <v/>
      </c>
      <c r="F58" s="35" t="str">
        <f>IF(OR(IPC_Trimestriel!J17="",IPC_Trimestriel!F17=""),"",IPC_Trimestriel!J17/IPC_Trimestriel!F17-1)</f>
        <v/>
      </c>
      <c r="G58" s="35" t="str">
        <f>IF(OR(IPC_Trimestriel!K17="",IPC_Trimestriel!G17=""),"",IPC_Trimestriel!K17/IPC_Trimestriel!G17-1)</f>
        <v/>
      </c>
      <c r="H58" s="35" t="str">
        <f>IF(OR(IPC_Trimestriel!L17="",IPC_Trimestriel!H17=""),"",IPC_Trimestriel!L17/IPC_Trimestriel!H17-1)</f>
        <v/>
      </c>
      <c r="I58" s="35" t="str">
        <f>IF(OR(IPC_Trimestriel!M17="",IPC_Trimestriel!I17=""),"",IPC_Trimestriel!M17/IPC_Trimestriel!I17-1)</f>
        <v/>
      </c>
      <c r="J58" s="35" t="str">
        <f>IF(OR(IPC_Trimestriel!N17="",IPC_Trimestriel!J17=""),"",IPC_Trimestriel!N17/IPC_Trimestriel!J17-1)</f>
        <v/>
      </c>
      <c r="K58" s="35" t="str">
        <f>IF(OR(IPC_Trimestriel!O17="",IPC_Trimestriel!K17=""),"",IPC_Trimestriel!O17/IPC_Trimestriel!K17-1)</f>
        <v/>
      </c>
      <c r="L58" s="35" t="str">
        <f>IF(OR(IPC_Trimestriel!P17="",IPC_Trimestriel!L17=""),"",IPC_Trimestriel!P17/IPC_Trimestriel!L17-1)</f>
        <v/>
      </c>
      <c r="M58" s="35" t="str">
        <f>IF(OR(IPC_Trimestriel!Q17="",IPC_Trimestriel!M17=""),"",IPC_Trimestriel!Q17/IPC_Trimestriel!M17-1)</f>
        <v/>
      </c>
      <c r="N58" s="35" t="str">
        <f>IF(OR(IPC_Trimestriel!R17="",IPC_Trimestriel!N17=""),"",IPC_Trimestriel!R17/IPC_Trimestriel!N17-1)</f>
        <v/>
      </c>
      <c r="O58" s="35" t="str">
        <f>IF(OR(IPC_Trimestriel!S17="",IPC_Trimestriel!O17=""),"",IPC_Trimestriel!S17/IPC_Trimestriel!O17-1)</f>
        <v/>
      </c>
      <c r="P58" s="35" t="str">
        <f>IF(OR(IPC_Trimestriel!T17="",IPC_Trimestriel!P17=""),"",IPC_Trimestriel!T17/IPC_Trimestriel!P17-1)</f>
        <v/>
      </c>
      <c r="Q58" s="35" t="str">
        <f>IF(OR(IPC_Trimestriel!U17="",IPC_Trimestriel!Q17=""),"",IPC_Trimestriel!U17/IPC_Trimestriel!Q17-1)</f>
        <v/>
      </c>
      <c r="R58" s="35" t="str">
        <f>IF(OR(IPC_Trimestriel!V17="",IPC_Trimestriel!R17=""),"",IPC_Trimestriel!V17/IPC_Trimestriel!R17-1)</f>
        <v/>
      </c>
      <c r="S58" s="35" t="str">
        <f>IF(OR(IPC_Trimestriel!W17="",IPC_Trimestriel!S17=""),"",IPC_Trimestriel!W17/IPC_Trimestriel!S17-1)</f>
        <v/>
      </c>
      <c r="T58" s="35" t="str">
        <f>IF(OR(IPC_Trimestriel!X17="",IPC_Trimestriel!T17=""),"",IPC_Trimestriel!X17/IPC_Trimestriel!T17-1)</f>
        <v/>
      </c>
      <c r="U58" s="35" t="str">
        <f>IF(OR(IPC_Trimestriel!Y17="",IPC_Trimestriel!U17=""),"",IPC_Trimestriel!Y17/IPC_Trimestriel!U17-1)</f>
        <v/>
      </c>
      <c r="V58" s="35" t="str">
        <f>IF(OR(IPC_Trimestriel!Z17="",IPC_Trimestriel!V17=""),"",IPC_Trimestriel!Z17/IPC_Trimestriel!V17-1)</f>
        <v/>
      </c>
      <c r="W58" s="35" t="str">
        <f>IF(OR(IPC_Trimestriel!AA17="",IPC_Trimestriel!W17=""),"",IPC_Trimestriel!AA17/IPC_Trimestriel!W17-1)</f>
        <v/>
      </c>
      <c r="X58" s="35" t="str">
        <f>IF(OR(IPC_Trimestriel!AB17="",IPC_Trimestriel!X17=""),"",IPC_Trimestriel!AB17/IPC_Trimestriel!X17-1)</f>
        <v/>
      </c>
      <c r="Y58" s="35" t="str">
        <f>IF(OR(IPC_Trimestriel!AC17="",IPC_Trimestriel!Y17=""),"",IPC_Trimestriel!AC17/IPC_Trimestriel!Y17-1)</f>
        <v/>
      </c>
      <c r="Z58" s="35" t="str">
        <f>IF(OR(IPC_Trimestriel!AD17="",IPC_Trimestriel!Z17=""),"",IPC_Trimestriel!AD17/IPC_Trimestriel!Z17-1)</f>
        <v/>
      </c>
      <c r="AA58" s="35" t="str">
        <f>IF(OR(IPC_Trimestriel!AE17="",IPC_Trimestriel!AA17=""),"",IPC_Trimestriel!AE17/IPC_Trimestriel!AA17-1)</f>
        <v/>
      </c>
      <c r="AB58" s="35" t="str">
        <f>IF(OR(IPC_Trimestriel!AF17="",IPC_Trimestriel!AB17=""),"",IPC_Trimestriel!AF17/IPC_Trimestriel!AB17-1)</f>
        <v/>
      </c>
      <c r="AC58" s="35" t="str">
        <f>IF(OR(IPC_Trimestriel!AG17="",IPC_Trimestriel!AC17=""),"",IPC_Trimestriel!AG17/IPC_Trimestriel!AC17-1)</f>
        <v/>
      </c>
      <c r="AD58" s="35" t="str">
        <f>IF(OR(IPC_Trimestriel!AH17="",IPC_Trimestriel!AD17=""),"",IPC_Trimestriel!AH17/IPC_Trimestriel!AD17-1)</f>
        <v/>
      </c>
      <c r="AE58" s="35" t="str">
        <f>IF(OR(IPC_Trimestriel!AI17="",IPC_Trimestriel!AE17=""),"",IPC_Trimestriel!AI17/IPC_Trimestriel!AE17-1)</f>
        <v/>
      </c>
      <c r="AF58" s="35" t="str">
        <f>IF(OR(IPC_Trimestriel!AJ17="",IPC_Trimestriel!AF17=""),"",IPC_Trimestriel!AJ17/IPC_Trimestriel!AF17-1)</f>
        <v/>
      </c>
      <c r="AG58" s="35" t="str">
        <f>IF(OR(IPC_Trimestriel!AK17="",IPC_Trimestriel!AG17=""),"",IPC_Trimestriel!AK17/IPC_Trimestriel!AG17-1)</f>
        <v/>
      </c>
      <c r="AH58" s="35" t="str">
        <f>IF(OR(IPC_Trimestriel!AL17="",IPC_Trimestriel!AH17=""),"",IPC_Trimestriel!AL17/IPC_Trimestriel!AH17-1)</f>
        <v/>
      </c>
      <c r="AI58" s="35" t="str">
        <f>IF(OR(IPC_Trimestriel!AM17="",IPC_Trimestriel!AI17=""),"",IPC_Trimestriel!AM17/IPC_Trimestriel!AI17-1)</f>
        <v/>
      </c>
      <c r="AJ58" s="35" t="str">
        <f>IF(OR(IPC_Trimestriel!AN17="",IPC_Trimestriel!AJ17=""),"",IPC_Trimestriel!AN17/IPC_Trimestriel!AJ17-1)</f>
        <v/>
      </c>
      <c r="AK58" s="35" t="str">
        <f>IF(OR(IPC_Trimestriel!AO17="",IPC_Trimestriel!AK17=""),"",IPC_Trimestriel!AO17/IPC_Trimestriel!AK17-1)</f>
        <v/>
      </c>
      <c r="AL58" s="35" t="str">
        <f>IF(OR(IPC_Trimestriel!AP17="",IPC_Trimestriel!AL17=""),"",IPC_Trimestriel!AP17/IPC_Trimestriel!AL17-1)</f>
        <v/>
      </c>
      <c r="AM58" s="35" t="str">
        <f>IF(OR(IPC_Trimestriel!AQ17="",IPC_Trimestriel!AM17=""),"",IPC_Trimestriel!AQ17/IPC_Trimestriel!AM17-1)</f>
        <v/>
      </c>
      <c r="AN58" s="35" t="str">
        <f>IF(OR(IPC_Trimestriel!AR17="",IPC_Trimestriel!AN17=""),"",IPC_Trimestriel!AR17/IPC_Trimestriel!AN17-1)</f>
        <v/>
      </c>
      <c r="AO58" s="35" t="str">
        <f>IF(OR(IPC_Trimestriel!AS17="",IPC_Trimestriel!AO17=""),"",IPC_Trimestriel!AS17/IPC_Trimestriel!AO17-1)</f>
        <v/>
      </c>
      <c r="AP58" s="35" t="str">
        <f>IF(OR(IPC_Trimestriel!AT17="",IPC_Trimestriel!AP17=""),"",IPC_Trimestriel!AT17/IPC_Trimestriel!AP17-1)</f>
        <v/>
      </c>
      <c r="AQ58" s="35" t="str">
        <f>IF(OR(IPC_Trimestriel!AU17="",IPC_Trimestriel!AQ17=""),"",IPC_Trimestriel!AU17/IPC_Trimestriel!AQ17-1)</f>
        <v/>
      </c>
      <c r="AR58" s="35" t="str">
        <f>IF(OR(IPC_Trimestriel!AV17="",IPC_Trimestriel!AR17=""),"",IPC_Trimestriel!AV17/IPC_Trimestriel!AR17-1)</f>
        <v/>
      </c>
      <c r="AS58" s="35" t="str">
        <f>IF(OR(IPC_Trimestriel!AW17="",IPC_Trimestriel!AS17=""),"",IPC_Trimestriel!AW17/IPC_Trimestriel!AS17-1)</f>
        <v/>
      </c>
      <c r="AT58" s="35" t="str">
        <f>IF(OR(IPC_Trimestriel!AX17="",IPC_Trimestriel!AT17=""),"",IPC_Trimestriel!AX17/IPC_Trimestriel!AT17-1)</f>
        <v/>
      </c>
      <c r="AU58" s="35" t="str">
        <f>IF(OR(IPC_Trimestriel!AY17="",IPC_Trimestriel!AU17=""),"",IPC_Trimestriel!AY17/IPC_Trimestriel!AU17-1)</f>
        <v/>
      </c>
      <c r="AV58" s="35" t="str">
        <f>IF(OR(IPC_Trimestriel!AZ17="",IPC_Trimestriel!AV17=""),"",IPC_Trimestriel!AZ17/IPC_Trimestriel!AV17-1)</f>
        <v/>
      </c>
      <c r="AW58" s="35" t="str">
        <f>IF(OR(IPC_Trimestriel!BA17="",IPC_Trimestriel!AW17=""),"",IPC_Trimestriel!BA17/IPC_Trimestriel!AW17-1)</f>
        <v/>
      </c>
      <c r="AX58" s="35" t="str">
        <f>IF(OR(IPC_Trimestriel!BB17="",IPC_Trimestriel!AX17=""),"",IPC_Trimestriel!BB17/IPC_Trimestriel!AX17-1)</f>
        <v/>
      </c>
      <c r="AY58" s="35" t="str">
        <f>IF(OR(IPC_Trimestriel!BC17="",IPC_Trimestriel!AY17=""),"",IPC_Trimestriel!BC17/IPC_Trimestriel!AY17-1)</f>
        <v/>
      </c>
      <c r="AZ58" s="35">
        <f>IF(OR(IPC_Trimestriel!BD17="",IPC_Trimestriel!AZ17=""),"",IPC_Trimestriel!BD17/IPC_Trimestriel!AZ17-1)</f>
        <v>1.6818411520892917E-2</v>
      </c>
      <c r="BA58" s="35">
        <f>IF(OR(IPC_Trimestriel!BE17="",IPC_Trimestriel!BA17=""),"",IPC_Trimestriel!BE17/IPC_Trimestriel!BA17-1)</f>
        <v>1.1121537612795995E-2</v>
      </c>
      <c r="BB58" s="35">
        <f>IF(OR(IPC_Trimestriel!BF17="",IPC_Trimestriel!BB17=""),"",IPC_Trimestriel!BF17/IPC_Trimestriel!BB17-1)</f>
        <v>2.4109309055727612E-2</v>
      </c>
      <c r="BC58" s="35">
        <f>IF(OR(IPC_Trimestriel!BG17="",IPC_Trimestriel!BC17=""),"",IPC_Trimestriel!BG17/IPC_Trimestriel!BC17-1)</f>
        <v>2.3565869262961225E-2</v>
      </c>
      <c r="BD58" s="35">
        <f>IF(OR(IPC_Trimestriel!BH17="",IPC_Trimestriel!BD17=""),"",IPC_Trimestriel!BH17/IPC_Trimestriel!BD17-1)</f>
        <v>2.6184771623566805E-2</v>
      </c>
      <c r="BE58" s="35">
        <f>IF(OR(IPC_Trimestriel!BI17="",IPC_Trimestriel!BE17=""),"",IPC_Trimestriel!BI17/IPC_Trimestriel!BE17-1)</f>
        <v>3.2413037353308916E-2</v>
      </c>
      <c r="BF58" s="35">
        <f>IF(OR(IPC_Trimestriel!BJ17="",IPC_Trimestriel!BF17=""),"",IPC_Trimestriel!BJ17/IPC_Trimestriel!BF17-1)</f>
        <v>4.1123550836147826E-2</v>
      </c>
      <c r="BG58" s="35">
        <f>IF(OR(IPC_Trimestriel!BK17="",IPC_Trimestriel!BG17=""),"",IPC_Trimestriel!BK17/IPC_Trimestriel!BG17-1)</f>
        <v>4.2185314376179006E-2</v>
      </c>
      <c r="BH58" s="35">
        <f>IF(OR(IPC_Trimestriel!BL17="",IPC_Trimestriel!BH17=""),"",IPC_Trimestriel!BL17/IPC_Trimestriel!BH17-1)</f>
        <v>5.3511967312947828E-2</v>
      </c>
      <c r="BI58" s="35">
        <f>IF(OR(IPC_Trimestriel!BM17="",IPC_Trimestriel!BI17=""),"",IPC_Trimestriel!BM17/IPC_Trimestriel!BI17-1)</f>
        <v>7.0808424592872621E-2</v>
      </c>
      <c r="BJ58" s="35">
        <f>IF(OR(IPC_Trimestriel!BN17="",IPC_Trimestriel!BJ17=""),"",IPC_Trimestriel!BN17/IPC_Trimestriel!BJ17-1)</f>
        <v>5.7207190874709823E-2</v>
      </c>
      <c r="BK58" s="35">
        <f>IF(OR(IPC_Trimestriel!BO17="",IPC_Trimestriel!BK17=""),"",IPC_Trimestriel!BO17/IPC_Trimestriel!BK17-1)</f>
        <v>5.2710011860851003E-2</v>
      </c>
      <c r="BL58" s="35">
        <f>IF(OR(IPC_Trimestriel!BP17="",IPC_Trimestriel!BL17=""),"",IPC_Trimestriel!BP17/IPC_Trimestriel!BL17-1)</f>
        <v>5.5355811202423499E-2</v>
      </c>
      <c r="BM58" s="35">
        <f>IF(OR(IPC_Trimestriel!BQ17="",IPC_Trimestriel!BM17=""),"",IPC_Trimestriel!BQ17/IPC_Trimestriel!BM17-1)</f>
        <v>3.1983049536902675E-2</v>
      </c>
      <c r="BN58" s="35">
        <f>IF(OR(IPC_Trimestriel!BR17="",IPC_Trimestriel!BN17=""),"",IPC_Trimestriel!BR17/IPC_Trimestriel!BN17-1)</f>
        <v>2.571594521813636E-2</v>
      </c>
      <c r="BO58" s="35">
        <f>IF(OR(IPC_Trimestriel!BS17="",IPC_Trimestriel!BO17=""),"",IPC_Trimestriel!BS17/IPC_Trimestriel!BO17-1)</f>
        <v>2.5716723487364757E-2</v>
      </c>
      <c r="BP58" s="35">
        <f>IF(OR(IPC_Trimestriel!BT17="",IPC_Trimestriel!BP17=""),"",IPC_Trimestriel!BT17/IPC_Trimestriel!BP17-1)</f>
        <v>1.4330636845888201E-2</v>
      </c>
      <c r="BQ58" s="35">
        <f>IF(OR(IPC_Trimestriel!BU17="",IPC_Trimestriel!BQ17=""),"",IPC_Trimestriel!BU17/IPC_Trimestriel!BQ17-1)</f>
        <v>1.0934351375907259E-2</v>
      </c>
      <c r="BR58" s="35">
        <f>IF(OR(IPC_Trimestriel!BV17="",IPC_Trimestriel!BR17=""),"",IPC_Trimestriel!BV17/IPC_Trimestriel!BR17-1)</f>
        <v>7.4929936756999993E-3</v>
      </c>
      <c r="BS58" s="35">
        <f>IF(OR(IPC_Trimestriel!BW17="",IPC_Trimestriel!BS17=""),"",IPC_Trimestriel!BW17/IPC_Trimestriel!BS17-1)</f>
        <v>4.5929459974303199E-3</v>
      </c>
      <c r="BT58" s="35">
        <f>IF(OR(IPC_Trimestriel!BX17="",IPC_Trimestriel!BT17=""),"",IPC_Trimestriel!BX17/IPC_Trimestriel!BT17-1)</f>
        <v>5.2452612139135546E-3</v>
      </c>
      <c r="BU58" s="35">
        <f>IF(OR(IPC_Trimestriel!BY17="",IPC_Trimestriel!BU17=""),"",IPC_Trimestriel!BY17/IPC_Trimestriel!BU17-1)</f>
        <v>6.95233822087582E-3</v>
      </c>
      <c r="BV58" s="35">
        <f>IF(OR(IPC_Trimestriel!BZ17="",IPC_Trimestriel!BV17=""),"",IPC_Trimestriel!BZ17/IPC_Trimestriel!BV17-1)</f>
        <v>2.3756128908508867E-2</v>
      </c>
      <c r="BW58" s="35">
        <f>IF(OR(IPC_Trimestriel!CA17="",IPC_Trimestriel!BW17=""),"",IPC_Trimestriel!CA17/IPC_Trimestriel!BW17-1)</f>
        <v>3.4003000643131776E-2</v>
      </c>
      <c r="BX58" s="35">
        <f>IF(OR(IPC_Trimestriel!CB17="",IPC_Trimestriel!BX17=""),"",IPC_Trimestriel!CB17/IPC_Trimestriel!BX17-1)</f>
        <v>4.9609553221697356E-2</v>
      </c>
      <c r="BY58" s="35">
        <f>IF(OR(IPC_Trimestriel!CC17="",IPC_Trimestriel!BY17=""),"",IPC_Trimestriel!CC17/IPC_Trimestriel!BY17-1)</f>
        <v>7.0885626552442238E-2</v>
      </c>
      <c r="BZ58" s="35">
        <f>IF(OR(IPC_Trimestriel!CD17="",IPC_Trimestriel!BZ17=""),"",IPC_Trimestriel!CD17/IPC_Trimestriel!BZ17-1)</f>
        <v>5.716135063055594E-2</v>
      </c>
      <c r="CA58" s="35">
        <f>IF(OR(IPC_Trimestriel!CE17="",IPC_Trimestriel!CA17=""),"",IPC_Trimestriel!CE17/IPC_Trimestriel!CA17-1)</f>
        <v>5.1847616795382079E-2</v>
      </c>
      <c r="CB58" s="35">
        <f>IF(OR(IPC_Trimestriel!CF17="",IPC_Trimestriel!CB17=""),"",IPC_Trimestriel!CF17/IPC_Trimestriel!CB17-1)</f>
        <v>3.6302719116529047E-2</v>
      </c>
      <c r="CC58" s="35">
        <f>IF(OR(IPC_Trimestriel!CG17="",IPC_Trimestriel!CC17=""),"",IPC_Trimestriel!CG17/IPC_Trimestriel!CC17-1)</f>
        <v>1.6569120158449246E-2</v>
      </c>
      <c r="CD58" s="35">
        <f>IF(OR(IPC_Trimestriel!CH17="",IPC_Trimestriel!CD17=""),"",IPC_Trimestriel!CH17/IPC_Trimestriel!CD17-1)</f>
        <v>1.9942422241364888E-2</v>
      </c>
      <c r="CE58" s="35">
        <f>IF(OR(IPC_Trimestriel!CI17="",IPC_Trimestriel!CE17=""),"",IPC_Trimestriel!CI17/IPC_Trimestriel!CE17-1)</f>
        <v>1.9378192783804593E-2</v>
      </c>
      <c r="CF58" s="35">
        <f>IF(OR(IPC_Trimestriel!CJ17="",IPC_Trimestriel!CF17=""),"",IPC_Trimestriel!CJ17/IPC_Trimestriel!CF17-1)</f>
        <v>1.4813512772581028E-2</v>
      </c>
      <c r="CG58" s="35">
        <f>IF(OR(IPC_Trimestriel!CK17="",IPC_Trimestriel!CG17=""),"",IPC_Trimestriel!CK17/IPC_Trimestriel!CG17-1)</f>
        <v>1.5760863933926172E-2</v>
      </c>
      <c r="CH58" s="35">
        <f>IF(OR(IPC_Trimestriel!CL17="",IPC_Trimestriel!CH17=""),"",IPC_Trimestriel!CL17/IPC_Trimestriel!CH17-1)</f>
        <v>1.2229486443592341E-2</v>
      </c>
      <c r="CI58" s="35">
        <f>IF(OR(IPC_Trimestriel!CM17="",IPC_Trimestriel!CI17=""),"",IPC_Trimestriel!CM17/IPC_Trimestriel!CI17-1)</f>
        <v>1.9134382753945189E-2</v>
      </c>
      <c r="CJ58" s="35">
        <f>IF(OR(IPC_Trimestriel!CN17="",IPC_Trimestriel!CJ17=""),"",IPC_Trimestriel!CN17/IPC_Trimestriel!CJ17-1)</f>
        <v>3.439597290153773E-2</v>
      </c>
      <c r="CK58" s="35">
        <f>IF(OR(IPC_Trimestriel!CO17="",IPC_Trimestriel!CK17=""),"",IPC_Trimestriel!CO17/IPC_Trimestriel!CK17-1)</f>
        <v>5.7866933774090468E-2</v>
      </c>
      <c r="CL58" s="35">
        <f>IF(OR(IPC_Trimestriel!CP17="",IPC_Trimestriel!CL17=""),"",IPC_Trimestriel!CP17/IPC_Trimestriel!CL17-1)</f>
        <v>7.8944052527745168E-2</v>
      </c>
      <c r="CM58" s="35">
        <f>IF(OR(IPC_Trimestriel!CQ17="",IPC_Trimestriel!CM17=""),"",IPC_Trimestriel!CQ17/IPC_Trimestriel!CM17-1)</f>
        <v>8.1257399517665307E-2</v>
      </c>
      <c r="CN58" s="35">
        <f>IF(OR(IPC_Trimestriel!CR17="",IPC_Trimestriel!CN17=""),"",IPC_Trimestriel!CR17/IPC_Trimestriel!CN17-1)</f>
        <v>7.5163597442937435E-2</v>
      </c>
      <c r="CO58" s="35">
        <f>IF(OR(IPC_Trimestriel!CS17="",IPC_Trimestriel!CO17=""),"",IPC_Trimestriel!CS17/IPC_Trimestriel!CO17-1)</f>
        <v>5.6933554559062349E-2</v>
      </c>
      <c r="CP58" s="35">
        <f>IF(OR(IPC_Trimestriel!CT17="",IPC_Trimestriel!CP17=""),"",IPC_Trimestriel!CT17/IPC_Trimestriel!CP17-1)</f>
        <v>3.763232038235631E-2</v>
      </c>
    </row>
    <row r="59" spans="1:94" s="19" customFormat="1" ht="10.199999999999999" x14ac:dyDescent="0.2">
      <c r="A59" s="11">
        <v>12</v>
      </c>
      <c r="B59" s="1" t="s">
        <v>29</v>
      </c>
      <c r="C59" s="8">
        <v>18</v>
      </c>
      <c r="D59" s="35" t="str">
        <f>IF(OR(IPC_Trimestriel!H18="",IPC_Trimestriel!D18=""),"",IPC_Trimestriel!H18/IPC_Trimestriel!D18-1)</f>
        <v/>
      </c>
      <c r="E59" s="35" t="str">
        <f>IF(OR(IPC_Trimestriel!I18="",IPC_Trimestriel!E18=""),"",IPC_Trimestriel!I18/IPC_Trimestriel!E18-1)</f>
        <v/>
      </c>
      <c r="F59" s="35" t="str">
        <f>IF(OR(IPC_Trimestriel!J18="",IPC_Trimestriel!F18=""),"",IPC_Trimestriel!J18/IPC_Trimestriel!F18-1)</f>
        <v/>
      </c>
      <c r="G59" s="35" t="str">
        <f>IF(OR(IPC_Trimestriel!K18="",IPC_Trimestriel!G18=""),"",IPC_Trimestriel!K18/IPC_Trimestriel!G18-1)</f>
        <v/>
      </c>
      <c r="H59" s="35" t="str">
        <f>IF(OR(IPC_Trimestriel!L18="",IPC_Trimestriel!H18=""),"",IPC_Trimestriel!L18/IPC_Trimestriel!H18-1)</f>
        <v/>
      </c>
      <c r="I59" s="35" t="str">
        <f>IF(OR(IPC_Trimestriel!M18="",IPC_Trimestriel!I18=""),"",IPC_Trimestriel!M18/IPC_Trimestriel!I18-1)</f>
        <v/>
      </c>
      <c r="J59" s="35" t="str">
        <f>IF(OR(IPC_Trimestriel!N18="",IPC_Trimestriel!J18=""),"",IPC_Trimestriel!N18/IPC_Trimestriel!J18-1)</f>
        <v/>
      </c>
      <c r="K59" s="35" t="str">
        <f>IF(OR(IPC_Trimestriel!O18="",IPC_Trimestriel!K18=""),"",IPC_Trimestriel!O18/IPC_Trimestriel!K18-1)</f>
        <v/>
      </c>
      <c r="L59" s="35" t="str">
        <f>IF(OR(IPC_Trimestriel!P18="",IPC_Trimestriel!L18=""),"",IPC_Trimestriel!P18/IPC_Trimestriel!L18-1)</f>
        <v/>
      </c>
      <c r="M59" s="35" t="str">
        <f>IF(OR(IPC_Trimestriel!Q18="",IPC_Trimestriel!M18=""),"",IPC_Trimestriel!Q18/IPC_Trimestriel!M18-1)</f>
        <v/>
      </c>
      <c r="N59" s="35" t="str">
        <f>IF(OR(IPC_Trimestriel!R18="",IPC_Trimestriel!N18=""),"",IPC_Trimestriel!R18/IPC_Trimestriel!N18-1)</f>
        <v/>
      </c>
      <c r="O59" s="35" t="str">
        <f>IF(OR(IPC_Trimestriel!S18="",IPC_Trimestriel!O18=""),"",IPC_Trimestriel!S18/IPC_Trimestriel!O18-1)</f>
        <v/>
      </c>
      <c r="P59" s="35" t="str">
        <f>IF(OR(IPC_Trimestriel!T18="",IPC_Trimestriel!P18=""),"",IPC_Trimestriel!T18/IPC_Trimestriel!P18-1)</f>
        <v/>
      </c>
      <c r="Q59" s="35" t="str">
        <f>IF(OR(IPC_Trimestriel!U18="",IPC_Trimestriel!Q18=""),"",IPC_Trimestriel!U18/IPC_Trimestriel!Q18-1)</f>
        <v/>
      </c>
      <c r="R59" s="35" t="str">
        <f>IF(OR(IPC_Trimestriel!V18="",IPC_Trimestriel!R18=""),"",IPC_Trimestriel!V18/IPC_Trimestriel!R18-1)</f>
        <v/>
      </c>
      <c r="S59" s="35" t="str">
        <f>IF(OR(IPC_Trimestriel!W18="",IPC_Trimestriel!S18=""),"",IPC_Trimestriel!W18/IPC_Trimestriel!S18-1)</f>
        <v/>
      </c>
      <c r="T59" s="35" t="str">
        <f>IF(OR(IPC_Trimestriel!X18="",IPC_Trimestriel!T18=""),"",IPC_Trimestriel!X18/IPC_Trimestriel!T18-1)</f>
        <v/>
      </c>
      <c r="U59" s="35" t="str">
        <f>IF(OR(IPC_Trimestriel!Y18="",IPC_Trimestriel!U18=""),"",IPC_Trimestriel!Y18/IPC_Trimestriel!U18-1)</f>
        <v/>
      </c>
      <c r="V59" s="35" t="str">
        <f>IF(OR(IPC_Trimestriel!Z18="",IPC_Trimestriel!V18=""),"",IPC_Trimestriel!Z18/IPC_Trimestriel!V18-1)</f>
        <v/>
      </c>
      <c r="W59" s="35" t="str">
        <f>IF(OR(IPC_Trimestriel!AA18="",IPC_Trimestriel!W18=""),"",IPC_Trimestriel!AA18/IPC_Trimestriel!W18-1)</f>
        <v/>
      </c>
      <c r="X59" s="35" t="str">
        <f>IF(OR(IPC_Trimestriel!AB18="",IPC_Trimestriel!X18=""),"",IPC_Trimestriel!AB18/IPC_Trimestriel!X18-1)</f>
        <v/>
      </c>
      <c r="Y59" s="35" t="str">
        <f>IF(OR(IPC_Trimestriel!AC18="",IPC_Trimestriel!Y18=""),"",IPC_Trimestriel!AC18/IPC_Trimestriel!Y18-1)</f>
        <v/>
      </c>
      <c r="Z59" s="35" t="str">
        <f>IF(OR(IPC_Trimestriel!AD18="",IPC_Trimestriel!Z18=""),"",IPC_Trimestriel!AD18/IPC_Trimestriel!Z18-1)</f>
        <v/>
      </c>
      <c r="AA59" s="35" t="str">
        <f>IF(OR(IPC_Trimestriel!AE18="",IPC_Trimestriel!AA18=""),"",IPC_Trimestriel!AE18/IPC_Trimestriel!AA18-1)</f>
        <v/>
      </c>
      <c r="AB59" s="35" t="str">
        <f>IF(OR(IPC_Trimestriel!AF18="",IPC_Trimestriel!AB18=""),"",IPC_Trimestriel!AF18/IPC_Trimestriel!AB18-1)</f>
        <v/>
      </c>
      <c r="AC59" s="35" t="str">
        <f>IF(OR(IPC_Trimestriel!AG18="",IPC_Trimestriel!AC18=""),"",IPC_Trimestriel!AG18/IPC_Trimestriel!AC18-1)</f>
        <v/>
      </c>
      <c r="AD59" s="35" t="str">
        <f>IF(OR(IPC_Trimestriel!AH18="",IPC_Trimestriel!AD18=""),"",IPC_Trimestriel!AH18/IPC_Trimestriel!AD18-1)</f>
        <v/>
      </c>
      <c r="AE59" s="35" t="str">
        <f>IF(OR(IPC_Trimestriel!AI18="",IPC_Trimestriel!AE18=""),"",IPC_Trimestriel!AI18/IPC_Trimestriel!AE18-1)</f>
        <v/>
      </c>
      <c r="AF59" s="35" t="str">
        <f>IF(OR(IPC_Trimestriel!AJ18="",IPC_Trimestriel!AF18=""),"",IPC_Trimestriel!AJ18/IPC_Trimestriel!AF18-1)</f>
        <v/>
      </c>
      <c r="AG59" s="35" t="str">
        <f>IF(OR(IPC_Trimestriel!AK18="",IPC_Trimestriel!AG18=""),"",IPC_Trimestriel!AK18/IPC_Trimestriel!AG18-1)</f>
        <v/>
      </c>
      <c r="AH59" s="35" t="str">
        <f>IF(OR(IPC_Trimestriel!AL18="",IPC_Trimestriel!AH18=""),"",IPC_Trimestriel!AL18/IPC_Trimestriel!AH18-1)</f>
        <v/>
      </c>
      <c r="AI59" s="35" t="str">
        <f>IF(OR(IPC_Trimestriel!AM18="",IPC_Trimestriel!AI18=""),"",IPC_Trimestriel!AM18/IPC_Trimestriel!AI18-1)</f>
        <v/>
      </c>
      <c r="AJ59" s="35" t="str">
        <f>IF(OR(IPC_Trimestriel!AN18="",IPC_Trimestriel!AJ18=""),"",IPC_Trimestriel!AN18/IPC_Trimestriel!AJ18-1)</f>
        <v/>
      </c>
      <c r="AK59" s="35" t="str">
        <f>IF(OR(IPC_Trimestriel!AO18="",IPC_Trimestriel!AK18=""),"",IPC_Trimestriel!AO18/IPC_Trimestriel!AK18-1)</f>
        <v/>
      </c>
      <c r="AL59" s="35" t="str">
        <f>IF(OR(IPC_Trimestriel!AP18="",IPC_Trimestriel!AL18=""),"",IPC_Trimestriel!AP18/IPC_Trimestriel!AL18-1)</f>
        <v/>
      </c>
      <c r="AM59" s="35" t="str">
        <f>IF(OR(IPC_Trimestriel!AQ18="",IPC_Trimestriel!AM18=""),"",IPC_Trimestriel!AQ18/IPC_Trimestriel!AM18-1)</f>
        <v/>
      </c>
      <c r="AN59" s="35" t="str">
        <f>IF(OR(IPC_Trimestriel!AR18="",IPC_Trimestriel!AN18=""),"",IPC_Trimestriel!AR18/IPC_Trimestriel!AN18-1)</f>
        <v/>
      </c>
      <c r="AO59" s="35" t="str">
        <f>IF(OR(IPC_Trimestriel!AS18="",IPC_Trimestriel!AO18=""),"",IPC_Trimestriel!AS18/IPC_Trimestriel!AO18-1)</f>
        <v/>
      </c>
      <c r="AP59" s="35" t="str">
        <f>IF(OR(IPC_Trimestriel!AT18="",IPC_Trimestriel!AP18=""),"",IPC_Trimestriel!AT18/IPC_Trimestriel!AP18-1)</f>
        <v/>
      </c>
      <c r="AQ59" s="35" t="str">
        <f>IF(OR(IPC_Trimestriel!AU18="",IPC_Trimestriel!AQ18=""),"",IPC_Trimestriel!AU18/IPC_Trimestriel!AQ18-1)</f>
        <v/>
      </c>
      <c r="AR59" s="35" t="str">
        <f>IF(OR(IPC_Trimestriel!AV18="",IPC_Trimestriel!AR18=""),"",IPC_Trimestriel!AV18/IPC_Trimestriel!AR18-1)</f>
        <v/>
      </c>
      <c r="AS59" s="35" t="str">
        <f>IF(OR(IPC_Trimestriel!AW18="",IPC_Trimestriel!AS18=""),"",IPC_Trimestriel!AW18/IPC_Trimestriel!AS18-1)</f>
        <v/>
      </c>
      <c r="AT59" s="35" t="str">
        <f>IF(OR(IPC_Trimestriel!AX18="",IPC_Trimestriel!AT18=""),"",IPC_Trimestriel!AX18/IPC_Trimestriel!AT18-1)</f>
        <v/>
      </c>
      <c r="AU59" s="35" t="str">
        <f>IF(OR(IPC_Trimestriel!AY18="",IPC_Trimestriel!AU18=""),"",IPC_Trimestriel!AY18/IPC_Trimestriel!AU18-1)</f>
        <v/>
      </c>
      <c r="AV59" s="35" t="str">
        <f>IF(OR(IPC_Trimestriel!AZ18="",IPC_Trimestriel!AV18=""),"",IPC_Trimestriel!AZ18/IPC_Trimestriel!AV18-1)</f>
        <v/>
      </c>
      <c r="AW59" s="35" t="str">
        <f>IF(OR(IPC_Trimestriel!BA18="",IPC_Trimestriel!AW18=""),"",IPC_Trimestriel!BA18/IPC_Trimestriel!AW18-1)</f>
        <v/>
      </c>
      <c r="AX59" s="35" t="str">
        <f>IF(OR(IPC_Trimestriel!BB18="",IPC_Trimestriel!AX18=""),"",IPC_Trimestriel!BB18/IPC_Trimestriel!AX18-1)</f>
        <v/>
      </c>
      <c r="AY59" s="35" t="str">
        <f>IF(OR(IPC_Trimestriel!BC18="",IPC_Trimestriel!AY18=""),"",IPC_Trimestriel!BC18/IPC_Trimestriel!AY18-1)</f>
        <v/>
      </c>
      <c r="AZ59" s="35">
        <f>IF(OR(IPC_Trimestriel!BD18="",IPC_Trimestriel!AZ18=""),"",IPC_Trimestriel!BD18/IPC_Trimestriel!AZ18-1)</f>
        <v>1.8125001173325606E-2</v>
      </c>
      <c r="BA59" s="35">
        <f>IF(OR(IPC_Trimestriel!BE18="",IPC_Trimestriel!BA18=""),"",IPC_Trimestriel!BE18/IPC_Trimestriel!BA18-1)</f>
        <v>1.4975967766402531E-2</v>
      </c>
      <c r="BB59" s="35">
        <f>IF(OR(IPC_Trimestriel!BF18="",IPC_Trimestriel!BB18=""),"",IPC_Trimestriel!BF18/IPC_Trimestriel!BB18-1)</f>
        <v>1.4062663859406577E-2</v>
      </c>
      <c r="BC59" s="35">
        <f>IF(OR(IPC_Trimestriel!BG18="",IPC_Trimestriel!BC18=""),"",IPC_Trimestriel!BG18/IPC_Trimestriel!BC18-1)</f>
        <v>9.2822879840828154E-3</v>
      </c>
      <c r="BD59" s="35">
        <f>IF(OR(IPC_Trimestriel!BH18="",IPC_Trimestriel!BD18=""),"",IPC_Trimestriel!BH18/IPC_Trimestriel!BD18-1)</f>
        <v>6.8585131329323978E-3</v>
      </c>
      <c r="BE59" s="35">
        <f>IF(OR(IPC_Trimestriel!BI18="",IPC_Trimestriel!BE18=""),"",IPC_Trimestriel!BI18/IPC_Trimestriel!BE18-1)</f>
        <v>7.7219568042867781E-3</v>
      </c>
      <c r="BF59" s="35">
        <f>IF(OR(IPC_Trimestriel!BJ18="",IPC_Trimestriel!BF18=""),"",IPC_Trimestriel!BJ18/IPC_Trimestriel!BF18-1)</f>
        <v>8.0390498411226918E-3</v>
      </c>
      <c r="BG59" s="35">
        <f>IF(OR(IPC_Trimestriel!BK18="",IPC_Trimestriel!BG18=""),"",IPC_Trimestriel!BK18/IPC_Trimestriel!BG18-1)</f>
        <v>1.4059502609946595E-2</v>
      </c>
      <c r="BH59" s="35">
        <f>IF(OR(IPC_Trimestriel!BL18="",IPC_Trimestriel!BH18=""),"",IPC_Trimestriel!BL18/IPC_Trimestriel!BH18-1)</f>
        <v>2.394994080172963E-2</v>
      </c>
      <c r="BI59" s="35">
        <f>IF(OR(IPC_Trimestriel!BM18="",IPC_Trimestriel!BI18=""),"",IPC_Trimestriel!BM18/IPC_Trimestriel!BI18-1)</f>
        <v>2.6039008704005884E-2</v>
      </c>
      <c r="BJ59" s="35">
        <f>IF(OR(IPC_Trimestriel!BN18="",IPC_Trimestriel!BJ18=""),"",IPC_Trimestriel!BN18/IPC_Trimestriel!BJ18-1)</f>
        <v>2.6734013114440902E-2</v>
      </c>
      <c r="BK59" s="35">
        <f>IF(OR(IPC_Trimestriel!BO18="",IPC_Trimestriel!BK18=""),"",IPC_Trimestriel!BO18/IPC_Trimestriel!BK18-1)</f>
        <v>2.98067389942962E-2</v>
      </c>
      <c r="BL59" s="35">
        <f>IF(OR(IPC_Trimestriel!BP18="",IPC_Trimestriel!BL18=""),"",IPC_Trimestriel!BP18/IPC_Trimestriel!BL18-1)</f>
        <v>1.960839968995054E-2</v>
      </c>
      <c r="BM59" s="35">
        <f>IF(OR(IPC_Trimestriel!BQ18="",IPC_Trimestriel!BM18=""),"",IPC_Trimestriel!BQ18/IPC_Trimestriel!BM18-1)</f>
        <v>1.704819441469807E-2</v>
      </c>
      <c r="BN59" s="35">
        <f>IF(OR(IPC_Trimestriel!BR18="",IPC_Trimestriel!BN18=""),"",IPC_Trimestriel!BR18/IPC_Trimestriel!BN18-1)</f>
        <v>1.9785992707473499E-2</v>
      </c>
      <c r="BO59" s="35">
        <f>IF(OR(IPC_Trimestriel!BS18="",IPC_Trimestriel!BO18=""),"",IPC_Trimestriel!BS18/IPC_Trimestriel!BO18-1)</f>
        <v>1.4288844320687E-2</v>
      </c>
      <c r="BP59" s="35">
        <f>IF(OR(IPC_Trimestriel!BT18="",IPC_Trimestriel!BP18=""),"",IPC_Trimestriel!BT18/IPC_Trimestriel!BP18-1)</f>
        <v>1.7862260392718099E-2</v>
      </c>
      <c r="BQ59" s="35">
        <f>IF(OR(IPC_Trimestriel!BU18="",IPC_Trimestriel!BQ18=""),"",IPC_Trimestriel!BU18/IPC_Trimestriel!BQ18-1)</f>
        <v>1.9993745743471569E-2</v>
      </c>
      <c r="BR59" s="35">
        <f>IF(OR(IPC_Trimestriel!BV18="",IPC_Trimestriel!BR18=""),"",IPC_Trimestriel!BV18/IPC_Trimestriel!BR18-1)</f>
        <v>2.0431503587098776E-2</v>
      </c>
      <c r="BS59" s="35">
        <f>IF(OR(IPC_Trimestriel!BW18="",IPC_Trimestriel!BS18=""),"",IPC_Trimestriel!BW18/IPC_Trimestriel!BS18-1)</f>
        <v>1.6851175240526928E-2</v>
      </c>
      <c r="BT59" s="35">
        <f>IF(OR(IPC_Trimestriel!BX18="",IPC_Trimestriel!BT18=""),"",IPC_Trimestriel!BX18/IPC_Trimestriel!BT18-1)</f>
        <v>1.4457698046016709E-2</v>
      </c>
      <c r="BU59" s="35">
        <f>IF(OR(IPC_Trimestriel!BY18="",IPC_Trimestriel!BU18=""),"",IPC_Trimestriel!BY18/IPC_Trimestriel!BU18-1)</f>
        <v>1.3257857176197652E-2</v>
      </c>
      <c r="BV59" s="35">
        <f>IF(OR(IPC_Trimestriel!BZ18="",IPC_Trimestriel!BV18=""),"",IPC_Trimestriel!BZ18/IPC_Trimestriel!BV18-1)</f>
        <v>1.3966294451881245E-2</v>
      </c>
      <c r="BW59" s="35">
        <f>IF(OR(IPC_Trimestriel!CA18="",IPC_Trimestriel!BW18=""),"",IPC_Trimestriel!CA18/IPC_Trimestriel!BW18-1)</f>
        <v>1.8518281402112757E-2</v>
      </c>
      <c r="BX59" s="35">
        <f>IF(OR(IPC_Trimestriel!CB18="",IPC_Trimestriel!BX18=""),"",IPC_Trimestriel!CB18/IPC_Trimestriel!BX18-1)</f>
        <v>2.5619752644375549E-2</v>
      </c>
      <c r="BY59" s="35">
        <f>IF(OR(IPC_Trimestriel!CC18="",IPC_Trimestriel!BY18=""),"",IPC_Trimestriel!CC18/IPC_Trimestriel!BY18-1)</f>
        <v>2.8360599171325163E-2</v>
      </c>
      <c r="BZ59" s="35">
        <f>IF(OR(IPC_Trimestriel!CD18="",IPC_Trimestriel!BZ18=""),"",IPC_Trimestriel!CD18/IPC_Trimestriel!BZ18-1)</f>
        <v>2.5829652712888729E-2</v>
      </c>
      <c r="CA59" s="35">
        <f>IF(OR(IPC_Trimestriel!CE18="",IPC_Trimestriel!CA18=""),"",IPC_Trimestriel!CE18/IPC_Trimestriel!CA18-1)</f>
        <v>2.2300692242080311E-2</v>
      </c>
      <c r="CB59" s="35">
        <f>IF(OR(IPC_Trimestriel!CF18="",IPC_Trimestriel!CB18=""),"",IPC_Trimestriel!CF18/IPC_Trimestriel!CB18-1)</f>
        <v>1.6173299111092554E-2</v>
      </c>
      <c r="CC59" s="35">
        <f>IF(OR(IPC_Trimestriel!CG18="",IPC_Trimestriel!CC18=""),"",IPC_Trimestriel!CG18/IPC_Trimestriel!CC18-1)</f>
        <v>1.209209552032986E-2</v>
      </c>
      <c r="CD59" s="35">
        <f>IF(OR(IPC_Trimestriel!CH18="",IPC_Trimestriel!CD18=""),"",IPC_Trimestriel!CH18/IPC_Trimestriel!CD18-1)</f>
        <v>1.2165365116295401E-2</v>
      </c>
      <c r="CE59" s="35">
        <f>IF(OR(IPC_Trimestriel!CI18="",IPC_Trimestriel!CE18=""),"",IPC_Trimestriel!CI18/IPC_Trimestriel!CE18-1)</f>
        <v>1.3325282605948896E-2</v>
      </c>
      <c r="CF59" s="35">
        <f>IF(OR(IPC_Trimestriel!CJ18="",IPC_Trimestriel!CF18=""),"",IPC_Trimestriel!CJ18/IPC_Trimestriel!CF18-1)</f>
        <v>1.3483612608490514E-2</v>
      </c>
      <c r="CG59" s="35">
        <f>IF(OR(IPC_Trimestriel!CK18="",IPC_Trimestriel!CG18=""),"",IPC_Trimestriel!CK18/IPC_Trimestriel!CG18-1)</f>
        <v>1.1300397287723918E-2</v>
      </c>
      <c r="CH59" s="35">
        <f>IF(OR(IPC_Trimestriel!CL18="",IPC_Trimestriel!CH18=""),"",IPC_Trimestriel!CL18/IPC_Trimestriel!CH18-1)</f>
        <v>9.4422223991110776E-3</v>
      </c>
      <c r="CI59" s="35">
        <f>IF(OR(IPC_Trimestriel!CM18="",IPC_Trimestriel!CI18=""),"",IPC_Trimestriel!CM18/IPC_Trimestriel!CI18-1)</f>
        <v>8.9063424235344968E-3</v>
      </c>
      <c r="CJ59" s="35">
        <f>IF(OR(IPC_Trimestriel!CN18="",IPC_Trimestriel!CJ18=""),"",IPC_Trimestriel!CN18/IPC_Trimestriel!CJ18-1)</f>
        <v>1.7551116588490956E-2</v>
      </c>
      <c r="CK59" s="35">
        <f>IF(OR(IPC_Trimestriel!CO18="",IPC_Trimestriel!CK18=""),"",IPC_Trimestriel!CO18/IPC_Trimestriel!CK18-1)</f>
        <v>3.3024057516870986E-2</v>
      </c>
      <c r="CL59" s="35">
        <f>IF(OR(IPC_Trimestriel!CP18="",IPC_Trimestriel!CL18=""),"",IPC_Trimestriel!CP18/IPC_Trimestriel!CL18-1)</f>
        <v>4.9036556109516294E-2</v>
      </c>
      <c r="CM59" s="35">
        <f>IF(OR(IPC_Trimestriel!CQ18="",IPC_Trimestriel!CM18=""),"",IPC_Trimestriel!CQ18/IPC_Trimestriel!CM18-1)</f>
        <v>6.1116947278140099E-2</v>
      </c>
      <c r="CN59" s="35">
        <f>IF(OR(IPC_Trimestriel!CR18="",IPC_Trimestriel!CN18=""),"",IPC_Trimestriel!CR18/IPC_Trimestriel!CN18-1)</f>
        <v>6.707622575778216E-2</v>
      </c>
      <c r="CO59" s="35">
        <f>IF(OR(IPC_Trimestriel!CS18="",IPC_Trimestriel!CO18=""),"",IPC_Trimestriel!CS18/IPC_Trimestriel!CO18-1)</f>
        <v>6.0691226194996339E-2</v>
      </c>
      <c r="CP59" s="35">
        <f>IF(OR(IPC_Trimestriel!CT18="",IPC_Trimestriel!CP18=""),"",IPC_Trimestriel!CT18/IPC_Trimestriel!CP18-1)</f>
        <v>4.6745621683801808E-2</v>
      </c>
    </row>
    <row r="60" spans="1:94" s="90" customFormat="1" ht="10.199999999999999" x14ac:dyDescent="0.2">
      <c r="A60" s="85"/>
      <c r="B60" s="86" t="s">
        <v>48</v>
      </c>
      <c r="C60" s="87">
        <f>SUM(C49:C59)+C46</f>
        <v>1000</v>
      </c>
      <c r="D60" s="89" t="str">
        <f>IF(OR(IPC_Trimestriel!H19="",IPC_Trimestriel!D19=""),"",IPC_Trimestriel!H19/IPC_Trimestriel!D19-1)</f>
        <v/>
      </c>
      <c r="E60" s="89" t="str">
        <f>IF(OR(IPC_Trimestriel!I19="",IPC_Trimestriel!E19=""),"",IPC_Trimestriel!I19/IPC_Trimestriel!E19-1)</f>
        <v/>
      </c>
      <c r="F60" s="89" t="str">
        <f>IF(OR(IPC_Trimestriel!J19="",IPC_Trimestriel!F19=""),"",IPC_Trimestriel!J19/IPC_Trimestriel!F19-1)</f>
        <v/>
      </c>
      <c r="G60" s="89" t="str">
        <f>IF(OR(IPC_Trimestriel!K19="",IPC_Trimestriel!G19=""),"",IPC_Trimestriel!K19/IPC_Trimestriel!G19-1)</f>
        <v/>
      </c>
      <c r="H60" s="89" t="str">
        <f>IF(OR(IPC_Trimestriel!L19="",IPC_Trimestriel!H19=""),"",IPC_Trimestriel!L19/IPC_Trimestriel!H19-1)</f>
        <v/>
      </c>
      <c r="I60" s="89" t="str">
        <f>IF(OR(IPC_Trimestriel!M19="",IPC_Trimestriel!I19=""),"",IPC_Trimestriel!M19/IPC_Trimestriel!I19-1)</f>
        <v/>
      </c>
      <c r="J60" s="89" t="str">
        <f>IF(OR(IPC_Trimestriel!N19="",IPC_Trimestriel!J19=""),"",IPC_Trimestriel!N19/IPC_Trimestriel!J19-1)</f>
        <v/>
      </c>
      <c r="K60" s="89" t="str">
        <f>IF(OR(IPC_Trimestriel!O19="",IPC_Trimestriel!K19=""),"",IPC_Trimestriel!O19/IPC_Trimestriel!K19-1)</f>
        <v/>
      </c>
      <c r="L60" s="89" t="str">
        <f>IF(OR(IPC_Trimestriel!P19="",IPC_Trimestriel!L19=""),"",IPC_Trimestriel!P19/IPC_Trimestriel!L19-1)</f>
        <v/>
      </c>
      <c r="M60" s="89" t="str">
        <f>IF(OR(IPC_Trimestriel!Q19="",IPC_Trimestriel!M19=""),"",IPC_Trimestriel!Q19/IPC_Trimestriel!M19-1)</f>
        <v/>
      </c>
      <c r="N60" s="89" t="str">
        <f>IF(OR(IPC_Trimestriel!R19="",IPC_Trimestriel!N19=""),"",IPC_Trimestriel!R19/IPC_Trimestriel!N19-1)</f>
        <v/>
      </c>
      <c r="O60" s="89" t="str">
        <f>IF(OR(IPC_Trimestriel!S19="",IPC_Trimestriel!O19=""),"",IPC_Trimestriel!S19/IPC_Trimestriel!O19-1)</f>
        <v/>
      </c>
      <c r="P60" s="89" t="str">
        <f>IF(OR(IPC_Trimestriel!T19="",IPC_Trimestriel!P19=""),"",IPC_Trimestriel!T19/IPC_Trimestriel!P19-1)</f>
        <v/>
      </c>
      <c r="Q60" s="89" t="str">
        <f>IF(OR(IPC_Trimestriel!U19="",IPC_Trimestriel!Q19=""),"",IPC_Trimestriel!U19/IPC_Trimestriel!Q19-1)</f>
        <v/>
      </c>
      <c r="R60" s="89" t="str">
        <f>IF(OR(IPC_Trimestriel!V19="",IPC_Trimestriel!R19=""),"",IPC_Trimestriel!V19/IPC_Trimestriel!R19-1)</f>
        <v/>
      </c>
      <c r="S60" s="89" t="str">
        <f>IF(OR(IPC_Trimestriel!W19="",IPC_Trimestriel!S19=""),"",IPC_Trimestriel!W19/IPC_Trimestriel!S19-1)</f>
        <v/>
      </c>
      <c r="T60" s="89" t="str">
        <f>IF(OR(IPC_Trimestriel!X19="",IPC_Trimestriel!T19=""),"",IPC_Trimestriel!X19/IPC_Trimestriel!T19-1)</f>
        <v/>
      </c>
      <c r="U60" s="89" t="str">
        <f>IF(OR(IPC_Trimestriel!Y19="",IPC_Trimestriel!U19=""),"",IPC_Trimestriel!Y19/IPC_Trimestriel!U19-1)</f>
        <v/>
      </c>
      <c r="V60" s="89" t="str">
        <f>IF(OR(IPC_Trimestriel!Z19="",IPC_Trimestriel!V19=""),"",IPC_Trimestriel!Z19/IPC_Trimestriel!V19-1)</f>
        <v/>
      </c>
      <c r="W60" s="89" t="str">
        <f>IF(OR(IPC_Trimestriel!AA19="",IPC_Trimestriel!W19=""),"",IPC_Trimestriel!AA19/IPC_Trimestriel!W19-1)</f>
        <v/>
      </c>
      <c r="X60" s="89" t="str">
        <f>IF(OR(IPC_Trimestriel!AB19="",IPC_Trimestriel!X19=""),"",IPC_Trimestriel!AB19/IPC_Trimestriel!X19-1)</f>
        <v/>
      </c>
      <c r="Y60" s="89" t="str">
        <f>IF(OR(IPC_Trimestriel!AC19="",IPC_Trimestriel!Y19=""),"",IPC_Trimestriel!AC19/IPC_Trimestriel!Y19-1)</f>
        <v/>
      </c>
      <c r="Z60" s="89" t="str">
        <f>IF(OR(IPC_Trimestriel!AD19="",IPC_Trimestriel!Z19=""),"",IPC_Trimestriel!AD19/IPC_Trimestriel!Z19-1)</f>
        <v/>
      </c>
      <c r="AA60" s="89" t="str">
        <f>IF(OR(IPC_Trimestriel!AE19="",IPC_Trimestriel!AA19=""),"",IPC_Trimestriel!AE19/IPC_Trimestriel!AA19-1)</f>
        <v/>
      </c>
      <c r="AB60" s="89" t="str">
        <f>IF(OR(IPC_Trimestriel!AF19="",IPC_Trimestriel!AB19=""),"",IPC_Trimestriel!AF19/IPC_Trimestriel!AB19-1)</f>
        <v/>
      </c>
      <c r="AC60" s="89" t="str">
        <f>IF(OR(IPC_Trimestriel!AG19="",IPC_Trimestriel!AC19=""),"",IPC_Trimestriel!AG19/IPC_Trimestriel!AC19-1)</f>
        <v/>
      </c>
      <c r="AD60" s="89" t="str">
        <f>IF(OR(IPC_Trimestriel!AH19="",IPC_Trimestriel!AD19=""),"",IPC_Trimestriel!AH19/IPC_Trimestriel!AD19-1)</f>
        <v/>
      </c>
      <c r="AE60" s="89" t="str">
        <f>IF(OR(IPC_Trimestriel!AI19="",IPC_Trimestriel!AE19=""),"",IPC_Trimestriel!AI19/IPC_Trimestriel!AE19-1)</f>
        <v/>
      </c>
      <c r="AF60" s="89" t="str">
        <f>IF(OR(IPC_Trimestriel!AJ19="",IPC_Trimestriel!AF19=""),"",IPC_Trimestriel!AJ19/IPC_Trimestriel!AF19-1)</f>
        <v/>
      </c>
      <c r="AG60" s="89" t="str">
        <f>IF(OR(IPC_Trimestriel!AK19="",IPC_Trimestriel!AG19=""),"",IPC_Trimestriel!AK19/IPC_Trimestriel!AG19-1)</f>
        <v/>
      </c>
      <c r="AH60" s="89" t="str">
        <f>IF(OR(IPC_Trimestriel!AL19="",IPC_Trimestriel!AH19=""),"",IPC_Trimestriel!AL19/IPC_Trimestriel!AH19-1)</f>
        <v/>
      </c>
      <c r="AI60" s="89" t="str">
        <f>IF(OR(IPC_Trimestriel!AM19="",IPC_Trimestriel!AI19=""),"",IPC_Trimestriel!AM19/IPC_Trimestriel!AI19-1)</f>
        <v/>
      </c>
      <c r="AJ60" s="89" t="str">
        <f>IF(OR(IPC_Trimestriel!AN19="",IPC_Trimestriel!AJ19=""),"",IPC_Trimestriel!AN19/IPC_Trimestriel!AJ19-1)</f>
        <v/>
      </c>
      <c r="AK60" s="89" t="str">
        <f>IF(OR(IPC_Trimestriel!AO19="",IPC_Trimestriel!AK19=""),"",IPC_Trimestriel!AO19/IPC_Trimestriel!AK19-1)</f>
        <v/>
      </c>
      <c r="AL60" s="89" t="str">
        <f>IF(OR(IPC_Trimestriel!AP19="",IPC_Trimestriel!AL19=""),"",IPC_Trimestriel!AP19/IPC_Trimestriel!AL19-1)</f>
        <v/>
      </c>
      <c r="AM60" s="89" t="str">
        <f>IF(OR(IPC_Trimestriel!AQ19="",IPC_Trimestriel!AM19=""),"",IPC_Trimestriel!AQ19/IPC_Trimestriel!AM19-1)</f>
        <v/>
      </c>
      <c r="AN60" s="89" t="str">
        <f>IF(OR(IPC_Trimestriel!AR19="",IPC_Trimestriel!AN19=""),"",IPC_Trimestriel!AR19/IPC_Trimestriel!AN19-1)</f>
        <v/>
      </c>
      <c r="AO60" s="89" t="str">
        <f>IF(OR(IPC_Trimestriel!AS19="",IPC_Trimestriel!AO19=""),"",IPC_Trimestriel!AS19/IPC_Trimestriel!AO19-1)</f>
        <v/>
      </c>
      <c r="AP60" s="89" t="str">
        <f>IF(OR(IPC_Trimestriel!AT19="",IPC_Trimestriel!AP19=""),"",IPC_Trimestriel!AT19/IPC_Trimestriel!AP19-1)</f>
        <v/>
      </c>
      <c r="AQ60" s="89" t="str">
        <f>IF(OR(IPC_Trimestriel!AU19="",IPC_Trimestriel!AQ19=""),"",IPC_Trimestriel!AU19/IPC_Trimestriel!AQ19-1)</f>
        <v/>
      </c>
      <c r="AR60" s="89" t="str">
        <f>IF(OR(IPC_Trimestriel!AV19="",IPC_Trimestriel!AR19=""),"",IPC_Trimestriel!AV19/IPC_Trimestriel!AR19-1)</f>
        <v/>
      </c>
      <c r="AS60" s="89" t="str">
        <f>IF(OR(IPC_Trimestriel!AW19="",IPC_Trimestriel!AS19=""),"",IPC_Trimestriel!AW19/IPC_Trimestriel!AS19-1)</f>
        <v/>
      </c>
      <c r="AT60" s="89" t="str">
        <f>IF(OR(IPC_Trimestriel!AX19="",IPC_Trimestriel!AT19=""),"",IPC_Trimestriel!AX19/IPC_Trimestriel!AT19-1)</f>
        <v/>
      </c>
      <c r="AU60" s="89" t="str">
        <f>IF(OR(IPC_Trimestriel!AY19="",IPC_Trimestriel!AU19=""),"",IPC_Trimestriel!AY19/IPC_Trimestriel!AU19-1)</f>
        <v/>
      </c>
      <c r="AV60" s="89">
        <f>IF(OR(IPC_Trimestriel!AZ19="",IPC_Trimestriel!AV19=""),"",IPC_Trimestriel!AZ19/IPC_Trimestriel!AV19-1)</f>
        <v>-0.20179435411029523</v>
      </c>
      <c r="AW60" s="89">
        <f>IF(OR(IPC_Trimestriel!BA19="",IPC_Trimestriel!AW19=""),"",IPC_Trimestriel!BA19/IPC_Trimestriel!AW19-1)</f>
        <v>-0.19551365743197957</v>
      </c>
      <c r="AX60" s="89">
        <f>IF(OR(IPC_Trimestriel!BB19="",IPC_Trimestriel!AX19=""),"",IPC_Trimestriel!BB19/IPC_Trimestriel!AX19-1)</f>
        <v>-0.19971730727213288</v>
      </c>
      <c r="AY60" s="89">
        <f>IF(OR(IPC_Trimestriel!BC19="",IPC_Trimestriel!AY19=""),"",IPC_Trimestriel!BC19/IPC_Trimestriel!AY19-1)</f>
        <v>-0.20008093824968987</v>
      </c>
      <c r="AZ60" s="89">
        <f>IF(OR(IPC_Trimestriel!BD19="",IPC_Trimestriel!AZ19=""),"",IPC_Trimestriel!BD19/IPC_Trimestriel!AZ19-1)</f>
        <v>2.5983878351363288E-2</v>
      </c>
      <c r="BA60" s="89">
        <f>IF(OR(IPC_Trimestriel!BE19="",IPC_Trimestriel!BA19=""),"",IPC_Trimestriel!BE19/IPC_Trimestriel!BA19-1)</f>
        <v>1.9213656636800636E-2</v>
      </c>
      <c r="BB60" s="89">
        <f>IF(OR(IPC_Trimestriel!BF19="",IPC_Trimestriel!BB19=""),"",IPC_Trimestriel!BF19/IPC_Trimestriel!BB19-1)</f>
        <v>1.7348837428795338E-2</v>
      </c>
      <c r="BC60" s="89">
        <f>IF(OR(IPC_Trimestriel!BG19="",IPC_Trimestriel!BC19=""),"",IPC_Trimestriel!BG19/IPC_Trimestriel!BC19-1)</f>
        <v>1.955443777963195E-2</v>
      </c>
      <c r="BD60" s="89">
        <f>IF(OR(IPC_Trimestriel!BH19="",IPC_Trimestriel!BD19=""),"",IPC_Trimestriel!BH19/IPC_Trimestriel!BD19-1)</f>
        <v>1.2901385313548452E-2</v>
      </c>
      <c r="BE60" s="89">
        <f>IF(OR(IPC_Trimestriel!BI19="",IPC_Trimestriel!BE19=""),"",IPC_Trimestriel!BI19/IPC_Trimestriel!BE19-1)</f>
        <v>9.8571419728916698E-3</v>
      </c>
      <c r="BF60" s="89">
        <f>IF(OR(IPC_Trimestriel!BJ19="",IPC_Trimestriel!BF19=""),"",IPC_Trimestriel!BJ19/IPC_Trimestriel!BF19-1)</f>
        <v>2.7316151817848411E-2</v>
      </c>
      <c r="BG60" s="89">
        <f>IF(OR(IPC_Trimestriel!BK19="",IPC_Trimestriel!BG19=""),"",IPC_Trimestriel!BK19/IPC_Trimestriel!BG19-1)</f>
        <v>2.3967713450447015E-2</v>
      </c>
      <c r="BH60" s="89">
        <f>IF(OR(IPC_Trimestriel!BL19="",IPC_Trimestriel!BH19=""),"",IPC_Trimestriel!BL19/IPC_Trimestriel!BH19-1)</f>
        <v>2.914981202605027E-2</v>
      </c>
      <c r="BI60" s="89">
        <f>IF(OR(IPC_Trimestriel!BM19="",IPC_Trimestriel!BI19=""),"",IPC_Trimestriel!BM19/IPC_Trimestriel!BI19-1)</f>
        <v>3.9223357052444063E-2</v>
      </c>
      <c r="BJ60" s="89">
        <f>IF(OR(IPC_Trimestriel!BN19="",IPC_Trimestriel!BJ19=""),"",IPC_Trimestriel!BN19/IPC_Trimestriel!BJ19-1)</f>
        <v>2.1972359980004574E-2</v>
      </c>
      <c r="BK60" s="89">
        <f>IF(OR(IPC_Trimestriel!BO19="",IPC_Trimestriel!BK19=""),"",IPC_Trimestriel!BO19/IPC_Trimestriel!BK19-1)</f>
        <v>1.7194843156932871E-2</v>
      </c>
      <c r="BL60" s="89">
        <f>IF(OR(IPC_Trimestriel!BP19="",IPC_Trimestriel!BL19=""),"",IPC_Trimestriel!BP19/IPC_Trimestriel!BL19-1)</f>
        <v>1.4817834173724176E-2</v>
      </c>
      <c r="BM60" s="89">
        <f>IF(OR(IPC_Trimestriel!BQ19="",IPC_Trimestriel!BM19=""),"",IPC_Trimestriel!BQ19/IPC_Trimestriel!BM19-1)</f>
        <v>1.0453909362887481E-2</v>
      </c>
      <c r="BN60" s="89">
        <f>IF(OR(IPC_Trimestriel!BR19="",IPC_Trimestriel!BN19=""),"",IPC_Trimestriel!BR19/IPC_Trimestriel!BN19-1)</f>
        <v>6.2968042695505932E-3</v>
      </c>
      <c r="BO60" s="89">
        <f>IF(OR(IPC_Trimestriel!BS19="",IPC_Trimestriel!BO19=""),"",IPC_Trimestriel!BS19/IPC_Trimestriel!BO19-1)</f>
        <v>3.456618994675198E-3</v>
      </c>
      <c r="BP60" s="89">
        <f>IF(OR(IPC_Trimestriel!BT19="",IPC_Trimestriel!BP19=""),"",IPC_Trimestriel!BT19/IPC_Trimestriel!BP19-1)</f>
        <v>4.4608115087099165E-3</v>
      </c>
      <c r="BQ60" s="89">
        <f>IF(OR(IPC_Trimestriel!BU19="",IPC_Trimestriel!BQ19=""),"",IPC_Trimestriel!BU19/IPC_Trimestriel!BQ19-1)</f>
        <v>5.6446154285059169E-3</v>
      </c>
      <c r="BR60" s="89">
        <f>IF(OR(IPC_Trimestriel!BV19="",IPC_Trimestriel!BR19=""),"",IPC_Trimestriel!BV19/IPC_Trimestriel!BR19-1)</f>
        <v>6.851851904048134E-3</v>
      </c>
      <c r="BS60" s="89">
        <f>IF(OR(IPC_Trimestriel!BW19="",IPC_Trimestriel!BS19=""),"",IPC_Trimestriel!BW19/IPC_Trimestriel!BS19-1)</f>
        <v>8.658780767323071E-3</v>
      </c>
      <c r="BT60" s="89">
        <f>IF(OR(IPC_Trimestriel!BX19="",IPC_Trimestriel!BT19=""),"",IPC_Trimestriel!BX19/IPC_Trimestriel!BT19-1)</f>
        <v>8.2064672643595848E-3</v>
      </c>
      <c r="BU60" s="89">
        <f>IF(OR(IPC_Trimestriel!BY19="",IPC_Trimestriel!BU19=""),"",IPC_Trimestriel!BY19/IPC_Trimestriel!BU19-1)</f>
        <v>8.1001808810268194E-3</v>
      </c>
      <c r="BV60" s="89">
        <f>IF(OR(IPC_Trimestriel!BZ19="",IPC_Trimestriel!BV19=""),"",IPC_Trimestriel!BZ19/IPC_Trimestriel!BV19-1)</f>
        <v>8.6022338188693759E-3</v>
      </c>
      <c r="BW60" s="89">
        <f>IF(OR(IPC_Trimestriel!CA19="",IPC_Trimestriel!BW19=""),"",IPC_Trimestriel!CA19/IPC_Trimestriel!BW19-1)</f>
        <v>1.7605576459022831E-2</v>
      </c>
      <c r="BX60" s="89">
        <f>IF(OR(IPC_Trimestriel!CB19="",IPC_Trimestriel!BX19=""),"",IPC_Trimestriel!CB19/IPC_Trimestriel!BX19-1)</f>
        <v>2.2516513723042975E-2</v>
      </c>
      <c r="BY60" s="89">
        <f>IF(OR(IPC_Trimestriel!CC19="",IPC_Trimestriel!BY19=""),"",IPC_Trimestriel!CC19/IPC_Trimestriel!BY19-1)</f>
        <v>2.5125342716751931E-2</v>
      </c>
      <c r="BZ60" s="89">
        <f>IF(OR(IPC_Trimestriel!CD19="",IPC_Trimestriel!BZ19=""),"",IPC_Trimestriel!CD19/IPC_Trimestriel!BZ19-1)</f>
        <v>2.6235382936196761E-2</v>
      </c>
      <c r="CA60" s="89">
        <f>IF(OR(IPC_Trimestriel!CE19="",IPC_Trimestriel!CA19=""),"",IPC_Trimestriel!CE19/IPC_Trimestriel!CA19-1)</f>
        <v>2.4360740590596119E-2</v>
      </c>
      <c r="CB60" s="89">
        <f>IF(OR(IPC_Trimestriel!CF19="",IPC_Trimestriel!CB19=""),"",IPC_Trimestriel!CF19/IPC_Trimestriel!CB19-1)</f>
        <v>2.6172405246913E-2</v>
      </c>
      <c r="CC60" s="89">
        <f>IF(OR(IPC_Trimestriel!CG19="",IPC_Trimestriel!CC19=""),"",IPC_Trimestriel!CG19/IPC_Trimestriel!CC19-1)</f>
        <v>2.4613731576852205E-2</v>
      </c>
      <c r="CD60" s="89">
        <f>IF(OR(IPC_Trimestriel!CH19="",IPC_Trimestriel!CD19=""),"",IPC_Trimestriel!CH19/IPC_Trimestriel!CD19-1)</f>
        <v>2.4944973382700963E-2</v>
      </c>
      <c r="CE60" s="89">
        <f>IF(OR(IPC_Trimestriel!CI19="",IPC_Trimestriel!CE19=""),"",IPC_Trimestriel!CI19/IPC_Trimestriel!CE19-1)</f>
        <v>2.2329555119898314E-2</v>
      </c>
      <c r="CF60" s="89">
        <f>IF(OR(IPC_Trimestriel!CJ19="",IPC_Trimestriel!CF19=""),"",IPC_Trimestriel!CJ19/IPC_Trimestriel!CF19-1)</f>
        <v>1.8843899298772282E-2</v>
      </c>
      <c r="CG60" s="89">
        <f>IF(OR(IPC_Trimestriel!CK19="",IPC_Trimestriel!CG19=""),"",IPC_Trimestriel!CK19/IPC_Trimestriel!CG19-1)</f>
        <v>2.0991933786947081E-2</v>
      </c>
      <c r="CH60" s="89">
        <f>IF(OR(IPC_Trimestriel!CL19="",IPC_Trimestriel!CH19=""),"",IPC_Trimestriel!CL19/IPC_Trimestriel!CH19-1)</f>
        <v>2.3963303507484879E-2</v>
      </c>
      <c r="CI60" s="89">
        <f>IF(OR(IPC_Trimestriel!CM19="",IPC_Trimestriel!CI19=""),"",IPC_Trimestriel!CM19/IPC_Trimestriel!CI19-1)</f>
        <v>2.6603640529079708E-2</v>
      </c>
      <c r="CJ60" s="89">
        <f>IF(OR(IPC_Trimestriel!CN19="",IPC_Trimestriel!CJ19=""),"",IPC_Trimestriel!CN19/IPC_Trimestriel!CJ19-1)</f>
        <v>4.4022760101813274E-2</v>
      </c>
      <c r="CK60" s="89">
        <f>IF(OR(IPC_Trimestriel!CO19="",IPC_Trimestriel!CK19=""),"",IPC_Trimestriel!CO19/IPC_Trimestriel!CK19-1)</f>
        <v>5.8341742149201403E-2</v>
      </c>
      <c r="CL60" s="89">
        <f>IF(OR(IPC_Trimestriel!CP19="",IPC_Trimestriel!CL19=""),"",IPC_Trimestriel!CP19/IPC_Trimestriel!CL19-1)</f>
        <v>6.9580956515501224E-2</v>
      </c>
      <c r="CM60" s="89">
        <f>IF(OR(IPC_Trimestriel!CQ19="",IPC_Trimestriel!CM19=""),"",IPC_Trimestriel!CQ19/IPC_Trimestriel!CM19-1)</f>
        <v>7.7638979521015283E-2</v>
      </c>
      <c r="CN60" s="89">
        <f>IF(OR(IPC_Trimestriel!CR19="",IPC_Trimestriel!CN19=""),"",IPC_Trimestriel!CR19/IPC_Trimestriel!CN19-1)</f>
        <v>7.9628233394090087E-2</v>
      </c>
      <c r="CO60" s="89">
        <f>IF(OR(IPC_Trimestriel!CS19="",IPC_Trimestriel!CO19=""),"",IPC_Trimestriel!CS19/IPC_Trimestriel!CO19-1)</f>
        <v>7.947099904759436E-2</v>
      </c>
      <c r="CP60" s="89">
        <f>IF(OR(IPC_Trimestriel!CT19="",IPC_Trimestriel!CP19=""),"",IPC_Trimestriel!CT19/IPC_Trimestriel!CP19-1)</f>
        <v>7.3530793575629527E-2</v>
      </c>
    </row>
    <row r="61" spans="1:94" s="74" customFormat="1" ht="10.199999999999999" x14ac:dyDescent="0.2">
      <c r="B61" s="3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75"/>
      <c r="CG61" s="75"/>
      <c r="CH61" s="75"/>
      <c r="CI61" s="75"/>
      <c r="CJ61" s="75"/>
      <c r="CK61" s="75"/>
      <c r="CL61" s="75"/>
      <c r="CM61" s="75"/>
      <c r="CN61" s="75"/>
      <c r="CO61" s="75"/>
      <c r="CP61" s="75"/>
    </row>
    <row r="62" spans="1:94" s="74" customFormat="1" ht="10.199999999999999" x14ac:dyDescent="0.2">
      <c r="B62" s="74" t="s">
        <v>3</v>
      </c>
      <c r="D62" s="75" t="str">
        <f>IF(OR(IPC_Trimestriel!H21="",IPC_Trimestriel!D21=""),"",IPC_Trimestriel!H21/IPC_Trimestriel!D21-1)</f>
        <v/>
      </c>
      <c r="E62" s="75" t="str">
        <f>IF(OR(IPC_Trimestriel!I21="",IPC_Trimestriel!E21=""),"",IPC_Trimestriel!I21/IPC_Trimestriel!E21-1)</f>
        <v/>
      </c>
      <c r="F62" s="75" t="str">
        <f>IF(OR(IPC_Trimestriel!J21="",IPC_Trimestriel!F21=""),"",IPC_Trimestriel!J21/IPC_Trimestriel!F21-1)</f>
        <v/>
      </c>
      <c r="G62" s="75" t="str">
        <f>IF(OR(IPC_Trimestriel!K21="",IPC_Trimestriel!G21=""),"",IPC_Trimestriel!K21/IPC_Trimestriel!G21-1)</f>
        <v/>
      </c>
      <c r="H62" s="75" t="str">
        <f>IF(OR(IPC_Trimestriel!L21="",IPC_Trimestriel!H21=""),"",IPC_Trimestriel!L21/IPC_Trimestriel!H21-1)</f>
        <v/>
      </c>
      <c r="I62" s="75" t="str">
        <f>IF(OR(IPC_Trimestriel!M21="",IPC_Trimestriel!I21=""),"",IPC_Trimestriel!M21/IPC_Trimestriel!I21-1)</f>
        <v/>
      </c>
      <c r="J62" s="75" t="str">
        <f>IF(OR(IPC_Trimestriel!N21="",IPC_Trimestriel!J21=""),"",IPC_Trimestriel!N21/IPC_Trimestriel!J21-1)</f>
        <v/>
      </c>
      <c r="K62" s="75" t="str">
        <f>IF(OR(IPC_Trimestriel!O21="",IPC_Trimestriel!K21=""),"",IPC_Trimestriel!O21/IPC_Trimestriel!K21-1)</f>
        <v/>
      </c>
      <c r="L62" s="75" t="str">
        <f>IF(OR(IPC_Trimestriel!P21="",IPC_Trimestriel!L21=""),"",IPC_Trimestriel!P21/IPC_Trimestriel!L21-1)</f>
        <v/>
      </c>
      <c r="M62" s="75" t="str">
        <f>IF(OR(IPC_Trimestriel!Q21="",IPC_Trimestriel!M21=""),"",IPC_Trimestriel!Q21/IPC_Trimestriel!M21-1)</f>
        <v/>
      </c>
      <c r="N62" s="75" t="str">
        <f>IF(OR(IPC_Trimestriel!R21="",IPC_Trimestriel!N21=""),"",IPC_Trimestriel!R21/IPC_Trimestriel!N21-1)</f>
        <v/>
      </c>
      <c r="O62" s="75" t="str">
        <f>IF(OR(IPC_Trimestriel!S21="",IPC_Trimestriel!O21=""),"",IPC_Trimestriel!S21/IPC_Trimestriel!O21-1)</f>
        <v/>
      </c>
      <c r="P62" s="75" t="str">
        <f>IF(OR(IPC_Trimestriel!T21="",IPC_Trimestriel!P21=""),"",IPC_Trimestriel!T21/IPC_Trimestriel!P21-1)</f>
        <v/>
      </c>
      <c r="Q62" s="75" t="str">
        <f>IF(OR(IPC_Trimestriel!U21="",IPC_Trimestriel!Q21=""),"",IPC_Trimestriel!U21/IPC_Trimestriel!Q21-1)</f>
        <v/>
      </c>
      <c r="R62" s="75" t="str">
        <f>IF(OR(IPC_Trimestriel!V21="",IPC_Trimestriel!R21=""),"",IPC_Trimestriel!V21/IPC_Trimestriel!R21-1)</f>
        <v/>
      </c>
      <c r="S62" s="75" t="str">
        <f>IF(OR(IPC_Trimestriel!W21="",IPC_Trimestriel!S21=""),"",IPC_Trimestriel!W21/IPC_Trimestriel!S21-1)</f>
        <v/>
      </c>
      <c r="T62" s="75" t="str">
        <f>IF(OR(IPC_Trimestriel!X21="",IPC_Trimestriel!T21=""),"",IPC_Trimestriel!X21/IPC_Trimestriel!T21-1)</f>
        <v/>
      </c>
      <c r="U62" s="75" t="str">
        <f>IF(OR(IPC_Trimestriel!Y21="",IPC_Trimestriel!U21=""),"",IPC_Trimestriel!Y21/IPC_Trimestriel!U21-1)</f>
        <v/>
      </c>
      <c r="V62" s="75" t="str">
        <f>IF(OR(IPC_Trimestriel!Z21="",IPC_Trimestriel!V21=""),"",IPC_Trimestriel!Z21/IPC_Trimestriel!V21-1)</f>
        <v/>
      </c>
      <c r="W62" s="75" t="str">
        <f>IF(OR(IPC_Trimestriel!AA21="",IPC_Trimestriel!W21=""),"",IPC_Trimestriel!AA21/IPC_Trimestriel!W21-1)</f>
        <v/>
      </c>
      <c r="X62" s="75" t="str">
        <f>IF(OR(IPC_Trimestriel!AB21="",IPC_Trimestriel!X21=""),"",IPC_Trimestriel!AB21/IPC_Trimestriel!X21-1)</f>
        <v/>
      </c>
      <c r="Y62" s="75" t="str">
        <f>IF(OR(IPC_Trimestriel!AC21="",IPC_Trimestriel!Y21=""),"",IPC_Trimestriel!AC21/IPC_Trimestriel!Y21-1)</f>
        <v/>
      </c>
      <c r="Z62" s="75" t="str">
        <f>IF(OR(IPC_Trimestriel!AD21="",IPC_Trimestriel!Z21=""),"",IPC_Trimestriel!AD21/IPC_Trimestriel!Z21-1)</f>
        <v/>
      </c>
      <c r="AA62" s="75" t="str">
        <f>IF(OR(IPC_Trimestriel!AE21="",IPC_Trimestriel!AA21=""),"",IPC_Trimestriel!AE21/IPC_Trimestriel!AA21-1)</f>
        <v/>
      </c>
      <c r="AB62" s="75" t="str">
        <f>IF(OR(IPC_Trimestriel!AF21="",IPC_Trimestriel!AB21=""),"",IPC_Trimestriel!AF21/IPC_Trimestriel!AB21-1)</f>
        <v/>
      </c>
      <c r="AC62" s="75" t="str">
        <f>IF(OR(IPC_Trimestriel!AG21="",IPC_Trimestriel!AC21=""),"",IPC_Trimestriel!AG21/IPC_Trimestriel!AC21-1)</f>
        <v/>
      </c>
      <c r="AD62" s="75" t="str">
        <f>IF(OR(IPC_Trimestriel!AH21="",IPC_Trimestriel!AD21=""),"",IPC_Trimestriel!AH21/IPC_Trimestriel!AD21-1)</f>
        <v/>
      </c>
      <c r="AE62" s="75" t="str">
        <f>IF(OR(IPC_Trimestriel!AI21="",IPC_Trimestriel!AE21=""),"",IPC_Trimestriel!AI21/IPC_Trimestriel!AE21-1)</f>
        <v/>
      </c>
      <c r="AF62" s="75" t="str">
        <f>IF(OR(IPC_Trimestriel!AJ21="",IPC_Trimestriel!AF21=""),"",IPC_Trimestriel!AJ21/IPC_Trimestriel!AF21-1)</f>
        <v/>
      </c>
      <c r="AG62" s="75" t="str">
        <f>IF(OR(IPC_Trimestriel!AK21="",IPC_Trimestriel!AG21=""),"",IPC_Trimestriel!AK21/IPC_Trimestriel!AG21-1)</f>
        <v/>
      </c>
      <c r="AH62" s="75" t="str">
        <f>IF(OR(IPC_Trimestriel!AL21="",IPC_Trimestriel!AH21=""),"",IPC_Trimestriel!AL21/IPC_Trimestriel!AH21-1)</f>
        <v/>
      </c>
      <c r="AI62" s="75" t="str">
        <f>IF(OR(IPC_Trimestriel!AM21="",IPC_Trimestriel!AI21=""),"",IPC_Trimestriel!AM21/IPC_Trimestriel!AI21-1)</f>
        <v/>
      </c>
      <c r="AJ62" s="75" t="str">
        <f>IF(OR(IPC_Trimestriel!AN21="",IPC_Trimestriel!AJ21=""),"",IPC_Trimestriel!AN21/IPC_Trimestriel!AJ21-1)</f>
        <v/>
      </c>
      <c r="AK62" s="75" t="str">
        <f>IF(OR(IPC_Trimestriel!AO21="",IPC_Trimestriel!AK21=""),"",IPC_Trimestriel!AO21/IPC_Trimestriel!AK21-1)</f>
        <v/>
      </c>
      <c r="AL62" s="75" t="str">
        <f>IF(OR(IPC_Trimestriel!AP21="",IPC_Trimestriel!AL21=""),"",IPC_Trimestriel!AP21/IPC_Trimestriel!AL21-1)</f>
        <v/>
      </c>
      <c r="AM62" s="75" t="str">
        <f>IF(OR(IPC_Trimestriel!AQ21="",IPC_Trimestriel!AM21=""),"",IPC_Trimestriel!AQ21/IPC_Trimestriel!AM21-1)</f>
        <v/>
      </c>
      <c r="AN62" s="75" t="str">
        <f>IF(OR(IPC_Trimestriel!AR21="",IPC_Trimestriel!AN21=""),"",IPC_Trimestriel!AR21/IPC_Trimestriel!AN21-1)</f>
        <v/>
      </c>
      <c r="AO62" s="75" t="str">
        <f>IF(OR(IPC_Trimestriel!AS21="",IPC_Trimestriel!AO21=""),"",IPC_Trimestriel!AS21/IPC_Trimestriel!AO21-1)</f>
        <v/>
      </c>
      <c r="AP62" s="75" t="str">
        <f>IF(OR(IPC_Trimestriel!AT21="",IPC_Trimestriel!AP21=""),"",IPC_Trimestriel!AT21/IPC_Trimestriel!AP21-1)</f>
        <v/>
      </c>
      <c r="AQ62" s="75" t="str">
        <f>IF(OR(IPC_Trimestriel!AU21="",IPC_Trimestriel!AQ21=""),"",IPC_Trimestriel!AU21/IPC_Trimestriel!AQ21-1)</f>
        <v/>
      </c>
      <c r="AR62" s="75" t="str">
        <f>IF(OR(IPC_Trimestriel!AV21="",IPC_Trimestriel!AR21=""),"",IPC_Trimestriel!AV21/IPC_Trimestriel!AR21-1)</f>
        <v/>
      </c>
      <c r="AS62" s="75" t="str">
        <f>IF(OR(IPC_Trimestriel!AW21="",IPC_Trimestriel!AS21=""),"",IPC_Trimestriel!AW21/IPC_Trimestriel!AS21-1)</f>
        <v/>
      </c>
      <c r="AT62" s="75" t="str">
        <f>IF(OR(IPC_Trimestriel!AX21="",IPC_Trimestriel!AT21=""),"",IPC_Trimestriel!AX21/IPC_Trimestriel!AT21-1)</f>
        <v/>
      </c>
      <c r="AU62" s="75" t="str">
        <f>IF(OR(IPC_Trimestriel!AY21="",IPC_Trimestriel!AU21=""),"",IPC_Trimestriel!AY21/IPC_Trimestriel!AU21-1)</f>
        <v/>
      </c>
      <c r="AV62" s="75" t="str">
        <f>IF(OR(IPC_Trimestriel!AZ21="",IPC_Trimestriel!AV21=""),"",IPC_Trimestriel!AZ21/IPC_Trimestriel!AV21-1)</f>
        <v/>
      </c>
      <c r="AW62" s="75" t="str">
        <f>IF(OR(IPC_Trimestriel!BA21="",IPC_Trimestriel!AW21=""),"",IPC_Trimestriel!BA21/IPC_Trimestriel!AW21-1)</f>
        <v/>
      </c>
      <c r="AX62" s="75" t="str">
        <f>IF(OR(IPC_Trimestriel!BB21="",IPC_Trimestriel!AX21=""),"",IPC_Trimestriel!BB21/IPC_Trimestriel!AX21-1)</f>
        <v/>
      </c>
      <c r="AY62" s="75" t="str">
        <f>IF(OR(IPC_Trimestriel!BC21="",IPC_Trimestriel!AY21=""),"",IPC_Trimestriel!BC21/IPC_Trimestriel!AY21-1)</f>
        <v/>
      </c>
      <c r="AZ62" s="75">
        <f>IF(OR(IPC_Trimestriel!BD21="",IPC_Trimestriel!AZ21=""),"",IPC_Trimestriel!BD21/IPC_Trimestriel!AZ21-1)</f>
        <v>3.0722907290917645E-2</v>
      </c>
      <c r="BA62" s="75">
        <f>IF(OR(IPC_Trimestriel!BE21="",IPC_Trimestriel!BA21=""),"",IPC_Trimestriel!BE21/IPC_Trimestriel!BA21-1)</f>
        <v>2.024877222968402E-2</v>
      </c>
      <c r="BB62" s="75">
        <f>IF(OR(IPC_Trimestriel!BF21="",IPC_Trimestriel!BB21=""),"",IPC_Trimestriel!BF21/IPC_Trimestriel!BB21-1)</f>
        <v>1.603348334869481E-2</v>
      </c>
      <c r="BC62" s="75">
        <f>IF(OR(IPC_Trimestriel!BG21="",IPC_Trimestriel!BC21=""),"",IPC_Trimestriel!BG21/IPC_Trimestriel!BC21-1)</f>
        <v>1.8611204815877969E-2</v>
      </c>
      <c r="BD62" s="75">
        <f>IF(OR(IPC_Trimestriel!BH21="",IPC_Trimestriel!BD21=""),"",IPC_Trimestriel!BH21/IPC_Trimestriel!BD21-1)</f>
        <v>1.2705014096263456E-2</v>
      </c>
      <c r="BE62" s="75">
        <f>IF(OR(IPC_Trimestriel!BI21="",IPC_Trimestriel!BE21=""),"",IPC_Trimestriel!BI21/IPC_Trimestriel!BE21-1)</f>
        <v>1.117583124457977E-2</v>
      </c>
      <c r="BF62" s="75">
        <f>IF(OR(IPC_Trimestriel!BJ21="",IPC_Trimestriel!BF21=""),"",IPC_Trimestriel!BJ21/IPC_Trimestriel!BF21-1)</f>
        <v>2.9338953476428342E-2</v>
      </c>
      <c r="BG62" s="75">
        <f>IF(OR(IPC_Trimestriel!BK21="",IPC_Trimestriel!BG21=""),"",IPC_Trimestriel!BK21/IPC_Trimestriel!BG21-1)</f>
        <v>2.8688911344281864E-2</v>
      </c>
      <c r="BH62" s="75">
        <f>IF(OR(IPC_Trimestriel!BL21="",IPC_Trimestriel!BH21=""),"",IPC_Trimestriel!BL21/IPC_Trimestriel!BH21-1)</f>
        <v>3.3002809194202065E-2</v>
      </c>
      <c r="BI62" s="75">
        <f>IF(OR(IPC_Trimestriel!BM21="",IPC_Trimestriel!BI21=""),"",IPC_Trimestriel!BM21/IPC_Trimestriel!BI21-1)</f>
        <v>4.5251101219363932E-2</v>
      </c>
      <c r="BJ62" s="75">
        <f>IF(OR(IPC_Trimestriel!BN21="",IPC_Trimestriel!BJ21=""),"",IPC_Trimestriel!BN21/IPC_Trimestriel!BJ21-1)</f>
        <v>2.9198184580070841E-2</v>
      </c>
      <c r="BK62" s="75">
        <f>IF(OR(IPC_Trimestriel!BO21="",IPC_Trimestriel!BK21=""),"",IPC_Trimestriel!BO21/IPC_Trimestriel!BK21-1)</f>
        <v>2.3309370859729617E-2</v>
      </c>
      <c r="BL62" s="75">
        <f>IF(OR(IPC_Trimestriel!BP21="",IPC_Trimestriel!BL21=""),"",IPC_Trimestriel!BP21/IPC_Trimestriel!BL21-1)</f>
        <v>2.1224956090281522E-2</v>
      </c>
      <c r="BM62" s="75">
        <f>IF(OR(IPC_Trimestriel!BQ21="",IPC_Trimestriel!BM21=""),"",IPC_Trimestriel!BQ21/IPC_Trimestriel!BM21-1)</f>
        <v>1.7473138102446661E-2</v>
      </c>
      <c r="BN62" s="75">
        <f>IF(OR(IPC_Trimestriel!BR21="",IPC_Trimestriel!BN21=""),"",IPC_Trimestriel!BR21/IPC_Trimestriel!BN21-1)</f>
        <v>9.6713752953097032E-3</v>
      </c>
      <c r="BO62" s="75">
        <f>IF(OR(IPC_Trimestriel!BS21="",IPC_Trimestriel!BO21=""),"",IPC_Trimestriel!BS21/IPC_Trimestriel!BO21-1)</f>
        <v>3.5623433532436799E-3</v>
      </c>
      <c r="BP62" s="75">
        <f>IF(OR(IPC_Trimestriel!BT21="",IPC_Trimestriel!BP21=""),"",IPC_Trimestriel!BT21/IPC_Trimestriel!BP21-1)</f>
        <v>5.7571082631278081E-3</v>
      </c>
      <c r="BQ62" s="75">
        <f>IF(OR(IPC_Trimestriel!BU21="",IPC_Trimestriel!BQ21=""),"",IPC_Trimestriel!BU21/IPC_Trimestriel!BQ21-1)</f>
        <v>4.4253349796050667E-3</v>
      </c>
      <c r="BR62" s="75">
        <f>IF(OR(IPC_Trimestriel!BV21="",IPC_Trimestriel!BR21=""),"",IPC_Trimestriel!BV21/IPC_Trimestriel!BR21-1)</f>
        <v>6.2821887478965444E-3</v>
      </c>
      <c r="BS62" s="75">
        <f>IF(OR(IPC_Trimestriel!BW21="",IPC_Trimestriel!BS21=""),"",IPC_Trimestriel!BW21/IPC_Trimestriel!BS21-1)</f>
        <v>7.225626465520385E-3</v>
      </c>
      <c r="BT62" s="75">
        <f>IF(OR(IPC_Trimestriel!BX21="",IPC_Trimestriel!BT21=""),"",IPC_Trimestriel!BX21/IPC_Trimestriel!BT21-1)</f>
        <v>4.6333493658543556E-3</v>
      </c>
      <c r="BU62" s="75">
        <f>IF(OR(IPC_Trimestriel!BY21="",IPC_Trimestriel!BU21=""),"",IPC_Trimestriel!BY21/IPC_Trimestriel!BU21-1)</f>
        <v>2.4672323945484909E-3</v>
      </c>
      <c r="BV62" s="75">
        <f>IF(OR(IPC_Trimestriel!BZ21="",IPC_Trimestriel!BV21=""),"",IPC_Trimestriel!BZ21/IPC_Trimestriel!BV21-1)</f>
        <v>3.1946904530766318E-3</v>
      </c>
      <c r="BW62" s="75">
        <f>IF(OR(IPC_Trimestriel!CA21="",IPC_Trimestriel!BW21=""),"",IPC_Trimestriel!CA21/IPC_Trimestriel!BW21-1)</f>
        <v>1.677468504411328E-2</v>
      </c>
      <c r="BX62" s="75">
        <f>IF(OR(IPC_Trimestriel!CB21="",IPC_Trimestriel!BX21=""),"",IPC_Trimestriel!CB21/IPC_Trimestriel!BX21-1)</f>
        <v>2.2921881734975891E-2</v>
      </c>
      <c r="BY62" s="75">
        <f>IF(OR(IPC_Trimestriel!CC21="",IPC_Trimestriel!BY21=""),"",IPC_Trimestriel!CC21/IPC_Trimestriel!BY21-1)</f>
        <v>2.7373358100807099E-2</v>
      </c>
      <c r="BZ62" s="75">
        <f>IF(OR(IPC_Trimestriel!CD21="",IPC_Trimestriel!BZ21=""),"",IPC_Trimestriel!CD21/IPC_Trimestriel!BZ21-1)</f>
        <v>2.7577490042756558E-2</v>
      </c>
      <c r="CA62" s="75">
        <f>IF(OR(IPC_Trimestriel!CE21="",IPC_Trimestriel!CA21=""),"",IPC_Trimestriel!CE21/IPC_Trimestriel!CA21-1)</f>
        <v>2.4430334463946712E-2</v>
      </c>
      <c r="CB62" s="75">
        <f>IF(OR(IPC_Trimestriel!CF21="",IPC_Trimestriel!CB21=""),"",IPC_Trimestriel!CF21/IPC_Trimestriel!CB21-1)</f>
        <v>2.8096722376098171E-2</v>
      </c>
      <c r="CC62" s="75">
        <f>IF(OR(IPC_Trimestriel!CG21="",IPC_Trimestriel!CC21=""),"",IPC_Trimestriel!CG21/IPC_Trimestriel!CC21-1)</f>
        <v>2.6923424622346648E-2</v>
      </c>
      <c r="CD62" s="75">
        <f>IF(OR(IPC_Trimestriel!CH21="",IPC_Trimestriel!CD21=""),"",IPC_Trimestriel!CH21/IPC_Trimestriel!CD21-1)</f>
        <v>2.7025189466282518E-2</v>
      </c>
      <c r="CE62" s="75">
        <f>IF(OR(IPC_Trimestriel!CI21="",IPC_Trimestriel!CE21=""),"",IPC_Trimestriel!CI21/IPC_Trimestriel!CE21-1)</f>
        <v>2.3543655949500364E-2</v>
      </c>
      <c r="CF62" s="75">
        <f>IF(OR(IPC_Trimestriel!CJ21="",IPC_Trimestriel!CF21=""),"",IPC_Trimestriel!CJ21/IPC_Trimestriel!CF21-1)</f>
        <v>1.8560227613909852E-2</v>
      </c>
      <c r="CG62" s="75">
        <f>IF(OR(IPC_Trimestriel!CK21="",IPC_Trimestriel!CG21=""),"",IPC_Trimestriel!CK21/IPC_Trimestriel!CG21-1)</f>
        <v>2.1996512481370356E-2</v>
      </c>
      <c r="CH62" s="75">
        <f>IF(OR(IPC_Trimestriel!CL21="",IPC_Trimestriel!CH21=""),"",IPC_Trimestriel!CL21/IPC_Trimestriel!CH21-1)</f>
        <v>2.5128632020706254E-2</v>
      </c>
      <c r="CI62" s="75">
        <f>IF(OR(IPC_Trimestriel!CM21="",IPC_Trimestriel!CI21=""),"",IPC_Trimestriel!CM21/IPC_Trimestriel!CI21-1)</f>
        <v>2.3618091292723298E-2</v>
      </c>
      <c r="CJ62" s="75">
        <f>IF(OR(IPC_Trimestriel!CN21="",IPC_Trimestriel!CJ21=""),"",IPC_Trimestriel!CN21/IPC_Trimestriel!CJ21-1)</f>
        <v>4.3163927119208356E-2</v>
      </c>
      <c r="CK62" s="75">
        <f>IF(OR(IPC_Trimestriel!CO21="",IPC_Trimestriel!CK21=""),"",IPC_Trimestriel!CO21/IPC_Trimestriel!CK21-1)</f>
        <v>5.7115300467475372E-2</v>
      </c>
      <c r="CL62" s="75">
        <f>IF(OR(IPC_Trimestriel!CP21="",IPC_Trimestriel!CL21=""),"",IPC_Trimestriel!CP21/IPC_Trimestriel!CL21-1)</f>
        <v>7.0457083191187042E-2</v>
      </c>
      <c r="CM62" s="75">
        <f>IF(OR(IPC_Trimestriel!CQ21="",IPC_Trimestriel!CM21=""),"",IPC_Trimestriel!CQ21/IPC_Trimestriel!CM21-1)</f>
        <v>8.3089965637287655E-2</v>
      </c>
      <c r="CN62" s="75">
        <f>IF(OR(IPC_Trimestriel!CR21="",IPC_Trimestriel!CN21=""),"",IPC_Trimestriel!CR21/IPC_Trimestriel!CN21-1)</f>
        <v>8.6998676082520987E-2</v>
      </c>
      <c r="CO62" s="75">
        <f>IF(OR(IPC_Trimestriel!CS21="",IPC_Trimestriel!CO21=""),"",IPC_Trimestriel!CS21/IPC_Trimestriel!CO21-1)</f>
        <v>8.9116307564103936E-2</v>
      </c>
      <c r="CP62" s="75">
        <f>IF(OR(IPC_Trimestriel!CT21="",IPC_Trimestriel!CP21=""),"",IPC_Trimestriel!CT21/IPC_Trimestriel!CP21-1)</f>
        <v>8.0890784838900665E-2</v>
      </c>
    </row>
    <row r="63" spans="1:94" s="81" customFormat="1" ht="10.199999999999999" x14ac:dyDescent="0.2">
      <c r="B63" s="81" t="s">
        <v>4</v>
      </c>
      <c r="D63" s="84" t="str">
        <f>IF(OR(IPC_Trimestriel!H22="",IPC_Trimestriel!D22=""),"",IPC_Trimestriel!H22/IPC_Trimestriel!D22-1)</f>
        <v/>
      </c>
      <c r="E63" s="84" t="str">
        <f>IF(OR(IPC_Trimestriel!I22="",IPC_Trimestriel!E22=""),"",IPC_Trimestriel!I22/IPC_Trimestriel!E22-1)</f>
        <v/>
      </c>
      <c r="F63" s="84" t="str">
        <f>IF(OR(IPC_Trimestriel!J22="",IPC_Trimestriel!F22=""),"",IPC_Trimestriel!J22/IPC_Trimestriel!F22-1)</f>
        <v/>
      </c>
      <c r="G63" s="84" t="str">
        <f>IF(OR(IPC_Trimestriel!K22="",IPC_Trimestriel!G22=""),"",IPC_Trimestriel!K22/IPC_Trimestriel!G22-1)</f>
        <v/>
      </c>
      <c r="H63" s="84" t="str">
        <f>IF(OR(IPC_Trimestriel!L22="",IPC_Trimestriel!H22=""),"",IPC_Trimestriel!L22/IPC_Trimestriel!H22-1)</f>
        <v/>
      </c>
      <c r="I63" s="84" t="str">
        <f>IF(OR(IPC_Trimestriel!M22="",IPC_Trimestriel!I22=""),"",IPC_Trimestriel!M22/IPC_Trimestriel!I22-1)</f>
        <v/>
      </c>
      <c r="J63" s="84" t="str">
        <f>IF(OR(IPC_Trimestriel!N22="",IPC_Trimestriel!J22=""),"",IPC_Trimestriel!N22/IPC_Trimestriel!J22-1)</f>
        <v/>
      </c>
      <c r="K63" s="84" t="str">
        <f>IF(OR(IPC_Trimestriel!O22="",IPC_Trimestriel!K22=""),"",IPC_Trimestriel!O22/IPC_Trimestriel!K22-1)</f>
        <v/>
      </c>
      <c r="L63" s="84" t="str">
        <f>IF(OR(IPC_Trimestriel!P22="",IPC_Trimestriel!L22=""),"",IPC_Trimestriel!P22/IPC_Trimestriel!L22-1)</f>
        <v/>
      </c>
      <c r="M63" s="84" t="str">
        <f>IF(OR(IPC_Trimestriel!Q22="",IPC_Trimestriel!M22=""),"",IPC_Trimestriel!Q22/IPC_Trimestriel!M22-1)</f>
        <v/>
      </c>
      <c r="N63" s="84" t="str">
        <f>IF(OR(IPC_Trimestriel!R22="",IPC_Trimestriel!N22=""),"",IPC_Trimestriel!R22/IPC_Trimestriel!N22-1)</f>
        <v/>
      </c>
      <c r="O63" s="84" t="str">
        <f>IF(OR(IPC_Trimestriel!S22="",IPC_Trimestriel!O22=""),"",IPC_Trimestriel!S22/IPC_Trimestriel!O22-1)</f>
        <v/>
      </c>
      <c r="P63" s="84" t="str">
        <f>IF(OR(IPC_Trimestriel!T22="",IPC_Trimestriel!P22=""),"",IPC_Trimestriel!T22/IPC_Trimestriel!P22-1)</f>
        <v/>
      </c>
      <c r="Q63" s="84" t="str">
        <f>IF(OR(IPC_Trimestriel!U22="",IPC_Trimestriel!Q22=""),"",IPC_Trimestriel!U22/IPC_Trimestriel!Q22-1)</f>
        <v/>
      </c>
      <c r="R63" s="84" t="str">
        <f>IF(OR(IPC_Trimestriel!V22="",IPC_Trimestriel!R22=""),"",IPC_Trimestriel!V22/IPC_Trimestriel!R22-1)</f>
        <v/>
      </c>
      <c r="S63" s="84" t="str">
        <f>IF(OR(IPC_Trimestriel!W22="",IPC_Trimestriel!S22=""),"",IPC_Trimestriel!W22/IPC_Trimestriel!S22-1)</f>
        <v/>
      </c>
      <c r="T63" s="84" t="str">
        <f>IF(OR(IPC_Trimestriel!X22="",IPC_Trimestriel!T22=""),"",IPC_Trimestriel!X22/IPC_Trimestriel!T22-1)</f>
        <v/>
      </c>
      <c r="U63" s="84" t="str">
        <f>IF(OR(IPC_Trimestriel!Y22="",IPC_Trimestriel!U22=""),"",IPC_Trimestriel!Y22/IPC_Trimestriel!U22-1)</f>
        <v/>
      </c>
      <c r="V63" s="84" t="str">
        <f>IF(OR(IPC_Trimestriel!Z22="",IPC_Trimestriel!V22=""),"",IPC_Trimestriel!Z22/IPC_Trimestriel!V22-1)</f>
        <v/>
      </c>
      <c r="W63" s="84" t="str">
        <f>IF(OR(IPC_Trimestriel!AA22="",IPC_Trimestriel!W22=""),"",IPC_Trimestriel!AA22/IPC_Trimestriel!W22-1)</f>
        <v/>
      </c>
      <c r="X63" s="84" t="str">
        <f>IF(OR(IPC_Trimestriel!AB22="",IPC_Trimestriel!X22=""),"",IPC_Trimestriel!AB22/IPC_Trimestriel!X22-1)</f>
        <v/>
      </c>
      <c r="Y63" s="84" t="str">
        <f>IF(OR(IPC_Trimestriel!AC22="",IPC_Trimestriel!Y22=""),"",IPC_Trimestriel!AC22/IPC_Trimestriel!Y22-1)</f>
        <v/>
      </c>
      <c r="Z63" s="84" t="str">
        <f>IF(OR(IPC_Trimestriel!AD22="",IPC_Trimestriel!Z22=""),"",IPC_Trimestriel!AD22/IPC_Trimestriel!Z22-1)</f>
        <v/>
      </c>
      <c r="AA63" s="84" t="str">
        <f>IF(OR(IPC_Trimestriel!AE22="",IPC_Trimestriel!AA22=""),"",IPC_Trimestriel!AE22/IPC_Trimestriel!AA22-1)</f>
        <v/>
      </c>
      <c r="AB63" s="84" t="str">
        <f>IF(OR(IPC_Trimestriel!AF22="",IPC_Trimestriel!AB22=""),"",IPC_Trimestriel!AF22/IPC_Trimestriel!AB22-1)</f>
        <v/>
      </c>
      <c r="AC63" s="84" t="str">
        <f>IF(OR(IPC_Trimestriel!AG22="",IPC_Trimestriel!AC22=""),"",IPC_Trimestriel!AG22/IPC_Trimestriel!AC22-1)</f>
        <v/>
      </c>
      <c r="AD63" s="84" t="str">
        <f>IF(OR(IPC_Trimestriel!AH22="",IPC_Trimestriel!AD22=""),"",IPC_Trimestriel!AH22/IPC_Trimestriel!AD22-1)</f>
        <v/>
      </c>
      <c r="AE63" s="84" t="str">
        <f>IF(OR(IPC_Trimestriel!AI22="",IPC_Trimestriel!AE22=""),"",IPC_Trimestriel!AI22/IPC_Trimestriel!AE22-1)</f>
        <v/>
      </c>
      <c r="AF63" s="84" t="str">
        <f>IF(OR(IPC_Trimestriel!AJ22="",IPC_Trimestriel!AF22=""),"",IPC_Trimestriel!AJ22/IPC_Trimestriel!AF22-1)</f>
        <v/>
      </c>
      <c r="AG63" s="84" t="str">
        <f>IF(OR(IPC_Trimestriel!AK22="",IPC_Trimestriel!AG22=""),"",IPC_Trimestriel!AK22/IPC_Trimestriel!AG22-1)</f>
        <v/>
      </c>
      <c r="AH63" s="84" t="str">
        <f>IF(OR(IPC_Trimestriel!AL22="",IPC_Trimestriel!AH22=""),"",IPC_Trimestriel!AL22/IPC_Trimestriel!AH22-1)</f>
        <v/>
      </c>
      <c r="AI63" s="84" t="str">
        <f>IF(OR(IPC_Trimestriel!AM22="",IPC_Trimestriel!AI22=""),"",IPC_Trimestriel!AM22/IPC_Trimestriel!AI22-1)</f>
        <v/>
      </c>
      <c r="AJ63" s="84" t="str">
        <f>IF(OR(IPC_Trimestriel!AN22="",IPC_Trimestriel!AJ22=""),"",IPC_Trimestriel!AN22/IPC_Trimestriel!AJ22-1)</f>
        <v/>
      </c>
      <c r="AK63" s="84" t="str">
        <f>IF(OR(IPC_Trimestriel!AO22="",IPC_Trimestriel!AK22=""),"",IPC_Trimestriel!AO22/IPC_Trimestriel!AK22-1)</f>
        <v/>
      </c>
      <c r="AL63" s="84" t="str">
        <f>IF(OR(IPC_Trimestriel!AP22="",IPC_Trimestriel!AL22=""),"",IPC_Trimestriel!AP22/IPC_Trimestriel!AL22-1)</f>
        <v/>
      </c>
      <c r="AM63" s="84" t="str">
        <f>IF(OR(IPC_Trimestriel!AQ22="",IPC_Trimestriel!AM22=""),"",IPC_Trimestriel!AQ22/IPC_Trimestriel!AM22-1)</f>
        <v/>
      </c>
      <c r="AN63" s="84" t="str">
        <f>IF(OR(IPC_Trimestriel!AR22="",IPC_Trimestriel!AN22=""),"",IPC_Trimestriel!AR22/IPC_Trimestriel!AN22-1)</f>
        <v/>
      </c>
      <c r="AO63" s="84" t="str">
        <f>IF(OR(IPC_Trimestriel!AS22="",IPC_Trimestriel!AO22=""),"",IPC_Trimestriel!AS22/IPC_Trimestriel!AO22-1)</f>
        <v/>
      </c>
      <c r="AP63" s="84" t="str">
        <f>IF(OR(IPC_Trimestriel!AT22="",IPC_Trimestriel!AP22=""),"",IPC_Trimestriel!AT22/IPC_Trimestriel!AP22-1)</f>
        <v/>
      </c>
      <c r="AQ63" s="84" t="str">
        <f>IF(OR(IPC_Trimestriel!AU22="",IPC_Trimestriel!AQ22=""),"",IPC_Trimestriel!AU22/IPC_Trimestriel!AQ22-1)</f>
        <v/>
      </c>
      <c r="AR63" s="84" t="str">
        <f>IF(OR(IPC_Trimestriel!AV22="",IPC_Trimestriel!AR22=""),"",IPC_Trimestriel!AV22/IPC_Trimestriel!AR22-1)</f>
        <v/>
      </c>
      <c r="AS63" s="84" t="str">
        <f>IF(OR(IPC_Trimestriel!AW22="",IPC_Trimestriel!AS22=""),"",IPC_Trimestriel!AW22/IPC_Trimestriel!AS22-1)</f>
        <v/>
      </c>
      <c r="AT63" s="84" t="str">
        <f>IF(OR(IPC_Trimestriel!AX22="",IPC_Trimestriel!AT22=""),"",IPC_Trimestriel!AX22/IPC_Trimestriel!AT22-1)</f>
        <v/>
      </c>
      <c r="AU63" s="84" t="str">
        <f>IF(OR(IPC_Trimestriel!AY22="",IPC_Trimestriel!AU22=""),"",IPC_Trimestriel!AY22/IPC_Trimestriel!AU22-1)</f>
        <v/>
      </c>
      <c r="AV63" s="84" t="str">
        <f>IF(OR(IPC_Trimestriel!AZ22="",IPC_Trimestriel!AV22=""),"",IPC_Trimestriel!AZ22/IPC_Trimestriel!AV22-1)</f>
        <v/>
      </c>
      <c r="AW63" s="84" t="str">
        <f>IF(OR(IPC_Trimestriel!BA22="",IPC_Trimestriel!AW22=""),"",IPC_Trimestriel!BA22/IPC_Trimestriel!AW22-1)</f>
        <v/>
      </c>
      <c r="AX63" s="84" t="str">
        <f>IF(OR(IPC_Trimestriel!BB22="",IPC_Trimestriel!AX22=""),"",IPC_Trimestriel!BB22/IPC_Trimestriel!AX22-1)</f>
        <v/>
      </c>
      <c r="AY63" s="84" t="str">
        <f>IF(OR(IPC_Trimestriel!BC22="",IPC_Trimestriel!AY22=""),"",IPC_Trimestriel!BC22/IPC_Trimestriel!AY22-1)</f>
        <v/>
      </c>
      <c r="AZ63" s="84">
        <f>IF(OR(IPC_Trimestriel!BD22="",IPC_Trimestriel!AZ22=""),"",IPC_Trimestriel!BD22/IPC_Trimestriel!AZ22-1)</f>
        <v>2.0538445005573003E-2</v>
      </c>
      <c r="BA63" s="84">
        <f>IF(OR(IPC_Trimestriel!BE22="",IPC_Trimestriel!BA22=""),"",IPC_Trimestriel!BE22/IPC_Trimestriel!BA22-1)</f>
        <v>1.6932438504673852E-2</v>
      </c>
      <c r="BB63" s="84">
        <f>IF(OR(IPC_Trimestriel!BF22="",IPC_Trimestriel!BB22=""),"",IPC_Trimestriel!BF22/IPC_Trimestriel!BB22-1)</f>
        <v>1.653613935913234E-2</v>
      </c>
      <c r="BC63" s="84">
        <f>IF(OR(IPC_Trimestriel!BG22="",IPC_Trimestriel!BC22=""),"",IPC_Trimestriel!BG22/IPC_Trimestriel!BC22-1)</f>
        <v>1.7265109899720965E-2</v>
      </c>
      <c r="BD63" s="84">
        <f>IF(OR(IPC_Trimestriel!BH22="",IPC_Trimestriel!BD22=""),"",IPC_Trimestriel!BH22/IPC_Trimestriel!BD22-1)</f>
        <v>8.9552649845905385E-3</v>
      </c>
      <c r="BE63" s="84">
        <f>IF(OR(IPC_Trimestriel!BI22="",IPC_Trimestriel!BE22=""),"",IPC_Trimestriel!BI22/IPC_Trimestriel!BE22-1)</f>
        <v>7.10838843944539E-3</v>
      </c>
      <c r="BF63" s="84">
        <f>IF(OR(IPC_Trimestriel!BJ22="",IPC_Trimestriel!BF22=""),"",IPC_Trimestriel!BJ22/IPC_Trimestriel!BF22-1)</f>
        <v>2.1085258311518418E-2</v>
      </c>
      <c r="BG63" s="84">
        <f>IF(OR(IPC_Trimestriel!BK22="",IPC_Trimestriel!BG22=""),"",IPC_Trimestriel!BK22/IPC_Trimestriel!BG22-1)</f>
        <v>1.4213055447227507E-2</v>
      </c>
      <c r="BH63" s="84">
        <f>IF(OR(IPC_Trimestriel!BL22="",IPC_Trimestriel!BH22=""),"",IPC_Trimestriel!BL22/IPC_Trimestriel!BH22-1)</f>
        <v>1.2628072286788861E-2</v>
      </c>
      <c r="BI63" s="84">
        <f>IF(OR(IPC_Trimestriel!BM22="",IPC_Trimestriel!BI22=""),"",IPC_Trimestriel!BM22/IPC_Trimestriel!BI22-1)</f>
        <v>1.6198764894656215E-2</v>
      </c>
      <c r="BJ63" s="84">
        <f>IF(OR(IPC_Trimestriel!BN22="",IPC_Trimestriel!BJ22=""),"",IPC_Trimestriel!BN22/IPC_Trimestriel!BJ22-1)</f>
        <v>8.7168890204192273E-4</v>
      </c>
      <c r="BK63" s="84">
        <f>IF(OR(IPC_Trimestriel!BO22="",IPC_Trimestriel!BK22=""),"",IPC_Trimestriel!BO22/IPC_Trimestriel!BK22-1)</f>
        <v>4.1745197132940781E-3</v>
      </c>
      <c r="BL63" s="84">
        <f>IF(OR(IPC_Trimestriel!BP22="",IPC_Trimestriel!BL22=""),"",IPC_Trimestriel!BP22/IPC_Trimestriel!BL22-1)</f>
        <v>-9.3228279083024113E-4</v>
      </c>
      <c r="BM63" s="84">
        <f>IF(OR(IPC_Trimestriel!BQ22="",IPC_Trimestriel!BM22=""),"",IPC_Trimestriel!BQ22/IPC_Trimestriel!BM22-1)</f>
        <v>-7.5377595116630225E-3</v>
      </c>
      <c r="BN63" s="84">
        <f>IF(OR(IPC_Trimestriel!BR22="",IPC_Trimestriel!BN22=""),"",IPC_Trimestriel!BR22/IPC_Trimestriel!BN22-1)</f>
        <v>-7.5753799791977716E-3</v>
      </c>
      <c r="BO63" s="84">
        <f>IF(OR(IPC_Trimestriel!BS22="",IPC_Trimestriel!BO22=""),"",IPC_Trimestriel!BS22/IPC_Trimestriel!BO22-1)</f>
        <v>-7.8852829624609377E-3</v>
      </c>
      <c r="BP63" s="84">
        <f>IF(OR(IPC_Trimestriel!BT22="",IPC_Trimestriel!BP22=""),"",IPC_Trimestriel!BT22/IPC_Trimestriel!BP22-1)</f>
        <v>-3.5824182685040284E-3</v>
      </c>
      <c r="BQ63" s="84">
        <f>IF(OR(IPC_Trimestriel!BU22="",IPC_Trimestriel!BQ22=""),"",IPC_Trimestriel!BU22/IPC_Trimestriel!BQ22-1)</f>
        <v>1.8665720034967137E-3</v>
      </c>
      <c r="BR63" s="84">
        <f>IF(OR(IPC_Trimestriel!BV22="",IPC_Trimestriel!BR22=""),"",IPC_Trimestriel!BV22/IPC_Trimestriel!BR22-1)</f>
        <v>8.0259293170581447E-3</v>
      </c>
      <c r="BS63" s="84">
        <f>IF(OR(IPC_Trimestriel!BW22="",IPC_Trimestriel!BS22=""),"",IPC_Trimestriel!BW22/IPC_Trimestriel!BS22-1)</f>
        <v>1.0440525936471046E-2</v>
      </c>
      <c r="BT63" s="84">
        <f>IF(OR(IPC_Trimestriel!BX22="",IPC_Trimestriel!BT22=""),"",IPC_Trimestriel!BX22/IPC_Trimestriel!BT22-1)</f>
        <v>1.4923137117841323E-2</v>
      </c>
      <c r="BU63" s="84">
        <f>IF(OR(IPC_Trimestriel!BY22="",IPC_Trimestriel!BU22=""),"",IPC_Trimestriel!BY22/IPC_Trimestriel!BU22-1)</f>
        <v>2.0041189751027755E-2</v>
      </c>
      <c r="BV63" s="84">
        <f>IF(OR(IPC_Trimestriel!BZ22="",IPC_Trimestriel!BV22=""),"",IPC_Trimestriel!BZ22/IPC_Trimestriel!BV22-1)</f>
        <v>2.1774888069191478E-2</v>
      </c>
      <c r="BW63" s="84">
        <f>IF(OR(IPC_Trimestriel!CA22="",IPC_Trimestriel!BW22=""),"",IPC_Trimestriel!CA22/IPC_Trimestriel!BW22-1)</f>
        <v>2.3419260744132142E-2</v>
      </c>
      <c r="BX63" s="84">
        <f>IF(OR(IPC_Trimestriel!CB22="",IPC_Trimestriel!BX22=""),"",IPC_Trimestriel!CB22/IPC_Trimestriel!BX22-1)</f>
        <v>2.632371675893852E-2</v>
      </c>
      <c r="BY63" s="84">
        <f>IF(OR(IPC_Trimestriel!CC22="",IPC_Trimestriel!BY22=""),"",IPC_Trimestriel!CC22/IPC_Trimestriel!BY22-1)</f>
        <v>2.3950802506386148E-2</v>
      </c>
      <c r="BZ63" s="84">
        <f>IF(OR(IPC_Trimestriel!CD22="",IPC_Trimestriel!BZ22=""),"",IPC_Trimestriel!CD22/IPC_Trimestriel!BZ22-1)</f>
        <v>1.782114444512084E-2</v>
      </c>
      <c r="CA63" s="84">
        <f>IF(OR(IPC_Trimestriel!CE22="",IPC_Trimestriel!CA22=""),"",IPC_Trimestriel!CE22/IPC_Trimestriel!CA22-1)</f>
        <v>1.9213746726611136E-2</v>
      </c>
      <c r="CB63" s="84">
        <f>IF(OR(IPC_Trimestriel!CF22="",IPC_Trimestriel!CB22=""),"",IPC_Trimestriel!CF22/IPC_Trimestriel!CB22-1)</f>
        <v>1.6764583684630407E-2</v>
      </c>
      <c r="CC63" s="84">
        <f>IF(OR(IPC_Trimestriel!CG22="",IPC_Trimestriel!CC22=""),"",IPC_Trimestriel!CG22/IPC_Trimestriel!CC22-1)</f>
        <v>2.2511035186337125E-2</v>
      </c>
      <c r="CD63" s="84">
        <f>IF(OR(IPC_Trimestriel!CH22="",IPC_Trimestriel!CD22=""),"",IPC_Trimestriel!CH22/IPC_Trimestriel!CD22-1)</f>
        <v>2.6560359642175291E-2</v>
      </c>
      <c r="CE63" s="84">
        <f>IF(OR(IPC_Trimestriel!CI22="",IPC_Trimestriel!CE22=""),"",IPC_Trimestriel!CI22/IPC_Trimestriel!CE22-1)</f>
        <v>2.8513727658175725E-2</v>
      </c>
      <c r="CF63" s="84">
        <f>IF(OR(IPC_Trimestriel!CJ22="",IPC_Trimestriel!CF22=""),"",IPC_Trimestriel!CJ22/IPC_Trimestriel!CF22-1)</f>
        <v>3.3842479922337132E-2</v>
      </c>
      <c r="CG63" s="84">
        <f>IF(OR(IPC_Trimestriel!CK22="",IPC_Trimestriel!CG22=""),"",IPC_Trimestriel!CK22/IPC_Trimestriel!CG22-1)</f>
        <v>2.948476527789623E-2</v>
      </c>
      <c r="CH63" s="84">
        <f>IF(OR(IPC_Trimestriel!CL22="",IPC_Trimestriel!CH22=""),"",IPC_Trimestriel!CL22/IPC_Trimestriel!CH22-1)</f>
        <v>2.9192156200934738E-2</v>
      </c>
      <c r="CI63" s="84">
        <f>IF(OR(IPC_Trimestriel!CM22="",IPC_Trimestriel!CI22=""),"",IPC_Trimestriel!CM22/IPC_Trimestriel!CI22-1)</f>
        <v>2.9287156492003419E-2</v>
      </c>
      <c r="CJ63" s="84">
        <f>IF(OR(IPC_Trimestriel!CN22="",IPC_Trimestriel!CJ22=""),"",IPC_Trimestriel!CN22/IPC_Trimestriel!CJ22-1)</f>
        <v>3.4738731518478616E-2</v>
      </c>
      <c r="CK63" s="84">
        <f>IF(OR(IPC_Trimestriel!CO22="",IPC_Trimestriel!CK22=""),"",IPC_Trimestriel!CO22/IPC_Trimestriel!CK22-1)</f>
        <v>4.8909173632929459E-2</v>
      </c>
      <c r="CL63" s="84">
        <f>IF(OR(IPC_Trimestriel!CP22="",IPC_Trimestriel!CL22=""),"",IPC_Trimestriel!CP22/IPC_Trimestriel!CL22-1)</f>
        <v>5.5726189870305198E-2</v>
      </c>
      <c r="CM63" s="84">
        <f>IF(OR(IPC_Trimestriel!CQ22="",IPC_Trimestriel!CM22=""),"",IPC_Trimestriel!CQ22/IPC_Trimestriel!CM22-1)</f>
        <v>6.1080549338771828E-2</v>
      </c>
      <c r="CN63" s="84">
        <f>IF(OR(IPC_Trimestriel!CR22="",IPC_Trimestriel!CN22=""),"",IPC_Trimestriel!CR22/IPC_Trimestriel!CN22-1)</f>
        <v>6.3252864506270878E-2</v>
      </c>
      <c r="CO63" s="84">
        <f>IF(OR(IPC_Trimestriel!CS22="",IPC_Trimestriel!CO22=""),"",IPC_Trimestriel!CS22/IPC_Trimestriel!CO22-1)</f>
        <v>5.8937360995992893E-2</v>
      </c>
      <c r="CP63" s="84">
        <f>IF(OR(IPC_Trimestriel!CT22="",IPC_Trimestriel!CP22=""),"",IPC_Trimestriel!CT22/IPC_Trimestriel!CP22-1)</f>
        <v>5.5712922924649577E-2</v>
      </c>
    </row>
    <row r="64" spans="1:94" s="74" customFormat="1" ht="10.199999999999999" x14ac:dyDescent="0.2"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/>
      <c r="BU64" s="75"/>
      <c r="BV64" s="75"/>
      <c r="BW64" s="75"/>
      <c r="BX64" s="75"/>
      <c r="BY64" s="75"/>
      <c r="BZ64" s="75"/>
      <c r="CA64" s="75"/>
      <c r="CB64" s="75"/>
      <c r="CC64" s="75"/>
      <c r="CD64" s="75"/>
      <c r="CE64" s="75"/>
      <c r="CF64" s="75"/>
      <c r="CG64" s="75"/>
      <c r="CH64" s="75"/>
      <c r="CI64" s="75"/>
      <c r="CJ64" s="75"/>
      <c r="CK64" s="75"/>
      <c r="CL64" s="75"/>
      <c r="CM64" s="75"/>
      <c r="CN64" s="75"/>
      <c r="CO64" s="75"/>
      <c r="CP64" s="75"/>
    </row>
    <row r="65" spans="1:94" s="74" customFormat="1" ht="10.199999999999999" x14ac:dyDescent="0.2">
      <c r="B65" s="3" t="s">
        <v>104</v>
      </c>
      <c r="D65" s="75" t="str">
        <f>IF(OR(IPC_Trimestriel!H24="",IPC_Trimestriel!D24=""),"",IPC_Trimestriel!H24/IPC_Trimestriel!D24-1)</f>
        <v/>
      </c>
      <c r="E65" s="75" t="str">
        <f>IF(OR(IPC_Trimestriel!I24="",IPC_Trimestriel!E24=""),"",IPC_Trimestriel!I24/IPC_Trimestriel!E24-1)</f>
        <v/>
      </c>
      <c r="F65" s="75" t="str">
        <f>IF(OR(IPC_Trimestriel!J24="",IPC_Trimestriel!F24=""),"",IPC_Trimestriel!J24/IPC_Trimestriel!F24-1)</f>
        <v/>
      </c>
      <c r="G65" s="75" t="str">
        <f>IF(OR(IPC_Trimestriel!K24="",IPC_Trimestriel!G24=""),"",IPC_Trimestriel!K24/IPC_Trimestriel!G24-1)</f>
        <v/>
      </c>
      <c r="H65" s="75" t="str">
        <f>IF(OR(IPC_Trimestriel!L24="",IPC_Trimestriel!H24=""),"",IPC_Trimestriel!L24/IPC_Trimestriel!H24-1)</f>
        <v/>
      </c>
      <c r="I65" s="75" t="str">
        <f>IF(OR(IPC_Trimestriel!M24="",IPC_Trimestriel!I24=""),"",IPC_Trimestriel!M24/IPC_Trimestriel!I24-1)</f>
        <v/>
      </c>
      <c r="J65" s="75" t="str">
        <f>IF(OR(IPC_Trimestriel!N24="",IPC_Trimestriel!J24=""),"",IPC_Trimestriel!N24/IPC_Trimestriel!J24-1)</f>
        <v/>
      </c>
      <c r="K65" s="75" t="str">
        <f>IF(OR(IPC_Trimestriel!O24="",IPC_Trimestriel!K24=""),"",IPC_Trimestriel!O24/IPC_Trimestriel!K24-1)</f>
        <v/>
      </c>
      <c r="L65" s="75" t="str">
        <f>IF(OR(IPC_Trimestriel!P24="",IPC_Trimestriel!L24=""),"",IPC_Trimestriel!P24/IPC_Trimestriel!L24-1)</f>
        <v/>
      </c>
      <c r="M65" s="75" t="str">
        <f>IF(OR(IPC_Trimestriel!Q24="",IPC_Trimestriel!M24=""),"",IPC_Trimestriel!Q24/IPC_Trimestriel!M24-1)</f>
        <v/>
      </c>
      <c r="N65" s="75" t="str">
        <f>IF(OR(IPC_Trimestriel!R24="",IPC_Trimestriel!N24=""),"",IPC_Trimestriel!R24/IPC_Trimestriel!N24-1)</f>
        <v/>
      </c>
      <c r="O65" s="75" t="str">
        <f>IF(OR(IPC_Trimestriel!S24="",IPC_Trimestriel!O24=""),"",IPC_Trimestriel!S24/IPC_Trimestriel!O24-1)</f>
        <v/>
      </c>
      <c r="P65" s="75" t="str">
        <f>IF(OR(IPC_Trimestriel!T24="",IPC_Trimestriel!P24=""),"",IPC_Trimestriel!T24/IPC_Trimestriel!P24-1)</f>
        <v/>
      </c>
      <c r="Q65" s="75" t="str">
        <f>IF(OR(IPC_Trimestriel!U24="",IPC_Trimestriel!Q24=""),"",IPC_Trimestriel!U24/IPC_Trimestriel!Q24-1)</f>
        <v/>
      </c>
      <c r="R65" s="75" t="str">
        <f>IF(OR(IPC_Trimestriel!V24="",IPC_Trimestriel!R24=""),"",IPC_Trimestriel!V24/IPC_Trimestriel!R24-1)</f>
        <v/>
      </c>
      <c r="S65" s="75" t="str">
        <f>IF(OR(IPC_Trimestriel!W24="",IPC_Trimestriel!S24=""),"",IPC_Trimestriel!W24/IPC_Trimestriel!S24-1)</f>
        <v/>
      </c>
      <c r="T65" s="75" t="str">
        <f>IF(OR(IPC_Trimestriel!X24="",IPC_Trimestriel!T24=""),"",IPC_Trimestriel!X24/IPC_Trimestriel!T24-1)</f>
        <v/>
      </c>
      <c r="U65" s="75" t="str">
        <f>IF(OR(IPC_Trimestriel!Y24="",IPC_Trimestriel!U24=""),"",IPC_Trimestriel!Y24/IPC_Trimestriel!U24-1)</f>
        <v/>
      </c>
      <c r="V65" s="75" t="str">
        <f>IF(OR(IPC_Trimestriel!Z24="",IPC_Trimestriel!V24=""),"",IPC_Trimestriel!Z24/IPC_Trimestriel!V24-1)</f>
        <v/>
      </c>
      <c r="W65" s="75" t="str">
        <f>IF(OR(IPC_Trimestriel!AA24="",IPC_Trimestriel!W24=""),"",IPC_Trimestriel!AA24/IPC_Trimestriel!W24-1)</f>
        <v/>
      </c>
      <c r="X65" s="75" t="str">
        <f>IF(OR(IPC_Trimestriel!AB24="",IPC_Trimestriel!X24=""),"",IPC_Trimestriel!AB24/IPC_Trimestriel!X24-1)</f>
        <v/>
      </c>
      <c r="Y65" s="75" t="str">
        <f>IF(OR(IPC_Trimestriel!AC24="",IPC_Trimestriel!Y24=""),"",IPC_Trimestriel!AC24/IPC_Trimestriel!Y24-1)</f>
        <v/>
      </c>
      <c r="Z65" s="75" t="str">
        <f>IF(OR(IPC_Trimestriel!AD24="",IPC_Trimestriel!Z24=""),"",IPC_Trimestriel!AD24/IPC_Trimestriel!Z24-1)</f>
        <v/>
      </c>
      <c r="AA65" s="75" t="str">
        <f>IF(OR(IPC_Trimestriel!AE24="",IPC_Trimestriel!AA24=""),"",IPC_Trimestriel!AE24/IPC_Trimestriel!AA24-1)</f>
        <v/>
      </c>
      <c r="AB65" s="75" t="str">
        <f>IF(OR(IPC_Trimestriel!AF24="",IPC_Trimestriel!AB24=""),"",IPC_Trimestriel!AF24/IPC_Trimestriel!AB24-1)</f>
        <v/>
      </c>
      <c r="AC65" s="75" t="str">
        <f>IF(OR(IPC_Trimestriel!AG24="",IPC_Trimestriel!AC24=""),"",IPC_Trimestriel!AG24/IPC_Trimestriel!AC24-1)</f>
        <v/>
      </c>
      <c r="AD65" s="75" t="str">
        <f>IF(OR(IPC_Trimestriel!AH24="",IPC_Trimestriel!AD24=""),"",IPC_Trimestriel!AH24/IPC_Trimestriel!AD24-1)</f>
        <v/>
      </c>
      <c r="AE65" s="75" t="str">
        <f>IF(OR(IPC_Trimestriel!AI24="",IPC_Trimestriel!AE24=""),"",IPC_Trimestriel!AI24/IPC_Trimestriel!AE24-1)</f>
        <v/>
      </c>
      <c r="AF65" s="75" t="str">
        <f>IF(OR(IPC_Trimestriel!AJ24="",IPC_Trimestriel!AF24=""),"",IPC_Trimestriel!AJ24/IPC_Trimestriel!AF24-1)</f>
        <v/>
      </c>
      <c r="AG65" s="75" t="str">
        <f>IF(OR(IPC_Trimestriel!AK24="",IPC_Trimestriel!AG24=""),"",IPC_Trimestriel!AK24/IPC_Trimestriel!AG24-1)</f>
        <v/>
      </c>
      <c r="AH65" s="75" t="str">
        <f>IF(OR(IPC_Trimestriel!AL24="",IPC_Trimestriel!AH24=""),"",IPC_Trimestriel!AL24/IPC_Trimestriel!AH24-1)</f>
        <v/>
      </c>
      <c r="AI65" s="75" t="str">
        <f>IF(OR(IPC_Trimestriel!AM24="",IPC_Trimestriel!AI24=""),"",IPC_Trimestriel!AM24/IPC_Trimestriel!AI24-1)</f>
        <v/>
      </c>
      <c r="AJ65" s="75" t="str">
        <f>IF(OR(IPC_Trimestriel!AN24="",IPC_Trimestriel!AJ24=""),"",IPC_Trimestriel!AN24/IPC_Trimestriel!AJ24-1)</f>
        <v/>
      </c>
      <c r="AK65" s="75" t="str">
        <f>IF(OR(IPC_Trimestriel!AO24="",IPC_Trimestriel!AK24=""),"",IPC_Trimestriel!AO24/IPC_Trimestriel!AK24-1)</f>
        <v/>
      </c>
      <c r="AL65" s="75" t="str">
        <f>IF(OR(IPC_Trimestriel!AP24="",IPC_Trimestriel!AL24=""),"",IPC_Trimestriel!AP24/IPC_Trimestriel!AL24-1)</f>
        <v/>
      </c>
      <c r="AM65" s="75" t="str">
        <f>IF(OR(IPC_Trimestriel!AQ24="",IPC_Trimestriel!AM24=""),"",IPC_Trimestriel!AQ24/IPC_Trimestriel!AM24-1)</f>
        <v/>
      </c>
      <c r="AN65" s="75" t="str">
        <f>IF(OR(IPC_Trimestriel!AR24="",IPC_Trimestriel!AN24=""),"",IPC_Trimestriel!AR24/IPC_Trimestriel!AN24-1)</f>
        <v/>
      </c>
      <c r="AO65" s="75" t="str">
        <f>IF(OR(IPC_Trimestriel!AS24="",IPC_Trimestriel!AO24=""),"",IPC_Trimestriel!AS24/IPC_Trimestriel!AO24-1)</f>
        <v/>
      </c>
      <c r="AP65" s="75" t="str">
        <f>IF(OR(IPC_Trimestriel!AT24="",IPC_Trimestriel!AP24=""),"",IPC_Trimestriel!AT24/IPC_Trimestriel!AP24-1)</f>
        <v/>
      </c>
      <c r="AQ65" s="75" t="str">
        <f>IF(OR(IPC_Trimestriel!AU24="",IPC_Trimestriel!AQ24=""),"",IPC_Trimestriel!AU24/IPC_Trimestriel!AQ24-1)</f>
        <v/>
      </c>
      <c r="AR65" s="75" t="str">
        <f>IF(OR(IPC_Trimestriel!AV24="",IPC_Trimestriel!AR24=""),"",IPC_Trimestriel!AV24/IPC_Trimestriel!AR24-1)</f>
        <v/>
      </c>
      <c r="AS65" s="75" t="str">
        <f>IF(OR(IPC_Trimestriel!AW24="",IPC_Trimestriel!AS24=""),"",IPC_Trimestriel!AW24/IPC_Trimestriel!AS24-1)</f>
        <v/>
      </c>
      <c r="AT65" s="75" t="str">
        <f>IF(OR(IPC_Trimestriel!AX24="",IPC_Trimestriel!AT24=""),"",IPC_Trimestriel!AX24/IPC_Trimestriel!AT24-1)</f>
        <v/>
      </c>
      <c r="AU65" s="75" t="str">
        <f>IF(OR(IPC_Trimestriel!AY24="",IPC_Trimestriel!AU24=""),"",IPC_Trimestriel!AY24/IPC_Trimestriel!AU24-1)</f>
        <v/>
      </c>
      <c r="AV65" s="75" t="str">
        <f>IF(OR(IPC_Trimestriel!AZ24="",IPC_Trimestriel!AV24=""),"",IPC_Trimestriel!AZ24/IPC_Trimestriel!AV24-1)</f>
        <v/>
      </c>
      <c r="AW65" s="75" t="str">
        <f>IF(OR(IPC_Trimestriel!BA24="",IPC_Trimestriel!AW24=""),"",IPC_Trimestriel!BA24/IPC_Trimestriel!AW24-1)</f>
        <v/>
      </c>
      <c r="AX65" s="75" t="str">
        <f>IF(OR(IPC_Trimestriel!BB24="",IPC_Trimestriel!AX24=""),"",IPC_Trimestriel!BB24/IPC_Trimestriel!AX24-1)</f>
        <v/>
      </c>
      <c r="AY65" s="75" t="str">
        <f>IF(OR(IPC_Trimestriel!BC24="",IPC_Trimestriel!AY24=""),"",IPC_Trimestriel!BC24/IPC_Trimestriel!AY24-1)</f>
        <v/>
      </c>
      <c r="AZ65" s="75">
        <f>IF(OR(IPC_Trimestriel!BD24="",IPC_Trimestriel!AZ24=""),"",IPC_Trimestriel!BD24/IPC_Trimestriel!AZ24-1)</f>
        <v>3.1397899238075233E-2</v>
      </c>
      <c r="BA65" s="75">
        <f>IF(OR(IPC_Trimestriel!BE24="",IPC_Trimestriel!BA24=""),"",IPC_Trimestriel!BE24/IPC_Trimestriel!BA24-1)</f>
        <v>2.7186627876192082E-2</v>
      </c>
      <c r="BB65" s="75">
        <f>IF(OR(IPC_Trimestriel!BF24="",IPC_Trimestriel!BB24=""),"",IPC_Trimestriel!BF24/IPC_Trimestriel!BB24-1)</f>
        <v>1.1207169477654544E-2</v>
      </c>
      <c r="BC65" s="75">
        <f>IF(OR(IPC_Trimestriel!BG24="",IPC_Trimestriel!BC24=""),"",IPC_Trimestriel!BG24/IPC_Trimestriel!BC24-1)</f>
        <v>-4.1467379549168237E-3</v>
      </c>
      <c r="BD65" s="75">
        <f>IF(OR(IPC_Trimestriel!BH24="",IPC_Trimestriel!BD24=""),"",IPC_Trimestriel!BH24/IPC_Trimestriel!BD24-1)</f>
        <v>-2.0207849557218882E-3</v>
      </c>
      <c r="BE65" s="75">
        <f>IF(OR(IPC_Trimestriel!BI24="",IPC_Trimestriel!BE24=""),"",IPC_Trimestriel!BI24/IPC_Trimestriel!BE24-1)</f>
        <v>-6.5484848955885688E-3</v>
      </c>
      <c r="BF65" s="75">
        <f>IF(OR(IPC_Trimestriel!BJ24="",IPC_Trimestriel!BF24=""),"",IPC_Trimestriel!BJ24/IPC_Trimestriel!BF24-1)</f>
        <v>4.8463451262907631E-2</v>
      </c>
      <c r="BG65" s="75">
        <f>IF(OR(IPC_Trimestriel!BK24="",IPC_Trimestriel!BG24=""),"",IPC_Trimestriel!BK24/IPC_Trimestriel!BG24-1)</f>
        <v>5.3890312323800371E-2</v>
      </c>
      <c r="BH65" s="75">
        <f>IF(OR(IPC_Trimestriel!BL24="",IPC_Trimestriel!BH24=""),"",IPC_Trimestriel!BL24/IPC_Trimestriel!BH24-1)</f>
        <v>5.2646082698989849E-2</v>
      </c>
      <c r="BI65" s="75">
        <f>IF(OR(IPC_Trimestriel!BM24="",IPC_Trimestriel!BI24=""),"",IPC_Trimestriel!BM24/IPC_Trimestriel!BI24-1)</f>
        <v>5.3328590240063978E-2</v>
      </c>
      <c r="BJ65" s="75">
        <f>IF(OR(IPC_Trimestriel!BN24="",IPC_Trimestriel!BJ24=""),"",IPC_Trimestriel!BN24/IPC_Trimestriel!BJ24-1)</f>
        <v>1.3825027228286935E-4</v>
      </c>
      <c r="BK65" s="75">
        <f>IF(OR(IPC_Trimestriel!BO24="",IPC_Trimestriel!BK24=""),"",IPC_Trimestriel!BO24/IPC_Trimestriel!BK24-1)</f>
        <v>1.1545095485292478E-3</v>
      </c>
      <c r="BL65" s="75">
        <f>IF(OR(IPC_Trimestriel!BP24="",IPC_Trimestriel!BL24=""),"",IPC_Trimestriel!BP24/IPC_Trimestriel!BL24-1)</f>
        <v>-8.4008394130431485E-3</v>
      </c>
      <c r="BM65" s="75">
        <f>IF(OR(IPC_Trimestriel!BQ24="",IPC_Trimestriel!BM24=""),"",IPC_Trimestriel!BQ24/IPC_Trimestriel!BM24-1)</f>
        <v>-9.5379151663858019E-3</v>
      </c>
      <c r="BN65" s="75">
        <f>IF(OR(IPC_Trimestriel!BR24="",IPC_Trimestriel!BN24=""),"",IPC_Trimestriel!BR24/IPC_Trimestriel!BN24-1)</f>
        <v>-8.852233429530898E-3</v>
      </c>
      <c r="BO65" s="75">
        <f>IF(OR(IPC_Trimestriel!BS24="",IPC_Trimestriel!BO24=""),"",IPC_Trimestriel!BS24/IPC_Trimestriel!BO24-1)</f>
        <v>-9.4984019606149106E-3</v>
      </c>
      <c r="BP65" s="75">
        <f>IF(OR(IPC_Trimestriel!BT24="",IPC_Trimestriel!BP24=""),"",IPC_Trimestriel!BT24/IPC_Trimestriel!BP24-1)</f>
        <v>1.029154330062898E-3</v>
      </c>
      <c r="BQ65" s="75">
        <f>IF(OR(IPC_Trimestriel!BU24="",IPC_Trimestriel!BQ24=""),"",IPC_Trimestriel!BU24/IPC_Trimestriel!BQ24-1)</f>
        <v>1.6056490906397602E-3</v>
      </c>
      <c r="BR65" s="75">
        <f>IF(OR(IPC_Trimestriel!BV24="",IPC_Trimestriel!BR24=""),"",IPC_Trimestriel!BV24/IPC_Trimestriel!BR24-1)</f>
        <v>2.1061143358460654E-3</v>
      </c>
      <c r="BS65" s="75">
        <f>IF(OR(IPC_Trimestriel!BW24="",IPC_Trimestriel!BS24=""),"",IPC_Trimestriel!BW24/IPC_Trimestriel!BS24-1)</f>
        <v>6.8334745726850166E-4</v>
      </c>
      <c r="BT65" s="75">
        <f>IF(OR(IPC_Trimestriel!BX24="",IPC_Trimestriel!BT24=""),"",IPC_Trimestriel!BX24/IPC_Trimestriel!BT24-1)</f>
        <v>2.7765042419281016E-4</v>
      </c>
      <c r="BU65" s="75">
        <f>IF(OR(IPC_Trimestriel!BY24="",IPC_Trimestriel!BU24=""),"",IPC_Trimestriel!BY24/IPC_Trimestriel!BU24-1)</f>
        <v>2.8001080910018405E-3</v>
      </c>
      <c r="BV65" s="75">
        <f>IF(OR(IPC_Trimestriel!BZ24="",IPC_Trimestriel!BV24=""),"",IPC_Trimestriel!BZ24/IPC_Trimestriel!BV24-1)</f>
        <v>2.401588736319793E-3</v>
      </c>
      <c r="BW65" s="75">
        <f>IF(OR(IPC_Trimestriel!CA24="",IPC_Trimestriel!BW24=""),"",IPC_Trimestriel!CA24/IPC_Trimestriel!BW24-1)</f>
        <v>3.4341417859036216E-3</v>
      </c>
      <c r="BX65" s="75">
        <f>IF(OR(IPC_Trimestriel!CB24="",IPC_Trimestriel!BX24=""),"",IPC_Trimestriel!CB24/IPC_Trimestriel!BX24-1)</f>
        <v>-7.2731769802544255E-3</v>
      </c>
      <c r="BY65" s="75">
        <f>IF(OR(IPC_Trimestriel!CC24="",IPC_Trimestriel!BY24=""),"",IPC_Trimestriel!CC24/IPC_Trimestriel!BY24-1)</f>
        <v>-2.954610705239813E-2</v>
      </c>
      <c r="BZ65" s="75">
        <f>IF(OR(IPC_Trimestriel!CD24="",IPC_Trimestriel!BZ24=""),"",IPC_Trimestriel!CD24/IPC_Trimestriel!BZ24-1)</f>
        <v>-3.0130668278722017E-2</v>
      </c>
      <c r="CA65" s="75">
        <f>IF(OR(IPC_Trimestriel!CE24="",IPC_Trimestriel!CA24=""),"",IPC_Trimestriel!CE24/IPC_Trimestriel!CA24-1)</f>
        <v>-3.0872335351674995E-2</v>
      </c>
      <c r="CB65" s="75">
        <f>IF(OR(IPC_Trimestriel!CF24="",IPC_Trimestriel!CB24=""),"",IPC_Trimestriel!CF24/IPC_Trimestriel!CB24-1)</f>
        <v>-1.9957012613462277E-2</v>
      </c>
      <c r="CC65" s="75">
        <f>IF(OR(IPC_Trimestriel!CG24="",IPC_Trimestriel!CC24=""),"",IPC_Trimestriel!CG24/IPC_Trimestriel!CC24-1)</f>
        <v>4.4641921974808429E-3</v>
      </c>
      <c r="CD65" s="75">
        <f>IF(OR(IPC_Trimestriel!CH24="",IPC_Trimestriel!CD24=""),"",IPC_Trimestriel!CH24/IPC_Trimestriel!CD24-1)</f>
        <v>6.5751297506519979E-3</v>
      </c>
      <c r="CE65" s="75">
        <f>IF(OR(IPC_Trimestriel!CI24="",IPC_Trimestriel!CE24=""),"",IPC_Trimestriel!CI24/IPC_Trimestriel!CE24-1)</f>
        <v>6.5863771304925933E-3</v>
      </c>
      <c r="CF65" s="75">
        <f>IF(OR(IPC_Trimestriel!CJ24="",IPC_Trimestriel!CF24=""),"",IPC_Trimestriel!CJ24/IPC_Trimestriel!CF24-1)</f>
        <v>6.0055267250715971E-3</v>
      </c>
      <c r="CG65" s="75">
        <f>IF(OR(IPC_Trimestriel!CK24="",IPC_Trimestriel!CG24=""),"",IPC_Trimestriel!CK24/IPC_Trimestriel!CG24-1)</f>
        <v>1.8983809053481071E-3</v>
      </c>
      <c r="CH65" s="75">
        <f>IF(OR(IPC_Trimestriel!CL24="",IPC_Trimestriel!CH24=""),"",IPC_Trimestriel!CL24/IPC_Trimestriel!CH24-1)</f>
        <v>2.8157449055665751E-4</v>
      </c>
      <c r="CI65" s="75">
        <f>IF(OR(IPC_Trimestriel!CM24="",IPC_Trimestriel!CI24=""),"",IPC_Trimestriel!CM24/IPC_Trimestriel!CI24-1)</f>
        <v>3.6760811969727136E-4</v>
      </c>
      <c r="CJ65" s="75">
        <f>IF(OR(IPC_Trimestriel!CN24="",IPC_Trimestriel!CJ24=""),"",IPC_Trimestriel!CN24/IPC_Trimestriel!CJ24-1)</f>
        <v>1.7385528666731265E-3</v>
      </c>
      <c r="CK65" s="75">
        <f>IF(OR(IPC_Trimestriel!CO24="",IPC_Trimestriel!CK24=""),"",IPC_Trimestriel!CO24/IPC_Trimestriel!CK24-1)</f>
        <v>3.3173114619597932E-3</v>
      </c>
      <c r="CL65" s="75">
        <f>IF(OR(IPC_Trimestriel!CP24="",IPC_Trimestriel!CL24=""),"",IPC_Trimestriel!CP24/IPC_Trimestriel!CL24-1)</f>
        <v>3.3776050269329616E-3</v>
      </c>
      <c r="CM65" s="75">
        <f>IF(OR(IPC_Trimestriel!CQ24="",IPC_Trimestriel!CM24=""),"",IPC_Trimestriel!CQ24/IPC_Trimestriel!CM24-1)</f>
        <v>1.4722294645614697E-2</v>
      </c>
      <c r="CN65" s="75">
        <f>IF(OR(IPC_Trimestriel!CR24="",IPC_Trimestriel!CN24=""),"",IPC_Trimestriel!CR24/IPC_Trimestriel!CN24-1)</f>
        <v>5.7766021460172734E-2</v>
      </c>
      <c r="CO65" s="75">
        <f>IF(OR(IPC_Trimestriel!CS24="",IPC_Trimestriel!CO24=""),"",IPC_Trimestriel!CS24/IPC_Trimestriel!CO24-1)</f>
        <v>8.6295482881458829E-2</v>
      </c>
      <c r="CP65" s="75">
        <f>IF(OR(IPC_Trimestriel!CT24="",IPC_Trimestriel!CP24=""),"",IPC_Trimestriel!CT24/IPC_Trimestriel!CP24-1)</f>
        <v>0.10119237872553</v>
      </c>
    </row>
    <row r="66" spans="1:94" s="74" customFormat="1" ht="10.199999999999999" x14ac:dyDescent="0.2">
      <c r="B66" s="83" t="s">
        <v>105</v>
      </c>
      <c r="D66" s="75" t="str">
        <f>IF(OR(IPC_Trimestriel!H25="",IPC_Trimestriel!D25=""),"",IPC_Trimestriel!H25/IPC_Trimestriel!D25-1)</f>
        <v/>
      </c>
      <c r="E66" s="75" t="str">
        <f>IF(OR(IPC_Trimestriel!I25="",IPC_Trimestriel!E25=""),"",IPC_Trimestriel!I25/IPC_Trimestriel!E25-1)</f>
        <v/>
      </c>
      <c r="F66" s="75" t="str">
        <f>IF(OR(IPC_Trimestriel!J25="",IPC_Trimestriel!F25=""),"",IPC_Trimestriel!J25/IPC_Trimestriel!F25-1)</f>
        <v/>
      </c>
      <c r="G66" s="75" t="str">
        <f>IF(OR(IPC_Trimestriel!K25="",IPC_Trimestriel!G25=""),"",IPC_Trimestriel!K25/IPC_Trimestriel!G25-1)</f>
        <v/>
      </c>
      <c r="H66" s="75" t="str">
        <f>IF(OR(IPC_Trimestriel!L25="",IPC_Trimestriel!H25=""),"",IPC_Trimestriel!L25/IPC_Trimestriel!H25-1)</f>
        <v/>
      </c>
      <c r="I66" s="75" t="str">
        <f>IF(OR(IPC_Trimestriel!M25="",IPC_Trimestriel!I25=""),"",IPC_Trimestriel!M25/IPC_Trimestriel!I25-1)</f>
        <v/>
      </c>
      <c r="J66" s="75" t="str">
        <f>IF(OR(IPC_Trimestriel!N25="",IPC_Trimestriel!J25=""),"",IPC_Trimestriel!N25/IPC_Trimestriel!J25-1)</f>
        <v/>
      </c>
      <c r="K66" s="75" t="str">
        <f>IF(OR(IPC_Trimestriel!O25="",IPC_Trimestriel!K25=""),"",IPC_Trimestriel!O25/IPC_Trimestriel!K25-1)</f>
        <v/>
      </c>
      <c r="L66" s="75" t="str">
        <f>IF(OR(IPC_Trimestriel!P25="",IPC_Trimestriel!L25=""),"",IPC_Trimestriel!P25/IPC_Trimestriel!L25-1)</f>
        <v/>
      </c>
      <c r="M66" s="75" t="str">
        <f>IF(OR(IPC_Trimestriel!Q25="",IPC_Trimestriel!M25=""),"",IPC_Trimestriel!Q25/IPC_Trimestriel!M25-1)</f>
        <v/>
      </c>
      <c r="N66" s="75" t="str">
        <f>IF(OR(IPC_Trimestriel!R25="",IPC_Trimestriel!N25=""),"",IPC_Trimestriel!R25/IPC_Trimestriel!N25-1)</f>
        <v/>
      </c>
      <c r="O66" s="75" t="str">
        <f>IF(OR(IPC_Trimestriel!S25="",IPC_Trimestriel!O25=""),"",IPC_Trimestriel!S25/IPC_Trimestriel!O25-1)</f>
        <v/>
      </c>
      <c r="P66" s="75" t="str">
        <f>IF(OR(IPC_Trimestriel!T25="",IPC_Trimestriel!P25=""),"",IPC_Trimestriel!T25/IPC_Trimestriel!P25-1)</f>
        <v/>
      </c>
      <c r="Q66" s="75" t="str">
        <f>IF(OR(IPC_Trimestriel!U25="",IPC_Trimestriel!Q25=""),"",IPC_Trimestriel!U25/IPC_Trimestriel!Q25-1)</f>
        <v/>
      </c>
      <c r="R66" s="75" t="str">
        <f>IF(OR(IPC_Trimestriel!V25="",IPC_Trimestriel!R25=""),"",IPC_Trimestriel!V25/IPC_Trimestriel!R25-1)</f>
        <v/>
      </c>
      <c r="S66" s="75" t="str">
        <f>IF(OR(IPC_Trimestriel!W25="",IPC_Trimestriel!S25=""),"",IPC_Trimestriel!W25/IPC_Trimestriel!S25-1)</f>
        <v/>
      </c>
      <c r="T66" s="75" t="str">
        <f>IF(OR(IPC_Trimestriel!X25="",IPC_Trimestriel!T25=""),"",IPC_Trimestriel!X25/IPC_Trimestriel!T25-1)</f>
        <v/>
      </c>
      <c r="U66" s="75" t="str">
        <f>IF(OR(IPC_Trimestriel!Y25="",IPC_Trimestriel!U25=""),"",IPC_Trimestriel!Y25/IPC_Trimestriel!U25-1)</f>
        <v/>
      </c>
      <c r="V66" s="75" t="str">
        <f>IF(OR(IPC_Trimestriel!Z25="",IPC_Trimestriel!V25=""),"",IPC_Trimestriel!Z25/IPC_Trimestriel!V25-1)</f>
        <v/>
      </c>
      <c r="W66" s="75" t="str">
        <f>IF(OR(IPC_Trimestriel!AA25="",IPC_Trimestriel!W25=""),"",IPC_Trimestriel!AA25/IPC_Trimestriel!W25-1)</f>
        <v/>
      </c>
      <c r="X66" s="75" t="str">
        <f>IF(OR(IPC_Trimestriel!AB25="",IPC_Trimestriel!X25=""),"",IPC_Trimestriel!AB25/IPC_Trimestriel!X25-1)</f>
        <v/>
      </c>
      <c r="Y66" s="75" t="str">
        <f>IF(OR(IPC_Trimestriel!AC25="",IPC_Trimestriel!Y25=""),"",IPC_Trimestriel!AC25/IPC_Trimestriel!Y25-1)</f>
        <v/>
      </c>
      <c r="Z66" s="75" t="str">
        <f>IF(OR(IPC_Trimestriel!AD25="",IPC_Trimestriel!Z25=""),"",IPC_Trimestriel!AD25/IPC_Trimestriel!Z25-1)</f>
        <v/>
      </c>
      <c r="AA66" s="75" t="str">
        <f>IF(OR(IPC_Trimestriel!AE25="",IPC_Trimestriel!AA25=""),"",IPC_Trimestriel!AE25/IPC_Trimestriel!AA25-1)</f>
        <v/>
      </c>
      <c r="AB66" s="75" t="str">
        <f>IF(OR(IPC_Trimestriel!AF25="",IPC_Trimestriel!AB25=""),"",IPC_Trimestriel!AF25/IPC_Trimestriel!AB25-1)</f>
        <v/>
      </c>
      <c r="AC66" s="75" t="str">
        <f>IF(OR(IPC_Trimestriel!AG25="",IPC_Trimestriel!AC25=""),"",IPC_Trimestriel!AG25/IPC_Trimestriel!AC25-1)</f>
        <v/>
      </c>
      <c r="AD66" s="75" t="str">
        <f>IF(OR(IPC_Trimestriel!AH25="",IPC_Trimestriel!AD25=""),"",IPC_Trimestriel!AH25/IPC_Trimestriel!AD25-1)</f>
        <v/>
      </c>
      <c r="AE66" s="75" t="str">
        <f>IF(OR(IPC_Trimestriel!AI25="",IPC_Trimestriel!AE25=""),"",IPC_Trimestriel!AI25/IPC_Trimestriel!AE25-1)</f>
        <v/>
      </c>
      <c r="AF66" s="75" t="str">
        <f>IF(OR(IPC_Trimestriel!AJ25="",IPC_Trimestriel!AF25=""),"",IPC_Trimestriel!AJ25/IPC_Trimestriel!AF25-1)</f>
        <v/>
      </c>
      <c r="AG66" s="75" t="str">
        <f>IF(OR(IPC_Trimestriel!AK25="",IPC_Trimestriel!AG25=""),"",IPC_Trimestriel!AK25/IPC_Trimestriel!AG25-1)</f>
        <v/>
      </c>
      <c r="AH66" s="75" t="str">
        <f>IF(OR(IPC_Trimestriel!AL25="",IPC_Trimestriel!AH25=""),"",IPC_Trimestriel!AL25/IPC_Trimestriel!AH25-1)</f>
        <v/>
      </c>
      <c r="AI66" s="75" t="str">
        <f>IF(OR(IPC_Trimestriel!AM25="",IPC_Trimestriel!AI25=""),"",IPC_Trimestriel!AM25/IPC_Trimestriel!AI25-1)</f>
        <v/>
      </c>
      <c r="AJ66" s="75" t="str">
        <f>IF(OR(IPC_Trimestriel!AN25="",IPC_Trimestriel!AJ25=""),"",IPC_Trimestriel!AN25/IPC_Trimestriel!AJ25-1)</f>
        <v/>
      </c>
      <c r="AK66" s="75" t="str">
        <f>IF(OR(IPC_Trimestriel!AO25="",IPC_Trimestriel!AK25=""),"",IPC_Trimestriel!AO25/IPC_Trimestriel!AK25-1)</f>
        <v/>
      </c>
      <c r="AL66" s="75" t="str">
        <f>IF(OR(IPC_Trimestriel!AP25="",IPC_Trimestriel!AL25=""),"",IPC_Trimestriel!AP25/IPC_Trimestriel!AL25-1)</f>
        <v/>
      </c>
      <c r="AM66" s="75" t="str">
        <f>IF(OR(IPC_Trimestriel!AQ25="",IPC_Trimestriel!AM25=""),"",IPC_Trimestriel!AQ25/IPC_Trimestriel!AM25-1)</f>
        <v/>
      </c>
      <c r="AN66" s="75" t="str">
        <f>IF(OR(IPC_Trimestriel!AR25="",IPC_Trimestriel!AN25=""),"",IPC_Trimestriel!AR25/IPC_Trimestriel!AN25-1)</f>
        <v/>
      </c>
      <c r="AO66" s="75" t="str">
        <f>IF(OR(IPC_Trimestriel!AS25="",IPC_Trimestriel!AO25=""),"",IPC_Trimestriel!AS25/IPC_Trimestriel!AO25-1)</f>
        <v/>
      </c>
      <c r="AP66" s="75" t="str">
        <f>IF(OR(IPC_Trimestriel!AT25="",IPC_Trimestriel!AP25=""),"",IPC_Trimestriel!AT25/IPC_Trimestriel!AP25-1)</f>
        <v/>
      </c>
      <c r="AQ66" s="75" t="str">
        <f>IF(OR(IPC_Trimestriel!AU25="",IPC_Trimestriel!AQ25=""),"",IPC_Trimestriel!AU25/IPC_Trimestriel!AQ25-1)</f>
        <v/>
      </c>
      <c r="AR66" s="75" t="str">
        <f>IF(OR(IPC_Trimestriel!AV25="",IPC_Trimestriel!AR25=""),"",IPC_Trimestriel!AV25/IPC_Trimestriel!AR25-1)</f>
        <v/>
      </c>
      <c r="AS66" s="75" t="str">
        <f>IF(OR(IPC_Trimestriel!AW25="",IPC_Trimestriel!AS25=""),"",IPC_Trimestriel!AW25/IPC_Trimestriel!AS25-1)</f>
        <v/>
      </c>
      <c r="AT66" s="75" t="str">
        <f>IF(OR(IPC_Trimestriel!AX25="",IPC_Trimestriel!AT25=""),"",IPC_Trimestriel!AX25/IPC_Trimestriel!AT25-1)</f>
        <v/>
      </c>
      <c r="AU66" s="75" t="str">
        <f>IF(OR(IPC_Trimestriel!AY25="",IPC_Trimestriel!AU25=""),"",IPC_Trimestriel!AY25/IPC_Trimestriel!AU25-1)</f>
        <v/>
      </c>
      <c r="AV66" s="75" t="str">
        <f>IF(OR(IPC_Trimestriel!AZ25="",IPC_Trimestriel!AV25=""),"",IPC_Trimestriel!AZ25/IPC_Trimestriel!AV25-1)</f>
        <v/>
      </c>
      <c r="AW66" s="75" t="str">
        <f>IF(OR(IPC_Trimestriel!BA25="",IPC_Trimestriel!AW25=""),"",IPC_Trimestriel!BA25/IPC_Trimestriel!AW25-1)</f>
        <v/>
      </c>
      <c r="AX66" s="75" t="str">
        <f>IF(OR(IPC_Trimestriel!BB25="",IPC_Trimestriel!AX25=""),"",IPC_Trimestriel!BB25/IPC_Trimestriel!AX25-1)</f>
        <v/>
      </c>
      <c r="AY66" s="75" t="str">
        <f>IF(OR(IPC_Trimestriel!BC25="",IPC_Trimestriel!AY25=""),"",IPC_Trimestriel!BC25/IPC_Trimestriel!AY25-1)</f>
        <v/>
      </c>
      <c r="AZ66" s="75">
        <f>IF(OR(IPC_Trimestriel!BD25="",IPC_Trimestriel!AZ25=""),"",IPC_Trimestriel!BD25/IPC_Trimestriel!AZ25-1)</f>
        <v>1.7562885985002996E-3</v>
      </c>
      <c r="BA66" s="75">
        <f>IF(OR(IPC_Trimestriel!BE25="",IPC_Trimestriel!BA25=""),"",IPC_Trimestriel!BE25/IPC_Trimestriel!BA25-1)</f>
        <v>6.2345398121019802E-3</v>
      </c>
      <c r="BB66" s="75">
        <f>IF(OR(IPC_Trimestriel!BF25="",IPC_Trimestriel!BB25=""),"",IPC_Trimestriel!BF25/IPC_Trimestriel!BB25-1)</f>
        <v>7.0353277329926467E-3</v>
      </c>
      <c r="BC66" s="75">
        <f>IF(OR(IPC_Trimestriel!BG25="",IPC_Trimestriel!BC25=""),"",IPC_Trimestriel!BG25/IPC_Trimestriel!BC25-1)</f>
        <v>1.3723683907111983E-3</v>
      </c>
      <c r="BD66" s="75">
        <f>IF(OR(IPC_Trimestriel!BH25="",IPC_Trimestriel!BD25=""),"",IPC_Trimestriel!BH25/IPC_Trimestriel!BD25-1)</f>
        <v>2.2815830138540605E-3</v>
      </c>
      <c r="BE66" s="75">
        <f>IF(OR(IPC_Trimestriel!BI25="",IPC_Trimestriel!BE25=""),"",IPC_Trimestriel!BI25/IPC_Trimestriel!BE25-1)</f>
        <v>-1.8506272678577851E-3</v>
      </c>
      <c r="BF66" s="75">
        <f>IF(OR(IPC_Trimestriel!BJ25="",IPC_Trimestriel!BF25=""),"",IPC_Trimestriel!BJ25/IPC_Trimestriel!BF25-1)</f>
        <v>8.198383571475687E-2</v>
      </c>
      <c r="BG66" s="75">
        <f>IF(OR(IPC_Trimestriel!BK25="",IPC_Trimestriel!BG25=""),"",IPC_Trimestriel!BK25/IPC_Trimestriel!BG25-1)</f>
        <v>8.5991389812965835E-2</v>
      </c>
      <c r="BH66" s="75">
        <f>IF(OR(IPC_Trimestriel!BL25="",IPC_Trimestriel!BH25=""),"",IPC_Trimestriel!BL25/IPC_Trimestriel!BH25-1)</f>
        <v>8.3438657393423599E-2</v>
      </c>
      <c r="BI66" s="75">
        <f>IF(OR(IPC_Trimestriel!BM25="",IPC_Trimestriel!BI25=""),"",IPC_Trimestriel!BM25/IPC_Trimestriel!BI25-1)</f>
        <v>8.5044090888326984E-2</v>
      </c>
      <c r="BJ66" s="75">
        <f>IF(OR(IPC_Trimestriel!BN25="",IPC_Trimestriel!BJ25=""),"",IPC_Trimestriel!BN25/IPC_Trimestriel!BJ25-1)</f>
        <v>1.2806439756574139E-3</v>
      </c>
      <c r="BK66" s="75">
        <f>IF(OR(IPC_Trimestriel!BO25="",IPC_Trimestriel!BK25=""),"",IPC_Trimestriel!BO25/IPC_Trimestriel!BK25-1)</f>
        <v>1.7517739577947999E-3</v>
      </c>
      <c r="BL66" s="75">
        <f>IF(OR(IPC_Trimestriel!BP25="",IPC_Trimestriel!BL25=""),"",IPC_Trimestriel!BP25/IPC_Trimestriel!BL25-1)</f>
        <v>-1.3424542929478811E-2</v>
      </c>
      <c r="BM66" s="75">
        <f>IF(OR(IPC_Trimestriel!BQ25="",IPC_Trimestriel!BM25=""),"",IPC_Trimestriel!BQ25/IPC_Trimestriel!BM25-1)</f>
        <v>-1.5477396587773584E-2</v>
      </c>
      <c r="BN66" s="75">
        <f>IF(OR(IPC_Trimestriel!BR25="",IPC_Trimestriel!BN25=""),"",IPC_Trimestriel!BR25/IPC_Trimestriel!BN25-1)</f>
        <v>-1.4533088621127122E-2</v>
      </c>
      <c r="BO66" s="75">
        <f>IF(OR(IPC_Trimestriel!BS25="",IPC_Trimestriel!BO25=""),"",IPC_Trimestriel!BS25/IPC_Trimestriel!BO25-1)</f>
        <v>-1.5119803032168089E-2</v>
      </c>
      <c r="BP66" s="75">
        <f>IF(OR(IPC_Trimestriel!BT25="",IPC_Trimestriel!BP25=""),"",IPC_Trimestriel!BT25/IPC_Trimestriel!BP25-1)</f>
        <v>1.5437580017703123E-3</v>
      </c>
      <c r="BQ66" s="75">
        <f>IF(OR(IPC_Trimestriel!BU25="",IPC_Trimestriel!BQ25=""),"",IPC_Trimestriel!BU25/IPC_Trimestriel!BQ25-1)</f>
        <v>2.6300851306102491E-3</v>
      </c>
      <c r="BR66" s="75">
        <f>IF(OR(IPC_Trimestriel!BV25="",IPC_Trimestriel!BR25=""),"",IPC_Trimestriel!BV25/IPC_Trimestriel!BR25-1)</f>
        <v>3.319711266521308E-3</v>
      </c>
      <c r="BS66" s="75">
        <f>IF(OR(IPC_Trimestriel!BW25="",IPC_Trimestriel!BS25=""),"",IPC_Trimestriel!BW25/IPC_Trimestriel!BS25-1)</f>
        <v>2.4660630338799727E-3</v>
      </c>
      <c r="BT66" s="75">
        <f>IF(OR(IPC_Trimestriel!BX25="",IPC_Trimestriel!BT25=""),"",IPC_Trimestriel!BX25/IPC_Trimestriel!BT25-1)</f>
        <v>1.8387480042556525E-3</v>
      </c>
      <c r="BU66" s="75">
        <f>IF(OR(IPC_Trimestriel!BY25="",IPC_Trimestriel!BU25=""),"",IPC_Trimestriel!BY25/IPC_Trimestriel!BU25-1)</f>
        <v>5.3184300096176251E-3</v>
      </c>
      <c r="BV66" s="75">
        <f>IF(OR(IPC_Trimestriel!BZ25="",IPC_Trimestriel!BV25=""),"",IPC_Trimestriel!BZ25/IPC_Trimestriel!BV25-1)</f>
        <v>4.6783928937539354E-3</v>
      </c>
      <c r="BW66" s="75">
        <f>IF(OR(IPC_Trimestriel!CA25="",IPC_Trimestriel!BW25=""),"",IPC_Trimestriel!CA25/IPC_Trimestriel!BW25-1)</f>
        <v>4.9227373179441258E-3</v>
      </c>
      <c r="BX66" s="75">
        <f>IF(OR(IPC_Trimestriel!CB25="",IPC_Trimestriel!BX25=""),"",IPC_Trimestriel!CB25/IPC_Trimestriel!BX25-1)</f>
        <v>4.770848704990005E-3</v>
      </c>
      <c r="BY66" s="75">
        <f>IF(OR(IPC_Trimestriel!CC25="",IPC_Trimestriel!BY25=""),"",IPC_Trimestriel!CC25/IPC_Trimestriel!BY25-1)</f>
        <v>1.8057036159331297E-3</v>
      </c>
      <c r="BZ66" s="75">
        <f>IF(OR(IPC_Trimestriel!CD25="",IPC_Trimestriel!BZ25=""),"",IPC_Trimestriel!CD25/IPC_Trimestriel!BZ25-1)</f>
        <v>1.1256899401608234E-3</v>
      </c>
      <c r="CA66" s="75">
        <f>IF(OR(IPC_Trimestriel!CE25="",IPC_Trimestriel!CA25=""),"",IPC_Trimestriel!CE25/IPC_Trimestriel!CA25-1)</f>
        <v>-1.3204834391811193E-4</v>
      </c>
      <c r="CB66" s="75">
        <f>IF(OR(IPC_Trimestriel!CF25="",IPC_Trimestriel!CB25=""),"",IPC_Trimestriel!CF25/IPC_Trimestriel!CB25-1)</f>
        <v>5.8826360278052547E-4</v>
      </c>
      <c r="CC66" s="75">
        <f>IF(OR(IPC_Trimestriel!CG25="",IPC_Trimestriel!CC25=""),"",IPC_Trimestriel!CG25/IPC_Trimestriel!CC25-1)</f>
        <v>6.4800629996037973E-3</v>
      </c>
      <c r="CD66" s="75">
        <f>IF(OR(IPC_Trimestriel!CH25="",IPC_Trimestriel!CD25=""),"",IPC_Trimestriel!CH25/IPC_Trimestriel!CD25-1)</f>
        <v>8.7091235088132546E-3</v>
      </c>
      <c r="CE66" s="75">
        <f>IF(OR(IPC_Trimestriel!CI25="",IPC_Trimestriel!CE25=""),"",IPC_Trimestriel!CI25/IPC_Trimestriel!CE25-1)</f>
        <v>8.7587969167770563E-3</v>
      </c>
      <c r="CF66" s="75">
        <f>IF(OR(IPC_Trimestriel!CJ25="",IPC_Trimestriel!CF25=""),"",IPC_Trimestriel!CJ25/IPC_Trimestriel!CF25-1)</f>
        <v>8.0209076966863968E-3</v>
      </c>
      <c r="CG66" s="75">
        <f>IF(OR(IPC_Trimestriel!CK25="",IPC_Trimestriel!CG25=""),"",IPC_Trimestriel!CK25/IPC_Trimestriel!CG25-1)</f>
        <v>2.0788286701092229E-3</v>
      </c>
      <c r="CH66" s="75">
        <f>IF(OR(IPC_Trimestriel!CL25="",IPC_Trimestriel!CH25=""),"",IPC_Trimestriel!CL25/IPC_Trimestriel!CH25-1)</f>
        <v>3.4636561075140904E-4</v>
      </c>
      <c r="CI66" s="75">
        <f>IF(OR(IPC_Trimestriel!CM25="",IPC_Trimestriel!CI25=""),"",IPC_Trimestriel!CM25/IPC_Trimestriel!CI25-1)</f>
        <v>5.3794178771893186E-4</v>
      </c>
      <c r="CJ66" s="75">
        <f>IF(OR(IPC_Trimestriel!CN25="",IPC_Trimestriel!CJ25=""),"",IPC_Trimestriel!CN25/IPC_Trimestriel!CJ25-1)</f>
        <v>2.5299535922318483E-3</v>
      </c>
      <c r="CK66" s="75">
        <f>IF(OR(IPC_Trimestriel!CO25="",IPC_Trimestriel!CK25=""),"",IPC_Trimestriel!CO25/IPC_Trimestriel!CK25-1)</f>
        <v>4.8956804736939308E-3</v>
      </c>
      <c r="CL66" s="75">
        <f>IF(OR(IPC_Trimestriel!CP25="",IPC_Trimestriel!CL25=""),"",IPC_Trimestriel!CP25/IPC_Trimestriel!CL25-1)</f>
        <v>4.8851370987141873E-3</v>
      </c>
      <c r="CM66" s="75">
        <f>IF(OR(IPC_Trimestriel!CQ25="",IPC_Trimestriel!CM25=""),"",IPC_Trimestriel!CQ25/IPC_Trimestriel!CM25-1)</f>
        <v>1.9698204442281542E-2</v>
      </c>
      <c r="CN66" s="75" t="str">
        <f>IF(OR(IPC_Trimestriel!CR25="",IPC_Trimestriel!CN25=""),"",IPC_Trimestriel!CR25/IPC_Trimestriel!CN25-1)</f>
        <v/>
      </c>
      <c r="CO66" s="75" t="str">
        <f>IF(OR(IPC_Trimestriel!CS25="",IPC_Trimestriel!CO25=""),"",IPC_Trimestriel!CS25/IPC_Trimestriel!CO25-1)</f>
        <v/>
      </c>
      <c r="CP66" s="75" t="str">
        <f>IF(OR(IPC_Trimestriel!CT25="",IPC_Trimestriel!CP25=""),"",IPC_Trimestriel!CT25/IPC_Trimestriel!CP25-1)</f>
        <v/>
      </c>
    </row>
    <row r="67" spans="1:94" s="74" customFormat="1" ht="10.199999999999999" x14ac:dyDescent="0.2">
      <c r="B67" s="3" t="s">
        <v>106</v>
      </c>
      <c r="D67" s="75" t="str">
        <f>IF(OR(IPC_Trimestriel!H26="",IPC_Trimestriel!D26=""),"",IPC_Trimestriel!H26/IPC_Trimestriel!D26-1)</f>
        <v/>
      </c>
      <c r="E67" s="75" t="str">
        <f>IF(OR(IPC_Trimestriel!I26="",IPC_Trimestriel!E26=""),"",IPC_Trimestriel!I26/IPC_Trimestriel!E26-1)</f>
        <v/>
      </c>
      <c r="F67" s="75" t="str">
        <f>IF(OR(IPC_Trimestriel!J26="",IPC_Trimestriel!F26=""),"",IPC_Trimestriel!J26/IPC_Trimestriel!F26-1)</f>
        <v/>
      </c>
      <c r="G67" s="75" t="str">
        <f>IF(OR(IPC_Trimestriel!K26="",IPC_Trimestriel!G26=""),"",IPC_Trimestriel!K26/IPC_Trimestriel!G26-1)</f>
        <v/>
      </c>
      <c r="H67" s="75" t="str">
        <f>IF(OR(IPC_Trimestriel!L26="",IPC_Trimestriel!H26=""),"",IPC_Trimestriel!L26/IPC_Trimestriel!H26-1)</f>
        <v/>
      </c>
      <c r="I67" s="75" t="str">
        <f>IF(OR(IPC_Trimestriel!M26="",IPC_Trimestriel!I26=""),"",IPC_Trimestriel!M26/IPC_Trimestriel!I26-1)</f>
        <v/>
      </c>
      <c r="J67" s="75" t="str">
        <f>IF(OR(IPC_Trimestriel!N26="",IPC_Trimestriel!J26=""),"",IPC_Trimestriel!N26/IPC_Trimestriel!J26-1)</f>
        <v/>
      </c>
      <c r="K67" s="75" t="str">
        <f>IF(OR(IPC_Trimestriel!O26="",IPC_Trimestriel!K26=""),"",IPC_Trimestriel!O26/IPC_Trimestriel!K26-1)</f>
        <v/>
      </c>
      <c r="L67" s="75" t="str">
        <f>IF(OR(IPC_Trimestriel!P26="",IPC_Trimestriel!L26=""),"",IPC_Trimestriel!P26/IPC_Trimestriel!L26-1)</f>
        <v/>
      </c>
      <c r="M67" s="75" t="str">
        <f>IF(OR(IPC_Trimestriel!Q26="",IPC_Trimestriel!M26=""),"",IPC_Trimestriel!Q26/IPC_Trimestriel!M26-1)</f>
        <v/>
      </c>
      <c r="N67" s="75" t="str">
        <f>IF(OR(IPC_Trimestriel!R26="",IPC_Trimestriel!N26=""),"",IPC_Trimestriel!R26/IPC_Trimestriel!N26-1)</f>
        <v/>
      </c>
      <c r="O67" s="75" t="str">
        <f>IF(OR(IPC_Trimestriel!S26="",IPC_Trimestriel!O26=""),"",IPC_Trimestriel!S26/IPC_Trimestriel!O26-1)</f>
        <v/>
      </c>
      <c r="P67" s="75" t="str">
        <f>IF(OR(IPC_Trimestriel!T26="",IPC_Trimestriel!P26=""),"",IPC_Trimestriel!T26/IPC_Trimestriel!P26-1)</f>
        <v/>
      </c>
      <c r="Q67" s="75" t="str">
        <f>IF(OR(IPC_Trimestriel!U26="",IPC_Trimestriel!Q26=""),"",IPC_Trimestriel!U26/IPC_Trimestriel!Q26-1)</f>
        <v/>
      </c>
      <c r="R67" s="75" t="str">
        <f>IF(OR(IPC_Trimestriel!V26="",IPC_Trimestriel!R26=""),"",IPC_Trimestriel!V26/IPC_Trimestriel!R26-1)</f>
        <v/>
      </c>
      <c r="S67" s="75" t="str">
        <f>IF(OR(IPC_Trimestriel!W26="",IPC_Trimestriel!S26=""),"",IPC_Trimestriel!W26/IPC_Trimestriel!S26-1)</f>
        <v/>
      </c>
      <c r="T67" s="75" t="str">
        <f>IF(OR(IPC_Trimestriel!X26="",IPC_Trimestriel!T26=""),"",IPC_Trimestriel!X26/IPC_Trimestriel!T26-1)</f>
        <v/>
      </c>
      <c r="U67" s="75" t="str">
        <f>IF(OR(IPC_Trimestriel!Y26="",IPC_Trimestriel!U26=""),"",IPC_Trimestriel!Y26/IPC_Trimestriel!U26-1)</f>
        <v/>
      </c>
      <c r="V67" s="75" t="str">
        <f>IF(OR(IPC_Trimestriel!Z26="",IPC_Trimestriel!V26=""),"",IPC_Trimestriel!Z26/IPC_Trimestriel!V26-1)</f>
        <v/>
      </c>
      <c r="W67" s="75" t="str">
        <f>IF(OR(IPC_Trimestriel!AA26="",IPC_Trimestriel!W26=""),"",IPC_Trimestriel!AA26/IPC_Trimestriel!W26-1)</f>
        <v/>
      </c>
      <c r="X67" s="75" t="str">
        <f>IF(OR(IPC_Trimestriel!AB26="",IPC_Trimestriel!X26=""),"",IPC_Trimestriel!AB26/IPC_Trimestriel!X26-1)</f>
        <v/>
      </c>
      <c r="Y67" s="75" t="str">
        <f>IF(OR(IPC_Trimestriel!AC26="",IPC_Trimestriel!Y26=""),"",IPC_Trimestriel!AC26/IPC_Trimestriel!Y26-1)</f>
        <v/>
      </c>
      <c r="Z67" s="75" t="str">
        <f>IF(OR(IPC_Trimestriel!AD26="",IPC_Trimestriel!Z26=""),"",IPC_Trimestriel!AD26/IPC_Trimestriel!Z26-1)</f>
        <v/>
      </c>
      <c r="AA67" s="75" t="str">
        <f>IF(OR(IPC_Trimestriel!AE26="",IPC_Trimestriel!AA26=""),"",IPC_Trimestriel!AE26/IPC_Trimestriel!AA26-1)</f>
        <v/>
      </c>
      <c r="AB67" s="75" t="str">
        <f>IF(OR(IPC_Trimestriel!AF26="",IPC_Trimestriel!AB26=""),"",IPC_Trimestriel!AF26/IPC_Trimestriel!AB26-1)</f>
        <v/>
      </c>
      <c r="AC67" s="75" t="str">
        <f>IF(OR(IPC_Trimestriel!AG26="",IPC_Trimestriel!AC26=""),"",IPC_Trimestriel!AG26/IPC_Trimestriel!AC26-1)</f>
        <v/>
      </c>
      <c r="AD67" s="75" t="str">
        <f>IF(OR(IPC_Trimestriel!AH26="",IPC_Trimestriel!AD26=""),"",IPC_Trimestriel!AH26/IPC_Trimestriel!AD26-1)</f>
        <v/>
      </c>
      <c r="AE67" s="75" t="str">
        <f>IF(OR(IPC_Trimestriel!AI26="",IPC_Trimestriel!AE26=""),"",IPC_Trimestriel!AI26/IPC_Trimestriel!AE26-1)</f>
        <v/>
      </c>
      <c r="AF67" s="75" t="str">
        <f>IF(OR(IPC_Trimestriel!AJ26="",IPC_Trimestriel!AF26=""),"",IPC_Trimestriel!AJ26/IPC_Trimestriel!AF26-1)</f>
        <v/>
      </c>
      <c r="AG67" s="75" t="str">
        <f>IF(OR(IPC_Trimestriel!AK26="",IPC_Trimestriel!AG26=""),"",IPC_Trimestriel!AK26/IPC_Trimestriel!AG26-1)</f>
        <v/>
      </c>
      <c r="AH67" s="75" t="str">
        <f>IF(OR(IPC_Trimestriel!AL26="",IPC_Trimestriel!AH26=""),"",IPC_Trimestriel!AL26/IPC_Trimestriel!AH26-1)</f>
        <v/>
      </c>
      <c r="AI67" s="75" t="str">
        <f>IF(OR(IPC_Trimestriel!AM26="",IPC_Trimestriel!AI26=""),"",IPC_Trimestriel!AM26/IPC_Trimestriel!AI26-1)</f>
        <v/>
      </c>
      <c r="AJ67" s="75" t="str">
        <f>IF(OR(IPC_Trimestriel!AN26="",IPC_Trimestriel!AJ26=""),"",IPC_Trimestriel!AN26/IPC_Trimestriel!AJ26-1)</f>
        <v/>
      </c>
      <c r="AK67" s="75" t="str">
        <f>IF(OR(IPC_Trimestriel!AO26="",IPC_Trimestriel!AK26=""),"",IPC_Trimestriel!AO26/IPC_Trimestriel!AK26-1)</f>
        <v/>
      </c>
      <c r="AL67" s="75" t="str">
        <f>IF(OR(IPC_Trimestriel!AP26="",IPC_Trimestriel!AL26=""),"",IPC_Trimestriel!AP26/IPC_Trimestriel!AL26-1)</f>
        <v/>
      </c>
      <c r="AM67" s="75" t="str">
        <f>IF(OR(IPC_Trimestriel!AQ26="",IPC_Trimestriel!AM26=""),"",IPC_Trimestriel!AQ26/IPC_Trimestriel!AM26-1)</f>
        <v/>
      </c>
      <c r="AN67" s="75" t="str">
        <f>IF(OR(IPC_Trimestriel!AR26="",IPC_Trimestriel!AN26=""),"",IPC_Trimestriel!AR26/IPC_Trimestriel!AN26-1)</f>
        <v/>
      </c>
      <c r="AO67" s="75" t="str">
        <f>IF(OR(IPC_Trimestriel!AS26="",IPC_Trimestriel!AO26=""),"",IPC_Trimestriel!AS26/IPC_Trimestriel!AO26-1)</f>
        <v/>
      </c>
      <c r="AP67" s="75" t="str">
        <f>IF(OR(IPC_Trimestriel!AT26="",IPC_Trimestriel!AP26=""),"",IPC_Trimestriel!AT26/IPC_Trimestriel!AP26-1)</f>
        <v/>
      </c>
      <c r="AQ67" s="75" t="str">
        <f>IF(OR(IPC_Trimestriel!AU26="",IPC_Trimestriel!AQ26=""),"",IPC_Trimestriel!AU26/IPC_Trimestriel!AQ26-1)</f>
        <v/>
      </c>
      <c r="AR67" s="75" t="str">
        <f>IF(OR(IPC_Trimestriel!AV26="",IPC_Trimestriel!AR26=""),"",IPC_Trimestriel!AV26/IPC_Trimestriel!AR26-1)</f>
        <v/>
      </c>
      <c r="AS67" s="75" t="str">
        <f>IF(OR(IPC_Trimestriel!AW26="",IPC_Trimestriel!AS26=""),"",IPC_Trimestriel!AW26/IPC_Trimestriel!AS26-1)</f>
        <v/>
      </c>
      <c r="AT67" s="75" t="str">
        <f>IF(OR(IPC_Trimestriel!AX26="",IPC_Trimestriel!AT26=""),"",IPC_Trimestriel!AX26/IPC_Trimestriel!AT26-1)</f>
        <v/>
      </c>
      <c r="AU67" s="75" t="str">
        <f>IF(OR(IPC_Trimestriel!AY26="",IPC_Trimestriel!AU26=""),"",IPC_Trimestriel!AY26/IPC_Trimestriel!AU26-1)</f>
        <v/>
      </c>
      <c r="AV67" s="75" t="str">
        <f>IF(OR(IPC_Trimestriel!AZ26="",IPC_Trimestriel!AV26=""),"",IPC_Trimestriel!AZ26/IPC_Trimestriel!AV26-1)</f>
        <v/>
      </c>
      <c r="AW67" s="75" t="str">
        <f>IF(OR(IPC_Trimestriel!BA26="",IPC_Trimestriel!AW26=""),"",IPC_Trimestriel!BA26/IPC_Trimestriel!AW26-1)</f>
        <v/>
      </c>
      <c r="AX67" s="75" t="str">
        <f>IF(OR(IPC_Trimestriel!BB26="",IPC_Trimestriel!AX26=""),"",IPC_Trimestriel!BB26/IPC_Trimestriel!AX26-1)</f>
        <v/>
      </c>
      <c r="AY67" s="75" t="str">
        <f>IF(OR(IPC_Trimestriel!BC26="",IPC_Trimestriel!AY26=""),"",IPC_Trimestriel!BC26/IPC_Trimestriel!AY26-1)</f>
        <v/>
      </c>
      <c r="AZ67" s="75">
        <f>IF(OR(IPC_Trimestriel!BD26="",IPC_Trimestriel!AZ26=""),"",IPC_Trimestriel!BD26/IPC_Trimestriel!AZ26-1)</f>
        <v>4.4685424430684684E-2</v>
      </c>
      <c r="BA67" s="75">
        <f>IF(OR(IPC_Trimestriel!BE26="",IPC_Trimestriel!BA26=""),"",IPC_Trimestriel!BE26/IPC_Trimestriel!BA26-1)</f>
        <v>2.9193878170602039E-2</v>
      </c>
      <c r="BB67" s="75">
        <f>IF(OR(IPC_Trimestriel!BF26="",IPC_Trimestriel!BB26=""),"",IPC_Trimestriel!BF26/IPC_Trimestriel!BB26-1)</f>
        <v>3.7002327244356925E-2</v>
      </c>
      <c r="BC67" s="75">
        <f>IF(OR(IPC_Trimestriel!BG26="",IPC_Trimestriel!BC26=""),"",IPC_Trimestriel!BG26/IPC_Trimestriel!BC26-1)</f>
        <v>5.3814132905980472E-2</v>
      </c>
      <c r="BD67" s="75">
        <f>IF(OR(IPC_Trimestriel!BH26="",IPC_Trimestriel!BD26=""),"",IPC_Trimestriel!BH26/IPC_Trimestriel!BD26-1)</f>
        <v>2.8295012565733302E-2</v>
      </c>
      <c r="BE67" s="75">
        <f>IF(OR(IPC_Trimestriel!BI26="",IPC_Trimestriel!BE26=""),"",IPC_Trimestriel!BI26/IPC_Trimestriel!BE26-1)</f>
        <v>2.435008132336014E-2</v>
      </c>
      <c r="BF67" s="75">
        <f>IF(OR(IPC_Trimestriel!BJ26="",IPC_Trimestriel!BF26=""),"",IPC_Trimestriel!BJ26/IPC_Trimestriel!BF26-1)</f>
        <v>2.0440259642702907E-2</v>
      </c>
      <c r="BG67" s="75">
        <f>IF(OR(IPC_Trimestriel!BK26="",IPC_Trimestriel!BG26=""),"",IPC_Trimestriel!BK26/IPC_Trimestriel!BG26-1)</f>
        <v>1.5775057726646446E-2</v>
      </c>
      <c r="BH67" s="75">
        <f>IF(OR(IPC_Trimestriel!BL26="",IPC_Trimestriel!BH26=""),"",IPC_Trimestriel!BL26/IPC_Trimestriel!BH26-1)</f>
        <v>2.2138857374283338E-2</v>
      </c>
      <c r="BI67" s="75">
        <f>IF(OR(IPC_Trimestriel!BM26="",IPC_Trimestriel!BI26=""),"",IPC_Trimestriel!BM26/IPC_Trimestriel!BI26-1)</f>
        <v>4.0464541343698146E-2</v>
      </c>
      <c r="BJ67" s="75">
        <f>IF(OR(IPC_Trimestriel!BN26="",IPC_Trimestriel!BJ26=""),"",IPC_Trimestriel!BN26/IPC_Trimestriel!BJ26-1)</f>
        <v>4.6465658761232431E-2</v>
      </c>
      <c r="BK67" s="75">
        <f>IF(OR(IPC_Trimestriel!BO26="",IPC_Trimestriel!BK26=""),"",IPC_Trimestriel!BO26/IPC_Trimestriel!BK26-1)</f>
        <v>3.1578291237356337E-2</v>
      </c>
      <c r="BL67" s="75">
        <f>IF(OR(IPC_Trimestriel!BP26="",IPC_Trimestriel!BL26=""),"",IPC_Trimestriel!BP26/IPC_Trimestriel!BL26-1)</f>
        <v>4.0587860472423909E-2</v>
      </c>
      <c r="BM67" s="75">
        <f>IF(OR(IPC_Trimestriel!BQ26="",IPC_Trimestriel!BM26=""),"",IPC_Trimestriel!BQ26/IPC_Trimestriel!BM26-1)</f>
        <v>4.3690214876726419E-2</v>
      </c>
      <c r="BN67" s="75">
        <f>IF(OR(IPC_Trimestriel!BR26="",IPC_Trimestriel!BN26=""),"",IPC_Trimestriel!BR26/IPC_Trimestriel!BN26-1)</f>
        <v>2.0136448702903875E-2</v>
      </c>
      <c r="BO67" s="75">
        <f>IF(OR(IPC_Trimestriel!BS26="",IPC_Trimestriel!BO26=""),"",IPC_Trimestriel!BS26/IPC_Trimestriel!BO26-1)</f>
        <v>-7.9956907331317773E-3</v>
      </c>
      <c r="BP67" s="75">
        <f>IF(OR(IPC_Trimestriel!BT26="",IPC_Trimestriel!BP26=""),"",IPC_Trimestriel!BT26/IPC_Trimestriel!BP26-1)</f>
        <v>-1.0824188478289032E-2</v>
      </c>
      <c r="BQ67" s="75">
        <f>IF(OR(IPC_Trimestriel!BU26="",IPC_Trimestriel!BQ26=""),"",IPC_Trimestriel!BU26/IPC_Trimestriel!BQ26-1)</f>
        <v>-5.9622580230709321E-3</v>
      </c>
      <c r="BR67" s="75">
        <f>IF(OR(IPC_Trimestriel!BV26="",IPC_Trimestriel!BR26=""),"",IPC_Trimestriel!BV26/IPC_Trimestriel!BR26-1)</f>
        <v>3.5061521473882529E-3</v>
      </c>
      <c r="BS67" s="75">
        <f>IF(OR(IPC_Trimestriel!BW26="",IPC_Trimestriel!BS26=""),"",IPC_Trimestriel!BW26/IPC_Trimestriel!BS26-1)</f>
        <v>2.1996379269873634E-2</v>
      </c>
      <c r="BT67" s="75">
        <f>IF(OR(IPC_Trimestriel!BX26="",IPC_Trimestriel!BT26=""),"",IPC_Trimestriel!BX26/IPC_Trimestriel!BT26-1)</f>
        <v>2.7089842892583205E-2</v>
      </c>
      <c r="BU67" s="75">
        <f>IF(OR(IPC_Trimestriel!BY26="",IPC_Trimestriel!BU26=""),"",IPC_Trimestriel!BY26/IPC_Trimestriel!BU26-1)</f>
        <v>5.7305366770066257E-3</v>
      </c>
      <c r="BV67" s="75">
        <f>IF(OR(IPC_Trimestriel!BZ26="",IPC_Trimestriel!BV26=""),"",IPC_Trimestriel!BZ26/IPC_Trimestriel!BV26-1)</f>
        <v>-4.7204917239849209E-3</v>
      </c>
      <c r="BW67" s="75">
        <f>IF(OR(IPC_Trimestriel!CA26="",IPC_Trimestriel!BW26=""),"",IPC_Trimestriel!CA26/IPC_Trimestriel!BW26-1)</f>
        <v>3.4458773393404529E-2</v>
      </c>
      <c r="BX67" s="75">
        <f>IF(OR(IPC_Trimestriel!CB26="",IPC_Trimestriel!BX26=""),"",IPC_Trimestriel!CB26/IPC_Trimestriel!BX26-1)</f>
        <v>3.920509022397356E-2</v>
      </c>
      <c r="BY67" s="75">
        <f>IF(OR(IPC_Trimestriel!CC26="",IPC_Trimestriel!BY26=""),"",IPC_Trimestriel!CC26/IPC_Trimestriel!BY26-1)</f>
        <v>5.1123266799895539E-2</v>
      </c>
      <c r="BZ67" s="75">
        <f>IF(OR(IPC_Trimestriel!CD26="",IPC_Trimestriel!BZ26=""),"",IPC_Trimestriel!CD26/IPC_Trimestriel!BZ26-1)</f>
        <v>6.2821456500663952E-2</v>
      </c>
      <c r="CA67" s="75">
        <f>IF(OR(IPC_Trimestriel!CE26="",IPC_Trimestriel!CA26=""),"",IPC_Trimestriel!CE26/IPC_Trimestriel!CA26-1)</f>
        <v>3.2429754580529435E-2</v>
      </c>
      <c r="CB67" s="75">
        <f>IF(OR(IPC_Trimestriel!CF26="",IPC_Trimestriel!CB26=""),"",IPC_Trimestriel!CF26/IPC_Trimestriel!CB26-1)</f>
        <v>4.5139602694607817E-2</v>
      </c>
      <c r="CC67" s="75">
        <f>IF(OR(IPC_Trimestriel!CG26="",IPC_Trimestriel!CC26=""),"",IPC_Trimestriel!CG26/IPC_Trimestriel!CC26-1)</f>
        <v>3.8103652515016018E-2</v>
      </c>
      <c r="CD67" s="75">
        <f>IF(OR(IPC_Trimestriel!CH26="",IPC_Trimestriel!CD26=""),"",IPC_Trimestriel!CH26/IPC_Trimestriel!CD26-1)</f>
        <v>5.9676571848020776E-2</v>
      </c>
      <c r="CE67" s="75">
        <f>IF(OR(IPC_Trimestriel!CI26="",IPC_Trimestriel!CE26=""),"",IPC_Trimestriel!CI26/IPC_Trimestriel!CE26-1)</f>
        <v>5.6451542097198937E-2</v>
      </c>
      <c r="CF67" s="75">
        <f>IF(OR(IPC_Trimestriel!CJ26="",IPC_Trimestriel!CF26=""),"",IPC_Trimestriel!CJ26/IPC_Trimestriel!CF26-1)</f>
        <v>3.4301450895730667E-2</v>
      </c>
      <c r="CG67" s="75">
        <f>IF(OR(IPC_Trimestriel!CK26="",IPC_Trimestriel!CG26=""),"",IPC_Trimestriel!CK26/IPC_Trimestriel!CG26-1)</f>
        <v>5.1360809800190532E-2</v>
      </c>
      <c r="CH67" s="75">
        <f>IF(OR(IPC_Trimestriel!CL26="",IPC_Trimestriel!CH26=""),"",IPC_Trimestriel!CL26/IPC_Trimestriel!CH26-1)</f>
        <v>5.0128799962175119E-2</v>
      </c>
      <c r="CI67" s="75">
        <f>IF(OR(IPC_Trimestriel!CM26="",IPC_Trimestriel!CI26=""),"",IPC_Trimestriel!CM26/IPC_Trimestriel!CI26-1)</f>
        <v>5.1741592881058285E-2</v>
      </c>
      <c r="CJ67" s="75">
        <f>IF(OR(IPC_Trimestriel!CN26="",IPC_Trimestriel!CJ26=""),"",IPC_Trimestriel!CN26/IPC_Trimestriel!CJ26-1)</f>
        <v>9.9276557486952965E-2</v>
      </c>
      <c r="CK67" s="75">
        <f>IF(OR(IPC_Trimestriel!CO26="",IPC_Trimestriel!CK26=""),"",IPC_Trimestriel!CO26/IPC_Trimestriel!CK26-1)</f>
        <v>9.1676826327305783E-2</v>
      </c>
      <c r="CL67" s="75">
        <f>IF(OR(IPC_Trimestriel!CP26="",IPC_Trimestriel!CL26=""),"",IPC_Trimestriel!CP26/IPC_Trimestriel!CL26-1)</f>
        <v>9.4574579645491097E-2</v>
      </c>
      <c r="CM67" s="75">
        <f>IF(OR(IPC_Trimestriel!CQ26="",IPC_Trimestriel!CM26=""),"",IPC_Trimestriel!CQ26/IPC_Trimestriel!CM26-1)</f>
        <v>0.12011293058463424</v>
      </c>
      <c r="CN67" s="75">
        <f>IF(OR(IPC_Trimestriel!CR26="",IPC_Trimestriel!CN26=""),"",IPC_Trimestriel!CR26/IPC_Trimestriel!CN26-1)</f>
        <v>0.12602765275098204</v>
      </c>
      <c r="CO67" s="75">
        <f>IF(OR(IPC_Trimestriel!CS26="",IPC_Trimestriel!CO26=""),"",IPC_Trimestriel!CS26/IPC_Trimestriel!CO26-1)</f>
        <v>0.15608445998799114</v>
      </c>
      <c r="CP67" s="75">
        <f>IF(OR(IPC_Trimestriel!CT26="",IPC_Trimestriel!CP26=""),"",IPC_Trimestriel!CT26/IPC_Trimestriel!CP26-1)</f>
        <v>0.16576740474121454</v>
      </c>
    </row>
    <row r="68" spans="1:94" s="81" customFormat="1" ht="10.199999999999999" x14ac:dyDescent="0.2">
      <c r="B68" s="81" t="s">
        <v>107</v>
      </c>
      <c r="D68" s="84" t="str">
        <f>IF(OR(IPC_Trimestriel!H27="",IPC_Trimestriel!D27=""),"",IPC_Trimestriel!H27/IPC_Trimestriel!D27-1)</f>
        <v/>
      </c>
      <c r="E68" s="84" t="str">
        <f>IF(OR(IPC_Trimestriel!I27="",IPC_Trimestriel!E27=""),"",IPC_Trimestriel!I27/IPC_Trimestriel!E27-1)</f>
        <v/>
      </c>
      <c r="F68" s="84" t="str">
        <f>IF(OR(IPC_Trimestriel!J27="",IPC_Trimestriel!F27=""),"",IPC_Trimestriel!J27/IPC_Trimestriel!F27-1)</f>
        <v/>
      </c>
      <c r="G68" s="84" t="str">
        <f>IF(OR(IPC_Trimestriel!K27="",IPC_Trimestriel!G27=""),"",IPC_Trimestriel!K27/IPC_Trimestriel!G27-1)</f>
        <v/>
      </c>
      <c r="H68" s="84" t="str">
        <f>IF(OR(IPC_Trimestriel!L27="",IPC_Trimestriel!H27=""),"",IPC_Trimestriel!L27/IPC_Trimestriel!H27-1)</f>
        <v/>
      </c>
      <c r="I68" s="84" t="str">
        <f>IF(OR(IPC_Trimestriel!M27="",IPC_Trimestriel!I27=""),"",IPC_Trimestriel!M27/IPC_Trimestriel!I27-1)</f>
        <v/>
      </c>
      <c r="J68" s="84" t="str">
        <f>IF(OR(IPC_Trimestriel!N27="",IPC_Trimestriel!J27=""),"",IPC_Trimestriel!N27/IPC_Trimestriel!J27-1)</f>
        <v/>
      </c>
      <c r="K68" s="84" t="str">
        <f>IF(OR(IPC_Trimestriel!O27="",IPC_Trimestriel!K27=""),"",IPC_Trimestriel!O27/IPC_Trimestriel!K27-1)</f>
        <v/>
      </c>
      <c r="L68" s="84" t="str">
        <f>IF(OR(IPC_Trimestriel!P27="",IPC_Trimestriel!L27=""),"",IPC_Trimestriel!P27/IPC_Trimestriel!L27-1)</f>
        <v/>
      </c>
      <c r="M68" s="84" t="str">
        <f>IF(OR(IPC_Trimestriel!Q27="",IPC_Trimestriel!M27=""),"",IPC_Trimestriel!Q27/IPC_Trimestriel!M27-1)</f>
        <v/>
      </c>
      <c r="N68" s="84" t="str">
        <f>IF(OR(IPC_Trimestriel!R27="",IPC_Trimestriel!N27=""),"",IPC_Trimestriel!R27/IPC_Trimestriel!N27-1)</f>
        <v/>
      </c>
      <c r="O68" s="84" t="str">
        <f>IF(OR(IPC_Trimestriel!S27="",IPC_Trimestriel!O27=""),"",IPC_Trimestriel!S27/IPC_Trimestriel!O27-1)</f>
        <v/>
      </c>
      <c r="P68" s="84" t="str">
        <f>IF(OR(IPC_Trimestriel!T27="",IPC_Trimestriel!P27=""),"",IPC_Trimestriel!T27/IPC_Trimestriel!P27-1)</f>
        <v/>
      </c>
      <c r="Q68" s="84" t="str">
        <f>IF(OR(IPC_Trimestriel!U27="",IPC_Trimestriel!Q27=""),"",IPC_Trimestriel!U27/IPC_Trimestriel!Q27-1)</f>
        <v/>
      </c>
      <c r="R68" s="84" t="str">
        <f>IF(OR(IPC_Trimestriel!V27="",IPC_Trimestriel!R27=""),"",IPC_Trimestriel!V27/IPC_Trimestriel!R27-1)</f>
        <v/>
      </c>
      <c r="S68" s="84" t="str">
        <f>IF(OR(IPC_Trimestriel!W27="",IPC_Trimestriel!S27=""),"",IPC_Trimestriel!W27/IPC_Trimestriel!S27-1)</f>
        <v/>
      </c>
      <c r="T68" s="84" t="str">
        <f>IF(OR(IPC_Trimestriel!X27="",IPC_Trimestriel!T27=""),"",IPC_Trimestriel!X27/IPC_Trimestriel!T27-1)</f>
        <v/>
      </c>
      <c r="U68" s="84" t="str">
        <f>IF(OR(IPC_Trimestriel!Y27="",IPC_Trimestriel!U27=""),"",IPC_Trimestriel!Y27/IPC_Trimestriel!U27-1)</f>
        <v/>
      </c>
      <c r="V68" s="84" t="str">
        <f>IF(OR(IPC_Trimestriel!Z27="",IPC_Trimestriel!V27=""),"",IPC_Trimestriel!Z27/IPC_Trimestriel!V27-1)</f>
        <v/>
      </c>
      <c r="W68" s="84" t="str">
        <f>IF(OR(IPC_Trimestriel!AA27="",IPC_Trimestriel!W27=""),"",IPC_Trimestriel!AA27/IPC_Trimestriel!W27-1)</f>
        <v/>
      </c>
      <c r="X68" s="84" t="str">
        <f>IF(OR(IPC_Trimestriel!AB27="",IPC_Trimestriel!X27=""),"",IPC_Trimestriel!AB27/IPC_Trimestriel!X27-1)</f>
        <v/>
      </c>
      <c r="Y68" s="84" t="str">
        <f>IF(OR(IPC_Trimestriel!AC27="",IPC_Trimestriel!Y27=""),"",IPC_Trimestriel!AC27/IPC_Trimestriel!Y27-1)</f>
        <v/>
      </c>
      <c r="Z68" s="84" t="str">
        <f>IF(OR(IPC_Trimestriel!AD27="",IPC_Trimestriel!Z27=""),"",IPC_Trimestriel!AD27/IPC_Trimestriel!Z27-1)</f>
        <v/>
      </c>
      <c r="AA68" s="84" t="str">
        <f>IF(OR(IPC_Trimestriel!AE27="",IPC_Trimestriel!AA27=""),"",IPC_Trimestriel!AE27/IPC_Trimestriel!AA27-1)</f>
        <v/>
      </c>
      <c r="AB68" s="84" t="str">
        <f>IF(OR(IPC_Trimestriel!AF27="",IPC_Trimestriel!AB27=""),"",IPC_Trimestriel!AF27/IPC_Trimestriel!AB27-1)</f>
        <v/>
      </c>
      <c r="AC68" s="84" t="str">
        <f>IF(OR(IPC_Trimestriel!AG27="",IPC_Trimestriel!AC27=""),"",IPC_Trimestriel!AG27/IPC_Trimestriel!AC27-1)</f>
        <v/>
      </c>
      <c r="AD68" s="84" t="str">
        <f>IF(OR(IPC_Trimestriel!AH27="",IPC_Trimestriel!AD27=""),"",IPC_Trimestriel!AH27/IPC_Trimestriel!AD27-1)</f>
        <v/>
      </c>
      <c r="AE68" s="84" t="str">
        <f>IF(OR(IPC_Trimestriel!AI27="",IPC_Trimestriel!AE27=""),"",IPC_Trimestriel!AI27/IPC_Trimestriel!AE27-1)</f>
        <v/>
      </c>
      <c r="AF68" s="84" t="str">
        <f>IF(OR(IPC_Trimestriel!AJ27="",IPC_Trimestriel!AF27=""),"",IPC_Trimestriel!AJ27/IPC_Trimestriel!AF27-1)</f>
        <v/>
      </c>
      <c r="AG68" s="84" t="str">
        <f>IF(OR(IPC_Trimestriel!AK27="",IPC_Trimestriel!AG27=""),"",IPC_Trimestriel!AK27/IPC_Trimestriel!AG27-1)</f>
        <v/>
      </c>
      <c r="AH68" s="84" t="str">
        <f>IF(OR(IPC_Trimestriel!AL27="",IPC_Trimestriel!AH27=""),"",IPC_Trimestriel!AL27/IPC_Trimestriel!AH27-1)</f>
        <v/>
      </c>
      <c r="AI68" s="84" t="str">
        <f>IF(OR(IPC_Trimestriel!AM27="",IPC_Trimestriel!AI27=""),"",IPC_Trimestriel!AM27/IPC_Trimestriel!AI27-1)</f>
        <v/>
      </c>
      <c r="AJ68" s="84" t="str">
        <f>IF(OR(IPC_Trimestriel!AN27="",IPC_Trimestriel!AJ27=""),"",IPC_Trimestriel!AN27/IPC_Trimestriel!AJ27-1)</f>
        <v/>
      </c>
      <c r="AK68" s="84" t="str">
        <f>IF(OR(IPC_Trimestriel!AO27="",IPC_Trimestriel!AK27=""),"",IPC_Trimestriel!AO27/IPC_Trimestriel!AK27-1)</f>
        <v/>
      </c>
      <c r="AL68" s="84" t="str">
        <f>IF(OR(IPC_Trimestriel!AP27="",IPC_Trimestriel!AL27=""),"",IPC_Trimestriel!AP27/IPC_Trimestriel!AL27-1)</f>
        <v/>
      </c>
      <c r="AM68" s="84" t="str">
        <f>IF(OR(IPC_Trimestriel!AQ27="",IPC_Trimestriel!AM27=""),"",IPC_Trimestriel!AQ27/IPC_Trimestriel!AM27-1)</f>
        <v/>
      </c>
      <c r="AN68" s="84" t="str">
        <f>IF(OR(IPC_Trimestriel!AR27="",IPC_Trimestriel!AN27=""),"",IPC_Trimestriel!AR27/IPC_Trimestriel!AN27-1)</f>
        <v/>
      </c>
      <c r="AO68" s="84" t="str">
        <f>IF(OR(IPC_Trimestriel!AS27="",IPC_Trimestriel!AO27=""),"",IPC_Trimestriel!AS27/IPC_Trimestriel!AO27-1)</f>
        <v/>
      </c>
      <c r="AP68" s="84" t="str">
        <f>IF(OR(IPC_Trimestriel!AT27="",IPC_Trimestriel!AP27=""),"",IPC_Trimestriel!AT27/IPC_Trimestriel!AP27-1)</f>
        <v/>
      </c>
      <c r="AQ68" s="84" t="str">
        <f>IF(OR(IPC_Trimestriel!AU27="",IPC_Trimestriel!AQ27=""),"",IPC_Trimestriel!AU27/IPC_Trimestriel!AQ27-1)</f>
        <v/>
      </c>
      <c r="AR68" s="84" t="str">
        <f>IF(OR(IPC_Trimestriel!AV27="",IPC_Trimestriel!AR27=""),"",IPC_Trimestriel!AV27/IPC_Trimestriel!AR27-1)</f>
        <v/>
      </c>
      <c r="AS68" s="84" t="str">
        <f>IF(OR(IPC_Trimestriel!AW27="",IPC_Trimestriel!AS27=""),"",IPC_Trimestriel!AW27/IPC_Trimestriel!AS27-1)</f>
        <v/>
      </c>
      <c r="AT68" s="84" t="str">
        <f>IF(OR(IPC_Trimestriel!AX27="",IPC_Trimestriel!AT27=""),"",IPC_Trimestriel!AX27/IPC_Trimestriel!AT27-1)</f>
        <v/>
      </c>
      <c r="AU68" s="84" t="str">
        <f>IF(OR(IPC_Trimestriel!AY27="",IPC_Trimestriel!AU27=""),"",IPC_Trimestriel!AY27/IPC_Trimestriel!AU27-1)</f>
        <v/>
      </c>
      <c r="AV68" s="84" t="str">
        <f>IF(OR(IPC_Trimestriel!AZ27="",IPC_Trimestriel!AV27=""),"",IPC_Trimestriel!AZ27/IPC_Trimestriel!AV27-1)</f>
        <v/>
      </c>
      <c r="AW68" s="84" t="str">
        <f>IF(OR(IPC_Trimestriel!BA27="",IPC_Trimestriel!AW27=""),"",IPC_Trimestriel!BA27/IPC_Trimestriel!AW27-1)</f>
        <v/>
      </c>
      <c r="AX68" s="84" t="str">
        <f>IF(OR(IPC_Trimestriel!BB27="",IPC_Trimestriel!AX27=""),"",IPC_Trimestriel!BB27/IPC_Trimestriel!AX27-1)</f>
        <v/>
      </c>
      <c r="AY68" s="84" t="str">
        <f>IF(OR(IPC_Trimestriel!BC27="",IPC_Trimestriel!AY27=""),"",IPC_Trimestriel!BC27/IPC_Trimestriel!AY27-1)</f>
        <v/>
      </c>
      <c r="AZ68" s="84">
        <f>IF(OR(IPC_Trimestriel!BD27="",IPC_Trimestriel!AZ27=""),"",IPC_Trimestriel!BD27/IPC_Trimestriel!AZ27-1)</f>
        <v>2.142971325290155E-2</v>
      </c>
      <c r="BA68" s="84">
        <f>IF(OR(IPC_Trimestriel!BE27="",IPC_Trimestriel!BA27=""),"",IPC_Trimestriel!BE27/IPC_Trimestriel!BA27-1)</f>
        <v>1.6398096102462123E-2</v>
      </c>
      <c r="BB68" s="84">
        <f>IF(OR(IPC_Trimestriel!BF27="",IPC_Trimestriel!BB27=""),"",IPC_Trimestriel!BF27/IPC_Trimestriel!BB27-1)</f>
        <v>1.3280028339050398E-2</v>
      </c>
      <c r="BC68" s="84">
        <f>IF(OR(IPC_Trimestriel!BG27="",IPC_Trimestriel!BC27=""),"",IPC_Trimestriel!BG27/IPC_Trimestriel!BC27-1)</f>
        <v>1.3434643534556701E-2</v>
      </c>
      <c r="BD68" s="84">
        <f>IF(OR(IPC_Trimestriel!BH27="",IPC_Trimestriel!BD27=""),"",IPC_Trimestriel!BH27/IPC_Trimestriel!BD27-1)</f>
        <v>1.0483854518094082E-2</v>
      </c>
      <c r="BE68" s="84">
        <f>IF(OR(IPC_Trimestriel!BI27="",IPC_Trimestriel!BE27=""),"",IPC_Trimestriel!BI27/IPC_Trimestriel!BE27-1)</f>
        <v>7.7257264865870923E-3</v>
      </c>
      <c r="BF68" s="84">
        <f>IF(OR(IPC_Trimestriel!BJ27="",IPC_Trimestriel!BF27=""),"",IPC_Trimestriel!BJ27/IPC_Trimestriel!BF27-1)</f>
        <v>2.7419817111610234E-2</v>
      </c>
      <c r="BG68" s="84">
        <f>IF(OR(IPC_Trimestriel!BK27="",IPC_Trimestriel!BG27=""),"",IPC_Trimestriel!BK27/IPC_Trimestriel!BG27-1)</f>
        <v>2.3893337255394664E-2</v>
      </c>
      <c r="BH68" s="84">
        <f>IF(OR(IPC_Trimestriel!BL27="",IPC_Trimestriel!BH27=""),"",IPC_Trimestriel!BL27/IPC_Trimestriel!BH27-1)</f>
        <v>2.919546411838847E-2</v>
      </c>
      <c r="BI68" s="84">
        <f>IF(OR(IPC_Trimestriel!BM27="",IPC_Trimestriel!BI27=""),"",IPC_Trimestriel!BM27/IPC_Trimestriel!BI27-1)</f>
        <v>3.8064303327022042E-2</v>
      </c>
      <c r="BJ68" s="84">
        <f>IF(OR(IPC_Trimestriel!BN27="",IPC_Trimestriel!BJ27=""),"",IPC_Trimestriel!BN27/IPC_Trimestriel!BJ27-1)</f>
        <v>1.8092058678947476E-2</v>
      </c>
      <c r="BK68" s="84">
        <f>IF(OR(IPC_Trimestriel!BO27="",IPC_Trimestriel!BK27=""),"",IPC_Trimestriel!BO27/IPC_Trimestriel!BK27-1)</f>
        <v>1.5109250539124153E-2</v>
      </c>
      <c r="BL68" s="84">
        <f>IF(OR(IPC_Trimestriel!BP27="",IPC_Trimestriel!BL27=""),"",IPC_Trimestriel!BP27/IPC_Trimestriel!BL27-1)</f>
        <v>1.0675738543517443E-2</v>
      </c>
      <c r="BM68" s="84">
        <f>IF(OR(IPC_Trimestriel!BQ27="",IPC_Trimestriel!BM27=""),"",IPC_Trimestriel!BQ27/IPC_Trimestriel!BM27-1)</f>
        <v>4.1676016872904675E-3</v>
      </c>
      <c r="BN68" s="84">
        <f>IF(OR(IPC_Trimestriel!BR27="",IPC_Trimestriel!BN27=""),"",IPC_Trimestriel!BR27/IPC_Trimestriel!BN27-1)</f>
        <v>4.1240797130406293E-3</v>
      </c>
      <c r="BO68" s="84">
        <f>IF(OR(IPC_Trimestriel!BS27="",IPC_Trimestriel!BO27=""),"",IPC_Trimestriel!BS27/IPC_Trimestriel!BO27-1)</f>
        <v>7.0963200054687814E-3</v>
      </c>
      <c r="BP68" s="84">
        <f>IF(OR(IPC_Trimestriel!BT27="",IPC_Trimestriel!BP27=""),"",IPC_Trimestriel!BT27/IPC_Trimestriel!BP27-1)</f>
        <v>8.2425754238302229E-3</v>
      </c>
      <c r="BQ68" s="84">
        <f>IF(OR(IPC_Trimestriel!BU27="",IPC_Trimestriel!BQ27=""),"",IPC_Trimestriel!BU27/IPC_Trimestriel!BQ27-1)</f>
        <v>8.6852857030637054E-3</v>
      </c>
      <c r="BR68" s="84">
        <f>IF(OR(IPC_Trimestriel!BV27="",IPC_Trimestriel!BR27=""),"",IPC_Trimestriel!BV27/IPC_Trimestriel!BR27-1)</f>
        <v>7.9560704160006601E-3</v>
      </c>
      <c r="BS68" s="84">
        <f>IF(OR(IPC_Trimestriel!BW27="",IPC_Trimestriel!BS27=""),"",IPC_Trimestriel!BW27/IPC_Trimestriel!BS27-1)</f>
        <v>6.0951745222463938E-3</v>
      </c>
      <c r="BT68" s="84">
        <f>IF(OR(IPC_Trimestriel!BX27="",IPC_Trimestriel!BT27=""),"",IPC_Trimestriel!BX27/IPC_Trimestriel!BT27-1)</f>
        <v>4.4722694513217309E-3</v>
      </c>
      <c r="BU68" s="84">
        <f>IF(OR(IPC_Trimestriel!BY27="",IPC_Trimestriel!BU27=""),"",IPC_Trimestriel!BY27/IPC_Trimestriel!BU27-1)</f>
        <v>9.0820586113833368E-3</v>
      </c>
      <c r="BV68" s="84">
        <f>IF(OR(IPC_Trimestriel!BZ27="",IPC_Trimestriel!BV27=""),"",IPC_Trimestriel!BZ27/IPC_Trimestriel!BV27-1)</f>
        <v>1.2280878841302245E-2</v>
      </c>
      <c r="BW68" s="84">
        <f>IF(OR(IPC_Trimestriel!CA27="",IPC_Trimestriel!BW27=""),"",IPC_Trimestriel!CA27/IPC_Trimestriel!BW27-1)</f>
        <v>1.4563296384490831E-2</v>
      </c>
      <c r="BX68" s="84">
        <f>IF(OR(IPC_Trimestriel!CB27="",IPC_Trimestriel!BX27=""),"",IPC_Trimestriel!CB27/IPC_Trimestriel!BX27-1)</f>
        <v>2.0573995445784643E-2</v>
      </c>
      <c r="BY68" s="84">
        <f>IF(OR(IPC_Trimestriel!CC27="",IPC_Trimestriel!BY27=""),"",IPC_Trimestriel!CC27/IPC_Trimestriel!BY27-1)</f>
        <v>2.2727529340655694E-2</v>
      </c>
      <c r="BZ68" s="84">
        <f>IF(OR(IPC_Trimestriel!CD27="",IPC_Trimestriel!BZ27=""),"",IPC_Trimestriel!CD27/IPC_Trimestriel!BZ27-1)</f>
        <v>2.141023097564454E-2</v>
      </c>
      <c r="CA68" s="84">
        <f>IF(OR(IPC_Trimestriel!CE27="",IPC_Trimestriel!CA27=""),"",IPC_Trimestriel!CE27/IPC_Trimestriel!CA27-1)</f>
        <v>2.6135126394483787E-2</v>
      </c>
      <c r="CB68" s="84">
        <f>IF(OR(IPC_Trimestriel!CF27="",IPC_Trimestriel!CB27=""),"",IPC_Trimestriel!CF27/IPC_Trimestriel!CB27-1)</f>
        <v>2.4727368113797832E-2</v>
      </c>
      <c r="CC68" s="84">
        <f>IF(OR(IPC_Trimestriel!CG27="",IPC_Trimestriel!CC27=""),"",IPC_Trimestriel!CG27/IPC_Trimestriel!CC27-1)</f>
        <v>2.2666070569640873E-2</v>
      </c>
      <c r="CD68" s="84">
        <f>IF(OR(IPC_Trimestriel!CH27="",IPC_Trimestriel!CD27=""),"",IPC_Trimestriel!CH27/IPC_Trimestriel!CD27-1)</f>
        <v>1.7727797633512399E-2</v>
      </c>
      <c r="CE68" s="84">
        <f>IF(OR(IPC_Trimestriel!CI27="",IPC_Trimestriel!CE27=""),"",IPC_Trimestriel!CI27/IPC_Trimestriel!CE27-1)</f>
        <v>1.5123348008056814E-2</v>
      </c>
      <c r="CF68" s="84">
        <f>IF(OR(IPC_Trimestriel!CJ27="",IPC_Trimestriel!CF27=""),"",IPC_Trimestriel!CJ27/IPC_Trimestriel!CF27-1)</f>
        <v>1.5940919653757657E-2</v>
      </c>
      <c r="CG68" s="84">
        <f>IF(OR(IPC_Trimestriel!CK27="",IPC_Trimestriel!CG27=""),"",IPC_Trimestriel!CK27/IPC_Trimestriel!CG27-1)</f>
        <v>1.4728914707120566E-2</v>
      </c>
      <c r="CH68" s="84">
        <f>IF(OR(IPC_Trimestriel!CL27="",IPC_Trimestriel!CH27=""),"",IPC_Trimestriel!CL27/IPC_Trimestriel!CH27-1)</f>
        <v>1.8890512161859441E-2</v>
      </c>
      <c r="CI68" s="84">
        <f>IF(OR(IPC_Trimestriel!CM27="",IPC_Trimestriel!CI27=""),"",IPC_Trimestriel!CM27/IPC_Trimestriel!CI27-1)</f>
        <v>2.1995754347529095E-2</v>
      </c>
      <c r="CJ68" s="84">
        <f>IF(OR(IPC_Trimestriel!CN27="",IPC_Trimestriel!CJ27=""),"",IPC_Trimestriel!CN27/IPC_Trimestriel!CJ27-1)</f>
        <v>3.3035469237105319E-2</v>
      </c>
      <c r="CK68" s="84">
        <f>IF(OR(IPC_Trimestriel!CO27="",IPC_Trimestriel!CK27=""),"",IPC_Trimestriel!CO27/IPC_Trimestriel!CK27-1)</f>
        <v>5.3531872968776595E-2</v>
      </c>
      <c r="CL68" s="84">
        <f>IF(OR(IPC_Trimestriel!CP27="",IPC_Trimestriel!CL27=""),"",IPC_Trimestriel!CP27/IPC_Trimestriel!CL27-1)</f>
        <v>6.7386805811056272E-2</v>
      </c>
      <c r="CM68" s="84">
        <f>IF(OR(IPC_Trimestriel!CQ27="",IPC_Trimestriel!CM27=""),"",IPC_Trimestriel!CQ27/IPC_Trimestriel!CM27-1)</f>
        <v>7.0594311589311287E-2</v>
      </c>
      <c r="CN68" s="84">
        <f>IF(OR(IPC_Trimestriel!CR27="",IPC_Trimestriel!CN27=""),"",IPC_Trimestriel!CR27/IPC_Trimestriel!CN27-1)</f>
        <v>7.3035838936161834E-2</v>
      </c>
      <c r="CO68" s="84">
        <f>IF(OR(IPC_Trimestriel!CS27="",IPC_Trimestriel!CO27=""),"",IPC_Trimestriel!CS27/IPC_Trimestriel!CO27-1)</f>
        <v>6.6128908926416763E-2</v>
      </c>
      <c r="CP68" s="84">
        <f>IF(OR(IPC_Trimestriel!CT27="",IPC_Trimestriel!CP27=""),"",IPC_Trimestriel!CT27/IPC_Trimestriel!CP27-1)</f>
        <v>5.5319001292551961E-2</v>
      </c>
    </row>
    <row r="69" spans="1:94" s="74" customFormat="1" ht="10.199999999999999" x14ac:dyDescent="0.2"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75"/>
      <c r="CJ69" s="75"/>
      <c r="CK69" s="75"/>
      <c r="CL69" s="75"/>
      <c r="CM69" s="75"/>
      <c r="CN69" s="75"/>
      <c r="CO69" s="75"/>
      <c r="CP69" s="75"/>
    </row>
    <row r="70" spans="1:94" s="74" customFormat="1" ht="10.199999999999999" x14ac:dyDescent="0.2">
      <c r="B70" s="3" t="s">
        <v>108</v>
      </c>
      <c r="D70" s="75" t="str">
        <f>IF(OR(IPC_Trimestriel!H29="",IPC_Trimestriel!D29=""),"",IPC_Trimestriel!H29/IPC_Trimestriel!D29-1)</f>
        <v/>
      </c>
      <c r="E70" s="75" t="str">
        <f>IF(OR(IPC_Trimestriel!I29="",IPC_Trimestriel!E29=""),"",IPC_Trimestriel!I29/IPC_Trimestriel!E29-1)</f>
        <v/>
      </c>
      <c r="F70" s="75" t="str">
        <f>IF(OR(IPC_Trimestriel!J29="",IPC_Trimestriel!F29=""),"",IPC_Trimestriel!J29/IPC_Trimestriel!F29-1)</f>
        <v/>
      </c>
      <c r="G70" s="75" t="str">
        <f>IF(OR(IPC_Trimestriel!K29="",IPC_Trimestriel!G29=""),"",IPC_Trimestriel!K29/IPC_Trimestriel!G29-1)</f>
        <v/>
      </c>
      <c r="H70" s="75" t="str">
        <f>IF(OR(IPC_Trimestriel!L29="",IPC_Trimestriel!H29=""),"",IPC_Trimestriel!L29/IPC_Trimestriel!H29-1)</f>
        <v/>
      </c>
      <c r="I70" s="75" t="str">
        <f>IF(OR(IPC_Trimestriel!M29="",IPC_Trimestriel!I29=""),"",IPC_Trimestriel!M29/IPC_Trimestriel!I29-1)</f>
        <v/>
      </c>
      <c r="J70" s="75" t="str">
        <f>IF(OR(IPC_Trimestriel!N29="",IPC_Trimestriel!J29=""),"",IPC_Trimestriel!N29/IPC_Trimestriel!J29-1)</f>
        <v/>
      </c>
      <c r="K70" s="75" t="str">
        <f>IF(OR(IPC_Trimestriel!O29="",IPC_Trimestriel!K29=""),"",IPC_Trimestriel!O29/IPC_Trimestriel!K29-1)</f>
        <v/>
      </c>
      <c r="L70" s="75" t="str">
        <f>IF(OR(IPC_Trimestriel!P29="",IPC_Trimestriel!L29=""),"",IPC_Trimestriel!P29/IPC_Trimestriel!L29-1)</f>
        <v/>
      </c>
      <c r="M70" s="75" t="str">
        <f>IF(OR(IPC_Trimestriel!Q29="",IPC_Trimestriel!M29=""),"",IPC_Trimestriel!Q29/IPC_Trimestriel!M29-1)</f>
        <v/>
      </c>
      <c r="N70" s="75" t="str">
        <f>IF(OR(IPC_Trimestriel!R29="",IPC_Trimestriel!N29=""),"",IPC_Trimestriel!R29/IPC_Trimestriel!N29-1)</f>
        <v/>
      </c>
      <c r="O70" s="75" t="str">
        <f>IF(OR(IPC_Trimestriel!S29="",IPC_Trimestriel!O29=""),"",IPC_Trimestriel!S29/IPC_Trimestriel!O29-1)</f>
        <v/>
      </c>
      <c r="P70" s="75" t="str">
        <f>IF(OR(IPC_Trimestriel!T29="",IPC_Trimestriel!P29=""),"",IPC_Trimestriel!T29/IPC_Trimestriel!P29-1)</f>
        <v/>
      </c>
      <c r="Q70" s="75" t="str">
        <f>IF(OR(IPC_Trimestriel!U29="",IPC_Trimestriel!Q29=""),"",IPC_Trimestriel!U29/IPC_Trimestriel!Q29-1)</f>
        <v/>
      </c>
      <c r="R70" s="75" t="str">
        <f>IF(OR(IPC_Trimestriel!V29="",IPC_Trimestriel!R29=""),"",IPC_Trimestriel!V29/IPC_Trimestriel!R29-1)</f>
        <v/>
      </c>
      <c r="S70" s="75" t="str">
        <f>IF(OR(IPC_Trimestriel!W29="",IPC_Trimestriel!S29=""),"",IPC_Trimestriel!W29/IPC_Trimestriel!S29-1)</f>
        <v/>
      </c>
      <c r="T70" s="75" t="str">
        <f>IF(OR(IPC_Trimestriel!X29="",IPC_Trimestriel!T29=""),"",IPC_Trimestriel!X29/IPC_Trimestriel!T29-1)</f>
        <v/>
      </c>
      <c r="U70" s="75" t="str">
        <f>IF(OR(IPC_Trimestriel!Y29="",IPC_Trimestriel!U29=""),"",IPC_Trimestriel!Y29/IPC_Trimestriel!U29-1)</f>
        <v/>
      </c>
      <c r="V70" s="75" t="str">
        <f>IF(OR(IPC_Trimestriel!Z29="",IPC_Trimestriel!V29=""),"",IPC_Trimestriel!Z29/IPC_Trimestriel!V29-1)</f>
        <v/>
      </c>
      <c r="W70" s="75" t="str">
        <f>IF(OR(IPC_Trimestriel!AA29="",IPC_Trimestriel!W29=""),"",IPC_Trimestriel!AA29/IPC_Trimestriel!W29-1)</f>
        <v/>
      </c>
      <c r="X70" s="75" t="str">
        <f>IF(OR(IPC_Trimestriel!AB29="",IPC_Trimestriel!X29=""),"",IPC_Trimestriel!AB29/IPC_Trimestriel!X29-1)</f>
        <v/>
      </c>
      <c r="Y70" s="75" t="str">
        <f>IF(OR(IPC_Trimestriel!AC29="",IPC_Trimestriel!Y29=""),"",IPC_Trimestriel!AC29/IPC_Trimestriel!Y29-1)</f>
        <v/>
      </c>
      <c r="Z70" s="75" t="str">
        <f>IF(OR(IPC_Trimestriel!AD29="",IPC_Trimestriel!Z29=""),"",IPC_Trimestriel!AD29/IPC_Trimestriel!Z29-1)</f>
        <v/>
      </c>
      <c r="AA70" s="75" t="str">
        <f>IF(OR(IPC_Trimestriel!AE29="",IPC_Trimestriel!AA29=""),"",IPC_Trimestriel!AE29/IPC_Trimestriel!AA29-1)</f>
        <v/>
      </c>
      <c r="AB70" s="75" t="str">
        <f>IF(OR(IPC_Trimestriel!AF29="",IPC_Trimestriel!AB29=""),"",IPC_Trimestriel!AF29/IPC_Trimestriel!AB29-1)</f>
        <v/>
      </c>
      <c r="AC70" s="75" t="str">
        <f>IF(OR(IPC_Trimestriel!AG29="",IPC_Trimestriel!AC29=""),"",IPC_Trimestriel!AG29/IPC_Trimestriel!AC29-1)</f>
        <v/>
      </c>
      <c r="AD70" s="75" t="str">
        <f>IF(OR(IPC_Trimestriel!AH29="",IPC_Trimestriel!AD29=""),"",IPC_Trimestriel!AH29/IPC_Trimestriel!AD29-1)</f>
        <v/>
      </c>
      <c r="AE70" s="75" t="str">
        <f>IF(OR(IPC_Trimestriel!AI29="",IPC_Trimestriel!AE29=""),"",IPC_Trimestriel!AI29/IPC_Trimestriel!AE29-1)</f>
        <v/>
      </c>
      <c r="AF70" s="75" t="str">
        <f>IF(OR(IPC_Trimestriel!AJ29="",IPC_Trimestriel!AF29=""),"",IPC_Trimestriel!AJ29/IPC_Trimestriel!AF29-1)</f>
        <v/>
      </c>
      <c r="AG70" s="75" t="str">
        <f>IF(OR(IPC_Trimestriel!AK29="",IPC_Trimestriel!AG29=""),"",IPC_Trimestriel!AK29/IPC_Trimestriel!AG29-1)</f>
        <v/>
      </c>
      <c r="AH70" s="75" t="str">
        <f>IF(OR(IPC_Trimestriel!AL29="",IPC_Trimestriel!AH29=""),"",IPC_Trimestriel!AL29/IPC_Trimestriel!AH29-1)</f>
        <v/>
      </c>
      <c r="AI70" s="75" t="str">
        <f>IF(OR(IPC_Trimestriel!AM29="",IPC_Trimestriel!AI29=""),"",IPC_Trimestriel!AM29/IPC_Trimestriel!AI29-1)</f>
        <v/>
      </c>
      <c r="AJ70" s="75" t="str">
        <f>IF(OR(IPC_Trimestriel!AN29="",IPC_Trimestriel!AJ29=""),"",IPC_Trimestriel!AN29/IPC_Trimestriel!AJ29-1)</f>
        <v/>
      </c>
      <c r="AK70" s="75" t="str">
        <f>IF(OR(IPC_Trimestriel!AO29="",IPC_Trimestriel!AK29=""),"",IPC_Trimestriel!AO29/IPC_Trimestriel!AK29-1)</f>
        <v/>
      </c>
      <c r="AL70" s="75" t="str">
        <f>IF(OR(IPC_Trimestriel!AP29="",IPC_Trimestriel!AL29=""),"",IPC_Trimestriel!AP29/IPC_Trimestriel!AL29-1)</f>
        <v/>
      </c>
      <c r="AM70" s="75" t="str">
        <f>IF(OR(IPC_Trimestriel!AQ29="",IPC_Trimestriel!AM29=""),"",IPC_Trimestriel!AQ29/IPC_Trimestriel!AM29-1)</f>
        <v/>
      </c>
      <c r="AN70" s="75" t="str">
        <f>IF(OR(IPC_Trimestriel!AR29="",IPC_Trimestriel!AN29=""),"",IPC_Trimestriel!AR29/IPC_Trimestriel!AN29-1)</f>
        <v/>
      </c>
      <c r="AO70" s="75" t="str">
        <f>IF(OR(IPC_Trimestriel!AS29="",IPC_Trimestriel!AO29=""),"",IPC_Trimestriel!AS29/IPC_Trimestriel!AO29-1)</f>
        <v/>
      </c>
      <c r="AP70" s="75" t="str">
        <f>IF(OR(IPC_Trimestriel!AT29="",IPC_Trimestriel!AP29=""),"",IPC_Trimestriel!AT29/IPC_Trimestriel!AP29-1)</f>
        <v/>
      </c>
      <c r="AQ70" s="75" t="str">
        <f>IF(OR(IPC_Trimestriel!AU29="",IPC_Trimestriel!AQ29=""),"",IPC_Trimestriel!AU29/IPC_Trimestriel!AQ29-1)</f>
        <v/>
      </c>
      <c r="AR70" s="75" t="str">
        <f>IF(OR(IPC_Trimestriel!AV29="",IPC_Trimestriel!AR29=""),"",IPC_Trimestriel!AV29/IPC_Trimestriel!AR29-1)</f>
        <v/>
      </c>
      <c r="AS70" s="75" t="str">
        <f>IF(OR(IPC_Trimestriel!AW29="",IPC_Trimestriel!AS29=""),"",IPC_Trimestriel!AW29/IPC_Trimestriel!AS29-1)</f>
        <v/>
      </c>
      <c r="AT70" s="75" t="str">
        <f>IF(OR(IPC_Trimestriel!AX29="",IPC_Trimestriel!AT29=""),"",IPC_Trimestriel!AX29/IPC_Trimestriel!AT29-1)</f>
        <v/>
      </c>
      <c r="AU70" s="75" t="str">
        <f>IF(OR(IPC_Trimestriel!AY29="",IPC_Trimestriel!AU29=""),"",IPC_Trimestriel!AY29/IPC_Trimestriel!AU29-1)</f>
        <v/>
      </c>
      <c r="AV70" s="75" t="str">
        <f>IF(OR(IPC_Trimestriel!AZ29="",IPC_Trimestriel!AV29=""),"",IPC_Trimestriel!AZ29/IPC_Trimestriel!AV29-1)</f>
        <v/>
      </c>
      <c r="AW70" s="75" t="str">
        <f>IF(OR(IPC_Trimestriel!BA29="",IPC_Trimestriel!AW29=""),"",IPC_Trimestriel!BA29/IPC_Trimestriel!AW29-1)</f>
        <v/>
      </c>
      <c r="AX70" s="75" t="str">
        <f>IF(OR(IPC_Trimestriel!BB29="",IPC_Trimestriel!AX29=""),"",IPC_Trimestriel!BB29/IPC_Trimestriel!AX29-1)</f>
        <v/>
      </c>
      <c r="AY70" s="75" t="str">
        <f>IF(OR(IPC_Trimestriel!BC29="",IPC_Trimestriel!AY29=""),"",IPC_Trimestriel!BC29/IPC_Trimestriel!AY29-1)</f>
        <v/>
      </c>
      <c r="AZ70" s="75">
        <f>IF(OR(IPC_Trimestriel!BD29="",IPC_Trimestriel!AZ29=""),"",IPC_Trimestriel!BD29/IPC_Trimestriel!AZ29-1)</f>
        <v>4.666100312198096E-2</v>
      </c>
      <c r="BA70" s="75">
        <f>IF(OR(IPC_Trimestriel!BE29="",IPC_Trimestriel!BA29=""),"",IPC_Trimestriel!BE29/IPC_Trimestriel!BA29-1)</f>
        <v>2.3744457249404549E-2</v>
      </c>
      <c r="BB70" s="75">
        <f>IF(OR(IPC_Trimestriel!BF29="",IPC_Trimestriel!BB29=""),"",IPC_Trimestriel!BF29/IPC_Trimestriel!BB29-1)</f>
        <v>2.7267289355232815E-2</v>
      </c>
      <c r="BC70" s="75">
        <f>IF(OR(IPC_Trimestriel!BG29="",IPC_Trimestriel!BC29=""),"",IPC_Trimestriel!BG29/IPC_Trimestriel!BC29-1)</f>
        <v>3.5911942360679072E-2</v>
      </c>
      <c r="BD70" s="75">
        <f>IF(OR(IPC_Trimestriel!BH29="",IPC_Trimestriel!BD29=""),"",IPC_Trimestriel!BH29/IPC_Trimestriel!BD29-1)</f>
        <v>2.1237189764390596E-2</v>
      </c>
      <c r="BE70" s="75">
        <f>IF(OR(IPC_Trimestriel!BI29="",IPC_Trimestriel!BE29=""),"",IPC_Trimestriel!BI29/IPC_Trimestriel!BE29-1)</f>
        <v>1.6439525199909211E-2</v>
      </c>
      <c r="BF70" s="75">
        <f>IF(OR(IPC_Trimestriel!BJ29="",IPC_Trimestriel!BF29=""),"",IPC_Trimestriel!BJ29/IPC_Trimestriel!BF29-1)</f>
        <v>1.5869795284483512E-2</v>
      </c>
      <c r="BG70" s="75">
        <f>IF(OR(IPC_Trimestriel!BK29="",IPC_Trimestriel!BG29=""),"",IPC_Trimestriel!BK29/IPC_Trimestriel!BG29-1)</f>
        <v>1.2333731735540976E-2</v>
      </c>
      <c r="BH70" s="75">
        <f>IF(OR(IPC_Trimestriel!BL29="",IPC_Trimestriel!BH29=""),"",IPC_Trimestriel!BL29/IPC_Trimestriel!BH29-1)</f>
        <v>1.9843907553176221E-2</v>
      </c>
      <c r="BI70" s="75">
        <f>IF(OR(IPC_Trimestriel!BM29="",IPC_Trimestriel!BI29=""),"",IPC_Trimestriel!BM29/IPC_Trimestriel!BI29-1)</f>
        <v>4.3973560240741172E-2</v>
      </c>
      <c r="BJ70" s="75">
        <f>IF(OR(IPC_Trimestriel!BN29="",IPC_Trimestriel!BJ29=""),"",IPC_Trimestriel!BN29/IPC_Trimestriel!BJ29-1)</f>
        <v>4.1015565204612692E-2</v>
      </c>
      <c r="BK70" s="75">
        <f>IF(OR(IPC_Trimestriel!BO29="",IPC_Trimestriel!BK29=""),"",IPC_Trimestriel!BO29/IPC_Trimestriel!BK29-1)</f>
        <v>2.7129545851635406E-2</v>
      </c>
      <c r="BL70" s="75">
        <f>IF(OR(IPC_Trimestriel!BP29="",IPC_Trimestriel!BL29=""),"",IPC_Trimestriel!BP29/IPC_Trimestriel!BL29-1)</f>
        <v>2.5955805381734809E-2</v>
      </c>
      <c r="BM70" s="75">
        <f>IF(OR(IPC_Trimestriel!BQ29="",IPC_Trimestriel!BM29=""),"",IPC_Trimestriel!BQ29/IPC_Trimestriel!BM29-1)</f>
        <v>2.4107975623628652E-2</v>
      </c>
      <c r="BN70" s="75">
        <f>IF(OR(IPC_Trimestriel!BR29="",IPC_Trimestriel!BN29=""),"",IPC_Trimestriel!BR29/IPC_Trimestriel!BN29-1)</f>
        <v>1.4743170251257709E-2</v>
      </c>
      <c r="BO70" s="75">
        <f>IF(OR(IPC_Trimestriel!BS29="",IPC_Trimestriel!BO29=""),"",IPC_Trimestriel!BS29/IPC_Trimestriel!BO29-1)</f>
        <v>9.825280868420716E-4</v>
      </c>
      <c r="BP70" s="75">
        <f>IF(OR(IPC_Trimestriel!BT29="",IPC_Trimestriel!BP29=""),"",IPC_Trimestriel!BT29/IPC_Trimestriel!BP29-1)</f>
        <v>-3.0628035046265101E-3</v>
      </c>
      <c r="BQ70" s="75">
        <f>IF(OR(IPC_Trimestriel!BU29="",IPC_Trimestriel!BQ29=""),"",IPC_Trimestriel!BU29/IPC_Trimestriel!BQ29-1)</f>
        <v>-6.7806142212578635E-5</v>
      </c>
      <c r="BR70" s="75">
        <f>IF(OR(IPC_Trimestriel!BV29="",IPC_Trimestriel!BR29=""),"",IPC_Trimestriel!BV29/IPC_Trimestriel!BR29-1)</f>
        <v>5.3021482660584596E-3</v>
      </c>
      <c r="BS70" s="75">
        <f>IF(OR(IPC_Trimestriel!BW29="",IPC_Trimestriel!BS29=""),"",IPC_Trimestriel!BW29/IPC_Trimestriel!BS29-1)</f>
        <v>1.5969703736712137E-2</v>
      </c>
      <c r="BT70" s="75">
        <f>IF(OR(IPC_Trimestriel!BX29="",IPC_Trimestriel!BT29=""),"",IPC_Trimestriel!BX29/IPC_Trimestriel!BT29-1)</f>
        <v>1.6821070986569708E-2</v>
      </c>
      <c r="BU70" s="75">
        <f>IF(OR(IPC_Trimestriel!BY29="",IPC_Trimestriel!BU29=""),"",IPC_Trimestriel!BY29/IPC_Trimestriel!BU29-1)</f>
        <v>-1.5990168229662594E-4</v>
      </c>
      <c r="BV70" s="75">
        <f>IF(OR(IPC_Trimestriel!BZ29="",IPC_Trimestriel!BV29=""),"",IPC_Trimestriel!BZ29/IPC_Trimestriel!BV29-1)</f>
        <v>-1.0400398433031643E-2</v>
      </c>
      <c r="BW70" s="75">
        <f>IF(OR(IPC_Trimestriel!CA29="",IPC_Trimestriel!BW29=""),"",IPC_Trimestriel!CA29/IPC_Trimestriel!BW29-1)</f>
        <v>1.0417817346169755E-2</v>
      </c>
      <c r="BX70" s="75">
        <f>IF(OR(IPC_Trimestriel!CB29="",IPC_Trimestriel!BX29=""),"",IPC_Trimestriel!CB29/IPC_Trimestriel!BX29-1)</f>
        <v>2.2264116196186734E-2</v>
      </c>
      <c r="BY70" s="75">
        <f>IF(OR(IPC_Trimestriel!CC29="",IPC_Trimestriel!BY29=""),"",IPC_Trimestriel!CC29/IPC_Trimestriel!BY29-1)</f>
        <v>3.576879231047525E-2</v>
      </c>
      <c r="BZ70" s="75">
        <f>IF(OR(IPC_Trimestriel!CD29="",IPC_Trimestriel!BZ29=""),"",IPC_Trimestriel!CD29/IPC_Trimestriel!BZ29-1)</f>
        <v>4.9635776546119059E-2</v>
      </c>
      <c r="CA70" s="75">
        <f>IF(OR(IPC_Trimestriel!CE29="",IPC_Trimestriel!CA29=""),"",IPC_Trimestriel!CE29/IPC_Trimestriel!CA29-1)</f>
        <v>4.4889893710632345E-2</v>
      </c>
      <c r="CB70" s="75">
        <f>IF(OR(IPC_Trimestriel!CF29="",IPC_Trimestriel!CB29=""),"",IPC_Trimestriel!CF29/IPC_Trimestriel!CB29-1)</f>
        <v>5.5558869040903458E-2</v>
      </c>
      <c r="CC70" s="75">
        <f>IF(OR(IPC_Trimestriel!CG29="",IPC_Trimestriel!CC29=""),"",IPC_Trimestriel!CG29/IPC_Trimestriel!CC29-1)</f>
        <v>4.5433716802171453E-2</v>
      </c>
      <c r="CD70" s="75">
        <f>IF(OR(IPC_Trimestriel!CH29="",IPC_Trimestriel!CD29=""),"",IPC_Trimestriel!CH29/IPC_Trimestriel!CD29-1)</f>
        <v>5.1659384071026881E-2</v>
      </c>
      <c r="CE70" s="75">
        <f>IF(OR(IPC_Trimestriel!CI29="",IPC_Trimestriel!CE29=""),"",IPC_Trimestriel!CI29/IPC_Trimestriel!CE29-1)</f>
        <v>4.3402249683942351E-2</v>
      </c>
      <c r="CF70" s="75">
        <f>IF(OR(IPC_Trimestriel!CJ29="",IPC_Trimestriel!CF29=""),"",IPC_Trimestriel!CJ29/IPC_Trimestriel!CF29-1)</f>
        <v>3.070090086365429E-2</v>
      </c>
      <c r="CG70" s="75">
        <f>IF(OR(IPC_Trimestriel!CK29="",IPC_Trimestriel!CG29=""),"",IPC_Trimestriel!CK29/IPC_Trimestriel!CG29-1)</f>
        <v>4.9802204973081965E-2</v>
      </c>
      <c r="CH70" s="75">
        <f>IF(OR(IPC_Trimestriel!CL29="",IPC_Trimestriel!CH29=""),"",IPC_Trimestriel!CL29/IPC_Trimestriel!CH29-1)</f>
        <v>5.2067449926716414E-2</v>
      </c>
      <c r="CI70" s="75">
        <f>IF(OR(IPC_Trimestriel!CM29="",IPC_Trimestriel!CI29=""),"",IPC_Trimestriel!CM29/IPC_Trimestriel!CI29-1)</f>
        <v>5.64946171759797E-2</v>
      </c>
      <c r="CJ70" s="75">
        <f>IF(OR(IPC_Trimestriel!CN29="",IPC_Trimestriel!CJ29=""),"",IPC_Trimestriel!CN29/IPC_Trimestriel!CJ29-1)</f>
        <v>9.4029595034277547E-2</v>
      </c>
      <c r="CK70" s="75">
        <f>IF(OR(IPC_Trimestriel!CO29="",IPC_Trimestriel!CK29=""),"",IPC_Trimestriel!CO29/IPC_Trimestriel!CK29-1)</f>
        <v>0.10177193224230519</v>
      </c>
      <c r="CL70" s="75">
        <f>IF(OR(IPC_Trimestriel!CP29="",IPC_Trimestriel!CL29=""),"",IPC_Trimestriel!CP29/IPC_Trimestriel!CL29-1)</f>
        <v>0.11410904942229494</v>
      </c>
      <c r="CM70" s="75">
        <f>IF(OR(IPC_Trimestriel!CQ29="",IPC_Trimestriel!CM29=""),"",IPC_Trimestriel!CQ29/IPC_Trimestriel!CM29-1)</f>
        <v>0.12924382631570919</v>
      </c>
      <c r="CN70" s="75" t="str">
        <f>IF(OR(IPC_Trimestriel!CR29="",IPC_Trimestriel!CN29=""),"",IPC_Trimestriel!CR29/IPC_Trimestriel!CN29-1)</f>
        <v/>
      </c>
      <c r="CO70" s="75" t="str">
        <f>IF(OR(IPC_Trimestriel!CS29="",IPC_Trimestriel!CO29=""),"",IPC_Trimestriel!CS29/IPC_Trimestriel!CO29-1)</f>
        <v/>
      </c>
      <c r="CP70" s="75" t="str">
        <f>IF(OR(IPC_Trimestriel!CT29="",IPC_Trimestriel!CP29=""),"",IPC_Trimestriel!CT29/IPC_Trimestriel!CP29-1)</f>
        <v/>
      </c>
    </row>
    <row r="71" spans="1:94" s="74" customFormat="1" ht="10.199999999999999" x14ac:dyDescent="0.2">
      <c r="B71" s="3" t="s">
        <v>109</v>
      </c>
      <c r="D71" s="75" t="str">
        <f>IF(OR(IPC_Trimestriel!H30="",IPC_Trimestriel!D30=""),"",IPC_Trimestriel!H30/IPC_Trimestriel!D30-1)</f>
        <v/>
      </c>
      <c r="E71" s="75" t="str">
        <f>IF(OR(IPC_Trimestriel!I30="",IPC_Trimestriel!E30=""),"",IPC_Trimestriel!I30/IPC_Trimestriel!E30-1)</f>
        <v/>
      </c>
      <c r="F71" s="75" t="str">
        <f>IF(OR(IPC_Trimestriel!J30="",IPC_Trimestriel!F30=""),"",IPC_Trimestriel!J30/IPC_Trimestriel!F30-1)</f>
        <v/>
      </c>
      <c r="G71" s="75" t="str">
        <f>IF(OR(IPC_Trimestriel!K30="",IPC_Trimestriel!G30=""),"",IPC_Trimestriel!K30/IPC_Trimestriel!G30-1)</f>
        <v/>
      </c>
      <c r="H71" s="75" t="str">
        <f>IF(OR(IPC_Trimestriel!L30="",IPC_Trimestriel!H30=""),"",IPC_Trimestriel!L30/IPC_Trimestriel!H30-1)</f>
        <v/>
      </c>
      <c r="I71" s="75" t="str">
        <f>IF(OR(IPC_Trimestriel!M30="",IPC_Trimestriel!I30=""),"",IPC_Trimestriel!M30/IPC_Trimestriel!I30-1)</f>
        <v/>
      </c>
      <c r="J71" s="75" t="str">
        <f>IF(OR(IPC_Trimestriel!N30="",IPC_Trimestriel!J30=""),"",IPC_Trimestriel!N30/IPC_Trimestriel!J30-1)</f>
        <v/>
      </c>
      <c r="K71" s="75" t="str">
        <f>IF(OR(IPC_Trimestriel!O30="",IPC_Trimestriel!K30=""),"",IPC_Trimestriel!O30/IPC_Trimestriel!K30-1)</f>
        <v/>
      </c>
      <c r="L71" s="75" t="str">
        <f>IF(OR(IPC_Trimestriel!P30="",IPC_Trimestriel!L30=""),"",IPC_Trimestriel!P30/IPC_Trimestriel!L30-1)</f>
        <v/>
      </c>
      <c r="M71" s="75" t="str">
        <f>IF(OR(IPC_Trimestriel!Q30="",IPC_Trimestriel!M30=""),"",IPC_Trimestriel!Q30/IPC_Trimestriel!M30-1)</f>
        <v/>
      </c>
      <c r="N71" s="75" t="str">
        <f>IF(OR(IPC_Trimestriel!R30="",IPC_Trimestriel!N30=""),"",IPC_Trimestriel!R30/IPC_Trimestriel!N30-1)</f>
        <v/>
      </c>
      <c r="O71" s="75" t="str">
        <f>IF(OR(IPC_Trimestriel!S30="",IPC_Trimestriel!O30=""),"",IPC_Trimestriel!S30/IPC_Trimestriel!O30-1)</f>
        <v/>
      </c>
      <c r="P71" s="75" t="str">
        <f>IF(OR(IPC_Trimestriel!T30="",IPC_Trimestriel!P30=""),"",IPC_Trimestriel!T30/IPC_Trimestriel!P30-1)</f>
        <v/>
      </c>
      <c r="Q71" s="75" t="str">
        <f>IF(OR(IPC_Trimestriel!U30="",IPC_Trimestriel!Q30=""),"",IPC_Trimestriel!U30/IPC_Trimestriel!Q30-1)</f>
        <v/>
      </c>
      <c r="R71" s="75" t="str">
        <f>IF(OR(IPC_Trimestriel!V30="",IPC_Trimestriel!R30=""),"",IPC_Trimestriel!V30/IPC_Trimestriel!R30-1)</f>
        <v/>
      </c>
      <c r="S71" s="75" t="str">
        <f>IF(OR(IPC_Trimestriel!W30="",IPC_Trimestriel!S30=""),"",IPC_Trimestriel!W30/IPC_Trimestriel!S30-1)</f>
        <v/>
      </c>
      <c r="T71" s="75" t="str">
        <f>IF(OR(IPC_Trimestriel!X30="",IPC_Trimestriel!T30=""),"",IPC_Trimestriel!X30/IPC_Trimestriel!T30-1)</f>
        <v/>
      </c>
      <c r="U71" s="75" t="str">
        <f>IF(OR(IPC_Trimestriel!Y30="",IPC_Trimestriel!U30=""),"",IPC_Trimestriel!Y30/IPC_Trimestriel!U30-1)</f>
        <v/>
      </c>
      <c r="V71" s="75" t="str">
        <f>IF(OR(IPC_Trimestriel!Z30="",IPC_Trimestriel!V30=""),"",IPC_Trimestriel!Z30/IPC_Trimestriel!V30-1)</f>
        <v/>
      </c>
      <c r="W71" s="75" t="str">
        <f>IF(OR(IPC_Trimestriel!AA30="",IPC_Trimestriel!W30=""),"",IPC_Trimestriel!AA30/IPC_Trimestriel!W30-1)</f>
        <v/>
      </c>
      <c r="X71" s="75" t="str">
        <f>IF(OR(IPC_Trimestriel!AB30="",IPC_Trimestriel!X30=""),"",IPC_Trimestriel!AB30/IPC_Trimestriel!X30-1)</f>
        <v/>
      </c>
      <c r="Y71" s="75" t="str">
        <f>IF(OR(IPC_Trimestriel!AC30="",IPC_Trimestriel!Y30=""),"",IPC_Trimestriel!AC30/IPC_Trimestriel!Y30-1)</f>
        <v/>
      </c>
      <c r="Z71" s="75" t="str">
        <f>IF(OR(IPC_Trimestriel!AD30="",IPC_Trimestriel!Z30=""),"",IPC_Trimestriel!AD30/IPC_Trimestriel!Z30-1)</f>
        <v/>
      </c>
      <c r="AA71" s="75" t="str">
        <f>IF(OR(IPC_Trimestriel!AE30="",IPC_Trimestriel!AA30=""),"",IPC_Trimestriel!AE30/IPC_Trimestriel!AA30-1)</f>
        <v/>
      </c>
      <c r="AB71" s="75" t="str">
        <f>IF(OR(IPC_Trimestriel!AF30="",IPC_Trimestriel!AB30=""),"",IPC_Trimestriel!AF30/IPC_Trimestriel!AB30-1)</f>
        <v/>
      </c>
      <c r="AC71" s="75" t="str">
        <f>IF(OR(IPC_Trimestriel!AG30="",IPC_Trimestriel!AC30=""),"",IPC_Trimestriel!AG30/IPC_Trimestriel!AC30-1)</f>
        <v/>
      </c>
      <c r="AD71" s="75" t="str">
        <f>IF(OR(IPC_Trimestriel!AH30="",IPC_Trimestriel!AD30=""),"",IPC_Trimestriel!AH30/IPC_Trimestriel!AD30-1)</f>
        <v/>
      </c>
      <c r="AE71" s="75" t="str">
        <f>IF(OR(IPC_Trimestriel!AI30="",IPC_Trimestriel!AE30=""),"",IPC_Trimestriel!AI30/IPC_Trimestriel!AE30-1)</f>
        <v/>
      </c>
      <c r="AF71" s="75" t="str">
        <f>IF(OR(IPC_Trimestriel!AJ30="",IPC_Trimestriel!AF30=""),"",IPC_Trimestriel!AJ30/IPC_Trimestriel!AF30-1)</f>
        <v/>
      </c>
      <c r="AG71" s="75" t="str">
        <f>IF(OR(IPC_Trimestriel!AK30="",IPC_Trimestriel!AG30=""),"",IPC_Trimestriel!AK30/IPC_Trimestriel!AG30-1)</f>
        <v/>
      </c>
      <c r="AH71" s="75" t="str">
        <f>IF(OR(IPC_Trimestriel!AL30="",IPC_Trimestriel!AH30=""),"",IPC_Trimestriel!AL30/IPC_Trimestriel!AH30-1)</f>
        <v/>
      </c>
      <c r="AI71" s="75" t="str">
        <f>IF(OR(IPC_Trimestriel!AM30="",IPC_Trimestriel!AI30=""),"",IPC_Trimestriel!AM30/IPC_Trimestriel!AI30-1)</f>
        <v/>
      </c>
      <c r="AJ71" s="75" t="str">
        <f>IF(OR(IPC_Trimestriel!AN30="",IPC_Trimestriel!AJ30=""),"",IPC_Trimestriel!AN30/IPC_Trimestriel!AJ30-1)</f>
        <v/>
      </c>
      <c r="AK71" s="75" t="str">
        <f>IF(OR(IPC_Trimestriel!AO30="",IPC_Trimestriel!AK30=""),"",IPC_Trimestriel!AO30/IPC_Trimestriel!AK30-1)</f>
        <v/>
      </c>
      <c r="AL71" s="75" t="str">
        <f>IF(OR(IPC_Trimestriel!AP30="",IPC_Trimestriel!AL30=""),"",IPC_Trimestriel!AP30/IPC_Trimestriel!AL30-1)</f>
        <v/>
      </c>
      <c r="AM71" s="75" t="str">
        <f>IF(OR(IPC_Trimestriel!AQ30="",IPC_Trimestriel!AM30=""),"",IPC_Trimestriel!AQ30/IPC_Trimestriel!AM30-1)</f>
        <v/>
      </c>
      <c r="AN71" s="75" t="str">
        <f>IF(OR(IPC_Trimestriel!AR30="",IPC_Trimestriel!AN30=""),"",IPC_Trimestriel!AR30/IPC_Trimestriel!AN30-1)</f>
        <v/>
      </c>
      <c r="AO71" s="75" t="str">
        <f>IF(OR(IPC_Trimestriel!AS30="",IPC_Trimestriel!AO30=""),"",IPC_Trimestriel!AS30/IPC_Trimestriel!AO30-1)</f>
        <v/>
      </c>
      <c r="AP71" s="75" t="str">
        <f>IF(OR(IPC_Trimestriel!AT30="",IPC_Trimestriel!AP30=""),"",IPC_Trimestriel!AT30/IPC_Trimestriel!AP30-1)</f>
        <v/>
      </c>
      <c r="AQ71" s="75" t="str">
        <f>IF(OR(IPC_Trimestriel!AU30="",IPC_Trimestriel!AQ30=""),"",IPC_Trimestriel!AU30/IPC_Trimestriel!AQ30-1)</f>
        <v/>
      </c>
      <c r="AR71" s="75" t="str">
        <f>IF(OR(IPC_Trimestriel!AV30="",IPC_Trimestriel!AR30=""),"",IPC_Trimestriel!AV30/IPC_Trimestriel!AR30-1)</f>
        <v/>
      </c>
      <c r="AS71" s="75" t="str">
        <f>IF(OR(IPC_Trimestriel!AW30="",IPC_Trimestriel!AS30=""),"",IPC_Trimestriel!AW30/IPC_Trimestriel!AS30-1)</f>
        <v/>
      </c>
      <c r="AT71" s="75" t="str">
        <f>IF(OR(IPC_Trimestriel!AX30="",IPC_Trimestriel!AT30=""),"",IPC_Trimestriel!AX30/IPC_Trimestriel!AT30-1)</f>
        <v/>
      </c>
      <c r="AU71" s="75" t="str">
        <f>IF(OR(IPC_Trimestriel!AY30="",IPC_Trimestriel!AU30=""),"",IPC_Trimestriel!AY30/IPC_Trimestriel!AU30-1)</f>
        <v/>
      </c>
      <c r="AV71" s="75" t="str">
        <f>IF(OR(IPC_Trimestriel!AZ30="",IPC_Trimestriel!AV30=""),"",IPC_Trimestriel!AZ30/IPC_Trimestriel!AV30-1)</f>
        <v/>
      </c>
      <c r="AW71" s="75" t="str">
        <f>IF(OR(IPC_Trimestriel!BA30="",IPC_Trimestriel!AW30=""),"",IPC_Trimestriel!BA30/IPC_Trimestriel!AW30-1)</f>
        <v/>
      </c>
      <c r="AX71" s="75" t="str">
        <f>IF(OR(IPC_Trimestriel!BB30="",IPC_Trimestriel!AX30=""),"",IPC_Trimestriel!BB30/IPC_Trimestriel!AX30-1)</f>
        <v/>
      </c>
      <c r="AY71" s="75" t="str">
        <f>IF(OR(IPC_Trimestriel!BC30="",IPC_Trimestriel!AY30=""),"",IPC_Trimestriel!BC30/IPC_Trimestriel!AY30-1)</f>
        <v/>
      </c>
      <c r="AZ71" s="75">
        <f>IF(OR(IPC_Trimestriel!BD30="",IPC_Trimestriel!AZ30=""),"",IPC_Trimestriel!BD30/IPC_Trimestriel!AZ30-1)</f>
        <v>1.084933244385855E-2</v>
      </c>
      <c r="BA71" s="75">
        <f>IF(OR(IPC_Trimestriel!BE30="",IPC_Trimestriel!BA30=""),"",IPC_Trimestriel!BE30/IPC_Trimestriel!BA30-1)</f>
        <v>1.2494239783584327E-2</v>
      </c>
      <c r="BB71" s="75">
        <f>IF(OR(IPC_Trimestriel!BF30="",IPC_Trimestriel!BB30=""),"",IPC_Trimestriel!BF30/IPC_Trimestriel!BB30-1)</f>
        <v>1.3074773748510848E-2</v>
      </c>
      <c r="BC71" s="75">
        <f>IF(OR(IPC_Trimestriel!BG30="",IPC_Trimestriel!BC30=""),"",IPC_Trimestriel!BG30/IPC_Trimestriel!BC30-1)</f>
        <v>1.3647510983599398E-2</v>
      </c>
      <c r="BD71" s="75">
        <f>IF(OR(IPC_Trimestriel!BH30="",IPC_Trimestriel!BD30=""),"",IPC_Trimestriel!BH30/IPC_Trimestriel!BD30-1)</f>
        <v>6.6514896788825162E-3</v>
      </c>
      <c r="BE71" s="75">
        <f>IF(OR(IPC_Trimestriel!BI30="",IPC_Trimestriel!BE30=""),"",IPC_Trimestriel!BI30/IPC_Trimestriel!BE30-1)</f>
        <v>3.8830838704908555E-3</v>
      </c>
      <c r="BF71" s="75">
        <f>IF(OR(IPC_Trimestriel!BJ30="",IPC_Trimestriel!BF30=""),"",IPC_Trimestriel!BJ30/IPC_Trimestriel!BF30-1)</f>
        <v>1.3825022054949399E-2</v>
      </c>
      <c r="BG71" s="75">
        <f>IF(OR(IPC_Trimestriel!BK30="",IPC_Trimestriel!BG30=""),"",IPC_Trimestriel!BK30/IPC_Trimestriel!BG30-1)</f>
        <v>9.5270788459149713E-3</v>
      </c>
      <c r="BH71" s="75">
        <f>IF(OR(IPC_Trimestriel!BL30="",IPC_Trimestriel!BH30=""),"",IPC_Trimestriel!BL30/IPC_Trimestriel!BH30-1)</f>
        <v>1.3283900906462032E-2</v>
      </c>
      <c r="BI71" s="75">
        <f>IF(OR(IPC_Trimestriel!BM30="",IPC_Trimestriel!BI30=""),"",IPC_Trimestriel!BM30/IPC_Trimestriel!BI30-1)</f>
        <v>1.6309999221833626E-2</v>
      </c>
      <c r="BJ71" s="75">
        <f>IF(OR(IPC_Trimestriel!BN30="",IPC_Trimestriel!BJ30=""),"",IPC_Trimestriel!BN30/IPC_Trimestriel!BJ30-1)</f>
        <v>8.2004192151814426E-3</v>
      </c>
      <c r="BK71" s="75">
        <f>IF(OR(IPC_Trimestriel!BO30="",IPC_Trimestriel!BK30=""),"",IPC_Trimestriel!BO30/IPC_Trimestriel!BK30-1)</f>
        <v>7.5079426194093468E-3</v>
      </c>
      <c r="BL71" s="75">
        <f>IF(OR(IPC_Trimestriel!BP30="",IPC_Trimestriel!BL30=""),"",IPC_Trimestriel!BP30/IPC_Trimestriel!BL30-1)</f>
        <v>3.928940911124057E-3</v>
      </c>
      <c r="BM71" s="75">
        <f>IF(OR(IPC_Trimestriel!BQ30="",IPC_Trimestriel!BM30=""),"",IPC_Trimestriel!BQ30/IPC_Trimestriel!BM30-1)</f>
        <v>-5.6903360574855899E-4</v>
      </c>
      <c r="BN71" s="75">
        <f>IF(OR(IPC_Trimestriel!BR30="",IPC_Trimestriel!BN30=""),"",IPC_Trimestriel!BR30/IPC_Trimestriel!BN30-1)</f>
        <v>-1.3162174616067057E-3</v>
      </c>
      <c r="BO71" s="75">
        <f>IF(OR(IPC_Trimestriel!BS30="",IPC_Trimestriel!BO30=""),"",IPC_Trimestriel!BS30/IPC_Trimestriel!BO30-1)</f>
        <v>1.1346827793421443E-3</v>
      </c>
      <c r="BP71" s="75">
        <f>IF(OR(IPC_Trimestriel!BT30="",IPC_Trimestriel!BP30=""),"",IPC_Trimestriel!BT30/IPC_Trimestriel!BP30-1)</f>
        <v>4.3122397198436246E-3</v>
      </c>
      <c r="BQ71" s="75">
        <f>IF(OR(IPC_Trimestriel!BU30="",IPC_Trimestriel!BQ30=""),"",IPC_Trimestriel!BU30/IPC_Trimestriel!BQ30-1)</f>
        <v>4.1026998412481142E-3</v>
      </c>
      <c r="BR71" s="75">
        <f>IF(OR(IPC_Trimestriel!BV30="",IPC_Trimestriel!BR30=""),"",IPC_Trimestriel!BV30/IPC_Trimestriel!BR30-1)</f>
        <v>4.5163816739632878E-3</v>
      </c>
      <c r="BS71" s="75">
        <f>IF(OR(IPC_Trimestriel!BW30="",IPC_Trimestriel!BS30=""),"",IPC_Trimestriel!BW30/IPC_Trimestriel!BS30-1)</f>
        <v>3.9724670315708366E-3</v>
      </c>
      <c r="BT71" s="75">
        <f>IF(OR(IPC_Trimestriel!BX30="",IPC_Trimestriel!BT30=""),"",IPC_Trimestriel!BX30/IPC_Trimestriel!BT30-1)</f>
        <v>6.1575107687783515E-3</v>
      </c>
      <c r="BU71" s="75">
        <f>IF(OR(IPC_Trimestriel!BY30="",IPC_Trimestriel!BU30=""),"",IPC_Trimestriel!BY30/IPC_Trimestriel!BU30-1)</f>
        <v>1.7072524043117765E-2</v>
      </c>
      <c r="BV71" s="75">
        <f>IF(OR(IPC_Trimestriel!BZ30="",IPC_Trimestriel!BV30=""),"",IPC_Trimestriel!BZ30/IPC_Trimestriel!BV30-1)</f>
        <v>1.8189971724658749E-2</v>
      </c>
      <c r="BW71" s="75">
        <f>IF(OR(IPC_Trimestriel!CA30="",IPC_Trimestriel!BW30=""),"",IPC_Trimestriel!CA30/IPC_Trimestriel!BW30-1)</f>
        <v>1.9440577110045432E-2</v>
      </c>
      <c r="BX71" s="75">
        <f>IF(OR(IPC_Trimestriel!CB30="",IPC_Trimestriel!BX30=""),"",IPC_Trimestriel!CB30/IPC_Trimestriel!BX30-1)</f>
        <v>1.8907291657913605E-2</v>
      </c>
      <c r="BY71" s="75">
        <f>IF(OR(IPC_Trimestriel!CC30="",IPC_Trimestriel!BY30=""),"",IPC_Trimestriel!CC30/IPC_Trimestriel!BY30-1)</f>
        <v>1.4745125474624254E-2</v>
      </c>
      <c r="BZ71" s="75">
        <f>IF(OR(IPC_Trimestriel!CD30="",IPC_Trimestriel!BZ30=""),"",IPC_Trimestriel!CD30/IPC_Trimestriel!BZ30-1)</f>
        <v>1.3525497405419307E-2</v>
      </c>
      <c r="CA71" s="75">
        <f>IF(OR(IPC_Trimestriel!CE30="",IPC_Trimestriel!CA30=""),"",IPC_Trimestriel!CE30/IPC_Trimestriel!CA30-1)</f>
        <v>1.5470532725537778E-2</v>
      </c>
      <c r="CB71" s="75">
        <f>IF(OR(IPC_Trimestriel!CF30="",IPC_Trimestriel!CB30=""),"",IPC_Trimestriel!CF30/IPC_Trimestriel!CB30-1)</f>
        <v>1.5322405144657436E-2</v>
      </c>
      <c r="CC71" s="75">
        <f>IF(OR(IPC_Trimestriel!CG30="",IPC_Trimestriel!CC30=""),"",IPC_Trimestriel!CG30/IPC_Trimestriel!CC30-1)</f>
        <v>1.5496855506339502E-2</v>
      </c>
      <c r="CD71" s="75">
        <f>IF(OR(IPC_Trimestriel!CH30="",IPC_Trimestriel!CD30=""),"",IPC_Trimestriel!CH30/IPC_Trimestriel!CD30-1)</f>
        <v>1.6633145634991964E-2</v>
      </c>
      <c r="CE71" s="75">
        <f>IF(OR(IPC_Trimestriel!CI30="",IPC_Trimestriel!CE30=""),"",IPC_Trimestriel!CI30/IPC_Trimestriel!CE30-1)</f>
        <v>1.4602932630228826E-2</v>
      </c>
      <c r="CF71" s="75">
        <f>IF(OR(IPC_Trimestriel!CJ30="",IPC_Trimestriel!CF30=""),"",IPC_Trimestriel!CJ30/IPC_Trimestriel!CF30-1)</f>
        <v>1.6691733374443851E-2</v>
      </c>
      <c r="CG71" s="75">
        <f>IF(OR(IPC_Trimestriel!CK30="",IPC_Trimestriel!CG30=""),"",IPC_Trimestriel!CK30/IPC_Trimestriel!CG30-1)</f>
        <v>1.4065623862320464E-2</v>
      </c>
      <c r="CH71" s="75">
        <f>IF(OR(IPC_Trimestriel!CL30="",IPC_Trimestriel!CH30=""),"",IPC_Trimestriel!CL30/IPC_Trimestriel!CH30-1)</f>
        <v>1.4931005681890097E-2</v>
      </c>
      <c r="CI71" s="75">
        <f>IF(OR(IPC_Trimestriel!CM30="",IPC_Trimestriel!CI30=""),"",IPC_Trimestriel!CM30/IPC_Trimestriel!CI30-1)</f>
        <v>1.767978253346425E-2</v>
      </c>
      <c r="CJ71" s="75">
        <f>IF(OR(IPC_Trimestriel!CN30="",IPC_Trimestriel!CJ30=""),"",IPC_Trimestriel!CN30/IPC_Trimestriel!CJ30-1)</f>
        <v>2.9388043714922096E-2</v>
      </c>
      <c r="CK71" s="75">
        <f>IF(OR(IPC_Trimestriel!CO30="",IPC_Trimestriel!CK30=""),"",IPC_Trimestriel!CO30/IPC_Trimestriel!CK30-1)</f>
        <v>5.4349694109833813E-2</v>
      </c>
      <c r="CL71" s="75">
        <f>IF(OR(IPC_Trimestriel!CP30="",IPC_Trimestriel!CL30=""),"",IPC_Trimestriel!CP30/IPC_Trimestriel!CL30-1)</f>
        <v>6.7009490837932395E-2</v>
      </c>
      <c r="CM71" s="75">
        <f>IF(OR(IPC_Trimestriel!CQ30="",IPC_Trimestriel!CM30=""),"",IPC_Trimestriel!CQ30/IPC_Trimestriel!CM30-1)</f>
        <v>7.4121828556695579E-2</v>
      </c>
      <c r="CN71" s="75" t="str">
        <f>IF(OR(IPC_Trimestriel!CR30="",IPC_Trimestriel!CN30=""),"",IPC_Trimestriel!CR30/IPC_Trimestriel!CN30-1)</f>
        <v/>
      </c>
      <c r="CO71" s="75" t="str">
        <f>IF(OR(IPC_Trimestriel!CS30="",IPC_Trimestriel!CO30=""),"",IPC_Trimestriel!CS30/IPC_Trimestriel!CO30-1)</f>
        <v/>
      </c>
      <c r="CP71" s="75" t="str">
        <f>IF(OR(IPC_Trimestriel!CT30="",IPC_Trimestriel!CP30=""),"",IPC_Trimestriel!CT30/IPC_Trimestriel!CP30-1)</f>
        <v/>
      </c>
    </row>
    <row r="72" spans="1:94" s="81" customFormat="1" ht="10.199999999999999" x14ac:dyDescent="0.2">
      <c r="B72" s="81" t="s">
        <v>110</v>
      </c>
      <c r="D72" s="84" t="str">
        <f>IF(OR(IPC_Trimestriel!H31="",IPC_Trimestriel!D31=""),"",IPC_Trimestriel!H31/IPC_Trimestriel!D31-1)</f>
        <v/>
      </c>
      <c r="E72" s="84" t="str">
        <f>IF(OR(IPC_Trimestriel!I31="",IPC_Trimestriel!E31=""),"",IPC_Trimestriel!I31/IPC_Trimestriel!E31-1)</f>
        <v/>
      </c>
      <c r="F72" s="84" t="str">
        <f>IF(OR(IPC_Trimestriel!J31="",IPC_Trimestriel!F31=""),"",IPC_Trimestriel!J31/IPC_Trimestriel!F31-1)</f>
        <v/>
      </c>
      <c r="G72" s="84" t="str">
        <f>IF(OR(IPC_Trimestriel!K31="",IPC_Trimestriel!G31=""),"",IPC_Trimestriel!K31/IPC_Trimestriel!G31-1)</f>
        <v/>
      </c>
      <c r="H72" s="84" t="str">
        <f>IF(OR(IPC_Trimestriel!L31="",IPC_Trimestriel!H31=""),"",IPC_Trimestriel!L31/IPC_Trimestriel!H31-1)</f>
        <v/>
      </c>
      <c r="I72" s="84" t="str">
        <f>IF(OR(IPC_Trimestriel!M31="",IPC_Trimestriel!I31=""),"",IPC_Trimestriel!M31/IPC_Trimestriel!I31-1)</f>
        <v/>
      </c>
      <c r="J72" s="84" t="str">
        <f>IF(OR(IPC_Trimestriel!N31="",IPC_Trimestriel!J31=""),"",IPC_Trimestriel!N31/IPC_Trimestriel!J31-1)</f>
        <v/>
      </c>
      <c r="K72" s="84" t="str">
        <f>IF(OR(IPC_Trimestriel!O31="",IPC_Trimestriel!K31=""),"",IPC_Trimestriel!O31/IPC_Trimestriel!K31-1)</f>
        <v/>
      </c>
      <c r="L72" s="84" t="str">
        <f>IF(OR(IPC_Trimestriel!P31="",IPC_Trimestriel!L31=""),"",IPC_Trimestriel!P31/IPC_Trimestriel!L31-1)</f>
        <v/>
      </c>
      <c r="M72" s="84" t="str">
        <f>IF(OR(IPC_Trimestriel!Q31="",IPC_Trimestriel!M31=""),"",IPC_Trimestriel!Q31/IPC_Trimestriel!M31-1)</f>
        <v/>
      </c>
      <c r="N72" s="84" t="str">
        <f>IF(OR(IPC_Trimestriel!R31="",IPC_Trimestriel!N31=""),"",IPC_Trimestriel!R31/IPC_Trimestriel!N31-1)</f>
        <v/>
      </c>
      <c r="O72" s="84" t="str">
        <f>IF(OR(IPC_Trimestriel!S31="",IPC_Trimestriel!O31=""),"",IPC_Trimestriel!S31/IPC_Trimestriel!O31-1)</f>
        <v/>
      </c>
      <c r="P72" s="84" t="str">
        <f>IF(OR(IPC_Trimestriel!T31="",IPC_Trimestriel!P31=""),"",IPC_Trimestriel!T31/IPC_Trimestriel!P31-1)</f>
        <v/>
      </c>
      <c r="Q72" s="84" t="str">
        <f>IF(OR(IPC_Trimestriel!U31="",IPC_Trimestriel!Q31=""),"",IPC_Trimestriel!U31/IPC_Trimestriel!Q31-1)</f>
        <v/>
      </c>
      <c r="R72" s="84" t="str">
        <f>IF(OR(IPC_Trimestriel!V31="",IPC_Trimestriel!R31=""),"",IPC_Trimestriel!V31/IPC_Trimestriel!R31-1)</f>
        <v/>
      </c>
      <c r="S72" s="84" t="str">
        <f>IF(OR(IPC_Trimestriel!W31="",IPC_Trimestriel!S31=""),"",IPC_Trimestriel!W31/IPC_Trimestriel!S31-1)</f>
        <v/>
      </c>
      <c r="T72" s="84" t="str">
        <f>IF(OR(IPC_Trimestriel!X31="",IPC_Trimestriel!T31=""),"",IPC_Trimestriel!X31/IPC_Trimestriel!T31-1)</f>
        <v/>
      </c>
      <c r="U72" s="84" t="str">
        <f>IF(OR(IPC_Trimestriel!Y31="",IPC_Trimestriel!U31=""),"",IPC_Trimestriel!Y31/IPC_Trimestriel!U31-1)</f>
        <v/>
      </c>
      <c r="V72" s="84" t="str">
        <f>IF(OR(IPC_Trimestriel!Z31="",IPC_Trimestriel!V31=""),"",IPC_Trimestriel!Z31/IPC_Trimestriel!V31-1)</f>
        <v/>
      </c>
      <c r="W72" s="84" t="str">
        <f>IF(OR(IPC_Trimestriel!AA31="",IPC_Trimestriel!W31=""),"",IPC_Trimestriel!AA31/IPC_Trimestriel!W31-1)</f>
        <v/>
      </c>
      <c r="X72" s="84" t="str">
        <f>IF(OR(IPC_Trimestriel!AB31="",IPC_Trimestriel!X31=""),"",IPC_Trimestriel!AB31/IPC_Trimestriel!X31-1)</f>
        <v/>
      </c>
      <c r="Y72" s="84" t="str">
        <f>IF(OR(IPC_Trimestriel!AC31="",IPC_Trimestriel!Y31=""),"",IPC_Trimestriel!AC31/IPC_Trimestriel!Y31-1)</f>
        <v/>
      </c>
      <c r="Z72" s="84" t="str">
        <f>IF(OR(IPC_Trimestriel!AD31="",IPC_Trimestriel!Z31=""),"",IPC_Trimestriel!AD31/IPC_Trimestriel!Z31-1)</f>
        <v/>
      </c>
      <c r="AA72" s="84" t="str">
        <f>IF(OR(IPC_Trimestriel!AE31="",IPC_Trimestriel!AA31=""),"",IPC_Trimestriel!AE31/IPC_Trimestriel!AA31-1)</f>
        <v/>
      </c>
      <c r="AB72" s="84" t="str">
        <f>IF(OR(IPC_Trimestriel!AF31="",IPC_Trimestriel!AB31=""),"",IPC_Trimestriel!AF31/IPC_Trimestriel!AB31-1)</f>
        <v/>
      </c>
      <c r="AC72" s="84" t="str">
        <f>IF(OR(IPC_Trimestriel!AG31="",IPC_Trimestriel!AC31=""),"",IPC_Trimestriel!AG31/IPC_Trimestriel!AC31-1)</f>
        <v/>
      </c>
      <c r="AD72" s="84" t="str">
        <f>IF(OR(IPC_Trimestriel!AH31="",IPC_Trimestriel!AD31=""),"",IPC_Trimestriel!AH31/IPC_Trimestriel!AD31-1)</f>
        <v/>
      </c>
      <c r="AE72" s="84" t="str">
        <f>IF(OR(IPC_Trimestriel!AI31="",IPC_Trimestriel!AE31=""),"",IPC_Trimestriel!AI31/IPC_Trimestriel!AE31-1)</f>
        <v/>
      </c>
      <c r="AF72" s="84" t="str">
        <f>IF(OR(IPC_Trimestriel!AJ31="",IPC_Trimestriel!AF31=""),"",IPC_Trimestriel!AJ31/IPC_Trimestriel!AF31-1)</f>
        <v/>
      </c>
      <c r="AG72" s="84" t="str">
        <f>IF(OR(IPC_Trimestriel!AK31="",IPC_Trimestriel!AG31=""),"",IPC_Trimestriel!AK31/IPC_Trimestriel!AG31-1)</f>
        <v/>
      </c>
      <c r="AH72" s="84" t="str">
        <f>IF(OR(IPC_Trimestriel!AL31="",IPC_Trimestriel!AH31=""),"",IPC_Trimestriel!AL31/IPC_Trimestriel!AH31-1)</f>
        <v/>
      </c>
      <c r="AI72" s="84" t="str">
        <f>IF(OR(IPC_Trimestriel!AM31="",IPC_Trimestriel!AI31=""),"",IPC_Trimestriel!AM31/IPC_Trimestriel!AI31-1)</f>
        <v/>
      </c>
      <c r="AJ72" s="84" t="str">
        <f>IF(OR(IPC_Trimestriel!AN31="",IPC_Trimestriel!AJ31=""),"",IPC_Trimestriel!AN31/IPC_Trimestriel!AJ31-1)</f>
        <v/>
      </c>
      <c r="AK72" s="84" t="str">
        <f>IF(OR(IPC_Trimestriel!AO31="",IPC_Trimestriel!AK31=""),"",IPC_Trimestriel!AO31/IPC_Trimestriel!AK31-1)</f>
        <v/>
      </c>
      <c r="AL72" s="84" t="str">
        <f>IF(OR(IPC_Trimestriel!AP31="",IPC_Trimestriel!AL31=""),"",IPC_Trimestriel!AP31/IPC_Trimestriel!AL31-1)</f>
        <v/>
      </c>
      <c r="AM72" s="84" t="str">
        <f>IF(OR(IPC_Trimestriel!AQ31="",IPC_Trimestriel!AM31=""),"",IPC_Trimestriel!AQ31/IPC_Trimestriel!AM31-1)</f>
        <v/>
      </c>
      <c r="AN72" s="84" t="str">
        <f>IF(OR(IPC_Trimestriel!AR31="",IPC_Trimestriel!AN31=""),"",IPC_Trimestriel!AR31/IPC_Trimestriel!AN31-1)</f>
        <v/>
      </c>
      <c r="AO72" s="84" t="str">
        <f>IF(OR(IPC_Trimestriel!AS31="",IPC_Trimestriel!AO31=""),"",IPC_Trimestriel!AS31/IPC_Trimestriel!AO31-1)</f>
        <v/>
      </c>
      <c r="AP72" s="84" t="str">
        <f>IF(OR(IPC_Trimestriel!AT31="",IPC_Trimestriel!AP31=""),"",IPC_Trimestriel!AT31/IPC_Trimestriel!AP31-1)</f>
        <v/>
      </c>
      <c r="AQ72" s="84" t="str">
        <f>IF(OR(IPC_Trimestriel!AU31="",IPC_Trimestriel!AQ31=""),"",IPC_Trimestriel!AU31/IPC_Trimestriel!AQ31-1)</f>
        <v/>
      </c>
      <c r="AR72" s="84" t="str">
        <f>IF(OR(IPC_Trimestriel!AV31="",IPC_Trimestriel!AR31=""),"",IPC_Trimestriel!AV31/IPC_Trimestriel!AR31-1)</f>
        <v/>
      </c>
      <c r="AS72" s="84" t="str">
        <f>IF(OR(IPC_Trimestriel!AW31="",IPC_Trimestriel!AS31=""),"",IPC_Trimestriel!AW31/IPC_Trimestriel!AS31-1)</f>
        <v/>
      </c>
      <c r="AT72" s="84" t="str">
        <f>IF(OR(IPC_Trimestriel!AX31="",IPC_Trimestriel!AT31=""),"",IPC_Trimestriel!AX31/IPC_Trimestriel!AT31-1)</f>
        <v/>
      </c>
      <c r="AU72" s="84" t="str">
        <f>IF(OR(IPC_Trimestriel!AY31="",IPC_Trimestriel!AU31=""),"",IPC_Trimestriel!AY31/IPC_Trimestriel!AU31-1)</f>
        <v/>
      </c>
      <c r="AV72" s="84" t="str">
        <f>IF(OR(IPC_Trimestriel!AZ31="",IPC_Trimestriel!AV31=""),"",IPC_Trimestriel!AZ31/IPC_Trimestriel!AV31-1)</f>
        <v/>
      </c>
      <c r="AW72" s="84" t="str">
        <f>IF(OR(IPC_Trimestriel!BA31="",IPC_Trimestriel!AW31=""),"",IPC_Trimestriel!BA31/IPC_Trimestriel!AW31-1)</f>
        <v/>
      </c>
      <c r="AX72" s="84" t="str">
        <f>IF(OR(IPC_Trimestriel!BB31="",IPC_Trimestriel!AX31=""),"",IPC_Trimestriel!BB31/IPC_Trimestriel!AX31-1)</f>
        <v/>
      </c>
      <c r="AY72" s="84" t="str">
        <f>IF(OR(IPC_Trimestriel!BC31="",IPC_Trimestriel!AY31=""),"",IPC_Trimestriel!BC31/IPC_Trimestriel!AY31-1)</f>
        <v/>
      </c>
      <c r="AZ72" s="84">
        <f>IF(OR(IPC_Trimestriel!BD31="",IPC_Trimestriel!AZ31=""),"",IPC_Trimestriel!BD31/IPC_Trimestriel!AZ31-1)</f>
        <v>2.1992797141431097E-2</v>
      </c>
      <c r="BA72" s="84">
        <f>IF(OR(IPC_Trimestriel!BE31="",IPC_Trimestriel!BA31=""),"",IPC_Trimestriel!BE31/IPC_Trimestriel!BA31-1)</f>
        <v>1.9810363243466522E-2</v>
      </c>
      <c r="BB72" s="84">
        <f>IF(OR(IPC_Trimestriel!BF31="",IPC_Trimestriel!BB31=""),"",IPC_Trimestriel!BF31/IPC_Trimestriel!BB31-1)</f>
        <v>1.3200560339350798E-2</v>
      </c>
      <c r="BC72" s="84">
        <f>IF(OR(IPC_Trimestriel!BG31="",IPC_Trimestriel!BC31=""),"",IPC_Trimestriel!BG31/IPC_Trimestriel!BC31-1)</f>
        <v>1.1964054969822335E-2</v>
      </c>
      <c r="BD72" s="84">
        <f>IF(OR(IPC_Trimestriel!BH31="",IPC_Trimestriel!BD31=""),"",IPC_Trimestriel!BH31/IPC_Trimestriel!BD31-1)</f>
        <v>1.276921169455747E-2</v>
      </c>
      <c r="BE72" s="84">
        <f>IF(OR(IPC_Trimestriel!BI31="",IPC_Trimestriel!BE31=""),"",IPC_Trimestriel!BI31/IPC_Trimestriel!BE31-1)</f>
        <v>1.0654555159081758E-2</v>
      </c>
      <c r="BF72" s="84">
        <f>IF(OR(IPC_Trimestriel!BJ31="",IPC_Trimestriel!BF31=""),"",IPC_Trimestriel!BJ31/IPC_Trimestriel!BF31-1)</f>
        <v>5.1014058779081051E-2</v>
      </c>
      <c r="BG72" s="84">
        <f>IF(OR(IPC_Trimestriel!BK31="",IPC_Trimestriel!BG31=""),"",IPC_Trimestriel!BK31/IPC_Trimestriel!BG31-1)</f>
        <v>5.068083606697793E-2</v>
      </c>
      <c r="BH72" s="84">
        <f>IF(OR(IPC_Trimestriel!BL31="",IPC_Trimestriel!BH31=""),"",IPC_Trimestriel!BL31/IPC_Trimestriel!BH31-1)</f>
        <v>5.4052406338641168E-2</v>
      </c>
      <c r="BI72" s="84">
        <f>IF(OR(IPC_Trimestriel!BM31="",IPC_Trimestriel!BI31=""),"",IPC_Trimestriel!BM31/IPC_Trimestriel!BI31-1)</f>
        <v>6.0811419567417646E-2</v>
      </c>
      <c r="BJ72" s="84">
        <f>IF(OR(IPC_Trimestriel!BN31="",IPC_Trimestriel!BJ31=""),"",IPC_Trimestriel!BN31/IPC_Trimestriel!BJ31-1)</f>
        <v>2.2115153345510175E-2</v>
      </c>
      <c r="BK72" s="84">
        <f>IF(OR(IPC_Trimestriel!BO31="",IPC_Trimestriel!BK31=""),"",IPC_Trimestriel!BO31/IPC_Trimestriel!BK31-1)</f>
        <v>1.8805802158037732E-2</v>
      </c>
      <c r="BL72" s="84">
        <f>IF(OR(IPC_Trimestriel!BP31="",IPC_Trimestriel!BL31=""),"",IPC_Trimestriel!BP31/IPC_Trimestriel!BL31-1)</f>
        <v>1.6155920614525865E-2</v>
      </c>
      <c r="BM72" s="84">
        <f>IF(OR(IPC_Trimestriel!BQ31="",IPC_Trimestriel!BM31=""),"",IPC_Trimestriel!BQ31/IPC_Trimestriel!BM31-1)</f>
        <v>9.188762364185088E-3</v>
      </c>
      <c r="BN72" s="84">
        <f>IF(OR(IPC_Trimestriel!BR31="",IPC_Trimestriel!BN31=""),"",IPC_Trimestriel!BR31/IPC_Trimestriel!BN31-1)</f>
        <v>6.0147048416507864E-3</v>
      </c>
      <c r="BO72" s="84">
        <f>IF(OR(IPC_Trimestriel!BS31="",IPC_Trimestriel!BO31=""),"",IPC_Trimestriel!BS31/IPC_Trimestriel!BO31-1)</f>
        <v>6.6846240964564263E-3</v>
      </c>
      <c r="BP72" s="84">
        <f>IF(OR(IPC_Trimestriel!BT31="",IPC_Trimestriel!BP31=""),"",IPC_Trimestriel!BT31/IPC_Trimestriel!BP31-1)</f>
        <v>8.8850649431138073E-3</v>
      </c>
      <c r="BQ72" s="84">
        <f>IF(OR(IPC_Trimestriel!BU31="",IPC_Trimestriel!BQ31=""),"",IPC_Trimestriel!BU31/IPC_Trimestriel!BQ31-1)</f>
        <v>9.6789345409318273E-3</v>
      </c>
      <c r="BR72" s="84">
        <f>IF(OR(IPC_Trimestriel!BV31="",IPC_Trimestriel!BR31=""),"",IPC_Trimestriel!BV31/IPC_Trimestriel!BR31-1)</f>
        <v>8.7117318356442208E-3</v>
      </c>
      <c r="BS72" s="84">
        <f>IF(OR(IPC_Trimestriel!BW31="",IPC_Trimestriel!BS31=""),"",IPC_Trimestriel!BW31/IPC_Trimestriel!BS31-1)</f>
        <v>6.3845287138133422E-3</v>
      </c>
      <c r="BT72" s="84">
        <f>IF(OR(IPC_Trimestriel!BX31="",IPC_Trimestriel!BT31=""),"",IPC_Trimestriel!BX31/IPC_Trimestriel!BT31-1)</f>
        <v>4.3343350531166447E-3</v>
      </c>
      <c r="BU72" s="84">
        <f>IF(OR(IPC_Trimestriel!BY31="",IPC_Trimestriel!BU31=""),"",IPC_Trimestriel!BY31/IPC_Trimestriel!BU31-1)</f>
        <v>7.3057359470751759E-3</v>
      </c>
      <c r="BV72" s="84">
        <f>IF(OR(IPC_Trimestriel!BZ31="",IPC_Trimestriel!BV31=""),"",IPC_Trimestriel!BZ31/IPC_Trimestriel!BV31-1)</f>
        <v>1.5227382735760076E-2</v>
      </c>
      <c r="BW72" s="84">
        <f>IF(OR(IPC_Trimestriel!CA31="",IPC_Trimestriel!BW31=""),"",IPC_Trimestriel!CA31/IPC_Trimestriel!BW31-1)</f>
        <v>2.0770072088725833E-2</v>
      </c>
      <c r="BX72" s="84">
        <f>IF(OR(IPC_Trimestriel!CB31="",IPC_Trimestriel!BX31=""),"",IPC_Trimestriel!CB31/IPC_Trimestriel!BX31-1)</f>
        <v>2.4461817863513424E-2</v>
      </c>
      <c r="BY72" s="84">
        <f>IF(OR(IPC_Trimestriel!CC31="",IPC_Trimestriel!BY31=""),"",IPC_Trimestriel!CC31/IPC_Trimestriel!BY31-1)</f>
        <v>2.4435604536525046E-2</v>
      </c>
      <c r="BZ72" s="84">
        <f>IF(OR(IPC_Trimestriel!CD31="",IPC_Trimestriel!BZ31=""),"",IPC_Trimestriel!CD31/IPC_Trimestriel!BZ31-1)</f>
        <v>1.7903942602612632E-2</v>
      </c>
      <c r="CA72" s="84">
        <f>IF(OR(IPC_Trimestriel!CE31="",IPC_Trimestriel!CA31=""),"",IPC_Trimestriel!CE31/IPC_Trimestriel!CA31-1)</f>
        <v>1.5494718524654116E-2</v>
      </c>
      <c r="CB72" s="84">
        <f>IF(OR(IPC_Trimestriel!CF31="",IPC_Trimestriel!CB31=""),"",IPC_Trimestriel!CF31/IPC_Trimestriel!CB31-1)</f>
        <v>1.3932281472986086E-2</v>
      </c>
      <c r="CC72" s="84">
        <f>IF(OR(IPC_Trimestriel!CG31="",IPC_Trimestriel!CC31=""),"",IPC_Trimestriel!CG31/IPC_Trimestriel!CC31-1)</f>
        <v>1.7241455997729416E-2</v>
      </c>
      <c r="CD72" s="84">
        <f>IF(OR(IPC_Trimestriel!CH31="",IPC_Trimestriel!CD31=""),"",IPC_Trimestriel!CH31/IPC_Trimestriel!CD31-1)</f>
        <v>1.2605166062440443E-2</v>
      </c>
      <c r="CE72" s="84">
        <f>IF(OR(IPC_Trimestriel!CI31="",IPC_Trimestriel!CE31=""),"",IPC_Trimestriel!CI31/IPC_Trimestriel!CE31-1)</f>
        <v>1.321301088021376E-2</v>
      </c>
      <c r="CF72" s="84">
        <f>IF(OR(IPC_Trimestriel!CJ31="",IPC_Trimestriel!CF31=""),"",IPC_Trimestriel!CJ31/IPC_Trimestriel!CF31-1)</f>
        <v>1.0922763306883132E-2</v>
      </c>
      <c r="CG72" s="84">
        <f>IF(OR(IPC_Trimestriel!CK31="",IPC_Trimestriel!CG31=""),"",IPC_Trimestriel!CK31/IPC_Trimestriel!CG31-1)</f>
        <v>4.4136698442782674E-3</v>
      </c>
      <c r="CH72" s="84">
        <f>IF(OR(IPC_Trimestriel!CL31="",IPC_Trimestriel!CH31=""),"",IPC_Trimestriel!CL31/IPC_Trimestriel!CH31-1)</f>
        <v>9.8380153910571089E-3</v>
      </c>
      <c r="CI72" s="84">
        <f>IF(OR(IPC_Trimestriel!CM31="",IPC_Trimestriel!CI31=""),"",IPC_Trimestriel!CM31/IPC_Trimestriel!CI31-1)</f>
        <v>1.1293658883706481E-2</v>
      </c>
      <c r="CJ72" s="84">
        <f>IF(OR(IPC_Trimestriel!CN31="",IPC_Trimestriel!CJ31=""),"",IPC_Trimestriel!CN31/IPC_Trimestriel!CJ31-1)</f>
        <v>1.791735139005457E-2</v>
      </c>
      <c r="CK72" s="84">
        <f>IF(OR(IPC_Trimestriel!CO31="",IPC_Trimestriel!CK31=""),"",IPC_Trimestriel!CO31/IPC_Trimestriel!CK31-1)</f>
        <v>2.6934561446768646E-2</v>
      </c>
      <c r="CL72" s="84">
        <f>IF(OR(IPC_Trimestriel!CP31="",IPC_Trimestriel!CL31=""),"",IPC_Trimestriel!CP31/IPC_Trimestriel!CL31-1)</f>
        <v>3.556063188369496E-2</v>
      </c>
      <c r="CM72" s="84">
        <f>IF(OR(IPC_Trimestriel!CQ31="",IPC_Trimestriel!CM31=""),"",IPC_Trimestriel!CQ31/IPC_Trimestriel!CM31-1)</f>
        <v>3.7089719120903863E-2</v>
      </c>
      <c r="CN72" s="84" t="str">
        <f>IF(OR(IPC_Trimestriel!CR31="",IPC_Trimestriel!CN31=""),"",IPC_Trimestriel!CR31/IPC_Trimestriel!CN31-1)</f>
        <v/>
      </c>
      <c r="CO72" s="84" t="str">
        <f>IF(OR(IPC_Trimestriel!CS31="",IPC_Trimestriel!CO31=""),"",IPC_Trimestriel!CS31/IPC_Trimestriel!CO31-1)</f>
        <v/>
      </c>
      <c r="CP72" s="84" t="str">
        <f>IF(OR(IPC_Trimestriel!CT31="",IPC_Trimestriel!CP31=""),"",IPC_Trimestriel!CT31/IPC_Trimestriel!CP31-1)</f>
        <v/>
      </c>
    </row>
    <row r="73" spans="1:94" s="74" customFormat="1" ht="10.199999999999999" x14ac:dyDescent="0.2"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75"/>
      <c r="CG73" s="75"/>
      <c r="CH73" s="75"/>
      <c r="CI73" s="75"/>
      <c r="CJ73" s="75"/>
      <c r="CK73" s="75"/>
      <c r="CL73" s="75"/>
      <c r="CM73" s="75"/>
      <c r="CN73" s="75"/>
      <c r="CO73" s="75"/>
      <c r="CP73" s="75"/>
    </row>
    <row r="74" spans="1:94" s="74" customFormat="1" ht="10.199999999999999" x14ac:dyDescent="0.2">
      <c r="B74" s="3" t="s">
        <v>111</v>
      </c>
      <c r="D74" s="75" t="str">
        <f>IF(OR(IPC_Trimestriel!H33="",IPC_Trimestriel!D33=""),"",IPC_Trimestriel!H33/IPC_Trimestriel!D33-1)</f>
        <v/>
      </c>
      <c r="E74" s="75" t="str">
        <f>IF(OR(IPC_Trimestriel!I33="",IPC_Trimestriel!E33=""),"",IPC_Trimestriel!I33/IPC_Trimestriel!E33-1)</f>
        <v/>
      </c>
      <c r="F74" s="75" t="str">
        <f>IF(OR(IPC_Trimestriel!J33="",IPC_Trimestriel!F33=""),"",IPC_Trimestriel!J33/IPC_Trimestriel!F33-1)</f>
        <v/>
      </c>
      <c r="G74" s="75" t="str">
        <f>IF(OR(IPC_Trimestriel!K33="",IPC_Trimestriel!G33=""),"",IPC_Trimestriel!K33/IPC_Trimestriel!G33-1)</f>
        <v/>
      </c>
      <c r="H74" s="75" t="str">
        <f>IF(OR(IPC_Trimestriel!L33="",IPC_Trimestriel!H33=""),"",IPC_Trimestriel!L33/IPC_Trimestriel!H33-1)</f>
        <v/>
      </c>
      <c r="I74" s="75" t="str">
        <f>IF(OR(IPC_Trimestriel!M33="",IPC_Trimestriel!I33=""),"",IPC_Trimestriel!M33/IPC_Trimestriel!I33-1)</f>
        <v/>
      </c>
      <c r="J74" s="75" t="str">
        <f>IF(OR(IPC_Trimestriel!N33="",IPC_Trimestriel!J33=""),"",IPC_Trimestriel!N33/IPC_Trimestriel!J33-1)</f>
        <v/>
      </c>
      <c r="K74" s="75" t="str">
        <f>IF(OR(IPC_Trimestriel!O33="",IPC_Trimestriel!K33=""),"",IPC_Trimestriel!O33/IPC_Trimestriel!K33-1)</f>
        <v/>
      </c>
      <c r="L74" s="75" t="str">
        <f>IF(OR(IPC_Trimestriel!P33="",IPC_Trimestriel!L33=""),"",IPC_Trimestriel!P33/IPC_Trimestriel!L33-1)</f>
        <v/>
      </c>
      <c r="M74" s="75" t="str">
        <f>IF(OR(IPC_Trimestriel!Q33="",IPC_Trimestriel!M33=""),"",IPC_Trimestriel!Q33/IPC_Trimestriel!M33-1)</f>
        <v/>
      </c>
      <c r="N74" s="75" t="str">
        <f>IF(OR(IPC_Trimestriel!R33="",IPC_Trimestriel!N33=""),"",IPC_Trimestriel!R33/IPC_Trimestriel!N33-1)</f>
        <v/>
      </c>
      <c r="O74" s="75" t="str">
        <f>IF(OR(IPC_Trimestriel!S33="",IPC_Trimestriel!O33=""),"",IPC_Trimestriel!S33/IPC_Trimestriel!O33-1)</f>
        <v/>
      </c>
      <c r="P74" s="75" t="str">
        <f>IF(OR(IPC_Trimestriel!T33="",IPC_Trimestriel!P33=""),"",IPC_Trimestriel!T33/IPC_Trimestriel!P33-1)</f>
        <v/>
      </c>
      <c r="Q74" s="75" t="str">
        <f>IF(OR(IPC_Trimestriel!U33="",IPC_Trimestriel!Q33=""),"",IPC_Trimestriel!U33/IPC_Trimestriel!Q33-1)</f>
        <v/>
      </c>
      <c r="R74" s="75" t="str">
        <f>IF(OR(IPC_Trimestriel!V33="",IPC_Trimestriel!R33=""),"",IPC_Trimestriel!V33/IPC_Trimestriel!R33-1)</f>
        <v/>
      </c>
      <c r="S74" s="75" t="str">
        <f>IF(OR(IPC_Trimestriel!W33="",IPC_Trimestriel!S33=""),"",IPC_Trimestriel!W33/IPC_Trimestriel!S33-1)</f>
        <v/>
      </c>
      <c r="T74" s="75" t="str">
        <f>IF(OR(IPC_Trimestriel!X33="",IPC_Trimestriel!T33=""),"",IPC_Trimestriel!X33/IPC_Trimestriel!T33-1)</f>
        <v/>
      </c>
      <c r="U74" s="75" t="str">
        <f>IF(OR(IPC_Trimestriel!Y33="",IPC_Trimestriel!U33=""),"",IPC_Trimestriel!Y33/IPC_Trimestriel!U33-1)</f>
        <v/>
      </c>
      <c r="V74" s="75" t="str">
        <f>IF(OR(IPC_Trimestriel!Z33="",IPC_Trimestriel!V33=""),"",IPC_Trimestriel!Z33/IPC_Trimestriel!V33-1)</f>
        <v/>
      </c>
      <c r="W74" s="75" t="str">
        <f>IF(OR(IPC_Trimestriel!AA33="",IPC_Trimestriel!W33=""),"",IPC_Trimestriel!AA33/IPC_Trimestriel!W33-1)</f>
        <v/>
      </c>
      <c r="X74" s="75" t="str">
        <f>IF(OR(IPC_Trimestriel!AB33="",IPC_Trimestriel!X33=""),"",IPC_Trimestriel!AB33/IPC_Trimestriel!X33-1)</f>
        <v/>
      </c>
      <c r="Y74" s="75" t="str">
        <f>IF(OR(IPC_Trimestriel!AC33="",IPC_Trimestriel!Y33=""),"",IPC_Trimestriel!AC33/IPC_Trimestriel!Y33-1)</f>
        <v/>
      </c>
      <c r="Z74" s="75" t="str">
        <f>IF(OR(IPC_Trimestriel!AD33="",IPC_Trimestriel!Z33=""),"",IPC_Trimestriel!AD33/IPC_Trimestriel!Z33-1)</f>
        <v/>
      </c>
      <c r="AA74" s="75" t="str">
        <f>IF(OR(IPC_Trimestriel!AE33="",IPC_Trimestriel!AA33=""),"",IPC_Trimestriel!AE33/IPC_Trimestriel!AA33-1)</f>
        <v/>
      </c>
      <c r="AB74" s="75" t="str">
        <f>IF(OR(IPC_Trimestriel!AF33="",IPC_Trimestriel!AB33=""),"",IPC_Trimestriel!AF33/IPC_Trimestriel!AB33-1)</f>
        <v/>
      </c>
      <c r="AC74" s="75" t="str">
        <f>IF(OR(IPC_Trimestriel!AG33="",IPC_Trimestriel!AC33=""),"",IPC_Trimestriel!AG33/IPC_Trimestriel!AC33-1)</f>
        <v/>
      </c>
      <c r="AD74" s="75" t="str">
        <f>IF(OR(IPC_Trimestriel!AH33="",IPC_Trimestriel!AD33=""),"",IPC_Trimestriel!AH33/IPC_Trimestriel!AD33-1)</f>
        <v/>
      </c>
      <c r="AE74" s="75" t="str">
        <f>IF(OR(IPC_Trimestriel!AI33="",IPC_Trimestriel!AE33=""),"",IPC_Trimestriel!AI33/IPC_Trimestriel!AE33-1)</f>
        <v/>
      </c>
      <c r="AF74" s="75" t="str">
        <f>IF(OR(IPC_Trimestriel!AJ33="",IPC_Trimestriel!AF33=""),"",IPC_Trimestriel!AJ33/IPC_Trimestriel!AF33-1)</f>
        <v/>
      </c>
      <c r="AG74" s="75" t="str">
        <f>IF(OR(IPC_Trimestriel!AK33="",IPC_Trimestriel!AG33=""),"",IPC_Trimestriel!AK33/IPC_Trimestriel!AG33-1)</f>
        <v/>
      </c>
      <c r="AH74" s="75" t="str">
        <f>IF(OR(IPC_Trimestriel!AL33="",IPC_Trimestriel!AH33=""),"",IPC_Trimestriel!AL33/IPC_Trimestriel!AH33-1)</f>
        <v/>
      </c>
      <c r="AI74" s="75" t="str">
        <f>IF(OR(IPC_Trimestriel!AM33="",IPC_Trimestriel!AI33=""),"",IPC_Trimestriel!AM33/IPC_Trimestriel!AI33-1)</f>
        <v/>
      </c>
      <c r="AJ74" s="75" t="str">
        <f>IF(OR(IPC_Trimestriel!AN33="",IPC_Trimestriel!AJ33=""),"",IPC_Trimestriel!AN33/IPC_Trimestriel!AJ33-1)</f>
        <v/>
      </c>
      <c r="AK74" s="75" t="str">
        <f>IF(OR(IPC_Trimestriel!AO33="",IPC_Trimestriel!AK33=""),"",IPC_Trimestriel!AO33/IPC_Trimestriel!AK33-1)</f>
        <v/>
      </c>
      <c r="AL74" s="75" t="str">
        <f>IF(OR(IPC_Trimestriel!AP33="",IPC_Trimestriel!AL33=""),"",IPC_Trimestriel!AP33/IPC_Trimestriel!AL33-1)</f>
        <v/>
      </c>
      <c r="AM74" s="75" t="str">
        <f>IF(OR(IPC_Trimestriel!AQ33="",IPC_Trimestriel!AM33=""),"",IPC_Trimestriel!AQ33/IPC_Trimestriel!AM33-1)</f>
        <v/>
      </c>
      <c r="AN74" s="75" t="str">
        <f>IF(OR(IPC_Trimestriel!AR33="",IPC_Trimestriel!AN33=""),"",IPC_Trimestriel!AR33/IPC_Trimestriel!AN33-1)</f>
        <v/>
      </c>
      <c r="AO74" s="75" t="str">
        <f>IF(OR(IPC_Trimestriel!AS33="",IPC_Trimestriel!AO33=""),"",IPC_Trimestriel!AS33/IPC_Trimestriel!AO33-1)</f>
        <v/>
      </c>
      <c r="AP74" s="75" t="str">
        <f>IF(OR(IPC_Trimestriel!AT33="",IPC_Trimestriel!AP33=""),"",IPC_Trimestriel!AT33/IPC_Trimestriel!AP33-1)</f>
        <v/>
      </c>
      <c r="AQ74" s="75" t="str">
        <f>IF(OR(IPC_Trimestriel!AU33="",IPC_Trimestriel!AQ33=""),"",IPC_Trimestriel!AU33/IPC_Trimestriel!AQ33-1)</f>
        <v/>
      </c>
      <c r="AR74" s="75" t="str">
        <f>IF(OR(IPC_Trimestriel!AV33="",IPC_Trimestriel!AR33=""),"",IPC_Trimestriel!AV33/IPC_Trimestriel!AR33-1)</f>
        <v/>
      </c>
      <c r="AS74" s="75" t="str">
        <f>IF(OR(IPC_Trimestriel!AW33="",IPC_Trimestriel!AS33=""),"",IPC_Trimestriel!AW33/IPC_Trimestriel!AS33-1)</f>
        <v/>
      </c>
      <c r="AT74" s="75" t="str">
        <f>IF(OR(IPC_Trimestriel!AX33="",IPC_Trimestriel!AT33=""),"",IPC_Trimestriel!AX33/IPC_Trimestriel!AT33-1)</f>
        <v/>
      </c>
      <c r="AU74" s="75" t="str">
        <f>IF(OR(IPC_Trimestriel!AY33="",IPC_Trimestriel!AU33=""),"",IPC_Trimestriel!AY33/IPC_Trimestriel!AU33-1)</f>
        <v/>
      </c>
      <c r="AV74" s="75" t="str">
        <f>IF(OR(IPC_Trimestriel!AZ33="",IPC_Trimestriel!AV33=""),"",IPC_Trimestriel!AZ33/IPC_Trimestriel!AV33-1)</f>
        <v/>
      </c>
      <c r="AW74" s="75" t="str">
        <f>IF(OR(IPC_Trimestriel!BA33="",IPC_Trimestriel!AW33=""),"",IPC_Trimestriel!BA33/IPC_Trimestriel!AW33-1)</f>
        <v/>
      </c>
      <c r="AX74" s="75" t="str">
        <f>IF(OR(IPC_Trimestriel!BB33="",IPC_Trimestriel!AX33=""),"",IPC_Trimestriel!BB33/IPC_Trimestriel!AX33-1)</f>
        <v/>
      </c>
      <c r="AY74" s="75" t="str">
        <f>IF(OR(IPC_Trimestriel!BC33="",IPC_Trimestriel!AY33=""),"",IPC_Trimestriel!BC33/IPC_Trimestriel!AY33-1)</f>
        <v/>
      </c>
      <c r="AZ74" s="75">
        <f>IF(OR(IPC_Trimestriel!BD33="",IPC_Trimestriel!AZ33=""),"",IPC_Trimestriel!BD33/IPC_Trimestriel!AZ33-1)</f>
        <v>6.1376130749453139E-3</v>
      </c>
      <c r="BA74" s="75">
        <f>IF(OR(IPC_Trimestriel!BE33="",IPC_Trimestriel!BA33=""),"",IPC_Trimestriel!BE33/IPC_Trimestriel!BA33-1)</f>
        <v>1.5545306218931243E-2</v>
      </c>
      <c r="BB74" s="75">
        <f>IF(OR(IPC_Trimestriel!BF33="",IPC_Trimestriel!BB33=""),"",IPC_Trimestriel!BF33/IPC_Trimestriel!BB33-1)</f>
        <v>8.9660535834412691E-3</v>
      </c>
      <c r="BC74" s="75">
        <f>IF(OR(IPC_Trimestriel!BG33="",IPC_Trimestriel!BC33=""),"",IPC_Trimestriel!BG33/IPC_Trimestriel!BC33-1)</f>
        <v>1.5156199700297801E-2</v>
      </c>
      <c r="BD74" s="75">
        <f>IF(OR(IPC_Trimestriel!BH33="",IPC_Trimestriel!BD33=""),"",IPC_Trimestriel!BH33/IPC_Trimestriel!BD33-1)</f>
        <v>1.0327286017207227E-2</v>
      </c>
      <c r="BE74" s="75">
        <f>IF(OR(IPC_Trimestriel!BI33="",IPC_Trimestriel!BE33=""),"",IPC_Trimestriel!BI33/IPC_Trimestriel!BE33-1)</f>
        <v>1.0308943628466238E-2</v>
      </c>
      <c r="BF74" s="75">
        <f>IF(OR(IPC_Trimestriel!BJ33="",IPC_Trimestriel!BF33=""),"",IPC_Trimestriel!BJ33/IPC_Trimestriel!BF33-1)</f>
        <v>1.4909021987011162E-2</v>
      </c>
      <c r="BG74" s="75">
        <f>IF(OR(IPC_Trimestriel!BK33="",IPC_Trimestriel!BG33=""),"",IPC_Trimestriel!BK33/IPC_Trimestriel!BG33-1)</f>
        <v>8.2935304969438128E-3</v>
      </c>
      <c r="BH74" s="75">
        <f>IF(OR(IPC_Trimestriel!BL33="",IPC_Trimestriel!BH33=""),"",IPC_Trimestriel!BL33/IPC_Trimestriel!BH33-1)</f>
        <v>8.5155332104416281E-3</v>
      </c>
      <c r="BI74" s="75">
        <f>IF(OR(IPC_Trimestriel!BM33="",IPC_Trimestriel!BI33=""),"",IPC_Trimestriel!BM33/IPC_Trimestriel!BI33-1)</f>
        <v>1.4967922024330393E-2</v>
      </c>
      <c r="BJ74" s="75">
        <f>IF(OR(IPC_Trimestriel!BN33="",IPC_Trimestriel!BJ33=""),"",IPC_Trimestriel!BN33/IPC_Trimestriel!BJ33-1)</f>
        <v>1.7832640445122783E-2</v>
      </c>
      <c r="BK74" s="75">
        <f>IF(OR(IPC_Trimestriel!BO33="",IPC_Trimestriel!BK33=""),"",IPC_Trimestriel!BO33/IPC_Trimestriel!BK33-1)</f>
        <v>2.0533463267558671E-2</v>
      </c>
      <c r="BL74" s="75">
        <f>IF(OR(IPC_Trimestriel!BP33="",IPC_Trimestriel!BL33=""),"",IPC_Trimestriel!BP33/IPC_Trimestriel!BL33-1)</f>
        <v>1.7665526453751301E-2</v>
      </c>
      <c r="BM74" s="75">
        <f>IF(OR(IPC_Trimestriel!BQ33="",IPC_Trimestriel!BM33=""),"",IPC_Trimestriel!BQ33/IPC_Trimestriel!BM33-1)</f>
        <v>1.4327123907715844E-2</v>
      </c>
      <c r="BN74" s="75">
        <f>IF(OR(IPC_Trimestriel!BR33="",IPC_Trimestriel!BN33=""),"",IPC_Trimestriel!BR33/IPC_Trimestriel!BN33-1)</f>
        <v>7.6712476241178607E-3</v>
      </c>
      <c r="BO74" s="75">
        <f>IF(OR(IPC_Trimestriel!BS33="",IPC_Trimestriel!BO33=""),"",IPC_Trimestriel!BS33/IPC_Trimestriel!BO33-1)</f>
        <v>9.7194855375954958E-3</v>
      </c>
      <c r="BP74" s="75">
        <f>IF(OR(IPC_Trimestriel!BT33="",IPC_Trimestriel!BP33=""),"",IPC_Trimestriel!BT33/IPC_Trimestriel!BP33-1)</f>
        <v>6.4328492070249155E-3</v>
      </c>
      <c r="BQ74" s="75">
        <f>IF(OR(IPC_Trimestriel!BU33="",IPC_Trimestriel!BQ33=""),"",IPC_Trimestriel!BU33/IPC_Trimestriel!BQ33-1)</f>
        <v>2.2060599790669766E-3</v>
      </c>
      <c r="BR74" s="75">
        <f>IF(OR(IPC_Trimestriel!BV33="",IPC_Trimestriel!BR33=""),"",IPC_Trimestriel!BV33/IPC_Trimestriel!BR33-1)</f>
        <v>4.3701664478912328E-3</v>
      </c>
      <c r="BS74" s="75">
        <f>IF(OR(IPC_Trimestriel!BW33="",IPC_Trimestriel!BS33=""),"",IPC_Trimestriel!BW33/IPC_Trimestriel!BS33-1)</f>
        <v>2.2797270914054479E-4</v>
      </c>
      <c r="BT74" s="75">
        <f>IF(OR(IPC_Trimestriel!BX33="",IPC_Trimestriel!BT33=""),"",IPC_Trimestriel!BX33/IPC_Trimestriel!BT33-1)</f>
        <v>8.5478178938689364E-3</v>
      </c>
      <c r="BU74" s="75">
        <f>IF(OR(IPC_Trimestriel!BY33="",IPC_Trimestriel!BU33=""),"",IPC_Trimestriel!BY33/IPC_Trimestriel!BU33-1)</f>
        <v>9.6696147860309001E-3</v>
      </c>
      <c r="BV74" s="75">
        <f>IF(OR(IPC_Trimestriel!BZ33="",IPC_Trimestriel!BV33=""),"",IPC_Trimestriel!BZ33/IPC_Trimestriel!BV33-1)</f>
        <v>1.5860273078854847E-2</v>
      </c>
      <c r="BW74" s="75">
        <f>IF(OR(IPC_Trimestriel!CA33="",IPC_Trimestriel!BW33=""),"",IPC_Trimestriel!CA33/IPC_Trimestriel!BW33-1)</f>
        <v>1.7296146805384272E-2</v>
      </c>
      <c r="BX74" s="75">
        <f>IF(OR(IPC_Trimestriel!CB33="",IPC_Trimestriel!BX33=""),"",IPC_Trimestriel!CB33/IPC_Trimestriel!BX33-1)</f>
        <v>1.8447402936563551E-2</v>
      </c>
      <c r="BY74" s="75">
        <f>IF(OR(IPC_Trimestriel!CC33="",IPC_Trimestriel!BY33=""),"",IPC_Trimestriel!CC33/IPC_Trimestriel!BY33-1)</f>
        <v>2.4818386645839352E-2</v>
      </c>
      <c r="BZ74" s="75">
        <f>IF(OR(IPC_Trimestriel!CD33="",IPC_Trimestriel!BZ33=""),"",IPC_Trimestriel!CD33/IPC_Trimestriel!BZ33-1)</f>
        <v>2.1006529899401549E-2</v>
      </c>
      <c r="CA74" s="75">
        <f>IF(OR(IPC_Trimestriel!CE33="",IPC_Trimestriel!CA33=""),"",IPC_Trimestriel!CE33/IPC_Trimestriel!CA33-1)</f>
        <v>2.1054703061594182E-2</v>
      </c>
      <c r="CB74" s="75">
        <f>IF(OR(IPC_Trimestriel!CF33="",IPC_Trimestriel!CB33=""),"",IPC_Trimestriel!CF33/IPC_Trimestriel!CB33-1)</f>
        <v>1.9830791996164443E-2</v>
      </c>
      <c r="CC74" s="75">
        <f>IF(OR(IPC_Trimestriel!CG33="",IPC_Trimestriel!CC33=""),"",IPC_Trimestriel!CG33/IPC_Trimestriel!CC33-1)</f>
        <v>1.784096241244959E-2</v>
      </c>
      <c r="CD74" s="75">
        <f>IF(OR(IPC_Trimestriel!CH33="",IPC_Trimestriel!CD33=""),"",IPC_Trimestriel!CH33/IPC_Trimestriel!CD33-1)</f>
        <v>1.8763600286389126E-2</v>
      </c>
      <c r="CE74" s="75">
        <f>IF(OR(IPC_Trimestriel!CI33="",IPC_Trimestriel!CE33=""),"",IPC_Trimestriel!CI33/IPC_Trimestriel!CE33-1)</f>
        <v>2.0862806896864594E-2</v>
      </c>
      <c r="CF74" s="75">
        <f>IF(OR(IPC_Trimestriel!CJ33="",IPC_Trimestriel!CF33=""),"",IPC_Trimestriel!CJ33/IPC_Trimestriel!CF33-1)</f>
        <v>1.9851260867415954E-2</v>
      </c>
      <c r="CG74" s="75">
        <f>IF(OR(IPC_Trimestriel!CK33="",IPC_Trimestriel!CG33=""),"",IPC_Trimestriel!CK33/IPC_Trimestriel!CG33-1)</f>
        <v>1.4841615806116426E-2</v>
      </c>
      <c r="CH74" s="75">
        <f>IF(OR(IPC_Trimestriel!CL33="",IPC_Trimestriel!CH33=""),"",IPC_Trimestriel!CL33/IPC_Trimestriel!CH33-1)</f>
        <v>1.5969658986032753E-2</v>
      </c>
      <c r="CI74" s="75">
        <f>IF(OR(IPC_Trimestriel!CM33="",IPC_Trimestriel!CI33=""),"",IPC_Trimestriel!CM33/IPC_Trimestriel!CI33-1)</f>
        <v>1.4100964587488773E-2</v>
      </c>
      <c r="CJ74" s="75">
        <f>IF(OR(IPC_Trimestriel!CN33="",IPC_Trimestriel!CJ33=""),"",IPC_Trimestriel!CN33/IPC_Trimestriel!CJ33-1)</f>
        <v>2.4126841539435562E-2</v>
      </c>
      <c r="CK74" s="75">
        <f>IF(OR(IPC_Trimestriel!CO33="",IPC_Trimestriel!CK33=""),"",IPC_Trimestriel!CO33/IPC_Trimestriel!CK33-1)</f>
        <v>4.4937335051041805E-2</v>
      </c>
      <c r="CL74" s="75">
        <f>IF(OR(IPC_Trimestriel!CP33="",IPC_Trimestriel!CL33=""),"",IPC_Trimestriel!CP33/IPC_Trimestriel!CL33-1)</f>
        <v>5.4782952897845183E-2</v>
      </c>
      <c r="CM74" s="75">
        <f>IF(OR(IPC_Trimestriel!CQ33="",IPC_Trimestriel!CM33=""),"",IPC_Trimestriel!CQ33/IPC_Trimestriel!CM33-1)</f>
        <v>6.1384344160115178E-2</v>
      </c>
      <c r="CN74" s="75" t="str">
        <f>IF(OR(IPC_Trimestriel!CR33="",IPC_Trimestriel!CN33=""),"",IPC_Trimestriel!CR33/IPC_Trimestriel!CN33-1)</f>
        <v/>
      </c>
      <c r="CO74" s="75" t="str">
        <f>IF(OR(IPC_Trimestriel!CS33="",IPC_Trimestriel!CO33=""),"",IPC_Trimestriel!CS33/IPC_Trimestriel!CO33-1)</f>
        <v/>
      </c>
      <c r="CP74" s="75" t="str">
        <f>IF(OR(IPC_Trimestriel!CT33="",IPC_Trimestriel!CP33=""),"",IPC_Trimestriel!CT33/IPC_Trimestriel!CP33-1)</f>
        <v/>
      </c>
    </row>
    <row r="75" spans="1:94" s="74" customFormat="1" ht="10.199999999999999" x14ac:dyDescent="0.2">
      <c r="B75" s="3" t="s">
        <v>112</v>
      </c>
      <c r="D75" s="75" t="str">
        <f>IF(OR(IPC_Trimestriel!H34="",IPC_Trimestriel!D34=""),"",IPC_Trimestriel!H34/IPC_Trimestriel!D34-1)</f>
        <v/>
      </c>
      <c r="E75" s="75" t="str">
        <f>IF(OR(IPC_Trimestriel!I34="",IPC_Trimestriel!E34=""),"",IPC_Trimestriel!I34/IPC_Trimestriel!E34-1)</f>
        <v/>
      </c>
      <c r="F75" s="75" t="str">
        <f>IF(OR(IPC_Trimestriel!J34="",IPC_Trimestriel!F34=""),"",IPC_Trimestriel!J34/IPC_Trimestriel!F34-1)</f>
        <v/>
      </c>
      <c r="G75" s="75" t="str">
        <f>IF(OR(IPC_Trimestriel!K34="",IPC_Trimestriel!G34=""),"",IPC_Trimestriel!K34/IPC_Trimestriel!G34-1)</f>
        <v/>
      </c>
      <c r="H75" s="75" t="str">
        <f>IF(OR(IPC_Trimestriel!L34="",IPC_Trimestriel!H34=""),"",IPC_Trimestriel!L34/IPC_Trimestriel!H34-1)</f>
        <v/>
      </c>
      <c r="I75" s="75" t="str">
        <f>IF(OR(IPC_Trimestriel!M34="",IPC_Trimestriel!I34=""),"",IPC_Trimestriel!M34/IPC_Trimestriel!I34-1)</f>
        <v/>
      </c>
      <c r="J75" s="75" t="str">
        <f>IF(OR(IPC_Trimestriel!N34="",IPC_Trimestriel!J34=""),"",IPC_Trimestriel!N34/IPC_Trimestriel!J34-1)</f>
        <v/>
      </c>
      <c r="K75" s="75" t="str">
        <f>IF(OR(IPC_Trimestriel!O34="",IPC_Trimestriel!K34=""),"",IPC_Trimestriel!O34/IPC_Trimestriel!K34-1)</f>
        <v/>
      </c>
      <c r="L75" s="75" t="str">
        <f>IF(OR(IPC_Trimestriel!P34="",IPC_Trimestriel!L34=""),"",IPC_Trimestriel!P34/IPC_Trimestriel!L34-1)</f>
        <v/>
      </c>
      <c r="M75" s="75" t="str">
        <f>IF(OR(IPC_Trimestriel!Q34="",IPC_Trimestriel!M34=""),"",IPC_Trimestriel!Q34/IPC_Trimestriel!M34-1)</f>
        <v/>
      </c>
      <c r="N75" s="75" t="str">
        <f>IF(OR(IPC_Trimestriel!R34="",IPC_Trimestriel!N34=""),"",IPC_Trimestriel!R34/IPC_Trimestriel!N34-1)</f>
        <v/>
      </c>
      <c r="O75" s="75" t="str">
        <f>IF(OR(IPC_Trimestriel!S34="",IPC_Trimestriel!O34=""),"",IPC_Trimestriel!S34/IPC_Trimestriel!O34-1)</f>
        <v/>
      </c>
      <c r="P75" s="75" t="str">
        <f>IF(OR(IPC_Trimestriel!T34="",IPC_Trimestriel!P34=""),"",IPC_Trimestriel!T34/IPC_Trimestriel!P34-1)</f>
        <v/>
      </c>
      <c r="Q75" s="75" t="str">
        <f>IF(OR(IPC_Trimestriel!U34="",IPC_Trimestriel!Q34=""),"",IPC_Trimestriel!U34/IPC_Trimestriel!Q34-1)</f>
        <v/>
      </c>
      <c r="R75" s="75" t="str">
        <f>IF(OR(IPC_Trimestriel!V34="",IPC_Trimestriel!R34=""),"",IPC_Trimestriel!V34/IPC_Trimestriel!R34-1)</f>
        <v/>
      </c>
      <c r="S75" s="75" t="str">
        <f>IF(OR(IPC_Trimestriel!W34="",IPC_Trimestriel!S34=""),"",IPC_Trimestriel!W34/IPC_Trimestriel!S34-1)</f>
        <v/>
      </c>
      <c r="T75" s="75" t="str">
        <f>IF(OR(IPC_Trimestriel!X34="",IPC_Trimestriel!T34=""),"",IPC_Trimestriel!X34/IPC_Trimestriel!T34-1)</f>
        <v/>
      </c>
      <c r="U75" s="75" t="str">
        <f>IF(OR(IPC_Trimestriel!Y34="",IPC_Trimestriel!U34=""),"",IPC_Trimestriel!Y34/IPC_Trimestriel!U34-1)</f>
        <v/>
      </c>
      <c r="V75" s="75" t="str">
        <f>IF(OR(IPC_Trimestriel!Z34="",IPC_Trimestriel!V34=""),"",IPC_Trimestriel!Z34/IPC_Trimestriel!V34-1)</f>
        <v/>
      </c>
      <c r="W75" s="75" t="str">
        <f>IF(OR(IPC_Trimestriel!AA34="",IPC_Trimestriel!W34=""),"",IPC_Trimestriel!AA34/IPC_Trimestriel!W34-1)</f>
        <v/>
      </c>
      <c r="X75" s="75" t="str">
        <f>IF(OR(IPC_Trimestriel!AB34="",IPC_Trimestriel!X34=""),"",IPC_Trimestriel!AB34/IPC_Trimestriel!X34-1)</f>
        <v/>
      </c>
      <c r="Y75" s="75" t="str">
        <f>IF(OR(IPC_Trimestriel!AC34="",IPC_Trimestriel!Y34=""),"",IPC_Trimestriel!AC34/IPC_Trimestriel!Y34-1)</f>
        <v/>
      </c>
      <c r="Z75" s="75" t="str">
        <f>IF(OR(IPC_Trimestriel!AD34="",IPC_Trimestriel!Z34=""),"",IPC_Trimestriel!AD34/IPC_Trimestriel!Z34-1)</f>
        <v/>
      </c>
      <c r="AA75" s="75" t="str">
        <f>IF(OR(IPC_Trimestriel!AE34="",IPC_Trimestriel!AA34=""),"",IPC_Trimestriel!AE34/IPC_Trimestriel!AA34-1)</f>
        <v/>
      </c>
      <c r="AB75" s="75" t="str">
        <f>IF(OR(IPC_Trimestriel!AF34="",IPC_Trimestriel!AB34=""),"",IPC_Trimestriel!AF34/IPC_Trimestriel!AB34-1)</f>
        <v/>
      </c>
      <c r="AC75" s="75" t="str">
        <f>IF(OR(IPC_Trimestriel!AG34="",IPC_Trimestriel!AC34=""),"",IPC_Trimestriel!AG34/IPC_Trimestriel!AC34-1)</f>
        <v/>
      </c>
      <c r="AD75" s="75" t="str">
        <f>IF(OR(IPC_Trimestriel!AH34="",IPC_Trimestriel!AD34=""),"",IPC_Trimestriel!AH34/IPC_Trimestriel!AD34-1)</f>
        <v/>
      </c>
      <c r="AE75" s="75" t="str">
        <f>IF(OR(IPC_Trimestriel!AI34="",IPC_Trimestriel!AE34=""),"",IPC_Trimestriel!AI34/IPC_Trimestriel!AE34-1)</f>
        <v/>
      </c>
      <c r="AF75" s="75" t="str">
        <f>IF(OR(IPC_Trimestriel!AJ34="",IPC_Trimestriel!AF34=""),"",IPC_Trimestriel!AJ34/IPC_Trimestriel!AF34-1)</f>
        <v/>
      </c>
      <c r="AG75" s="75" t="str">
        <f>IF(OR(IPC_Trimestriel!AK34="",IPC_Trimestriel!AG34=""),"",IPC_Trimestriel!AK34/IPC_Trimestriel!AG34-1)</f>
        <v/>
      </c>
      <c r="AH75" s="75" t="str">
        <f>IF(OR(IPC_Trimestriel!AL34="",IPC_Trimestriel!AH34=""),"",IPC_Trimestriel!AL34/IPC_Trimestriel!AH34-1)</f>
        <v/>
      </c>
      <c r="AI75" s="75" t="str">
        <f>IF(OR(IPC_Trimestriel!AM34="",IPC_Trimestriel!AI34=""),"",IPC_Trimestriel!AM34/IPC_Trimestriel!AI34-1)</f>
        <v/>
      </c>
      <c r="AJ75" s="75" t="str">
        <f>IF(OR(IPC_Trimestriel!AN34="",IPC_Trimestriel!AJ34=""),"",IPC_Trimestriel!AN34/IPC_Trimestriel!AJ34-1)</f>
        <v/>
      </c>
      <c r="AK75" s="75" t="str">
        <f>IF(OR(IPC_Trimestriel!AO34="",IPC_Trimestriel!AK34=""),"",IPC_Trimestriel!AO34/IPC_Trimestriel!AK34-1)</f>
        <v/>
      </c>
      <c r="AL75" s="75" t="str">
        <f>IF(OR(IPC_Trimestriel!AP34="",IPC_Trimestriel!AL34=""),"",IPC_Trimestriel!AP34/IPC_Trimestriel!AL34-1)</f>
        <v/>
      </c>
      <c r="AM75" s="75" t="str">
        <f>IF(OR(IPC_Trimestriel!AQ34="",IPC_Trimestriel!AM34=""),"",IPC_Trimestriel!AQ34/IPC_Trimestriel!AM34-1)</f>
        <v/>
      </c>
      <c r="AN75" s="75" t="str">
        <f>IF(OR(IPC_Trimestriel!AR34="",IPC_Trimestriel!AN34=""),"",IPC_Trimestriel!AR34/IPC_Trimestriel!AN34-1)</f>
        <v/>
      </c>
      <c r="AO75" s="75" t="str">
        <f>IF(OR(IPC_Trimestriel!AS34="",IPC_Trimestriel!AO34=""),"",IPC_Trimestriel!AS34/IPC_Trimestriel!AO34-1)</f>
        <v/>
      </c>
      <c r="AP75" s="75" t="str">
        <f>IF(OR(IPC_Trimestriel!AT34="",IPC_Trimestriel!AP34=""),"",IPC_Trimestriel!AT34/IPC_Trimestriel!AP34-1)</f>
        <v/>
      </c>
      <c r="AQ75" s="75" t="str">
        <f>IF(OR(IPC_Trimestriel!AU34="",IPC_Trimestriel!AQ34=""),"",IPC_Trimestriel!AU34/IPC_Trimestriel!AQ34-1)</f>
        <v/>
      </c>
      <c r="AR75" s="75" t="str">
        <f>IF(OR(IPC_Trimestriel!AV34="",IPC_Trimestriel!AR34=""),"",IPC_Trimestriel!AV34/IPC_Trimestriel!AR34-1)</f>
        <v/>
      </c>
      <c r="AS75" s="75" t="str">
        <f>IF(OR(IPC_Trimestriel!AW34="",IPC_Trimestriel!AS34=""),"",IPC_Trimestriel!AW34/IPC_Trimestriel!AS34-1)</f>
        <v/>
      </c>
      <c r="AT75" s="75" t="str">
        <f>IF(OR(IPC_Trimestriel!AX34="",IPC_Trimestriel!AT34=""),"",IPC_Trimestriel!AX34/IPC_Trimestriel!AT34-1)</f>
        <v/>
      </c>
      <c r="AU75" s="75" t="str">
        <f>IF(OR(IPC_Trimestriel!AY34="",IPC_Trimestriel!AU34=""),"",IPC_Trimestriel!AY34/IPC_Trimestriel!AU34-1)</f>
        <v/>
      </c>
      <c r="AV75" s="75" t="str">
        <f>IF(OR(IPC_Trimestriel!AZ34="",IPC_Trimestriel!AV34=""),"",IPC_Trimestriel!AZ34/IPC_Trimestriel!AV34-1)</f>
        <v/>
      </c>
      <c r="AW75" s="75" t="str">
        <f>IF(OR(IPC_Trimestriel!BA34="",IPC_Trimestriel!AW34=""),"",IPC_Trimestriel!BA34/IPC_Trimestriel!AW34-1)</f>
        <v/>
      </c>
      <c r="AX75" s="75" t="str">
        <f>IF(OR(IPC_Trimestriel!BB34="",IPC_Trimestriel!AX34=""),"",IPC_Trimestriel!BB34/IPC_Trimestriel!AX34-1)</f>
        <v/>
      </c>
      <c r="AY75" s="75" t="str">
        <f>IF(OR(IPC_Trimestriel!BC34="",IPC_Trimestriel!AY34=""),"",IPC_Trimestriel!BC34/IPC_Trimestriel!AY34-1)</f>
        <v/>
      </c>
      <c r="AZ75" s="75">
        <f>IF(OR(IPC_Trimestriel!BD34="",IPC_Trimestriel!AZ34=""),"",IPC_Trimestriel!BD34/IPC_Trimestriel!AZ34-1)</f>
        <v>3.127707045612671E-2</v>
      </c>
      <c r="BA75" s="75">
        <f>IF(OR(IPC_Trimestriel!BE34="",IPC_Trimestriel!BA34=""),"",IPC_Trimestriel!BE34/IPC_Trimestriel!BA34-1)</f>
        <v>1.9147251075475769E-2</v>
      </c>
      <c r="BB75" s="75">
        <f>IF(OR(IPC_Trimestriel!BF34="",IPC_Trimestriel!BB34=""),"",IPC_Trimestriel!BF34/IPC_Trimestriel!BB34-1)</f>
        <v>2.1989683323392795E-2</v>
      </c>
      <c r="BC75" s="75">
        <f>IF(OR(IPC_Trimestriel!BG34="",IPC_Trimestriel!BC34=""),"",IPC_Trimestriel!BG34/IPC_Trimestriel!BC34-1)</f>
        <v>2.7350196320341746E-2</v>
      </c>
      <c r="BD75" s="75">
        <f>IF(OR(IPC_Trimestriel!BH34="",IPC_Trimestriel!BD34=""),"",IPC_Trimestriel!BH34/IPC_Trimestriel!BD34-1)</f>
        <v>1.4737454133144645E-2</v>
      </c>
      <c r="BE75" s="75">
        <f>IF(OR(IPC_Trimestriel!BI34="",IPC_Trimestriel!BE34=""),"",IPC_Trimestriel!BI34/IPC_Trimestriel!BE34-1)</f>
        <v>9.3264441056868375E-3</v>
      </c>
      <c r="BF75" s="75">
        <f>IF(OR(IPC_Trimestriel!BJ34="",IPC_Trimestriel!BF34=""),"",IPC_Trimestriel!BJ34/IPC_Trimestriel!BF34-1)</f>
        <v>1.5664068222986494E-2</v>
      </c>
      <c r="BG75" s="75">
        <f>IF(OR(IPC_Trimestriel!BK34="",IPC_Trimestriel!BG34=""),"",IPC_Trimestriel!BK34/IPC_Trimestriel!BG34-1)</f>
        <v>1.0946895932596457E-2</v>
      </c>
      <c r="BH75" s="75">
        <f>IF(OR(IPC_Trimestriel!BL34="",IPC_Trimestriel!BH34=""),"",IPC_Trimestriel!BL34/IPC_Trimestriel!BH34-1)</f>
        <v>1.8212966555807286E-2</v>
      </c>
      <c r="BI75" s="75">
        <f>IF(OR(IPC_Trimestriel!BM34="",IPC_Trimestriel!BI34=""),"",IPC_Trimestriel!BM34/IPC_Trimestriel!BI34-1)</f>
        <v>3.6265889315825861E-2</v>
      </c>
      <c r="BJ75" s="75">
        <f>IF(OR(IPC_Trimestriel!BN34="",IPC_Trimestriel!BJ34=""),"",IPC_Trimestriel!BN34/IPC_Trimestriel!BJ34-1)</f>
        <v>2.8312015513846545E-2</v>
      </c>
      <c r="BK75" s="75">
        <f>IF(OR(IPC_Trimestriel!BO34="",IPC_Trimestriel!BK34=""),"",IPC_Trimestriel!BO34/IPC_Trimestriel!BK34-1)</f>
        <v>2.0768533256131594E-2</v>
      </c>
      <c r="BL75" s="75">
        <f>IF(OR(IPC_Trimestriel!BP34="",IPC_Trimestriel!BL34=""),"",IPC_Trimestriel!BP34/IPC_Trimestriel!BL34-1)</f>
        <v>1.7020301893856837E-2</v>
      </c>
      <c r="BM75" s="75">
        <f>IF(OR(IPC_Trimestriel!BQ34="",IPC_Trimestriel!BM34=""),"",IPC_Trimestriel!BQ34/IPC_Trimestriel!BM34-1)</f>
        <v>1.3012504625179E-2</v>
      </c>
      <c r="BN75" s="75">
        <f>IF(OR(IPC_Trimestriel!BR34="",IPC_Trimestriel!BN34=""),"",IPC_Trimestriel!BR34/IPC_Trimestriel!BN34-1)</f>
        <v>6.4297964040442857E-3</v>
      </c>
      <c r="BO75" s="75">
        <f>IF(OR(IPC_Trimestriel!BS34="",IPC_Trimestriel!BO34=""),"",IPC_Trimestriel!BS34/IPC_Trimestriel!BO34-1)</f>
        <v>-9.3865954509253502E-4</v>
      </c>
      <c r="BP75" s="75">
        <f>IF(OR(IPC_Trimestriel!BT34="",IPC_Trimestriel!BP34=""),"",IPC_Trimestriel!BT34/IPC_Trimestriel!BP34-1)</f>
        <v>-1.8770878342073694E-3</v>
      </c>
      <c r="BQ75" s="75">
        <f>IF(OR(IPC_Trimestriel!BU34="",IPC_Trimestriel!BQ34=""),"",IPC_Trimestriel!BU34/IPC_Trimestriel!BQ34-1)</f>
        <v>-5.3375433989943932E-4</v>
      </c>
      <c r="BR75" s="75">
        <f>IF(OR(IPC_Trimestriel!BV34="",IPC_Trimestriel!BR34=""),"",IPC_Trimestriel!BV34/IPC_Trimestriel!BR34-1)</f>
        <v>3.9489705400124198E-3</v>
      </c>
      <c r="BS75" s="75">
        <f>IF(OR(IPC_Trimestriel!BW34="",IPC_Trimestriel!BS34=""),"",IPC_Trimestriel!BW34/IPC_Trimestriel!BS34-1)</f>
        <v>1.0339000482611382E-2</v>
      </c>
      <c r="BT75" s="75">
        <f>IF(OR(IPC_Trimestriel!BX34="",IPC_Trimestriel!BT34=""),"",IPC_Trimestriel!BX34/IPC_Trimestriel!BT34-1)</f>
        <v>1.1680260049175661E-2</v>
      </c>
      <c r="BU75" s="75">
        <f>IF(OR(IPC_Trimestriel!BY34="",IPC_Trimestriel!BU34=""),"",IPC_Trimestriel!BY34/IPC_Trimestriel!BU34-1)</f>
        <v>7.419989564875662E-3</v>
      </c>
      <c r="BV75" s="75">
        <f>IF(OR(IPC_Trimestriel!BZ34="",IPC_Trimestriel!BV34=""),"",IPC_Trimestriel!BZ34/IPC_Trimestriel!BV34-1)</f>
        <v>9.1734607440741023E-4</v>
      </c>
      <c r="BW75" s="75">
        <f>IF(OR(IPC_Trimestriel!CA34="",IPC_Trimestriel!BW34=""),"",IPC_Trimestriel!CA34/IPC_Trimestriel!BW34-1)</f>
        <v>1.3004948335357369E-2</v>
      </c>
      <c r="BX75" s="75">
        <f>IF(OR(IPC_Trimestriel!CB34="",IPC_Trimestriel!BX34=""),"",IPC_Trimestriel!CB34/IPC_Trimestriel!BX34-1)</f>
        <v>1.9933755132511832E-2</v>
      </c>
      <c r="BY75" s="75">
        <f>IF(OR(IPC_Trimestriel!CC34="",IPC_Trimestriel!BY34=""),"",IPC_Trimestriel!CC34/IPC_Trimestriel!BY34-1)</f>
        <v>2.463031947423211E-2</v>
      </c>
      <c r="BZ75" s="75">
        <f>IF(OR(IPC_Trimestriel!CD34="",IPC_Trimestriel!BZ34=""),"",IPC_Trimestriel!CD34/IPC_Trimestriel!BZ34-1)</f>
        <v>3.2397587549500839E-2</v>
      </c>
      <c r="CA75" s="75">
        <f>IF(OR(IPC_Trimestriel!CE34="",IPC_Trimestriel!CA34=""),"",IPC_Trimestriel!CE34/IPC_Trimestriel!CA34-1)</f>
        <v>3.0344141824236059E-2</v>
      </c>
      <c r="CB75" s="75">
        <f>IF(OR(IPC_Trimestriel!CF34="",IPC_Trimestriel!CB34=""),"",IPC_Trimestriel!CF34/IPC_Trimestriel!CB34-1)</f>
        <v>3.7162881274605208E-2</v>
      </c>
      <c r="CC75" s="75">
        <f>IF(OR(IPC_Trimestriel!CG34="",IPC_Trimestriel!CC34=""),"",IPC_Trimestriel!CG34/IPC_Trimestriel!CC34-1)</f>
        <v>3.1215807267304774E-2</v>
      </c>
      <c r="CD75" s="75">
        <f>IF(OR(IPC_Trimestriel!CH34="",IPC_Trimestriel!CD34=""),"",IPC_Trimestriel!CH34/IPC_Trimestriel!CD34-1)</f>
        <v>3.6349287434597866E-2</v>
      </c>
      <c r="CE75" s="75">
        <f>IF(OR(IPC_Trimestriel!CI34="",IPC_Trimestriel!CE34=""),"",IPC_Trimestriel!CI34/IPC_Trimestriel!CE34-1)</f>
        <v>3.0701383631205559E-2</v>
      </c>
      <c r="CF75" s="75">
        <f>IF(OR(IPC_Trimestriel!CJ34="",IPC_Trimestriel!CF34=""),"",IPC_Trimestriel!CJ34/IPC_Trimestriel!CF34-1)</f>
        <v>2.387374070207704E-2</v>
      </c>
      <c r="CG75" s="75">
        <f>IF(OR(IPC_Trimestriel!CK34="",IPC_Trimestriel!CG34=""),"",IPC_Trimestriel!CK34/IPC_Trimestriel!CG34-1)</f>
        <v>3.4761452837184237E-2</v>
      </c>
      <c r="CH75" s="75">
        <f>IF(OR(IPC_Trimestriel!CL34="",IPC_Trimestriel!CH34=""),"",IPC_Trimestriel!CL34/IPC_Trimestriel!CH34-1)</f>
        <v>3.6103945009495098E-2</v>
      </c>
      <c r="CI75" s="75">
        <f>IF(OR(IPC_Trimestriel!CM34="",IPC_Trimestriel!CI34=""),"",IPC_Trimestriel!CM34/IPC_Trimestriel!CI34-1)</f>
        <v>4.1075665442410036E-2</v>
      </c>
      <c r="CJ75" s="75">
        <f>IF(OR(IPC_Trimestriel!CN34="",IPC_Trimestriel!CJ34=""),"",IPC_Trimestriel!CN34/IPC_Trimestriel!CJ34-1)</f>
        <v>7.0831835010116917E-2</v>
      </c>
      <c r="CK75" s="75">
        <f>IF(OR(IPC_Trimestriel!CO34="",IPC_Trimestriel!CK34=""),"",IPC_Trimestriel!CO34/IPC_Trimestriel!CK34-1)</f>
        <v>8.8664757411194506E-2</v>
      </c>
      <c r="CL75" s="75">
        <f>IF(OR(IPC_Trimestriel!CP34="",IPC_Trimestriel!CL34=""),"",IPC_Trimestriel!CP34/IPC_Trimestriel!CL34-1)</f>
        <v>0.10413316699140984</v>
      </c>
      <c r="CM75" s="75">
        <f>IF(OR(IPC_Trimestriel!CQ34="",IPC_Trimestriel!CM34=""),"",IPC_Trimestriel!CQ34/IPC_Trimestriel!CM34-1)</f>
        <v>0.11819605034796998</v>
      </c>
      <c r="CN75" s="75" t="str">
        <f>IF(OR(IPC_Trimestriel!CR34="",IPC_Trimestriel!CN34=""),"",IPC_Trimestriel!CR34/IPC_Trimestriel!CN34-1)</f>
        <v/>
      </c>
      <c r="CO75" s="75" t="str">
        <f>IF(OR(IPC_Trimestriel!CS34="",IPC_Trimestriel!CO34=""),"",IPC_Trimestriel!CS34/IPC_Trimestriel!CO34-1)</f>
        <v/>
      </c>
      <c r="CP75" s="75" t="str">
        <f>IF(OR(IPC_Trimestriel!CT34="",IPC_Trimestriel!CP34=""),"",IPC_Trimestriel!CT34/IPC_Trimestriel!CP34-1)</f>
        <v/>
      </c>
    </row>
    <row r="76" spans="1:94" s="74" customFormat="1" ht="10.199999999999999" x14ac:dyDescent="0.2">
      <c r="B76" s="3" t="s">
        <v>113</v>
      </c>
      <c r="D76" s="75" t="str">
        <f>IF(OR(IPC_Trimestriel!H35="",IPC_Trimestriel!D35=""),"",IPC_Trimestriel!H35/IPC_Trimestriel!D35-1)</f>
        <v/>
      </c>
      <c r="E76" s="75" t="str">
        <f>IF(OR(IPC_Trimestriel!I35="",IPC_Trimestriel!E35=""),"",IPC_Trimestriel!I35/IPC_Trimestriel!E35-1)</f>
        <v/>
      </c>
      <c r="F76" s="75" t="str">
        <f>IF(OR(IPC_Trimestriel!J35="",IPC_Trimestriel!F35=""),"",IPC_Trimestriel!J35/IPC_Trimestriel!F35-1)</f>
        <v/>
      </c>
      <c r="G76" s="75" t="str">
        <f>IF(OR(IPC_Trimestriel!K35="",IPC_Trimestriel!G35=""),"",IPC_Trimestriel!K35/IPC_Trimestriel!G35-1)</f>
        <v/>
      </c>
      <c r="H76" s="75" t="str">
        <f>IF(OR(IPC_Trimestriel!L35="",IPC_Trimestriel!H35=""),"",IPC_Trimestriel!L35/IPC_Trimestriel!H35-1)</f>
        <v/>
      </c>
      <c r="I76" s="75" t="str">
        <f>IF(OR(IPC_Trimestriel!M35="",IPC_Trimestriel!I35=""),"",IPC_Trimestriel!M35/IPC_Trimestriel!I35-1)</f>
        <v/>
      </c>
      <c r="J76" s="75" t="str">
        <f>IF(OR(IPC_Trimestriel!N35="",IPC_Trimestriel!J35=""),"",IPC_Trimestriel!N35/IPC_Trimestriel!J35-1)</f>
        <v/>
      </c>
      <c r="K76" s="75" t="str">
        <f>IF(OR(IPC_Trimestriel!O35="",IPC_Trimestriel!K35=""),"",IPC_Trimestriel!O35/IPC_Trimestriel!K35-1)</f>
        <v/>
      </c>
      <c r="L76" s="75" t="str">
        <f>IF(OR(IPC_Trimestriel!P35="",IPC_Trimestriel!L35=""),"",IPC_Trimestriel!P35/IPC_Trimestriel!L35-1)</f>
        <v/>
      </c>
      <c r="M76" s="75" t="str">
        <f>IF(OR(IPC_Trimestriel!Q35="",IPC_Trimestriel!M35=""),"",IPC_Trimestriel!Q35/IPC_Trimestriel!M35-1)</f>
        <v/>
      </c>
      <c r="N76" s="75" t="str">
        <f>IF(OR(IPC_Trimestriel!R35="",IPC_Trimestriel!N35=""),"",IPC_Trimestriel!R35/IPC_Trimestriel!N35-1)</f>
        <v/>
      </c>
      <c r="O76" s="75" t="str">
        <f>IF(OR(IPC_Trimestriel!S35="",IPC_Trimestriel!O35=""),"",IPC_Trimestriel!S35/IPC_Trimestriel!O35-1)</f>
        <v/>
      </c>
      <c r="P76" s="75" t="str">
        <f>IF(OR(IPC_Trimestriel!T35="",IPC_Trimestriel!P35=""),"",IPC_Trimestriel!T35/IPC_Trimestriel!P35-1)</f>
        <v/>
      </c>
      <c r="Q76" s="75" t="str">
        <f>IF(OR(IPC_Trimestriel!U35="",IPC_Trimestriel!Q35=""),"",IPC_Trimestriel!U35/IPC_Trimestriel!Q35-1)</f>
        <v/>
      </c>
      <c r="R76" s="75" t="str">
        <f>IF(OR(IPC_Trimestriel!V35="",IPC_Trimestriel!R35=""),"",IPC_Trimestriel!V35/IPC_Trimestriel!R35-1)</f>
        <v/>
      </c>
      <c r="S76" s="75" t="str">
        <f>IF(OR(IPC_Trimestriel!W35="",IPC_Trimestriel!S35=""),"",IPC_Trimestriel!W35/IPC_Trimestriel!S35-1)</f>
        <v/>
      </c>
      <c r="T76" s="75" t="str">
        <f>IF(OR(IPC_Trimestriel!X35="",IPC_Trimestriel!T35=""),"",IPC_Trimestriel!X35/IPC_Trimestriel!T35-1)</f>
        <v/>
      </c>
      <c r="U76" s="75" t="str">
        <f>IF(OR(IPC_Trimestriel!Y35="",IPC_Trimestriel!U35=""),"",IPC_Trimestriel!Y35/IPC_Trimestriel!U35-1)</f>
        <v/>
      </c>
      <c r="V76" s="75" t="str">
        <f>IF(OR(IPC_Trimestriel!Z35="",IPC_Trimestriel!V35=""),"",IPC_Trimestriel!Z35/IPC_Trimestriel!V35-1)</f>
        <v/>
      </c>
      <c r="W76" s="75" t="str">
        <f>IF(OR(IPC_Trimestriel!AA35="",IPC_Trimestriel!W35=""),"",IPC_Trimestriel!AA35/IPC_Trimestriel!W35-1)</f>
        <v/>
      </c>
      <c r="X76" s="75" t="str">
        <f>IF(OR(IPC_Trimestriel!AB35="",IPC_Trimestriel!X35=""),"",IPC_Trimestriel!AB35/IPC_Trimestriel!X35-1)</f>
        <v/>
      </c>
      <c r="Y76" s="75" t="str">
        <f>IF(OR(IPC_Trimestriel!AC35="",IPC_Trimestriel!Y35=""),"",IPC_Trimestriel!AC35/IPC_Trimestriel!Y35-1)</f>
        <v/>
      </c>
      <c r="Z76" s="75" t="str">
        <f>IF(OR(IPC_Trimestriel!AD35="",IPC_Trimestriel!Z35=""),"",IPC_Trimestriel!AD35/IPC_Trimestriel!Z35-1)</f>
        <v/>
      </c>
      <c r="AA76" s="75" t="str">
        <f>IF(OR(IPC_Trimestriel!AE35="",IPC_Trimestriel!AA35=""),"",IPC_Trimestriel!AE35/IPC_Trimestriel!AA35-1)</f>
        <v/>
      </c>
      <c r="AB76" s="75" t="str">
        <f>IF(OR(IPC_Trimestriel!AF35="",IPC_Trimestriel!AB35=""),"",IPC_Trimestriel!AF35/IPC_Trimestriel!AB35-1)</f>
        <v/>
      </c>
      <c r="AC76" s="75" t="str">
        <f>IF(OR(IPC_Trimestriel!AG35="",IPC_Trimestriel!AC35=""),"",IPC_Trimestriel!AG35/IPC_Trimestriel!AC35-1)</f>
        <v/>
      </c>
      <c r="AD76" s="75" t="str">
        <f>IF(OR(IPC_Trimestriel!AH35="",IPC_Trimestriel!AD35=""),"",IPC_Trimestriel!AH35/IPC_Trimestriel!AD35-1)</f>
        <v/>
      </c>
      <c r="AE76" s="75" t="str">
        <f>IF(OR(IPC_Trimestriel!AI35="",IPC_Trimestriel!AE35=""),"",IPC_Trimestriel!AI35/IPC_Trimestriel!AE35-1)</f>
        <v/>
      </c>
      <c r="AF76" s="75" t="str">
        <f>IF(OR(IPC_Trimestriel!AJ35="",IPC_Trimestriel!AF35=""),"",IPC_Trimestriel!AJ35/IPC_Trimestriel!AF35-1)</f>
        <v/>
      </c>
      <c r="AG76" s="75" t="str">
        <f>IF(OR(IPC_Trimestriel!AK35="",IPC_Trimestriel!AG35=""),"",IPC_Trimestriel!AK35/IPC_Trimestriel!AG35-1)</f>
        <v/>
      </c>
      <c r="AH76" s="75" t="str">
        <f>IF(OR(IPC_Trimestriel!AL35="",IPC_Trimestriel!AH35=""),"",IPC_Trimestriel!AL35/IPC_Trimestriel!AH35-1)</f>
        <v/>
      </c>
      <c r="AI76" s="75" t="str">
        <f>IF(OR(IPC_Trimestriel!AM35="",IPC_Trimestriel!AI35=""),"",IPC_Trimestriel!AM35/IPC_Trimestriel!AI35-1)</f>
        <v/>
      </c>
      <c r="AJ76" s="75" t="str">
        <f>IF(OR(IPC_Trimestriel!AN35="",IPC_Trimestriel!AJ35=""),"",IPC_Trimestriel!AN35/IPC_Trimestriel!AJ35-1)</f>
        <v/>
      </c>
      <c r="AK76" s="75" t="str">
        <f>IF(OR(IPC_Trimestriel!AO35="",IPC_Trimestriel!AK35=""),"",IPC_Trimestriel!AO35/IPC_Trimestriel!AK35-1)</f>
        <v/>
      </c>
      <c r="AL76" s="75" t="str">
        <f>IF(OR(IPC_Trimestriel!AP35="",IPC_Trimestriel!AL35=""),"",IPC_Trimestriel!AP35/IPC_Trimestriel!AL35-1)</f>
        <v/>
      </c>
      <c r="AM76" s="75" t="str">
        <f>IF(OR(IPC_Trimestriel!AQ35="",IPC_Trimestriel!AM35=""),"",IPC_Trimestriel!AQ35/IPC_Trimestriel!AM35-1)</f>
        <v/>
      </c>
      <c r="AN76" s="75" t="str">
        <f>IF(OR(IPC_Trimestriel!AR35="",IPC_Trimestriel!AN35=""),"",IPC_Trimestriel!AR35/IPC_Trimestriel!AN35-1)</f>
        <v/>
      </c>
      <c r="AO76" s="75" t="str">
        <f>IF(OR(IPC_Trimestriel!AS35="",IPC_Trimestriel!AO35=""),"",IPC_Trimestriel!AS35/IPC_Trimestriel!AO35-1)</f>
        <v/>
      </c>
      <c r="AP76" s="75" t="str">
        <f>IF(OR(IPC_Trimestriel!AT35="",IPC_Trimestriel!AP35=""),"",IPC_Trimestriel!AT35/IPC_Trimestriel!AP35-1)</f>
        <v/>
      </c>
      <c r="AQ76" s="75" t="str">
        <f>IF(OR(IPC_Trimestriel!AU35="",IPC_Trimestriel!AQ35=""),"",IPC_Trimestriel!AU35/IPC_Trimestriel!AQ35-1)</f>
        <v/>
      </c>
      <c r="AR76" s="75" t="str">
        <f>IF(OR(IPC_Trimestriel!AV35="",IPC_Trimestriel!AR35=""),"",IPC_Trimestriel!AV35/IPC_Trimestriel!AR35-1)</f>
        <v/>
      </c>
      <c r="AS76" s="75" t="str">
        <f>IF(OR(IPC_Trimestriel!AW35="",IPC_Trimestriel!AS35=""),"",IPC_Trimestriel!AW35/IPC_Trimestriel!AS35-1)</f>
        <v/>
      </c>
      <c r="AT76" s="75" t="str">
        <f>IF(OR(IPC_Trimestriel!AX35="",IPC_Trimestriel!AT35=""),"",IPC_Trimestriel!AX35/IPC_Trimestriel!AT35-1)</f>
        <v/>
      </c>
      <c r="AU76" s="75" t="str">
        <f>IF(OR(IPC_Trimestriel!AY35="",IPC_Trimestriel!AU35=""),"",IPC_Trimestriel!AY35/IPC_Trimestriel!AU35-1)</f>
        <v/>
      </c>
      <c r="AV76" s="75" t="str">
        <f>IF(OR(IPC_Trimestriel!AZ35="",IPC_Trimestriel!AV35=""),"",IPC_Trimestriel!AZ35/IPC_Trimestriel!AV35-1)</f>
        <v/>
      </c>
      <c r="AW76" s="75" t="str">
        <f>IF(OR(IPC_Trimestriel!BA35="",IPC_Trimestriel!AW35=""),"",IPC_Trimestriel!BA35/IPC_Trimestriel!AW35-1)</f>
        <v/>
      </c>
      <c r="AX76" s="75" t="str">
        <f>IF(OR(IPC_Trimestriel!BB35="",IPC_Trimestriel!AX35=""),"",IPC_Trimestriel!BB35/IPC_Trimestriel!AX35-1)</f>
        <v/>
      </c>
      <c r="AY76" s="75" t="str">
        <f>IF(OR(IPC_Trimestriel!BC35="",IPC_Trimestriel!AY35=""),"",IPC_Trimestriel!BC35/IPC_Trimestriel!AY35-1)</f>
        <v/>
      </c>
      <c r="AZ76" s="75">
        <f>IF(OR(IPC_Trimestriel!BD35="",IPC_Trimestriel!AZ35=""),"",IPC_Trimestriel!BD35/IPC_Trimestriel!AZ35-1)</f>
        <v>1.3983380232663878E-2</v>
      </c>
      <c r="BA76" s="75">
        <f>IF(OR(IPC_Trimestriel!BE35="",IPC_Trimestriel!BA35=""),"",IPC_Trimestriel!BE35/IPC_Trimestriel!BA35-1)</f>
        <v>1.3083387142469372E-2</v>
      </c>
      <c r="BB76" s="75">
        <f>IF(OR(IPC_Trimestriel!BF35="",IPC_Trimestriel!BB35=""),"",IPC_Trimestriel!BF35/IPC_Trimestriel!BB35-1)</f>
        <v>1.331771244538027E-2</v>
      </c>
      <c r="BC76" s="75">
        <f>IF(OR(IPC_Trimestriel!BG35="",IPC_Trimestriel!BC35=""),"",IPC_Trimestriel!BG35/IPC_Trimestriel!BC35-1)</f>
        <v>1.2842199626388995E-2</v>
      </c>
      <c r="BD76" s="75">
        <f>IF(OR(IPC_Trimestriel!BH35="",IPC_Trimestriel!BD35=""),"",IPC_Trimestriel!BH35/IPC_Trimestriel!BD35-1)</f>
        <v>9.4371824297947438E-3</v>
      </c>
      <c r="BE76" s="75">
        <f>IF(OR(IPC_Trimestriel!BI35="",IPC_Trimestriel!BE35=""),"",IPC_Trimestriel!BI35/IPC_Trimestriel!BE35-1)</f>
        <v>1.0376898892920483E-2</v>
      </c>
      <c r="BF76" s="75">
        <f>IF(OR(IPC_Trimestriel!BJ35="",IPC_Trimestriel!BF35=""),"",IPC_Trimestriel!BJ35/IPC_Trimestriel!BF35-1)</f>
        <v>1.114360569244699E-2</v>
      </c>
      <c r="BG76" s="75">
        <f>IF(OR(IPC_Trimestriel!BK35="",IPC_Trimestriel!BG35=""),"",IPC_Trimestriel!BK35/IPC_Trimestriel!BG35-1)</f>
        <v>9.4664491341582835E-3</v>
      </c>
      <c r="BH76" s="75">
        <f>IF(OR(IPC_Trimestriel!BL35="",IPC_Trimestriel!BH35=""),"",IPC_Trimestriel!BL35/IPC_Trimestriel!BH35-1)</f>
        <v>9.0419031379675996E-3</v>
      </c>
      <c r="BI76" s="75">
        <f>IF(OR(IPC_Trimestriel!BM35="",IPC_Trimestriel!BI35=""),"",IPC_Trimestriel!BM35/IPC_Trimestriel!BI35-1)</f>
        <v>3.0028409922913113E-3</v>
      </c>
      <c r="BJ76" s="75">
        <f>IF(OR(IPC_Trimestriel!BN35="",IPC_Trimestriel!BJ35=""),"",IPC_Trimestriel!BN35/IPC_Trimestriel!BJ35-1)</f>
        <v>3.6021909335042235E-3</v>
      </c>
      <c r="BK76" s="75">
        <f>IF(OR(IPC_Trimestriel!BO35="",IPC_Trimestriel!BK35=""),"",IPC_Trimestriel!BO35/IPC_Trimestriel!BK35-1)</f>
        <v>-1.9809942706272565E-4</v>
      </c>
      <c r="BL76" s="75">
        <f>IF(OR(IPC_Trimestriel!BP35="",IPC_Trimestriel!BL35=""),"",IPC_Trimestriel!BP35/IPC_Trimestriel!BL35-1)</f>
        <v>1.5598287779010622E-3</v>
      </c>
      <c r="BM76" s="75">
        <f>IF(OR(IPC_Trimestriel!BQ35="",IPC_Trimestriel!BM35=""),"",IPC_Trimestriel!BQ35/IPC_Trimestriel!BM35-1)</f>
        <v>1.5200888088984232E-3</v>
      </c>
      <c r="BN76" s="75">
        <f>IF(OR(IPC_Trimestriel!BR35="",IPC_Trimestriel!BN35=""),"",IPC_Trimestriel!BR35/IPC_Trimestriel!BN35-1)</f>
        <v>3.9274846799526308E-3</v>
      </c>
      <c r="BO76" s="75">
        <f>IF(OR(IPC_Trimestriel!BS35="",IPC_Trimestriel!BO35=""),"",IPC_Trimestriel!BS35/IPC_Trimestriel!BO35-1)</f>
        <v>5.7541280913273596E-3</v>
      </c>
      <c r="BP76" s="75">
        <f>IF(OR(IPC_Trimestriel!BT35="",IPC_Trimestriel!BP35=""),"",IPC_Trimestriel!BT35/IPC_Trimestriel!BP35-1)</f>
        <v>9.5763103852939402E-3</v>
      </c>
      <c r="BQ76" s="75">
        <f>IF(OR(IPC_Trimestriel!BU35="",IPC_Trimestriel!BQ35=""),"",IPC_Trimestriel!BU35/IPC_Trimestriel!BQ35-1)</f>
        <v>1.2129006971630885E-2</v>
      </c>
      <c r="BR76" s="75">
        <f>IF(OR(IPC_Trimestriel!BV35="",IPC_Trimestriel!BR35=""),"",IPC_Trimestriel!BV35/IPC_Trimestriel!BR35-1)</f>
        <v>8.2921040186245687E-3</v>
      </c>
      <c r="BS76" s="75">
        <f>IF(OR(IPC_Trimestriel!BW35="",IPC_Trimestriel!BS35=""),"",IPC_Trimestriel!BW35/IPC_Trimestriel!BS35-1)</f>
        <v>8.4129917271760224E-3</v>
      </c>
      <c r="BT76" s="75">
        <f>IF(OR(IPC_Trimestriel!BX35="",IPC_Trimestriel!BT35=""),"",IPC_Trimestriel!BX35/IPC_Trimestriel!BT35-1)</f>
        <v>8.5097734694823401E-3</v>
      </c>
      <c r="BU76" s="75">
        <f>IF(OR(IPC_Trimestriel!BY35="",IPC_Trimestriel!BU35=""),"",IPC_Trimestriel!BY35/IPC_Trimestriel!BU35-1)</f>
        <v>1.4446490058677819E-2</v>
      </c>
      <c r="BV76" s="75">
        <f>IF(OR(IPC_Trimestriel!BZ35="",IPC_Trimestriel!BV35=""),"",IPC_Trimestriel!BZ35/IPC_Trimestriel!BV35-1)</f>
        <v>1.6534153667124629E-2</v>
      </c>
      <c r="BW76" s="75">
        <f>IF(OR(IPC_Trimestriel!CA35="",IPC_Trimestriel!BW35=""),"",IPC_Trimestriel!CA35/IPC_Trimestriel!BW35-1)</f>
        <v>2.2510192626298053E-2</v>
      </c>
      <c r="BX76" s="75">
        <f>IF(OR(IPC_Trimestriel!CB35="",IPC_Trimestriel!BX35=""),"",IPC_Trimestriel!CB35/IPC_Trimestriel!BX35-1)</f>
        <v>2.2483576032195751E-2</v>
      </c>
      <c r="BY76" s="75">
        <f>IF(OR(IPC_Trimestriel!CC35="",IPC_Trimestriel!BY35=""),"",IPC_Trimestriel!CC35/IPC_Trimestriel!BY35-1)</f>
        <v>2.2728658817783964E-2</v>
      </c>
      <c r="BZ76" s="75">
        <f>IF(OR(IPC_Trimestriel!CD35="",IPC_Trimestriel!BZ35=""),"",IPC_Trimestriel!CD35/IPC_Trimestriel!BZ35-1)</f>
        <v>2.3197989385461026E-2</v>
      </c>
      <c r="CA76" s="75">
        <f>IF(OR(IPC_Trimestriel!CE35="",IPC_Trimestriel!CA35=""),"",IPC_Trimestriel!CE35/IPC_Trimestriel!CA35-1)</f>
        <v>2.519570755126721E-2</v>
      </c>
      <c r="CB76" s="75">
        <f>IF(OR(IPC_Trimestriel!CF35="",IPC_Trimestriel!CB35=""),"",IPC_Trimestriel!CF35/IPC_Trimestriel!CB35-1)</f>
        <v>2.3792774444543641E-2</v>
      </c>
      <c r="CC76" s="75">
        <f>IF(OR(IPC_Trimestriel!CG35="",IPC_Trimestriel!CC35=""),"",IPC_Trimestriel!CG35/IPC_Trimestriel!CC35-1)</f>
        <v>2.3933577450483856E-2</v>
      </c>
      <c r="CD76" s="75">
        <f>IF(OR(IPC_Trimestriel!CH35="",IPC_Trimestriel!CD35=""),"",IPC_Trimestriel!CH35/IPC_Trimestriel!CD35-1)</f>
        <v>2.2389662088252882E-2</v>
      </c>
      <c r="CE76" s="75">
        <f>IF(OR(IPC_Trimestriel!CI35="",IPC_Trimestriel!CE35=""),"",IPC_Trimestriel!CI35/IPC_Trimestriel!CE35-1)</f>
        <v>1.9490905791916813E-2</v>
      </c>
      <c r="CF76" s="75">
        <f>IF(OR(IPC_Trimestriel!CJ35="",IPC_Trimestriel!CF35=""),"",IPC_Trimestriel!CJ35/IPC_Trimestriel!CF35-1)</f>
        <v>2.1596061636304675E-2</v>
      </c>
      <c r="CG76" s="75">
        <f>IF(OR(IPC_Trimestriel!CK35="",IPC_Trimestriel!CG35=""),"",IPC_Trimestriel!CK35/IPC_Trimestriel!CG35-1)</f>
        <v>1.9446771926074469E-2</v>
      </c>
      <c r="CH76" s="75">
        <f>IF(OR(IPC_Trimestriel!CL35="",IPC_Trimestriel!CH35=""),"",IPC_Trimestriel!CL35/IPC_Trimestriel!CH35-1)</f>
        <v>2.1751126435887835E-2</v>
      </c>
      <c r="CI76" s="75">
        <f>IF(OR(IPC_Trimestriel!CM35="",IPC_Trimestriel!CI35=""),"",IPC_Trimestriel!CM35/IPC_Trimestriel!CI35-1)</f>
        <v>2.1288664561263104E-2</v>
      </c>
      <c r="CJ76" s="75">
        <f>IF(OR(IPC_Trimestriel!CN35="",IPC_Trimestriel!CJ35=""),"",IPC_Trimestriel!CN35/IPC_Trimestriel!CJ35-1)</f>
        <v>2.6432001587376242E-2</v>
      </c>
      <c r="CK76" s="75">
        <f>IF(OR(IPC_Trimestriel!CO35="",IPC_Trimestriel!CK35=""),"",IPC_Trimestriel!CO35/IPC_Trimestriel!CK35-1)</f>
        <v>4.0285930411287696E-2</v>
      </c>
      <c r="CL76" s="75">
        <f>IF(OR(IPC_Trimestriel!CP35="",IPC_Trimestriel!CL35=""),"",IPC_Trimestriel!CP35/IPC_Trimestriel!CL35-1)</f>
        <v>4.3626536680634542E-2</v>
      </c>
      <c r="CM76" s="75">
        <f>IF(OR(IPC_Trimestriel!CQ35="",IPC_Trimestriel!CM35=""),"",IPC_Trimestriel!CQ35/IPC_Trimestriel!CM35-1)</f>
        <v>4.5007210685571453E-2</v>
      </c>
      <c r="CN76" s="75" t="str">
        <f>IF(OR(IPC_Trimestriel!CR35="",IPC_Trimestriel!CN35=""),"",IPC_Trimestriel!CR35/IPC_Trimestriel!CN35-1)</f>
        <v/>
      </c>
      <c r="CO76" s="75" t="str">
        <f>IF(OR(IPC_Trimestriel!CS35="",IPC_Trimestriel!CO35=""),"",IPC_Trimestriel!CS35/IPC_Trimestriel!CO35-1)</f>
        <v/>
      </c>
      <c r="CP76" s="75" t="str">
        <f>IF(OR(IPC_Trimestriel!CT35="",IPC_Trimestriel!CP35=""),"",IPC_Trimestriel!CT35/IPC_Trimestriel!CP35-1)</f>
        <v/>
      </c>
    </row>
    <row r="77" spans="1:94" s="81" customFormat="1" ht="10.199999999999999" x14ac:dyDescent="0.2">
      <c r="B77" s="81" t="s">
        <v>114</v>
      </c>
      <c r="D77" s="84" t="str">
        <f>IF(OR(IPC_Trimestriel!H36="",IPC_Trimestriel!D36=""),"",IPC_Trimestriel!H36/IPC_Trimestriel!D36-1)</f>
        <v/>
      </c>
      <c r="E77" s="84" t="str">
        <f>IF(OR(IPC_Trimestriel!I36="",IPC_Trimestriel!E36=""),"",IPC_Trimestriel!I36/IPC_Trimestriel!E36-1)</f>
        <v/>
      </c>
      <c r="F77" s="84" t="str">
        <f>IF(OR(IPC_Trimestriel!J36="",IPC_Trimestriel!F36=""),"",IPC_Trimestriel!J36/IPC_Trimestriel!F36-1)</f>
        <v/>
      </c>
      <c r="G77" s="84" t="str">
        <f>IF(OR(IPC_Trimestriel!K36="",IPC_Trimestriel!G36=""),"",IPC_Trimestriel!K36/IPC_Trimestriel!G36-1)</f>
        <v/>
      </c>
      <c r="H77" s="84" t="str">
        <f>IF(OR(IPC_Trimestriel!L36="",IPC_Trimestriel!H36=""),"",IPC_Trimestriel!L36/IPC_Trimestriel!H36-1)</f>
        <v/>
      </c>
      <c r="I77" s="84" t="str">
        <f>IF(OR(IPC_Trimestriel!M36="",IPC_Trimestriel!I36=""),"",IPC_Trimestriel!M36/IPC_Trimestriel!I36-1)</f>
        <v/>
      </c>
      <c r="J77" s="84" t="str">
        <f>IF(OR(IPC_Trimestriel!N36="",IPC_Trimestriel!J36=""),"",IPC_Trimestriel!N36/IPC_Trimestriel!J36-1)</f>
        <v/>
      </c>
      <c r="K77" s="84" t="str">
        <f>IF(OR(IPC_Trimestriel!O36="",IPC_Trimestriel!K36=""),"",IPC_Trimestriel!O36/IPC_Trimestriel!K36-1)</f>
        <v/>
      </c>
      <c r="L77" s="84" t="str">
        <f>IF(OR(IPC_Trimestriel!P36="",IPC_Trimestriel!L36=""),"",IPC_Trimestriel!P36/IPC_Trimestriel!L36-1)</f>
        <v/>
      </c>
      <c r="M77" s="84" t="str">
        <f>IF(OR(IPC_Trimestriel!Q36="",IPC_Trimestriel!M36=""),"",IPC_Trimestriel!Q36/IPC_Trimestriel!M36-1)</f>
        <v/>
      </c>
      <c r="N77" s="84" t="str">
        <f>IF(OR(IPC_Trimestriel!R36="",IPC_Trimestriel!N36=""),"",IPC_Trimestriel!R36/IPC_Trimestriel!N36-1)</f>
        <v/>
      </c>
      <c r="O77" s="84" t="str">
        <f>IF(OR(IPC_Trimestriel!S36="",IPC_Trimestriel!O36=""),"",IPC_Trimestriel!S36/IPC_Trimestriel!O36-1)</f>
        <v/>
      </c>
      <c r="P77" s="84" t="str">
        <f>IF(OR(IPC_Trimestriel!T36="",IPC_Trimestriel!P36=""),"",IPC_Trimestriel!T36/IPC_Trimestriel!P36-1)</f>
        <v/>
      </c>
      <c r="Q77" s="84" t="str">
        <f>IF(OR(IPC_Trimestriel!U36="",IPC_Trimestriel!Q36=""),"",IPC_Trimestriel!U36/IPC_Trimestriel!Q36-1)</f>
        <v/>
      </c>
      <c r="R77" s="84" t="str">
        <f>IF(OR(IPC_Trimestriel!V36="",IPC_Trimestriel!R36=""),"",IPC_Trimestriel!V36/IPC_Trimestriel!R36-1)</f>
        <v/>
      </c>
      <c r="S77" s="84" t="str">
        <f>IF(OR(IPC_Trimestriel!W36="",IPC_Trimestriel!S36=""),"",IPC_Trimestriel!W36/IPC_Trimestriel!S36-1)</f>
        <v/>
      </c>
      <c r="T77" s="84" t="str">
        <f>IF(OR(IPC_Trimestriel!X36="",IPC_Trimestriel!T36=""),"",IPC_Trimestriel!X36/IPC_Trimestriel!T36-1)</f>
        <v/>
      </c>
      <c r="U77" s="84" t="str">
        <f>IF(OR(IPC_Trimestriel!Y36="",IPC_Trimestriel!U36=""),"",IPC_Trimestriel!Y36/IPC_Trimestriel!U36-1)</f>
        <v/>
      </c>
      <c r="V77" s="84" t="str">
        <f>IF(OR(IPC_Trimestriel!Z36="",IPC_Trimestriel!V36=""),"",IPC_Trimestriel!Z36/IPC_Trimestriel!V36-1)</f>
        <v/>
      </c>
      <c r="W77" s="84" t="str">
        <f>IF(OR(IPC_Trimestriel!AA36="",IPC_Trimestriel!W36=""),"",IPC_Trimestriel!AA36/IPC_Trimestriel!W36-1)</f>
        <v/>
      </c>
      <c r="X77" s="84" t="str">
        <f>IF(OR(IPC_Trimestriel!AB36="",IPC_Trimestriel!X36=""),"",IPC_Trimestriel!AB36/IPC_Trimestriel!X36-1)</f>
        <v/>
      </c>
      <c r="Y77" s="84" t="str">
        <f>IF(OR(IPC_Trimestriel!AC36="",IPC_Trimestriel!Y36=""),"",IPC_Trimestriel!AC36/IPC_Trimestriel!Y36-1)</f>
        <v/>
      </c>
      <c r="Z77" s="84" t="str">
        <f>IF(OR(IPC_Trimestriel!AD36="",IPC_Trimestriel!Z36=""),"",IPC_Trimestriel!AD36/IPC_Trimestriel!Z36-1)</f>
        <v/>
      </c>
      <c r="AA77" s="84" t="str">
        <f>IF(OR(IPC_Trimestriel!AE36="",IPC_Trimestriel!AA36=""),"",IPC_Trimestriel!AE36/IPC_Trimestriel!AA36-1)</f>
        <v/>
      </c>
      <c r="AB77" s="84" t="str">
        <f>IF(OR(IPC_Trimestriel!AF36="",IPC_Trimestriel!AB36=""),"",IPC_Trimestriel!AF36/IPC_Trimestriel!AB36-1)</f>
        <v/>
      </c>
      <c r="AC77" s="84" t="str">
        <f>IF(OR(IPC_Trimestriel!AG36="",IPC_Trimestriel!AC36=""),"",IPC_Trimestriel!AG36/IPC_Trimestriel!AC36-1)</f>
        <v/>
      </c>
      <c r="AD77" s="84" t="str">
        <f>IF(OR(IPC_Trimestriel!AH36="",IPC_Trimestriel!AD36=""),"",IPC_Trimestriel!AH36/IPC_Trimestriel!AD36-1)</f>
        <v/>
      </c>
      <c r="AE77" s="84" t="str">
        <f>IF(OR(IPC_Trimestriel!AI36="",IPC_Trimestriel!AE36=""),"",IPC_Trimestriel!AI36/IPC_Trimestriel!AE36-1)</f>
        <v/>
      </c>
      <c r="AF77" s="84" t="str">
        <f>IF(OR(IPC_Trimestriel!AJ36="",IPC_Trimestriel!AF36=""),"",IPC_Trimestriel!AJ36/IPC_Trimestriel!AF36-1)</f>
        <v/>
      </c>
      <c r="AG77" s="84" t="str">
        <f>IF(OR(IPC_Trimestriel!AK36="",IPC_Trimestriel!AG36=""),"",IPC_Trimestriel!AK36/IPC_Trimestriel!AG36-1)</f>
        <v/>
      </c>
      <c r="AH77" s="84" t="str">
        <f>IF(OR(IPC_Trimestriel!AL36="",IPC_Trimestriel!AH36=""),"",IPC_Trimestriel!AL36/IPC_Trimestriel!AH36-1)</f>
        <v/>
      </c>
      <c r="AI77" s="84" t="str">
        <f>IF(OR(IPC_Trimestriel!AM36="",IPC_Trimestriel!AI36=""),"",IPC_Trimestriel!AM36/IPC_Trimestriel!AI36-1)</f>
        <v/>
      </c>
      <c r="AJ77" s="84" t="str">
        <f>IF(OR(IPC_Trimestriel!AN36="",IPC_Trimestriel!AJ36=""),"",IPC_Trimestriel!AN36/IPC_Trimestriel!AJ36-1)</f>
        <v/>
      </c>
      <c r="AK77" s="84" t="str">
        <f>IF(OR(IPC_Trimestriel!AO36="",IPC_Trimestriel!AK36=""),"",IPC_Trimestriel!AO36/IPC_Trimestriel!AK36-1)</f>
        <v/>
      </c>
      <c r="AL77" s="84" t="str">
        <f>IF(OR(IPC_Trimestriel!AP36="",IPC_Trimestriel!AL36=""),"",IPC_Trimestriel!AP36/IPC_Trimestriel!AL36-1)</f>
        <v/>
      </c>
      <c r="AM77" s="84" t="str">
        <f>IF(OR(IPC_Trimestriel!AQ36="",IPC_Trimestriel!AM36=""),"",IPC_Trimestriel!AQ36/IPC_Trimestriel!AM36-1)</f>
        <v/>
      </c>
      <c r="AN77" s="84" t="str">
        <f>IF(OR(IPC_Trimestriel!AR36="",IPC_Trimestriel!AN36=""),"",IPC_Trimestriel!AR36/IPC_Trimestriel!AN36-1)</f>
        <v/>
      </c>
      <c r="AO77" s="84" t="str">
        <f>IF(OR(IPC_Trimestriel!AS36="",IPC_Trimestriel!AO36=""),"",IPC_Trimestriel!AS36/IPC_Trimestriel!AO36-1)</f>
        <v/>
      </c>
      <c r="AP77" s="84" t="str">
        <f>IF(OR(IPC_Trimestriel!AT36="",IPC_Trimestriel!AP36=""),"",IPC_Trimestriel!AT36/IPC_Trimestriel!AP36-1)</f>
        <v/>
      </c>
      <c r="AQ77" s="84" t="str">
        <f>IF(OR(IPC_Trimestriel!AU36="",IPC_Trimestriel!AQ36=""),"",IPC_Trimestriel!AU36/IPC_Trimestriel!AQ36-1)</f>
        <v/>
      </c>
      <c r="AR77" s="84" t="str">
        <f>IF(OR(IPC_Trimestriel!AV36="",IPC_Trimestriel!AR36=""),"",IPC_Trimestriel!AV36/IPC_Trimestriel!AR36-1)</f>
        <v/>
      </c>
      <c r="AS77" s="84" t="str">
        <f>IF(OR(IPC_Trimestriel!AW36="",IPC_Trimestriel!AS36=""),"",IPC_Trimestriel!AW36/IPC_Trimestriel!AS36-1)</f>
        <v/>
      </c>
      <c r="AT77" s="84" t="str">
        <f>IF(OR(IPC_Trimestriel!AX36="",IPC_Trimestriel!AT36=""),"",IPC_Trimestriel!AX36/IPC_Trimestriel!AT36-1)</f>
        <v/>
      </c>
      <c r="AU77" s="84" t="str">
        <f>IF(OR(IPC_Trimestriel!AY36="",IPC_Trimestriel!AU36=""),"",IPC_Trimestriel!AY36/IPC_Trimestriel!AU36-1)</f>
        <v/>
      </c>
      <c r="AV77" s="84" t="str">
        <f>IF(OR(IPC_Trimestriel!AZ36="",IPC_Trimestriel!AV36=""),"",IPC_Trimestriel!AZ36/IPC_Trimestriel!AV36-1)</f>
        <v/>
      </c>
      <c r="AW77" s="84" t="str">
        <f>IF(OR(IPC_Trimestriel!BA36="",IPC_Trimestriel!AW36=""),"",IPC_Trimestriel!BA36/IPC_Trimestriel!AW36-1)</f>
        <v/>
      </c>
      <c r="AX77" s="84" t="str">
        <f>IF(OR(IPC_Trimestriel!BB36="",IPC_Trimestriel!AX36=""),"",IPC_Trimestriel!BB36/IPC_Trimestriel!AX36-1)</f>
        <v/>
      </c>
      <c r="AY77" s="84" t="str">
        <f>IF(OR(IPC_Trimestriel!BC36="",IPC_Trimestriel!AY36=""),"",IPC_Trimestriel!BC36/IPC_Trimestriel!AY36-1)</f>
        <v/>
      </c>
      <c r="AZ77" s="84">
        <f>IF(OR(IPC_Trimestriel!BD36="",IPC_Trimestriel!AZ36=""),"",IPC_Trimestriel!BD36/IPC_Trimestriel!AZ36-1)</f>
        <v>2.2438051098713441E-2</v>
      </c>
      <c r="BA77" s="84">
        <f>IF(OR(IPC_Trimestriel!BE36="",IPC_Trimestriel!BA36=""),"",IPC_Trimestriel!BE36/IPC_Trimestriel!BA36-1)</f>
        <v>1.9614072663587168E-2</v>
      </c>
      <c r="BB77" s="84">
        <f>IF(OR(IPC_Trimestriel!BF36="",IPC_Trimestriel!BB36=""),"",IPC_Trimestriel!BF36/IPC_Trimestriel!BB36-1)</f>
        <v>1.3148185128242451E-2</v>
      </c>
      <c r="BC77" s="84">
        <f>IF(OR(IPC_Trimestriel!BG36="",IPC_Trimestriel!BC36=""),"",IPC_Trimestriel!BG36/IPC_Trimestriel!BC36-1)</f>
        <v>1.1993305729591119E-2</v>
      </c>
      <c r="BD77" s="84">
        <f>IF(OR(IPC_Trimestriel!BH36="",IPC_Trimestriel!BD36=""),"",IPC_Trimestriel!BH36/IPC_Trimestriel!BD36-1)</f>
        <v>1.2347816061202055E-2</v>
      </c>
      <c r="BE77" s="84">
        <f>IF(OR(IPC_Trimestriel!BI36="",IPC_Trimestriel!BE36=""),"",IPC_Trimestriel!BI36/IPC_Trimestriel!BE36-1)</f>
        <v>1.033418889131954E-2</v>
      </c>
      <c r="BF77" s="84">
        <f>IF(OR(IPC_Trimestriel!BJ36="",IPC_Trimestriel!BF36=""),"",IPC_Trimestriel!BJ36/IPC_Trimestriel!BF36-1)</f>
        <v>5.1245952463311317E-2</v>
      </c>
      <c r="BG77" s="84">
        <f>IF(OR(IPC_Trimestriel!BK36="",IPC_Trimestriel!BG36=""),"",IPC_Trimestriel!BK36/IPC_Trimestriel!BG36-1)</f>
        <v>5.0828725469524105E-2</v>
      </c>
      <c r="BH77" s="84">
        <f>IF(OR(IPC_Trimestriel!BL36="",IPC_Trimestriel!BH36=""),"",IPC_Trimestriel!BL36/IPC_Trimestriel!BH36-1)</f>
        <v>5.4844295948313748E-2</v>
      </c>
      <c r="BI77" s="84">
        <f>IF(OR(IPC_Trimestriel!BM36="",IPC_Trimestriel!BI36=""),"",IPC_Trimestriel!BM36/IPC_Trimestriel!BI36-1)</f>
        <v>6.1730255370126441E-2</v>
      </c>
      <c r="BJ77" s="84">
        <f>IF(OR(IPC_Trimestriel!BN36="",IPC_Trimestriel!BJ36=""),"",IPC_Trimestriel!BN36/IPC_Trimestriel!BJ36-1)</f>
        <v>2.2339066179709599E-2</v>
      </c>
      <c r="BK77" s="84">
        <f>IF(OR(IPC_Trimestriel!BO36="",IPC_Trimestriel!BK36=""),"",IPC_Trimestriel!BO36/IPC_Trimestriel!BK36-1)</f>
        <v>1.8973579412756347E-2</v>
      </c>
      <c r="BL77" s="84">
        <f>IF(OR(IPC_Trimestriel!BP36="",IPC_Trimestriel!BL36=""),"",IPC_Trimestriel!BP36/IPC_Trimestriel!BL36-1)</f>
        <v>1.6193680157708501E-2</v>
      </c>
      <c r="BM77" s="84">
        <f>IF(OR(IPC_Trimestriel!BQ36="",IPC_Trimestriel!BM36=""),"",IPC_Trimestriel!BQ36/IPC_Trimestriel!BM36-1)</f>
        <v>9.180043874320809E-3</v>
      </c>
      <c r="BN77" s="84">
        <f>IF(OR(IPC_Trimestriel!BR36="",IPC_Trimestriel!BN36=""),"",IPC_Trimestriel!BR36/IPC_Trimestriel!BN36-1)</f>
        <v>6.0610663936753184E-3</v>
      </c>
      <c r="BO77" s="84">
        <f>IF(OR(IPC_Trimestriel!BS36="",IPC_Trimestriel!BO36=""),"",IPC_Trimestriel!BS36/IPC_Trimestriel!BO36-1)</f>
        <v>6.9117765479258519E-3</v>
      </c>
      <c r="BP77" s="84">
        <f>IF(OR(IPC_Trimestriel!BT36="",IPC_Trimestriel!BP36=""),"",IPC_Trimestriel!BT36/IPC_Trimestriel!BP36-1)</f>
        <v>9.0642171007746519E-3</v>
      </c>
      <c r="BQ77" s="84">
        <f>IF(OR(IPC_Trimestriel!BU36="",IPC_Trimestriel!BQ36=""),"",IPC_Trimestriel!BU36/IPC_Trimestriel!BQ36-1)</f>
        <v>9.7484909142455667E-3</v>
      </c>
      <c r="BR77" s="84">
        <f>IF(OR(IPC_Trimestriel!BV36="",IPC_Trimestriel!BR36=""),"",IPC_Trimestriel!BV36/IPC_Trimestriel!BR36-1)</f>
        <v>8.7953390755677319E-3</v>
      </c>
      <c r="BS77" s="84">
        <f>IF(OR(IPC_Trimestriel!BW36="",IPC_Trimestriel!BS36=""),"",IPC_Trimestriel!BW36/IPC_Trimestriel!BS36-1)</f>
        <v>6.2861463510570648E-3</v>
      </c>
      <c r="BT77" s="84">
        <f>IF(OR(IPC_Trimestriel!BX36="",IPC_Trimestriel!BT36=""),"",IPC_Trimestriel!BX36/IPC_Trimestriel!BT36-1)</f>
        <v>4.2867251231089032E-3</v>
      </c>
      <c r="BU77" s="84">
        <f>IF(OR(IPC_Trimestriel!BY36="",IPC_Trimestriel!BU36=""),"",IPC_Trimestriel!BY36/IPC_Trimestriel!BU36-1)</f>
        <v>7.3561572108364892E-3</v>
      </c>
      <c r="BV77" s="84">
        <f>IF(OR(IPC_Trimestriel!BZ36="",IPC_Trimestriel!BV36=""),"",IPC_Trimestriel!BZ36/IPC_Trimestriel!BV36-1)</f>
        <v>1.5314034229553908E-2</v>
      </c>
      <c r="BW77" s="84">
        <f>IF(OR(IPC_Trimestriel!CA36="",IPC_Trimestriel!BW36=""),"",IPC_Trimestriel!CA36/IPC_Trimestriel!BW36-1)</f>
        <v>2.0896711030717663E-2</v>
      </c>
      <c r="BX77" s="84">
        <f>IF(OR(IPC_Trimestriel!CB36="",IPC_Trimestriel!BX36=""),"",IPC_Trimestriel!CB36/IPC_Trimestriel!BX36-1)</f>
        <v>2.455931667381428E-2</v>
      </c>
      <c r="BY77" s="84">
        <f>IF(OR(IPC_Trimestriel!CC36="",IPC_Trimestriel!BY36=""),"",IPC_Trimestriel!CC36/IPC_Trimestriel!BY36-1)</f>
        <v>2.4474934837275919E-2</v>
      </c>
      <c r="BZ77" s="84">
        <f>IF(OR(IPC_Trimestriel!CD36="",IPC_Trimestriel!BZ36=""),"",IPC_Trimestriel!CD36/IPC_Trimestriel!BZ36-1)</f>
        <v>1.7915170618481691E-2</v>
      </c>
      <c r="CA77" s="84">
        <f>IF(OR(IPC_Trimestriel!CE36="",IPC_Trimestriel!CA36=""),"",IPC_Trimestriel!CE36/IPC_Trimestriel!CA36-1)</f>
        <v>1.5462952439932565E-2</v>
      </c>
      <c r="CB77" s="84">
        <f>IF(OR(IPC_Trimestriel!CF36="",IPC_Trimestriel!CB36=""),"",IPC_Trimestriel!CF36/IPC_Trimestriel!CB36-1)</f>
        <v>1.3857558421140004E-2</v>
      </c>
      <c r="CC77" s="84">
        <f>IF(OR(IPC_Trimestriel!CG36="",IPC_Trimestriel!CC36=""),"",IPC_Trimestriel!CG36/IPC_Trimestriel!CC36-1)</f>
        <v>1.7258254879067847E-2</v>
      </c>
      <c r="CD77" s="84">
        <f>IF(OR(IPC_Trimestriel!CH36="",IPC_Trimestriel!CD36=""),"",IPC_Trimestriel!CH36/IPC_Trimestriel!CD36-1)</f>
        <v>1.2556241143931501E-2</v>
      </c>
      <c r="CE77" s="84">
        <f>IF(OR(IPC_Trimestriel!CI36="",IPC_Trimestriel!CE36=""),"",IPC_Trimestriel!CI36/IPC_Trimestriel!CE36-1)</f>
        <v>1.3163445239202654E-2</v>
      </c>
      <c r="CF77" s="84">
        <f>IF(OR(IPC_Trimestriel!CJ36="",IPC_Trimestriel!CF36=""),"",IPC_Trimestriel!CJ36/IPC_Trimestriel!CF36-1)</f>
        <v>1.0851751406919075E-2</v>
      </c>
      <c r="CG77" s="84">
        <f>IF(OR(IPC_Trimestriel!CK36="",IPC_Trimestriel!CG36=""),"",IPC_Trimestriel!CK36/IPC_Trimestriel!CG36-1)</f>
        <v>4.2934508837919605E-3</v>
      </c>
      <c r="CH77" s="84">
        <f>IF(OR(IPC_Trimestriel!CL36="",IPC_Trimestriel!CH36=""),"",IPC_Trimestriel!CL36/IPC_Trimestriel!CH36-1)</f>
        <v>9.8077549016983845E-3</v>
      </c>
      <c r="CI77" s="84">
        <f>IF(OR(IPC_Trimestriel!CM36="",IPC_Trimestriel!CI36=""),"",IPC_Trimestriel!CM36/IPC_Trimestriel!CI36-1)</f>
        <v>1.126661681720087E-2</v>
      </c>
      <c r="CJ77" s="84">
        <f>IF(OR(IPC_Trimestriel!CN36="",IPC_Trimestriel!CJ36=""),"",IPC_Trimestriel!CN36/IPC_Trimestriel!CJ36-1)</f>
        <v>1.7820943831648339E-2</v>
      </c>
      <c r="CK77" s="84">
        <f>IF(OR(IPC_Trimestriel!CO36="",IPC_Trimestriel!CK36=""),"",IPC_Trimestriel!CO36/IPC_Trimestriel!CK36-1)</f>
        <v>2.6635358156388289E-2</v>
      </c>
      <c r="CL77" s="84">
        <f>IF(OR(IPC_Trimestriel!CP36="",IPC_Trimestriel!CL36=""),"",IPC_Trimestriel!CP36/IPC_Trimestriel!CL36-1)</f>
        <v>3.5147993197951255E-2</v>
      </c>
      <c r="CM77" s="84">
        <f>IF(OR(IPC_Trimestriel!CQ36="",IPC_Trimestriel!CM36=""),"",IPC_Trimestriel!CQ36/IPC_Trimestriel!CM36-1)</f>
        <v>3.6612485361965375E-2</v>
      </c>
      <c r="CN77" s="84" t="str">
        <f>IF(OR(IPC_Trimestriel!CR36="",IPC_Trimestriel!CN36=""),"",IPC_Trimestriel!CR36/IPC_Trimestriel!CN36-1)</f>
        <v/>
      </c>
      <c r="CO77" s="84" t="str">
        <f>IF(OR(IPC_Trimestriel!CS36="",IPC_Trimestriel!CO36=""),"",IPC_Trimestriel!CS36/IPC_Trimestriel!CO36-1)</f>
        <v/>
      </c>
      <c r="CP77" s="84" t="str">
        <f>IF(OR(IPC_Trimestriel!CT36="",IPC_Trimestriel!CP36=""),"",IPC_Trimestriel!CT36/IPC_Trimestriel!CP36-1)</f>
        <v/>
      </c>
    </row>
    <row r="78" spans="1:94" s="74" customFormat="1" ht="10.199999999999999" x14ac:dyDescent="0.2">
      <c r="B78" s="3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5"/>
      <c r="BK78" s="75"/>
      <c r="BL78" s="75"/>
      <c r="BM78" s="75"/>
      <c r="BN78" s="75"/>
      <c r="BO78" s="75"/>
      <c r="BP78" s="75"/>
      <c r="BQ78" s="75"/>
      <c r="BR78" s="75"/>
      <c r="BS78" s="75"/>
      <c r="BT78" s="75"/>
      <c r="BU78" s="75"/>
      <c r="BV78" s="75"/>
      <c r="BW78" s="75"/>
      <c r="BX78" s="75"/>
      <c r="BY78" s="75"/>
      <c r="BZ78" s="75"/>
      <c r="CA78" s="75"/>
      <c r="CB78" s="75"/>
      <c r="CC78" s="75"/>
      <c r="CD78" s="75"/>
      <c r="CE78" s="75"/>
      <c r="CF78" s="75"/>
      <c r="CG78" s="75"/>
      <c r="CH78" s="75"/>
      <c r="CI78" s="75"/>
      <c r="CJ78" s="75"/>
      <c r="CK78" s="75"/>
      <c r="CL78" s="75"/>
      <c r="CM78" s="75"/>
      <c r="CN78" s="75"/>
      <c r="CO78" s="75"/>
      <c r="CP78" s="75"/>
    </row>
    <row r="79" spans="1:94" s="14" customFormat="1" ht="10.199999999999999" x14ac:dyDescent="0.2">
      <c r="A79" s="9"/>
      <c r="B79" s="9" t="s">
        <v>30</v>
      </c>
      <c r="C79" s="61">
        <f>SUM(C49:C59)</f>
        <v>384</v>
      </c>
      <c r="D79" s="33" t="str">
        <f>IF(OR(IPC_Trimestriel!H38="",IPC_Trimestriel!D38=""),"",IPC_Trimestriel!H38/IPC_Trimestriel!D38-1)</f>
        <v/>
      </c>
      <c r="E79" s="33" t="str">
        <f>IF(OR(IPC_Trimestriel!I38="",IPC_Trimestriel!E38=""),"",IPC_Trimestriel!I38/IPC_Trimestriel!E38-1)</f>
        <v/>
      </c>
      <c r="F79" s="33" t="str">
        <f>IF(OR(IPC_Trimestriel!J38="",IPC_Trimestriel!F38=""),"",IPC_Trimestriel!J38/IPC_Trimestriel!F38-1)</f>
        <v/>
      </c>
      <c r="G79" s="33" t="str">
        <f>IF(OR(IPC_Trimestriel!K38="",IPC_Trimestriel!G38=""),"",IPC_Trimestriel!K38/IPC_Trimestriel!G38-1)</f>
        <v/>
      </c>
      <c r="H79" s="33" t="str">
        <f>IF(OR(IPC_Trimestriel!L38="",IPC_Trimestriel!H38=""),"",IPC_Trimestriel!L38/IPC_Trimestriel!H38-1)</f>
        <v/>
      </c>
      <c r="I79" s="33" t="str">
        <f>IF(OR(IPC_Trimestriel!M38="",IPC_Trimestriel!I38=""),"",IPC_Trimestriel!M38/IPC_Trimestriel!I38-1)</f>
        <v/>
      </c>
      <c r="J79" s="33" t="str">
        <f>IF(OR(IPC_Trimestriel!N38="",IPC_Trimestriel!J38=""),"",IPC_Trimestriel!N38/IPC_Trimestriel!J38-1)</f>
        <v/>
      </c>
      <c r="K79" s="33" t="str">
        <f>IF(OR(IPC_Trimestriel!O38="",IPC_Trimestriel!K38=""),"",IPC_Trimestriel!O38/IPC_Trimestriel!K38-1)</f>
        <v/>
      </c>
      <c r="L79" s="33" t="str">
        <f>IF(OR(IPC_Trimestriel!P38="",IPC_Trimestriel!L38=""),"",IPC_Trimestriel!P38/IPC_Trimestriel!L38-1)</f>
        <v/>
      </c>
      <c r="M79" s="33" t="str">
        <f>IF(OR(IPC_Trimestriel!Q38="",IPC_Trimestriel!M38=""),"",IPC_Trimestriel!Q38/IPC_Trimestriel!M38-1)</f>
        <v/>
      </c>
      <c r="N79" s="33" t="str">
        <f>IF(OR(IPC_Trimestriel!R38="",IPC_Trimestriel!N38=""),"",IPC_Trimestriel!R38/IPC_Trimestriel!N38-1)</f>
        <v/>
      </c>
      <c r="O79" s="33" t="str">
        <f>IF(OR(IPC_Trimestriel!S38="",IPC_Trimestriel!O38=""),"",IPC_Trimestriel!S38/IPC_Trimestriel!O38-1)</f>
        <v/>
      </c>
      <c r="P79" s="33" t="str">
        <f>IF(OR(IPC_Trimestriel!T38="",IPC_Trimestriel!P38=""),"",IPC_Trimestriel!T38/IPC_Trimestriel!P38-1)</f>
        <v/>
      </c>
      <c r="Q79" s="33" t="str">
        <f>IF(OR(IPC_Trimestriel!U38="",IPC_Trimestriel!Q38=""),"",IPC_Trimestriel!U38/IPC_Trimestriel!Q38-1)</f>
        <v/>
      </c>
      <c r="R79" s="33" t="str">
        <f>IF(OR(IPC_Trimestriel!V38="",IPC_Trimestriel!R38=""),"",IPC_Trimestriel!V38/IPC_Trimestriel!R38-1)</f>
        <v/>
      </c>
      <c r="S79" s="33" t="str">
        <f>IF(OR(IPC_Trimestriel!W38="",IPC_Trimestriel!S38=""),"",IPC_Trimestriel!W38/IPC_Trimestriel!S38-1)</f>
        <v/>
      </c>
      <c r="T79" s="33" t="str">
        <f>IF(OR(IPC_Trimestriel!X38="",IPC_Trimestriel!T38=""),"",IPC_Trimestriel!X38/IPC_Trimestriel!T38-1)</f>
        <v/>
      </c>
      <c r="U79" s="33" t="str">
        <f>IF(OR(IPC_Trimestriel!Y38="",IPC_Trimestriel!U38=""),"",IPC_Trimestriel!Y38/IPC_Trimestriel!U38-1)</f>
        <v/>
      </c>
      <c r="V79" s="33" t="str">
        <f>IF(OR(IPC_Trimestriel!Z38="",IPC_Trimestriel!V38=""),"",IPC_Trimestriel!Z38/IPC_Trimestriel!V38-1)</f>
        <v/>
      </c>
      <c r="W79" s="33" t="str">
        <f>IF(OR(IPC_Trimestriel!AA38="",IPC_Trimestriel!W38=""),"",IPC_Trimestriel!AA38/IPC_Trimestriel!W38-1)</f>
        <v/>
      </c>
      <c r="X79" s="33" t="str">
        <f>IF(OR(IPC_Trimestriel!AB38="",IPC_Trimestriel!X38=""),"",IPC_Trimestriel!AB38/IPC_Trimestriel!X38-1)</f>
        <v/>
      </c>
      <c r="Y79" s="33" t="str">
        <f>IF(OR(IPC_Trimestriel!AC38="",IPC_Trimestriel!Y38=""),"",IPC_Trimestriel!AC38/IPC_Trimestriel!Y38-1)</f>
        <v/>
      </c>
      <c r="Z79" s="33" t="str">
        <f>IF(OR(IPC_Trimestriel!AD38="",IPC_Trimestriel!Z38=""),"",IPC_Trimestriel!AD38/IPC_Trimestriel!Z38-1)</f>
        <v/>
      </c>
      <c r="AA79" s="33" t="str">
        <f>IF(OR(IPC_Trimestriel!AE38="",IPC_Trimestriel!AA38=""),"",IPC_Trimestriel!AE38/IPC_Trimestriel!AA38-1)</f>
        <v/>
      </c>
      <c r="AB79" s="33" t="str">
        <f>IF(OR(IPC_Trimestriel!AF38="",IPC_Trimestriel!AB38=""),"",IPC_Trimestriel!AF38/IPC_Trimestriel!AB38-1)</f>
        <v/>
      </c>
      <c r="AC79" s="33" t="str">
        <f>IF(OR(IPC_Trimestriel!AG38="",IPC_Trimestriel!AC38=""),"",IPC_Trimestriel!AG38/IPC_Trimestriel!AC38-1)</f>
        <v/>
      </c>
      <c r="AD79" s="33" t="str">
        <f>IF(OR(IPC_Trimestriel!AH38="",IPC_Trimestriel!AD38=""),"",IPC_Trimestriel!AH38/IPC_Trimestriel!AD38-1)</f>
        <v/>
      </c>
      <c r="AE79" s="33" t="str">
        <f>IF(OR(IPC_Trimestriel!AI38="",IPC_Trimestriel!AE38=""),"",IPC_Trimestriel!AI38/IPC_Trimestriel!AE38-1)</f>
        <v/>
      </c>
      <c r="AF79" s="33" t="str">
        <f>IF(OR(IPC_Trimestriel!AJ38="",IPC_Trimestriel!AF38=""),"",IPC_Trimestriel!AJ38/IPC_Trimestriel!AF38-1)</f>
        <v/>
      </c>
      <c r="AG79" s="33" t="str">
        <f>IF(OR(IPC_Trimestriel!AK38="",IPC_Trimestriel!AG38=""),"",IPC_Trimestriel!AK38/IPC_Trimestriel!AG38-1)</f>
        <v/>
      </c>
      <c r="AH79" s="33" t="str">
        <f>IF(OR(IPC_Trimestriel!AL38="",IPC_Trimestriel!AH38=""),"",IPC_Trimestriel!AL38/IPC_Trimestriel!AH38-1)</f>
        <v/>
      </c>
      <c r="AI79" s="33" t="str">
        <f>IF(OR(IPC_Trimestriel!AM38="",IPC_Trimestriel!AI38=""),"",IPC_Trimestriel!AM38/IPC_Trimestriel!AI38-1)</f>
        <v/>
      </c>
      <c r="AJ79" s="33" t="str">
        <f>IF(OR(IPC_Trimestriel!AN38="",IPC_Trimestriel!AJ38=""),"",IPC_Trimestriel!AN38/IPC_Trimestriel!AJ38-1)</f>
        <v/>
      </c>
      <c r="AK79" s="33" t="str">
        <f>IF(OR(IPC_Trimestriel!AO38="",IPC_Trimestriel!AK38=""),"",IPC_Trimestriel!AO38/IPC_Trimestriel!AK38-1)</f>
        <v/>
      </c>
      <c r="AL79" s="33" t="str">
        <f>IF(OR(IPC_Trimestriel!AP38="",IPC_Trimestriel!AL38=""),"",IPC_Trimestriel!AP38/IPC_Trimestriel!AL38-1)</f>
        <v/>
      </c>
      <c r="AM79" s="33" t="str">
        <f>IF(OR(IPC_Trimestriel!AQ38="",IPC_Trimestriel!AM38=""),"",IPC_Trimestriel!AQ38/IPC_Trimestriel!AM38-1)</f>
        <v/>
      </c>
      <c r="AN79" s="33" t="str">
        <f>IF(OR(IPC_Trimestriel!AR38="",IPC_Trimestriel!AN38=""),"",IPC_Trimestriel!AR38/IPC_Trimestriel!AN38-1)</f>
        <v/>
      </c>
      <c r="AO79" s="33" t="str">
        <f>IF(OR(IPC_Trimestriel!AS38="",IPC_Trimestriel!AO38=""),"",IPC_Trimestriel!AS38/IPC_Trimestriel!AO38-1)</f>
        <v/>
      </c>
      <c r="AP79" s="33" t="str">
        <f>IF(OR(IPC_Trimestriel!AT38="",IPC_Trimestriel!AP38=""),"",IPC_Trimestriel!AT38/IPC_Trimestriel!AP38-1)</f>
        <v/>
      </c>
      <c r="AQ79" s="33" t="str">
        <f>IF(OR(IPC_Trimestriel!AU38="",IPC_Trimestriel!AQ38=""),"",IPC_Trimestriel!AU38/IPC_Trimestriel!AQ38-1)</f>
        <v/>
      </c>
      <c r="AR79" s="33" t="str">
        <f>IF(OR(IPC_Trimestriel!AV38="",IPC_Trimestriel!AR38=""),"",IPC_Trimestriel!AV38/IPC_Trimestriel!AR38-1)</f>
        <v/>
      </c>
      <c r="AS79" s="33" t="str">
        <f>IF(OR(IPC_Trimestriel!AW38="",IPC_Trimestriel!AS38=""),"",IPC_Trimestriel!AW38/IPC_Trimestriel!AS38-1)</f>
        <v/>
      </c>
      <c r="AT79" s="33" t="str">
        <f>IF(OR(IPC_Trimestriel!AX38="",IPC_Trimestriel!AT38=""),"",IPC_Trimestriel!AX38/IPC_Trimestriel!AT38-1)</f>
        <v/>
      </c>
      <c r="AU79" s="33" t="str">
        <f>IF(OR(IPC_Trimestriel!AY38="",IPC_Trimestriel!AU38=""),"",IPC_Trimestriel!AY38/IPC_Trimestriel!AU38-1)</f>
        <v/>
      </c>
      <c r="AV79" s="33" t="str">
        <f>IF(OR(IPC_Trimestriel!AZ38="",IPC_Trimestriel!AV38=""),"",IPC_Trimestriel!AZ38/IPC_Trimestriel!AV38-1)</f>
        <v/>
      </c>
      <c r="AW79" s="33" t="str">
        <f>IF(OR(IPC_Trimestriel!BA38="",IPC_Trimestriel!AW38=""),"",IPC_Trimestriel!BA38/IPC_Trimestriel!AW38-1)</f>
        <v/>
      </c>
      <c r="AX79" s="33" t="str">
        <f>IF(OR(IPC_Trimestriel!BB38="",IPC_Trimestriel!AX38=""),"",IPC_Trimestriel!BB38/IPC_Trimestriel!AX38-1)</f>
        <v/>
      </c>
      <c r="AY79" s="33" t="str">
        <f>IF(OR(IPC_Trimestriel!BC38="",IPC_Trimestriel!AY38=""),"",IPC_Trimestriel!BC38/IPC_Trimestriel!AY38-1)</f>
        <v/>
      </c>
      <c r="AZ79" s="33">
        <f>IF(OR(IPC_Trimestriel!BD38="",IPC_Trimestriel!AZ38=""),"",IPC_Trimestriel!BD38/IPC_Trimestriel!AZ38-1)</f>
        <v>1.7198119988766081E-2</v>
      </c>
      <c r="BA79" s="33">
        <f>IF(OR(IPC_Trimestriel!BE38="",IPC_Trimestriel!BA38=""),"",IPC_Trimestriel!BE38/IPC_Trimestriel!BA38-1)</f>
        <v>1.3795967907370033E-2</v>
      </c>
      <c r="BB79" s="33">
        <f>IF(OR(IPC_Trimestriel!BF38="",IPC_Trimestriel!BB38=""),"",IPC_Trimestriel!BF38/IPC_Trimestriel!BB38-1)</f>
        <v>1.1693810393136328E-2</v>
      </c>
      <c r="BC79" s="33">
        <f>IF(OR(IPC_Trimestriel!BG38="",IPC_Trimestriel!BC38=""),"",IPC_Trimestriel!BG38/IPC_Trimestriel!BC38-1)</f>
        <v>1.3350212140083029E-2</v>
      </c>
      <c r="BD79" s="33">
        <f>IF(OR(IPC_Trimestriel!BH38="",IPC_Trimestriel!BD38=""),"",IPC_Trimestriel!BH38/IPC_Trimestriel!BD38-1)</f>
        <v>1.1339051383298937E-2</v>
      </c>
      <c r="BE79" s="33">
        <f>IF(OR(IPC_Trimestriel!BI38="",IPC_Trimestriel!BE38=""),"",IPC_Trimestriel!BI38/IPC_Trimestriel!BE38-1)</f>
        <v>9.0548153037055545E-3</v>
      </c>
      <c r="BF79" s="33">
        <f>IF(OR(IPC_Trimestriel!BJ38="",IPC_Trimestriel!BF38=""),"",IPC_Trimestriel!BJ38/IPC_Trimestriel!BF38-1)</f>
        <v>3.2894357140187624E-2</v>
      </c>
      <c r="BG79" s="33">
        <f>IF(OR(IPC_Trimestriel!BK38="",IPC_Trimestriel!BG38=""),"",IPC_Trimestriel!BK38/IPC_Trimestriel!BG38-1)</f>
        <v>3.2641783798078139E-2</v>
      </c>
      <c r="BH79" s="33">
        <f>IF(OR(IPC_Trimestriel!BL38="",IPC_Trimestriel!BH38=""),"",IPC_Trimestriel!BL38/IPC_Trimestriel!BH38-1)</f>
        <v>3.4435993695024925E-2</v>
      </c>
      <c r="BI79" s="33">
        <f>IF(OR(IPC_Trimestriel!BM38="",IPC_Trimestriel!BI38=""),"",IPC_Trimestriel!BM38/IPC_Trimestriel!BI38-1)</f>
        <v>4.1886760123494016E-2</v>
      </c>
      <c r="BJ79" s="33">
        <f>IF(OR(IPC_Trimestriel!BN38="",IPC_Trimestriel!BJ38=""),"",IPC_Trimestriel!BN38/IPC_Trimestriel!BJ38-1)</f>
        <v>1.8584942631150403E-2</v>
      </c>
      <c r="BK79" s="33">
        <f>IF(OR(IPC_Trimestriel!BO38="",IPC_Trimestriel!BK38=""),"",IPC_Trimestriel!BO38/IPC_Trimestriel!BK38-1)</f>
        <v>1.3874558053005082E-2</v>
      </c>
      <c r="BL79" s="33">
        <f>IF(OR(IPC_Trimestriel!BP38="",IPC_Trimestriel!BL38=""),"",IPC_Trimestriel!BP38/IPC_Trimestriel!BL38-1)</f>
        <v>1.1536034065588341E-2</v>
      </c>
      <c r="BM79" s="33">
        <f>IF(OR(IPC_Trimestriel!BQ38="",IPC_Trimestriel!BM38=""),"",IPC_Trimestriel!BQ38/IPC_Trimestriel!BM38-1)</f>
        <v>5.8822707771590821E-3</v>
      </c>
      <c r="BN79" s="33">
        <f>IF(OR(IPC_Trimestriel!BR38="",IPC_Trimestriel!BN38=""),"",IPC_Trimestriel!BR38/IPC_Trimestriel!BN38-1)</f>
        <v>4.4865160642826307E-3</v>
      </c>
      <c r="BO79" s="33">
        <f>IF(OR(IPC_Trimestriel!BS38="",IPC_Trimestriel!BO38=""),"",IPC_Trimestriel!BS38/IPC_Trimestriel!BO38-1)</f>
        <v>6.1654413857095136E-3</v>
      </c>
      <c r="BP79" s="33">
        <f>IF(OR(IPC_Trimestriel!BT38="",IPC_Trimestriel!BP38=""),"",IPC_Trimestriel!BT38/IPC_Trimestriel!BP38-1)</f>
        <v>9.3469025260035643E-3</v>
      </c>
      <c r="BQ79" s="33">
        <f>IF(OR(IPC_Trimestriel!BU38="",IPC_Trimestriel!BQ38=""),"",IPC_Trimestriel!BU38/IPC_Trimestriel!BQ38-1)</f>
        <v>1.0138505954012889E-2</v>
      </c>
      <c r="BR79" s="33">
        <f>IF(OR(IPC_Trimestriel!BV38="",IPC_Trimestriel!BR38=""),"",IPC_Trimestriel!BV38/IPC_Trimestriel!BR38-1)</f>
        <v>9.3698479588362193E-3</v>
      </c>
      <c r="BS79" s="33">
        <f>IF(OR(IPC_Trimestriel!BW38="",IPC_Trimestriel!BS38=""),"",IPC_Trimestriel!BW38/IPC_Trimestriel!BS38-1)</f>
        <v>7.8153858994085557E-3</v>
      </c>
      <c r="BT79" s="33">
        <f>IF(OR(IPC_Trimestriel!BX38="",IPC_Trimestriel!BT38=""),"",IPC_Trimestriel!BX38/IPC_Trimestriel!BT38-1)</f>
        <v>5.2807619575534481E-3</v>
      </c>
      <c r="BU79" s="33">
        <f>IF(OR(IPC_Trimestriel!BY38="",IPC_Trimestriel!BU38=""),"",IPC_Trimestriel!BY38/IPC_Trimestriel!BU38-1)</f>
        <v>6.5785558066604466E-3</v>
      </c>
      <c r="BV79" s="33">
        <f>IF(OR(IPC_Trimestriel!BZ38="",IPC_Trimestriel!BV38=""),"",IPC_Trimestriel!BZ38/IPC_Trimestriel!BV38-1)</f>
        <v>1.1064388898949895E-2</v>
      </c>
      <c r="BW79" s="33">
        <f>IF(OR(IPC_Trimestriel!CA38="",IPC_Trimestriel!BW38=""),"",IPC_Trimestriel!CA38/IPC_Trimestriel!BW38-1)</f>
        <v>1.5835963128771668E-2</v>
      </c>
      <c r="BX79" s="33">
        <f>IF(OR(IPC_Trimestriel!CB38="",IPC_Trimestriel!BX38=""),"",IPC_Trimestriel!CB38/IPC_Trimestriel!BX38-1)</f>
        <v>2.0000714993439361E-2</v>
      </c>
      <c r="BY79" s="33">
        <f>IF(OR(IPC_Trimestriel!CC38="",IPC_Trimestriel!BY38=""),"",IPC_Trimestriel!CC38/IPC_Trimestriel!BY38-1)</f>
        <v>2.2983836366551103E-2</v>
      </c>
      <c r="BZ79" s="33">
        <f>IF(OR(IPC_Trimestriel!CD38="",IPC_Trimestriel!BZ38=""),"",IPC_Trimestriel!CD38/IPC_Trimestriel!BZ38-1)</f>
        <v>2.0827757555226478E-2</v>
      </c>
      <c r="CA79" s="33">
        <f>IF(OR(IPC_Trimestriel!CE38="",IPC_Trimestriel!CA38=""),"",IPC_Trimestriel!CE38/IPC_Trimestriel!CA38-1)</f>
        <v>2.2894202720573631E-2</v>
      </c>
      <c r="CB79" s="33">
        <f>IF(OR(IPC_Trimestriel!CF38="",IPC_Trimestriel!CB38=""),"",IPC_Trimestriel!CF38/IPC_Trimestriel!CB38-1)</f>
        <v>2.1210917379956618E-2</v>
      </c>
      <c r="CC79" s="33" t="str">
        <f>IF(OR(IPC_Trimestriel!CG38="",IPC_Trimestriel!CC38=""),"",IPC_Trimestriel!CG38/IPC_Trimestriel!CC38-1)</f>
        <v/>
      </c>
      <c r="CD79" s="33">
        <f>IF(OR(IPC_Trimestriel!CH38="",IPC_Trimestriel!CD38=""),"",IPC_Trimestriel!CH38/IPC_Trimestriel!CD38-1)</f>
        <v>1.7772321696517768E-2</v>
      </c>
      <c r="CE79" s="33">
        <f>IF(OR(IPC_Trimestriel!CI38="",IPC_Trimestriel!CE38=""),"",IPC_Trimestriel!CI38/IPC_Trimestriel!CE38-1)</f>
        <v>1.5096952273523812E-2</v>
      </c>
      <c r="CF79" s="33">
        <f>IF(OR(IPC_Trimestriel!CJ38="",IPC_Trimestriel!CF38=""),"",IPC_Trimestriel!CJ38/IPC_Trimestriel!CF38-1)</f>
        <v>1.4418145679234939E-2</v>
      </c>
      <c r="CG79" s="33" t="str">
        <f>IF(OR(IPC_Trimestriel!CK38="",IPC_Trimestriel!CG38=""),"",IPC_Trimestriel!CK38/IPC_Trimestriel!CG38-1)</f>
        <v/>
      </c>
      <c r="CH79" s="33">
        <f>IF(OR(IPC_Trimestriel!CL38="",IPC_Trimestriel!CH38=""),"",IPC_Trimestriel!CL38/IPC_Trimestriel!CH38-1)</f>
        <v>1.4332465223241497E-2</v>
      </c>
      <c r="CI79" s="33">
        <f>IF(OR(IPC_Trimestriel!CM38="",IPC_Trimestriel!CI38=""),"",IPC_Trimestriel!CM38/IPC_Trimestriel!CI38-1)</f>
        <v>1.315945902818827E-2</v>
      </c>
      <c r="CJ79" s="33">
        <f>IF(OR(IPC_Trimestriel!CN38="",IPC_Trimestriel!CJ38=""),"",IPC_Trimestriel!CN38/IPC_Trimestriel!CJ38-1)</f>
        <v>4.0535549214068878E-2</v>
      </c>
      <c r="CK79" s="33">
        <f>IF(OR(IPC_Trimestriel!CO38="",IPC_Trimestriel!CK38=""),"",IPC_Trimestriel!CO38/IPC_Trimestriel!CK38-1)</f>
        <v>2.8268295747389871E-2</v>
      </c>
      <c r="CL79" s="33">
        <f>IF(OR(IPC_Trimestriel!CP38="",IPC_Trimestriel!CL38=""),"",IPC_Trimestriel!CP38/IPC_Trimestriel!CL38-1)</f>
        <v>3.3996525973166936E-2</v>
      </c>
      <c r="CM79" s="33">
        <f>IF(OR(IPC_Trimestriel!CQ38="",IPC_Trimestriel!CM38=""),"",IPC_Trimestriel!CQ38/IPC_Trimestriel!CM38-1)</f>
        <v>4.0328354669751043E-2</v>
      </c>
      <c r="CN79" s="33">
        <f>IF(OR(IPC_Trimestriel!CR38="",IPC_Trimestriel!CN38=""),"",IPC_Trimestriel!CR38/IPC_Trimestriel!CN38-1)</f>
        <v>3.1053683351584427E-2</v>
      </c>
      <c r="CO79" s="33">
        <f>IF(OR(IPC_Trimestriel!CS38="",IPC_Trimestriel!CO38=""),"",IPC_Trimestriel!CS38/IPC_Trimestriel!CO38-1)</f>
        <v>6.0261755281943996E-2</v>
      </c>
      <c r="CP79" s="33">
        <f>IF(OR(IPC_Trimestriel!CT38="",IPC_Trimestriel!CP38=""),"",IPC_Trimestriel!CT38/IPC_Trimestriel!CP38-1)</f>
        <v>5.7867121106560893E-2</v>
      </c>
    </row>
    <row r="80" spans="1:94" s="14" customFormat="1" ht="10.199999999999999" x14ac:dyDescent="0.2">
      <c r="A80" s="9"/>
      <c r="B80" s="9" t="s">
        <v>31</v>
      </c>
      <c r="C80" s="61">
        <f>SUM(C46,C49:C53,C55:C59)</f>
        <v>956</v>
      </c>
      <c r="D80" s="33" t="str">
        <f>IF(OR(IPC_Trimestriel!H39="",IPC_Trimestriel!D39=""),"",IPC_Trimestriel!H39/IPC_Trimestriel!D39-1)</f>
        <v/>
      </c>
      <c r="E80" s="33" t="str">
        <f>IF(OR(IPC_Trimestriel!I39="",IPC_Trimestriel!E39=""),"",IPC_Trimestriel!I39/IPC_Trimestriel!E39-1)</f>
        <v/>
      </c>
      <c r="F80" s="33" t="str">
        <f>IF(OR(IPC_Trimestriel!J39="",IPC_Trimestriel!F39=""),"",IPC_Trimestriel!J39/IPC_Trimestriel!F39-1)</f>
        <v/>
      </c>
      <c r="G80" s="33" t="str">
        <f>IF(OR(IPC_Trimestriel!K39="",IPC_Trimestriel!G39=""),"",IPC_Trimestriel!K39/IPC_Trimestriel!G39-1)</f>
        <v/>
      </c>
      <c r="H80" s="33" t="str">
        <f>IF(OR(IPC_Trimestriel!L39="",IPC_Trimestriel!H39=""),"",IPC_Trimestriel!L39/IPC_Trimestriel!H39-1)</f>
        <v/>
      </c>
      <c r="I80" s="33" t="str">
        <f>IF(OR(IPC_Trimestriel!M39="",IPC_Trimestriel!I39=""),"",IPC_Trimestriel!M39/IPC_Trimestriel!I39-1)</f>
        <v/>
      </c>
      <c r="J80" s="33" t="str">
        <f>IF(OR(IPC_Trimestriel!N39="",IPC_Trimestriel!J39=""),"",IPC_Trimestriel!N39/IPC_Trimestriel!J39-1)</f>
        <v/>
      </c>
      <c r="K80" s="33" t="str">
        <f>IF(OR(IPC_Trimestriel!O39="",IPC_Trimestriel!K39=""),"",IPC_Trimestriel!O39/IPC_Trimestriel!K39-1)</f>
        <v/>
      </c>
      <c r="L80" s="33" t="str">
        <f>IF(OR(IPC_Trimestriel!P39="",IPC_Trimestriel!L39=""),"",IPC_Trimestriel!P39/IPC_Trimestriel!L39-1)</f>
        <v/>
      </c>
      <c r="M80" s="33" t="str">
        <f>IF(OR(IPC_Trimestriel!Q39="",IPC_Trimestriel!M39=""),"",IPC_Trimestriel!Q39/IPC_Trimestriel!M39-1)</f>
        <v/>
      </c>
      <c r="N80" s="33" t="str">
        <f>IF(OR(IPC_Trimestriel!R39="",IPC_Trimestriel!N39=""),"",IPC_Trimestriel!R39/IPC_Trimestriel!N39-1)</f>
        <v/>
      </c>
      <c r="O80" s="33" t="str">
        <f>IF(OR(IPC_Trimestriel!S39="",IPC_Trimestriel!O39=""),"",IPC_Trimestriel!S39/IPC_Trimestriel!O39-1)</f>
        <v/>
      </c>
      <c r="P80" s="33" t="str">
        <f>IF(OR(IPC_Trimestriel!T39="",IPC_Trimestriel!P39=""),"",IPC_Trimestriel!T39/IPC_Trimestriel!P39-1)</f>
        <v/>
      </c>
      <c r="Q80" s="33" t="str">
        <f>IF(OR(IPC_Trimestriel!U39="",IPC_Trimestriel!Q39=""),"",IPC_Trimestriel!U39/IPC_Trimestriel!Q39-1)</f>
        <v/>
      </c>
      <c r="R80" s="33" t="str">
        <f>IF(OR(IPC_Trimestriel!V39="",IPC_Trimestriel!R39=""),"",IPC_Trimestriel!V39/IPC_Trimestriel!R39-1)</f>
        <v/>
      </c>
      <c r="S80" s="33" t="str">
        <f>IF(OR(IPC_Trimestriel!W39="",IPC_Trimestriel!S39=""),"",IPC_Trimestriel!W39/IPC_Trimestriel!S39-1)</f>
        <v/>
      </c>
      <c r="T80" s="33" t="str">
        <f>IF(OR(IPC_Trimestriel!X39="",IPC_Trimestriel!T39=""),"",IPC_Trimestriel!X39/IPC_Trimestriel!T39-1)</f>
        <v/>
      </c>
      <c r="U80" s="33" t="str">
        <f>IF(OR(IPC_Trimestriel!Y39="",IPC_Trimestriel!U39=""),"",IPC_Trimestriel!Y39/IPC_Trimestriel!U39-1)</f>
        <v/>
      </c>
      <c r="V80" s="33" t="str">
        <f>IF(OR(IPC_Trimestriel!Z39="",IPC_Trimestriel!V39=""),"",IPC_Trimestriel!Z39/IPC_Trimestriel!V39-1)</f>
        <v/>
      </c>
      <c r="W80" s="33" t="str">
        <f>IF(OR(IPC_Trimestriel!AA39="",IPC_Trimestriel!W39=""),"",IPC_Trimestriel!AA39/IPC_Trimestriel!W39-1)</f>
        <v/>
      </c>
      <c r="X80" s="33" t="str">
        <f>IF(OR(IPC_Trimestriel!AB39="",IPC_Trimestriel!X39=""),"",IPC_Trimestriel!AB39/IPC_Trimestriel!X39-1)</f>
        <v/>
      </c>
      <c r="Y80" s="33" t="str">
        <f>IF(OR(IPC_Trimestriel!AC39="",IPC_Trimestriel!Y39=""),"",IPC_Trimestriel!AC39/IPC_Trimestriel!Y39-1)</f>
        <v/>
      </c>
      <c r="Z80" s="33" t="str">
        <f>IF(OR(IPC_Trimestriel!AD39="",IPC_Trimestriel!Z39=""),"",IPC_Trimestriel!AD39/IPC_Trimestriel!Z39-1)</f>
        <v/>
      </c>
      <c r="AA80" s="33" t="str">
        <f>IF(OR(IPC_Trimestriel!AE39="",IPC_Trimestriel!AA39=""),"",IPC_Trimestriel!AE39/IPC_Trimestriel!AA39-1)</f>
        <v/>
      </c>
      <c r="AB80" s="33" t="str">
        <f>IF(OR(IPC_Trimestriel!AF39="",IPC_Trimestriel!AB39=""),"",IPC_Trimestriel!AF39/IPC_Trimestriel!AB39-1)</f>
        <v/>
      </c>
      <c r="AC80" s="33" t="str">
        <f>IF(OR(IPC_Trimestriel!AG39="",IPC_Trimestriel!AC39=""),"",IPC_Trimestriel!AG39/IPC_Trimestriel!AC39-1)</f>
        <v/>
      </c>
      <c r="AD80" s="33" t="str">
        <f>IF(OR(IPC_Trimestriel!AH39="",IPC_Trimestriel!AD39=""),"",IPC_Trimestriel!AH39/IPC_Trimestriel!AD39-1)</f>
        <v/>
      </c>
      <c r="AE80" s="33" t="str">
        <f>IF(OR(IPC_Trimestriel!AI39="",IPC_Trimestriel!AE39=""),"",IPC_Trimestriel!AI39/IPC_Trimestriel!AE39-1)</f>
        <v/>
      </c>
      <c r="AF80" s="33" t="str">
        <f>IF(OR(IPC_Trimestriel!AJ39="",IPC_Trimestriel!AF39=""),"",IPC_Trimestriel!AJ39/IPC_Trimestriel!AF39-1)</f>
        <v/>
      </c>
      <c r="AG80" s="33" t="str">
        <f>IF(OR(IPC_Trimestriel!AK39="",IPC_Trimestriel!AG39=""),"",IPC_Trimestriel!AK39/IPC_Trimestriel!AG39-1)</f>
        <v/>
      </c>
      <c r="AH80" s="33" t="str">
        <f>IF(OR(IPC_Trimestriel!AL39="",IPC_Trimestriel!AH39=""),"",IPC_Trimestriel!AL39/IPC_Trimestriel!AH39-1)</f>
        <v/>
      </c>
      <c r="AI80" s="33" t="str">
        <f>IF(OR(IPC_Trimestriel!AM39="",IPC_Trimestriel!AI39=""),"",IPC_Trimestriel!AM39/IPC_Trimestriel!AI39-1)</f>
        <v/>
      </c>
      <c r="AJ80" s="33" t="str">
        <f>IF(OR(IPC_Trimestriel!AN39="",IPC_Trimestriel!AJ39=""),"",IPC_Trimestriel!AN39/IPC_Trimestriel!AJ39-1)</f>
        <v/>
      </c>
      <c r="AK80" s="33" t="str">
        <f>IF(OR(IPC_Trimestriel!AO39="",IPC_Trimestriel!AK39=""),"",IPC_Trimestriel!AO39/IPC_Trimestriel!AK39-1)</f>
        <v/>
      </c>
      <c r="AL80" s="33" t="str">
        <f>IF(OR(IPC_Trimestriel!AP39="",IPC_Trimestriel!AL39=""),"",IPC_Trimestriel!AP39/IPC_Trimestriel!AL39-1)</f>
        <v/>
      </c>
      <c r="AM80" s="33" t="str">
        <f>IF(OR(IPC_Trimestriel!AQ39="",IPC_Trimestriel!AM39=""),"",IPC_Trimestriel!AQ39/IPC_Trimestriel!AM39-1)</f>
        <v/>
      </c>
      <c r="AN80" s="33" t="str">
        <f>IF(OR(IPC_Trimestriel!AR39="",IPC_Trimestriel!AN39=""),"",IPC_Trimestriel!AR39/IPC_Trimestriel!AN39-1)</f>
        <v/>
      </c>
      <c r="AO80" s="33" t="str">
        <f>IF(OR(IPC_Trimestriel!AS39="",IPC_Trimestriel!AO39=""),"",IPC_Trimestriel!AS39/IPC_Trimestriel!AO39-1)</f>
        <v/>
      </c>
      <c r="AP80" s="33" t="str">
        <f>IF(OR(IPC_Trimestriel!AT39="",IPC_Trimestriel!AP39=""),"",IPC_Trimestriel!AT39/IPC_Trimestriel!AP39-1)</f>
        <v/>
      </c>
      <c r="AQ80" s="33" t="str">
        <f>IF(OR(IPC_Trimestriel!AU39="",IPC_Trimestriel!AQ39=""),"",IPC_Trimestriel!AU39/IPC_Trimestriel!AQ39-1)</f>
        <v/>
      </c>
      <c r="AR80" s="33" t="str">
        <f>IF(OR(IPC_Trimestriel!AV39="",IPC_Trimestriel!AR39=""),"",IPC_Trimestriel!AV39/IPC_Trimestriel!AR39-1)</f>
        <v/>
      </c>
      <c r="AS80" s="33" t="str">
        <f>IF(OR(IPC_Trimestriel!AW39="",IPC_Trimestriel!AS39=""),"",IPC_Trimestriel!AW39/IPC_Trimestriel!AS39-1)</f>
        <v/>
      </c>
      <c r="AT80" s="33" t="str">
        <f>IF(OR(IPC_Trimestriel!AX39="",IPC_Trimestriel!AT39=""),"",IPC_Trimestriel!AX39/IPC_Trimestriel!AT39-1)</f>
        <v/>
      </c>
      <c r="AU80" s="33" t="str">
        <f>IF(OR(IPC_Trimestriel!AY39="",IPC_Trimestriel!AU39=""),"",IPC_Trimestriel!AY39/IPC_Trimestriel!AU39-1)</f>
        <v/>
      </c>
      <c r="AV80" s="33" t="str">
        <f>IF(OR(IPC_Trimestriel!AZ39="",IPC_Trimestriel!AV39=""),"",IPC_Trimestriel!AZ39/IPC_Trimestriel!AV39-1)</f>
        <v/>
      </c>
      <c r="AW80" s="33" t="str">
        <f>IF(OR(IPC_Trimestriel!BA39="",IPC_Trimestriel!AW39=""),"",IPC_Trimestriel!BA39/IPC_Trimestriel!AW39-1)</f>
        <v/>
      </c>
      <c r="AX80" s="33" t="str">
        <f>IF(OR(IPC_Trimestriel!BB39="",IPC_Trimestriel!AX39=""),"",IPC_Trimestriel!BB39/IPC_Trimestriel!AX39-1)</f>
        <v/>
      </c>
      <c r="AY80" s="33" t="str">
        <f>IF(OR(IPC_Trimestriel!BC39="",IPC_Trimestriel!AY39=""),"",IPC_Trimestriel!BC39/IPC_Trimestriel!AY39-1)</f>
        <v/>
      </c>
      <c r="AZ80" s="33">
        <f>IF(OR(IPC_Trimestriel!BD39="",IPC_Trimestriel!AZ39=""),"",IPC_Trimestriel!BD39/IPC_Trimestriel!AZ39-1)</f>
        <v>2.390706151601818E-2</v>
      </c>
      <c r="BA80" s="33">
        <f>IF(OR(IPC_Trimestriel!BE39="",IPC_Trimestriel!BA39=""),"",IPC_Trimestriel!BE39/IPC_Trimestriel!BA39-1)</f>
        <v>1.7186560185807442E-2</v>
      </c>
      <c r="BB80" s="33">
        <f>IF(OR(IPC_Trimestriel!BF39="",IPC_Trimestriel!BB39=""),"",IPC_Trimestriel!BF39/IPC_Trimestriel!BB39-1)</f>
        <v>1.7138254815078025E-2</v>
      </c>
      <c r="BC80" s="33">
        <f>IF(OR(IPC_Trimestriel!BG39="",IPC_Trimestriel!BC39=""),"",IPC_Trimestriel!BG39/IPC_Trimestriel!BC39-1)</f>
        <v>1.9555872699855481E-2</v>
      </c>
      <c r="BD80" s="33">
        <f>IF(OR(IPC_Trimestriel!BH39="",IPC_Trimestriel!BD39=""),"",IPC_Trimestriel!BH39/IPC_Trimestriel!BD39-1)</f>
        <v>1.2108530745321477E-2</v>
      </c>
      <c r="BE80" s="33">
        <f>IF(OR(IPC_Trimestriel!BI39="",IPC_Trimestriel!BE39=""),"",IPC_Trimestriel!BI39/IPC_Trimestriel!BE39-1)</f>
        <v>9.045998366377539E-3</v>
      </c>
      <c r="BF80" s="33">
        <f>IF(OR(IPC_Trimestriel!BJ39="",IPC_Trimestriel!BF39=""),"",IPC_Trimestriel!BJ39/IPC_Trimestriel!BF39-1)</f>
        <v>1.1607454984661647E-2</v>
      </c>
      <c r="BG80" s="33">
        <f>IF(OR(IPC_Trimestriel!BK39="",IPC_Trimestriel!BG39=""),"",IPC_Trimestriel!BK39/IPC_Trimestriel!BG39-1)</f>
        <v>7.8242206376959444E-3</v>
      </c>
      <c r="BH80" s="33">
        <f>IF(OR(IPC_Trimestriel!BL39="",IPC_Trimestriel!BH39=""),"",IPC_Trimestriel!BL39/IPC_Trimestriel!BH39-1)</f>
        <v>1.272017679712123E-2</v>
      </c>
      <c r="BI80" s="33">
        <f>IF(OR(IPC_Trimestriel!BM39="",IPC_Trimestriel!BI39=""),"",IPC_Trimestriel!BM39/IPC_Trimestriel!BI39-1)</f>
        <v>2.3057936722636452E-2</v>
      </c>
      <c r="BJ80" s="33">
        <f>IF(OR(IPC_Trimestriel!BN39="",IPC_Trimestriel!BJ39=""),"",IPC_Trimestriel!BN39/IPC_Trimestriel!BJ39-1)</f>
        <v>2.1474012185723979E-2</v>
      </c>
      <c r="BK80" s="33">
        <f>IF(OR(IPC_Trimestriel!BO39="",IPC_Trimestriel!BK39=""),"",IPC_Trimestriel!BO39/IPC_Trimestriel!BK39-1)</f>
        <v>1.7056252741313616E-2</v>
      </c>
      <c r="BL80" s="33">
        <f>IF(OR(IPC_Trimestriel!BP39="",IPC_Trimestriel!BL39=""),"",IPC_Trimestriel!BP39/IPC_Trimestriel!BL39-1)</f>
        <v>1.6596132336068381E-2</v>
      </c>
      <c r="BM80" s="33">
        <f>IF(OR(IPC_Trimestriel!BQ39="",IPC_Trimestriel!BM39=""),"",IPC_Trimestriel!BQ39/IPC_Trimestriel!BM39-1)</f>
        <v>1.1933250495002712E-2</v>
      </c>
      <c r="BN80" s="33">
        <f>IF(OR(IPC_Trimestriel!BR39="",IPC_Trimestriel!BN39=""),"",IPC_Trimestriel!BR39/IPC_Trimestriel!BN39-1)</f>
        <v>7.5923243074271785E-3</v>
      </c>
      <c r="BO80" s="33">
        <f>IF(OR(IPC_Trimestriel!BS39="",IPC_Trimestriel!BO39=""),"",IPC_Trimestriel!BS39/IPC_Trimestriel!BO39-1)</f>
        <v>4.7335533744718994E-3</v>
      </c>
      <c r="BP80" s="33">
        <f>IF(OR(IPC_Trimestriel!BT39="",IPC_Trimestriel!BP39=""),"",IPC_Trimestriel!BT39/IPC_Trimestriel!BP39-1)</f>
        <v>4.0280896748599027E-3</v>
      </c>
      <c r="BQ80" s="33">
        <f>IF(OR(IPC_Trimestriel!BU39="",IPC_Trimestriel!BQ39=""),"",IPC_Trimestriel!BU39/IPC_Trimestriel!BQ39-1)</f>
        <v>5.5351023928698062E-3</v>
      </c>
      <c r="BR80" s="33">
        <f>IF(OR(IPC_Trimestriel!BV39="",IPC_Trimestriel!BR39=""),"",IPC_Trimestriel!BV39/IPC_Trimestriel!BR39-1)</f>
        <v>6.9925352493769299E-3</v>
      </c>
      <c r="BS80" s="33">
        <f>IF(OR(IPC_Trimestriel!BW39="",IPC_Trimestriel!BS39=""),"",IPC_Trimestriel!BW39/IPC_Trimestriel!BS39-1)</f>
        <v>8.9591638592059208E-3</v>
      </c>
      <c r="BT80" s="33">
        <f>IF(OR(IPC_Trimestriel!BX39="",IPC_Trimestriel!BT39=""),"",IPC_Trimestriel!BX39/IPC_Trimestriel!BT39-1)</f>
        <v>9.0296185694005437E-3</v>
      </c>
      <c r="BU80" s="33">
        <f>IF(OR(IPC_Trimestriel!BY39="",IPC_Trimestriel!BU39=""),"",IPC_Trimestriel!BY39/IPC_Trimestriel!BU39-1)</f>
        <v>9.1177169809570913E-3</v>
      </c>
      <c r="BV80" s="33">
        <f>IF(OR(IPC_Trimestriel!BZ39="",IPC_Trimestriel!BV39=""),"",IPC_Trimestriel!BZ39/IPC_Trimestriel!BV39-1)</f>
        <v>8.2235178478837767E-3</v>
      </c>
      <c r="BW80" s="33">
        <f>IF(OR(IPC_Trimestriel!CA39="",IPC_Trimestriel!BW39=""),"",IPC_Trimestriel!CA39/IPC_Trimestriel!BW39-1)</f>
        <v>1.7115928262653846E-2</v>
      </c>
      <c r="BX80" s="33">
        <f>IF(OR(IPC_Trimestriel!CB39="",IPC_Trimestriel!BX39=""),"",IPC_Trimestriel!CB39/IPC_Trimestriel!BX39-1)</f>
        <v>2.1883862515615027E-2</v>
      </c>
      <c r="BY80" s="33">
        <f>IF(OR(IPC_Trimestriel!CC39="",IPC_Trimestriel!BY39=""),"",IPC_Trimestriel!CC39/IPC_Trimestriel!BY39-1)</f>
        <v>2.4131378010870286E-2</v>
      </c>
      <c r="BZ80" s="33">
        <f>IF(OR(IPC_Trimestriel!CD39="",IPC_Trimestriel!BZ39=""),"",IPC_Trimestriel!CD39/IPC_Trimestriel!BZ39-1)</f>
        <v>2.6516465694362612E-2</v>
      </c>
      <c r="CA80" s="33">
        <f>IF(OR(IPC_Trimestriel!CE39="",IPC_Trimestriel!CA39=""),"",IPC_Trimestriel!CE39/IPC_Trimestriel!CA39-1)</f>
        <v>2.4994422010055972E-2</v>
      </c>
      <c r="CB80" s="33">
        <f>IF(OR(IPC_Trimestriel!CF39="",IPC_Trimestriel!CB39=""),"",IPC_Trimestriel!CF39/IPC_Trimestriel!CB39-1)</f>
        <v>2.6760969505749133E-2</v>
      </c>
      <c r="CC80" s="33">
        <f>IF(OR(IPC_Trimestriel!CG39="",IPC_Trimestriel!CC39=""),"",IPC_Trimestriel!CG39/IPC_Trimestriel!CC39-1)</f>
        <v>2.3183946255627585E-2</v>
      </c>
      <c r="CD80" s="33">
        <f>IF(OR(IPC_Trimestriel!CH39="",IPC_Trimestriel!CD39=""),"",IPC_Trimestriel!CH39/IPC_Trimestriel!CD39-1)</f>
        <v>2.520038979487893E-2</v>
      </c>
      <c r="CE80" s="33">
        <f>IF(OR(IPC_Trimestriel!CI39="",IPC_Trimestriel!CE39=""),"",IPC_Trimestriel!CI39/IPC_Trimestriel!CE39-1)</f>
        <v>2.1939651671738947E-2</v>
      </c>
      <c r="CF80" s="33">
        <f>IF(OR(IPC_Trimestriel!CJ39="",IPC_Trimestriel!CF39=""),"",IPC_Trimestriel!CJ39/IPC_Trimestriel!CF39-1)</f>
        <v>1.905616637772245E-2</v>
      </c>
      <c r="CG80" s="33">
        <f>IF(OR(IPC_Trimestriel!CK39="",IPC_Trimestriel!CG39=""),"",IPC_Trimestriel!CK39/IPC_Trimestriel!CG39-1)</f>
        <v>2.3487427164553321E-2</v>
      </c>
      <c r="CH80" s="33">
        <f>IF(OR(IPC_Trimestriel!CL39="",IPC_Trimestriel!CH39=""),"",IPC_Trimestriel!CL39/IPC_Trimestriel!CH39-1)</f>
        <v>2.4546984059776067E-2</v>
      </c>
      <c r="CI80" s="33">
        <f>IF(OR(IPC_Trimestriel!CM39="",IPC_Trimestriel!CI39=""),"",IPC_Trimestriel!CM39/IPC_Trimestriel!CI39-1)</f>
        <v>2.7073871697075536E-2</v>
      </c>
      <c r="CJ80" s="33">
        <f>IF(OR(IPC_Trimestriel!CN39="",IPC_Trimestriel!CJ39=""),"",IPC_Trimestriel!CN39/IPC_Trimestriel!CJ39-1)</f>
        <v>6.9888779584453165E-2</v>
      </c>
      <c r="CK80" s="33">
        <f>IF(OR(IPC_Trimestriel!CO39="",IPC_Trimestriel!CK39=""),"",IPC_Trimestriel!CO39/IPC_Trimestriel!CK39-1)</f>
        <v>5.9274068942002822E-2</v>
      </c>
      <c r="CL80" s="33">
        <f>IF(OR(IPC_Trimestriel!CP39="",IPC_Trimestriel!CL39=""),"",IPC_Trimestriel!CP39/IPC_Trimestriel!CL39-1)</f>
        <v>7.0790931475929186E-2</v>
      </c>
      <c r="CM80" s="33">
        <f>IF(OR(IPC_Trimestriel!CQ39="",IPC_Trimestriel!CM39=""),"",IPC_Trimestriel!CQ39/IPC_Trimestriel!CM39-1)</f>
        <v>8.0044071830235985E-2</v>
      </c>
      <c r="CN80" s="33">
        <f>IF(OR(IPC_Trimestriel!CR39="",IPC_Trimestriel!CN39=""),"",IPC_Trimestriel!CR39/IPC_Trimestriel!CN39-1)</f>
        <v>4.9365954303709936E-2</v>
      </c>
      <c r="CO80" s="33">
        <f>IF(OR(IPC_Trimestriel!CS39="",IPC_Trimestriel!CO39=""),"",IPC_Trimestriel!CS39/IPC_Trimestriel!CO39-1)</f>
        <v>6.6649388915349883E-2</v>
      </c>
      <c r="CP80" s="33">
        <f>IF(OR(IPC_Trimestriel!CT39="",IPC_Trimestriel!CP39=""),"",IPC_Trimestriel!CT39/IPC_Trimestriel!CP39-1)</f>
        <v>6.0706109785874762E-2</v>
      </c>
    </row>
    <row r="81" spans="1:94" s="14" customFormat="1" ht="10.199999999999999" x14ac:dyDescent="0.2">
      <c r="A81" s="9"/>
      <c r="B81" s="10" t="s">
        <v>32</v>
      </c>
      <c r="C81" s="61">
        <f>SUM(C49:C53,C55:C59)</f>
        <v>340</v>
      </c>
      <c r="D81" s="33" t="str">
        <f>IF(OR(IPC_Trimestriel!H40="",IPC_Trimestriel!D40=""),"",IPC_Trimestriel!H40/IPC_Trimestriel!D40-1)</f>
        <v/>
      </c>
      <c r="E81" s="33" t="str">
        <f>IF(OR(IPC_Trimestriel!I40="",IPC_Trimestriel!E40=""),"",IPC_Trimestriel!I40/IPC_Trimestriel!E40-1)</f>
        <v/>
      </c>
      <c r="F81" s="33" t="str">
        <f>IF(OR(IPC_Trimestriel!J40="",IPC_Trimestriel!F40=""),"",IPC_Trimestriel!J40/IPC_Trimestriel!F40-1)</f>
        <v/>
      </c>
      <c r="G81" s="33" t="str">
        <f>IF(OR(IPC_Trimestriel!K40="",IPC_Trimestriel!G40=""),"",IPC_Trimestriel!K40/IPC_Trimestriel!G40-1)</f>
        <v/>
      </c>
      <c r="H81" s="33" t="str">
        <f>IF(OR(IPC_Trimestriel!L40="",IPC_Trimestriel!H40=""),"",IPC_Trimestriel!L40/IPC_Trimestriel!H40-1)</f>
        <v/>
      </c>
      <c r="I81" s="33" t="str">
        <f>IF(OR(IPC_Trimestriel!M40="",IPC_Trimestriel!I40=""),"",IPC_Trimestriel!M40/IPC_Trimestriel!I40-1)</f>
        <v/>
      </c>
      <c r="J81" s="33" t="str">
        <f>IF(OR(IPC_Trimestriel!N40="",IPC_Trimestriel!J40=""),"",IPC_Trimestriel!N40/IPC_Trimestriel!J40-1)</f>
        <v/>
      </c>
      <c r="K81" s="33" t="str">
        <f>IF(OR(IPC_Trimestriel!O40="",IPC_Trimestriel!K40=""),"",IPC_Trimestriel!O40/IPC_Trimestriel!K40-1)</f>
        <v/>
      </c>
      <c r="L81" s="33" t="str">
        <f>IF(OR(IPC_Trimestriel!P40="",IPC_Trimestriel!L40=""),"",IPC_Trimestriel!P40/IPC_Trimestriel!L40-1)</f>
        <v/>
      </c>
      <c r="M81" s="33" t="str">
        <f>IF(OR(IPC_Trimestriel!Q40="",IPC_Trimestriel!M40=""),"",IPC_Trimestriel!Q40/IPC_Trimestriel!M40-1)</f>
        <v/>
      </c>
      <c r="N81" s="33" t="str">
        <f>IF(OR(IPC_Trimestriel!R40="",IPC_Trimestriel!N40=""),"",IPC_Trimestriel!R40/IPC_Trimestriel!N40-1)</f>
        <v/>
      </c>
      <c r="O81" s="33" t="str">
        <f>IF(OR(IPC_Trimestriel!S40="",IPC_Trimestriel!O40=""),"",IPC_Trimestriel!S40/IPC_Trimestriel!O40-1)</f>
        <v/>
      </c>
      <c r="P81" s="33" t="str">
        <f>IF(OR(IPC_Trimestriel!T40="",IPC_Trimestriel!P40=""),"",IPC_Trimestriel!T40/IPC_Trimestriel!P40-1)</f>
        <v/>
      </c>
      <c r="Q81" s="33" t="str">
        <f>IF(OR(IPC_Trimestriel!U40="",IPC_Trimestriel!Q40=""),"",IPC_Trimestriel!U40/IPC_Trimestriel!Q40-1)</f>
        <v/>
      </c>
      <c r="R81" s="33" t="str">
        <f>IF(OR(IPC_Trimestriel!V40="",IPC_Trimestriel!R40=""),"",IPC_Trimestriel!V40/IPC_Trimestriel!R40-1)</f>
        <v/>
      </c>
      <c r="S81" s="33" t="str">
        <f>IF(OR(IPC_Trimestriel!W40="",IPC_Trimestriel!S40=""),"",IPC_Trimestriel!W40/IPC_Trimestriel!S40-1)</f>
        <v/>
      </c>
      <c r="T81" s="33" t="str">
        <f>IF(OR(IPC_Trimestriel!X40="",IPC_Trimestriel!T40=""),"",IPC_Trimestriel!X40/IPC_Trimestriel!T40-1)</f>
        <v/>
      </c>
      <c r="U81" s="33" t="str">
        <f>IF(OR(IPC_Trimestriel!Y40="",IPC_Trimestriel!U40=""),"",IPC_Trimestriel!Y40/IPC_Trimestriel!U40-1)</f>
        <v/>
      </c>
      <c r="V81" s="33" t="str">
        <f>IF(OR(IPC_Trimestriel!Z40="",IPC_Trimestriel!V40=""),"",IPC_Trimestriel!Z40/IPC_Trimestriel!V40-1)</f>
        <v/>
      </c>
      <c r="W81" s="33" t="str">
        <f>IF(OR(IPC_Trimestriel!AA40="",IPC_Trimestriel!W40=""),"",IPC_Trimestriel!AA40/IPC_Trimestriel!W40-1)</f>
        <v/>
      </c>
      <c r="X81" s="33" t="str">
        <f>IF(OR(IPC_Trimestriel!AB40="",IPC_Trimestriel!X40=""),"",IPC_Trimestriel!AB40/IPC_Trimestriel!X40-1)</f>
        <v/>
      </c>
      <c r="Y81" s="33" t="str">
        <f>IF(OR(IPC_Trimestriel!AC40="",IPC_Trimestriel!Y40=""),"",IPC_Trimestriel!AC40/IPC_Trimestriel!Y40-1)</f>
        <v/>
      </c>
      <c r="Z81" s="33" t="str">
        <f>IF(OR(IPC_Trimestriel!AD40="",IPC_Trimestriel!Z40=""),"",IPC_Trimestriel!AD40/IPC_Trimestriel!Z40-1)</f>
        <v/>
      </c>
      <c r="AA81" s="33" t="str">
        <f>IF(OR(IPC_Trimestriel!AE40="",IPC_Trimestriel!AA40=""),"",IPC_Trimestriel!AE40/IPC_Trimestriel!AA40-1)</f>
        <v/>
      </c>
      <c r="AB81" s="33" t="str">
        <f>IF(OR(IPC_Trimestriel!AF40="",IPC_Trimestriel!AB40=""),"",IPC_Trimestriel!AF40/IPC_Trimestriel!AB40-1)</f>
        <v/>
      </c>
      <c r="AC81" s="33" t="str">
        <f>IF(OR(IPC_Trimestriel!AG40="",IPC_Trimestriel!AC40=""),"",IPC_Trimestriel!AG40/IPC_Trimestriel!AC40-1)</f>
        <v/>
      </c>
      <c r="AD81" s="33" t="str">
        <f>IF(OR(IPC_Trimestriel!AH40="",IPC_Trimestriel!AD40=""),"",IPC_Trimestriel!AH40/IPC_Trimestriel!AD40-1)</f>
        <v/>
      </c>
      <c r="AE81" s="33" t="str">
        <f>IF(OR(IPC_Trimestriel!AI40="",IPC_Trimestriel!AE40=""),"",IPC_Trimestriel!AI40/IPC_Trimestriel!AE40-1)</f>
        <v/>
      </c>
      <c r="AF81" s="33" t="str">
        <f>IF(OR(IPC_Trimestriel!AJ40="",IPC_Trimestriel!AF40=""),"",IPC_Trimestriel!AJ40/IPC_Trimestriel!AF40-1)</f>
        <v/>
      </c>
      <c r="AG81" s="33" t="str">
        <f>IF(OR(IPC_Trimestriel!AK40="",IPC_Trimestriel!AG40=""),"",IPC_Trimestriel!AK40/IPC_Trimestriel!AG40-1)</f>
        <v/>
      </c>
      <c r="AH81" s="33" t="str">
        <f>IF(OR(IPC_Trimestriel!AL40="",IPC_Trimestriel!AH40=""),"",IPC_Trimestriel!AL40/IPC_Trimestriel!AH40-1)</f>
        <v/>
      </c>
      <c r="AI81" s="33" t="str">
        <f>IF(OR(IPC_Trimestriel!AM40="",IPC_Trimestriel!AI40=""),"",IPC_Trimestriel!AM40/IPC_Trimestriel!AI40-1)</f>
        <v/>
      </c>
      <c r="AJ81" s="33" t="str">
        <f>IF(OR(IPC_Trimestriel!AN40="",IPC_Trimestriel!AJ40=""),"",IPC_Trimestriel!AN40/IPC_Trimestriel!AJ40-1)</f>
        <v/>
      </c>
      <c r="AK81" s="33" t="str">
        <f>IF(OR(IPC_Trimestriel!AO40="",IPC_Trimestriel!AK40=""),"",IPC_Trimestriel!AO40/IPC_Trimestriel!AK40-1)</f>
        <v/>
      </c>
      <c r="AL81" s="33" t="str">
        <f>IF(OR(IPC_Trimestriel!AP40="",IPC_Trimestriel!AL40=""),"",IPC_Trimestriel!AP40/IPC_Trimestriel!AL40-1)</f>
        <v/>
      </c>
      <c r="AM81" s="33" t="str">
        <f>IF(OR(IPC_Trimestriel!AQ40="",IPC_Trimestriel!AM40=""),"",IPC_Trimestriel!AQ40/IPC_Trimestriel!AM40-1)</f>
        <v/>
      </c>
      <c r="AN81" s="33" t="str">
        <f>IF(OR(IPC_Trimestriel!AR40="",IPC_Trimestriel!AN40=""),"",IPC_Trimestriel!AR40/IPC_Trimestriel!AN40-1)</f>
        <v/>
      </c>
      <c r="AO81" s="33" t="str">
        <f>IF(OR(IPC_Trimestriel!AS40="",IPC_Trimestriel!AO40=""),"",IPC_Trimestriel!AS40/IPC_Trimestriel!AO40-1)</f>
        <v/>
      </c>
      <c r="AP81" s="33" t="str">
        <f>IF(OR(IPC_Trimestriel!AT40="",IPC_Trimestriel!AP40=""),"",IPC_Trimestriel!AT40/IPC_Trimestriel!AP40-1)</f>
        <v/>
      </c>
      <c r="AQ81" s="33" t="str">
        <f>IF(OR(IPC_Trimestriel!AU40="",IPC_Trimestriel!AQ40=""),"",IPC_Trimestriel!AU40/IPC_Trimestriel!AQ40-1)</f>
        <v/>
      </c>
      <c r="AR81" s="33" t="str">
        <f>IF(OR(IPC_Trimestriel!AV40="",IPC_Trimestriel!AR40=""),"",IPC_Trimestriel!AV40/IPC_Trimestriel!AR40-1)</f>
        <v/>
      </c>
      <c r="AS81" s="33" t="str">
        <f>IF(OR(IPC_Trimestriel!AW40="",IPC_Trimestriel!AS40=""),"",IPC_Trimestriel!AW40/IPC_Trimestriel!AS40-1)</f>
        <v/>
      </c>
      <c r="AT81" s="33" t="str">
        <f>IF(OR(IPC_Trimestriel!AX40="",IPC_Trimestriel!AT40=""),"",IPC_Trimestriel!AX40/IPC_Trimestriel!AT40-1)</f>
        <v/>
      </c>
      <c r="AU81" s="33" t="str">
        <f>IF(OR(IPC_Trimestriel!AY40="",IPC_Trimestriel!AU40=""),"",IPC_Trimestriel!AY40/IPC_Trimestriel!AU40-1)</f>
        <v/>
      </c>
      <c r="AV81" s="33" t="str">
        <f>IF(OR(IPC_Trimestriel!AZ40="",IPC_Trimestriel!AV40=""),"",IPC_Trimestriel!AZ40/IPC_Trimestriel!AV40-1)</f>
        <v/>
      </c>
      <c r="AW81" s="33" t="str">
        <f>IF(OR(IPC_Trimestriel!BA40="",IPC_Trimestriel!AW40=""),"",IPC_Trimestriel!BA40/IPC_Trimestriel!AW40-1)</f>
        <v/>
      </c>
      <c r="AX81" s="33" t="str">
        <f>IF(OR(IPC_Trimestriel!BB40="",IPC_Trimestriel!AX40=""),"",IPC_Trimestriel!BB40/IPC_Trimestriel!AX40-1)</f>
        <v/>
      </c>
      <c r="AY81" s="33" t="str">
        <f>IF(OR(IPC_Trimestriel!BC40="",IPC_Trimestriel!AY40=""),"",IPC_Trimestriel!BC40/IPC_Trimestriel!AY40-1)</f>
        <v/>
      </c>
      <c r="AZ81" s="33">
        <f>IF(OR(IPC_Trimestriel!BD40="",IPC_Trimestriel!AZ40=""),"",IPC_Trimestriel!BD40/IPC_Trimestriel!AZ40-1)</f>
        <v>1.4956731681992963E-2</v>
      </c>
      <c r="BA81" s="33">
        <f>IF(OR(IPC_Trimestriel!BE40="",IPC_Trimestriel!BA40=""),"",IPC_Trimestriel!BE40/IPC_Trimestriel!BA40-1)</f>
        <v>1.1528735104619825E-2</v>
      </c>
      <c r="BB81" s="33">
        <f>IF(OR(IPC_Trimestriel!BF40="",IPC_Trimestriel!BB40=""),"",IPC_Trimestriel!BF40/IPC_Trimestriel!BB40-1)</f>
        <v>1.2147416380484E-2</v>
      </c>
      <c r="BC81" s="33">
        <f>IF(OR(IPC_Trimestriel!BG40="",IPC_Trimestriel!BC40=""),"",IPC_Trimestriel!BG40/IPC_Trimestriel!BC40-1)</f>
        <v>1.3894820931040108E-2</v>
      </c>
      <c r="BD81" s="33">
        <f>IF(OR(IPC_Trimestriel!BH40="",IPC_Trimestriel!BD40=""),"",IPC_Trimestriel!BH40/IPC_Trimestriel!BD40-1)</f>
        <v>1.1098755041360375E-2</v>
      </c>
      <c r="BE81" s="33">
        <f>IF(OR(IPC_Trimestriel!BI40="",IPC_Trimestriel!BE40=""),"",IPC_Trimestriel!BI40/IPC_Trimestriel!BE40-1)</f>
        <v>8.9634098358553072E-3</v>
      </c>
      <c r="BF81" s="33">
        <f>IF(OR(IPC_Trimestriel!BJ40="",IPC_Trimestriel!BF40=""),"",IPC_Trimestriel!BJ40/IPC_Trimestriel!BF40-1)</f>
        <v>1.2950778569502663E-2</v>
      </c>
      <c r="BG81" s="33">
        <f>IF(OR(IPC_Trimestriel!BK40="",IPC_Trimestriel!BG40=""),"",IPC_Trimestriel!BK40/IPC_Trimestriel!BG40-1)</f>
        <v>1.2555848715788853E-2</v>
      </c>
      <c r="BH81" s="33">
        <f>IF(OR(IPC_Trimestriel!BL40="",IPC_Trimestriel!BH40=""),"",IPC_Trimestriel!BL40/IPC_Trimestriel!BH40-1)</f>
        <v>1.4112431201192432E-2</v>
      </c>
      <c r="BI81" s="33">
        <f>IF(OR(IPC_Trimestriel!BM40="",IPC_Trimestriel!BI40=""),"",IPC_Trimestriel!BM40/IPC_Trimestriel!BI40-1)</f>
        <v>2.2227620379681623E-2</v>
      </c>
      <c r="BJ81" s="33">
        <f>IF(OR(IPC_Trimestriel!BN40="",IPC_Trimestriel!BJ40=""),"",IPC_Trimestriel!BN40/IPC_Trimestriel!BJ40-1)</f>
        <v>1.9471889247371754E-2</v>
      </c>
      <c r="BK81" s="33">
        <f>IF(OR(IPC_Trimestriel!BO40="",IPC_Trimestriel!BK40=""),"",IPC_Trimestriel!BO40/IPC_Trimestriel!BK40-1)</f>
        <v>1.5007965259940859E-2</v>
      </c>
      <c r="BL81" s="33">
        <f>IF(OR(IPC_Trimestriel!BP40="",IPC_Trimestriel!BL40=""),"",IPC_Trimestriel!BP40/IPC_Trimestriel!BL40-1)</f>
        <v>1.5202181806776904E-2</v>
      </c>
      <c r="BM81" s="33">
        <f>IF(OR(IPC_Trimestriel!BQ40="",IPC_Trimestriel!BM40=""),"",IPC_Trimestriel!BQ40/IPC_Trimestriel!BM40-1)</f>
        <v>8.6922124266530787E-3</v>
      </c>
      <c r="BN81" s="33">
        <f>IF(OR(IPC_Trimestriel!BR40="",IPC_Trimestriel!BN40=""),"",IPC_Trimestriel!BR40/IPC_Trimestriel!BN40-1)</f>
        <v>7.0285840051043103E-3</v>
      </c>
      <c r="BO81" s="33">
        <f>IF(OR(IPC_Trimestriel!BS40="",IPC_Trimestriel!BO40=""),"",IPC_Trimestriel!BS40/IPC_Trimestriel!BO40-1)</f>
        <v>8.6765225465623708E-3</v>
      </c>
      <c r="BP81" s="33">
        <f>IF(OR(IPC_Trimestriel!BT40="",IPC_Trimestriel!BP40=""),"",IPC_Trimestriel!BT40/IPC_Trimestriel!BP40-1)</f>
        <v>9.3860890997590207E-3</v>
      </c>
      <c r="BQ81" s="33">
        <f>IF(OR(IPC_Trimestriel!BU40="",IPC_Trimestriel!BQ40=""),"",IPC_Trimestriel!BU40/IPC_Trimestriel!BQ40-1)</f>
        <v>1.0323508344852517E-2</v>
      </c>
      <c r="BR81" s="33">
        <f>IF(OR(IPC_Trimestriel!BV40="",IPC_Trimestriel!BR40=""),"",IPC_Trimestriel!BV40/IPC_Trimestriel!BR40-1)</f>
        <v>9.7170630356735455E-3</v>
      </c>
      <c r="BS81" s="33">
        <f>IF(OR(IPC_Trimestriel!BW40="",IPC_Trimestriel!BS40=""),"",IPC_Trimestriel!BW40/IPC_Trimestriel!BS40-1)</f>
        <v>8.3011156340950798E-3</v>
      </c>
      <c r="BT81" s="33">
        <f>IF(OR(IPC_Trimestriel!BX40="",IPC_Trimestriel!BT40=""),"",IPC_Trimestriel!BX40/IPC_Trimestriel!BT40-1)</f>
        <v>6.4175392102838735E-3</v>
      </c>
      <c r="BU81" s="33">
        <f>IF(OR(IPC_Trimestriel!BY40="",IPC_Trimestriel!BU40=""),"",IPC_Trimestriel!BY40/IPC_Trimestriel!BU40-1)</f>
        <v>8.0384842700818027E-3</v>
      </c>
      <c r="BV81" s="33">
        <f>IF(OR(IPC_Trimestriel!BZ40="",IPC_Trimestriel!BV40=""),"",IPC_Trimestriel!BZ40/IPC_Trimestriel!BV40-1)</f>
        <v>1.1076703518294817E-2</v>
      </c>
      <c r="BW81" s="33">
        <f>IF(OR(IPC_Trimestriel!CA40="",IPC_Trimestriel!BW40=""),"",IPC_Trimestriel!CA40/IPC_Trimestriel!BW40-1)</f>
        <v>1.550421547656633E-2</v>
      </c>
      <c r="BX81" s="33">
        <f>IF(OR(IPC_Trimestriel!CB40="",IPC_Trimestriel!BX40=""),"",IPC_Trimestriel!CB40/IPC_Trimestriel!BX40-1)</f>
        <v>1.970189109560283E-2</v>
      </c>
      <c r="BY81" s="33">
        <f>IF(OR(IPC_Trimestriel!CC40="",IPC_Trimestriel!BY40=""),"",IPC_Trimestriel!CC40/IPC_Trimestriel!BY40-1)</f>
        <v>2.2605752951639024E-2</v>
      </c>
      <c r="BZ81" s="33">
        <f>IF(OR(IPC_Trimestriel!CD40="",IPC_Trimestriel!BZ40=""),"",IPC_Trimestriel!CD40/IPC_Trimestriel!BZ40-1)</f>
        <v>2.1726531553598161E-2</v>
      </c>
      <c r="CA81" s="33">
        <f>IF(OR(IPC_Trimestriel!CE40="",IPC_Trimestriel!CA40=""),"",IPC_Trimestriel!CE40/IPC_Trimestriel!CA40-1)</f>
        <v>2.4547043460169338E-2</v>
      </c>
      <c r="CB81" s="33">
        <f>IF(OR(IPC_Trimestriel!CF40="",IPC_Trimestriel!CB40=""),"",IPC_Trimestriel!CF40/IPC_Trimestriel!CB40-1)</f>
        <v>2.2383416503103826E-2</v>
      </c>
      <c r="CC81" s="33">
        <f>IF(OR(IPC_Trimestriel!CG40="",IPC_Trimestriel!CC40=""),"",IPC_Trimestriel!CG40/IPC_Trimestriel!CC40-1)</f>
        <v>2.0093791155252561E-2</v>
      </c>
      <c r="CD81" s="33">
        <f>IF(OR(IPC_Trimestriel!CH40="",IPC_Trimestriel!CD40=""),"",IPC_Trimestriel!CH40/IPC_Trimestriel!CD40-1)</f>
        <v>1.8053396837562463E-2</v>
      </c>
      <c r="CE81" s="33">
        <f>IF(OR(IPC_Trimestriel!CI40="",IPC_Trimestriel!CE40=""),"",IPC_Trimestriel!CI40/IPC_Trimestriel!CE40-1)</f>
        <v>1.4446703728422383E-2</v>
      </c>
      <c r="CF81" s="33">
        <f>IF(OR(IPC_Trimestriel!CJ40="",IPC_Trimestriel!CF40=""),"",IPC_Trimestriel!CJ40/IPC_Trimestriel!CF40-1)</f>
        <v>1.463987054146787E-2</v>
      </c>
      <c r="CG81" s="33">
        <f>IF(OR(IPC_Trimestriel!CK40="",IPC_Trimestriel!CG40=""),"",IPC_Trimestriel!CK40/IPC_Trimestriel!CG40-1)</f>
        <v>1.3694922564313261E-2</v>
      </c>
      <c r="CH81" s="33">
        <f>IF(OR(IPC_Trimestriel!CL40="",IPC_Trimestriel!CH40=""),"",IPC_Trimestriel!CL40/IPC_Trimestriel!CH40-1)</f>
        <v>1.4795388167816892E-2</v>
      </c>
      <c r="CI81" s="33">
        <f>IF(OR(IPC_Trimestriel!CM40="",IPC_Trimestriel!CI40=""),"",IPC_Trimestriel!CM40/IPC_Trimestriel!CI40-1)</f>
        <v>1.334577497923517E-2</v>
      </c>
      <c r="CJ81" s="33">
        <f>IF(OR(IPC_Trimestriel!CN40="",IPC_Trimestriel!CJ40=""),"",IPC_Trimestriel!CN40/IPC_Trimestriel!CJ40-1)</f>
        <v>3.3794031840812977E-2</v>
      </c>
      <c r="CK81" s="33">
        <f>IF(OR(IPC_Trimestriel!CO40="",IPC_Trimestriel!CK40=""),"",IPC_Trimestriel!CO40/IPC_Trimestriel!CK40-1)</f>
        <v>2.8477527122608759E-2</v>
      </c>
      <c r="CL81" s="33">
        <f>IF(OR(IPC_Trimestriel!CP40="",IPC_Trimestriel!CL40=""),"",IPC_Trimestriel!CP40/IPC_Trimestriel!CL40-1)</f>
        <v>3.4587011474914053E-2</v>
      </c>
      <c r="CM81" s="33">
        <f>IF(OR(IPC_Trimestriel!CQ40="",IPC_Trimestriel!CM40=""),"",IPC_Trimestriel!CQ40/IPC_Trimestriel!CM40-1)</f>
        <v>4.2590079451213736E-2</v>
      </c>
      <c r="CN81" s="33">
        <f>IF(OR(IPC_Trimestriel!CR40="",IPC_Trimestriel!CN40=""),"",IPC_Trimestriel!CR40/IPC_Trimestriel!CN40-1)</f>
        <v>2.8635041052178067E-2</v>
      </c>
      <c r="CO81" s="33">
        <f>IF(OR(IPC_Trimestriel!CS40="",IPC_Trimestriel!CO40=""),"",IPC_Trimestriel!CS40/IPC_Trimestriel!CO40-1)</f>
        <v>3.982275090257148E-2</v>
      </c>
      <c r="CP81" s="33">
        <f>IF(OR(IPC_Trimestriel!CT40="",IPC_Trimestriel!CP40=""),"",IPC_Trimestriel!CT40/IPC_Trimestriel!CP40-1)</f>
        <v>3.5971415185207301E-2</v>
      </c>
    </row>
    <row r="83" spans="1:94" ht="13.8" thickBot="1" x14ac:dyDescent="0.3"/>
    <row r="84" spans="1:94" s="2" customFormat="1" ht="33" thickTop="1" thickBot="1" x14ac:dyDescent="0.55000000000000004">
      <c r="B84" s="2" t="s">
        <v>101</v>
      </c>
    </row>
    <row r="85" spans="1:94" ht="14.4" thickTop="1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</row>
    <row r="86" spans="1:94" s="24" customFormat="1" ht="13.8" thickBot="1" x14ac:dyDescent="0.3">
      <c r="B86" s="21"/>
      <c r="C86" s="22"/>
      <c r="D86" s="104" t="s">
        <v>115</v>
      </c>
      <c r="E86" s="104" t="s">
        <v>116</v>
      </c>
      <c r="F86" s="104" t="s">
        <v>117</v>
      </c>
      <c r="G86" s="104" t="s">
        <v>118</v>
      </c>
      <c r="H86" s="104" t="s">
        <v>119</v>
      </c>
      <c r="I86" s="104" t="s">
        <v>120</v>
      </c>
      <c r="J86" s="104" t="s">
        <v>121</v>
      </c>
      <c r="K86" s="104" t="s">
        <v>122</v>
      </c>
      <c r="L86" s="104" t="s">
        <v>123</v>
      </c>
      <c r="M86" s="104" t="s">
        <v>124</v>
      </c>
      <c r="N86" s="104" t="s">
        <v>125</v>
      </c>
      <c r="O86" s="104" t="s">
        <v>126</v>
      </c>
      <c r="P86" s="104" t="s">
        <v>127</v>
      </c>
      <c r="Q86" s="104" t="s">
        <v>128</v>
      </c>
      <c r="R86" s="104" t="s">
        <v>129</v>
      </c>
      <c r="S86" s="104" t="s">
        <v>130</v>
      </c>
      <c r="T86" s="105" t="s">
        <v>131</v>
      </c>
      <c r="U86" s="105" t="s">
        <v>132</v>
      </c>
      <c r="V86" s="105" t="s">
        <v>133</v>
      </c>
      <c r="W86" s="105" t="s">
        <v>134</v>
      </c>
      <c r="X86" s="105" t="s">
        <v>135</v>
      </c>
      <c r="Y86" s="105" t="s">
        <v>136</v>
      </c>
      <c r="Z86" s="105" t="s">
        <v>137</v>
      </c>
      <c r="AA86" s="105" t="s">
        <v>138</v>
      </c>
      <c r="AB86" s="105" t="s">
        <v>139</v>
      </c>
      <c r="AC86" s="105" t="s">
        <v>140</v>
      </c>
      <c r="AD86" s="105" t="s">
        <v>141</v>
      </c>
      <c r="AE86" s="105" t="s">
        <v>142</v>
      </c>
      <c r="AF86" s="105" t="s">
        <v>143</v>
      </c>
      <c r="AG86" s="105" t="s">
        <v>144</v>
      </c>
      <c r="AH86" s="105" t="s">
        <v>145</v>
      </c>
      <c r="AI86" s="105" t="s">
        <v>146</v>
      </c>
      <c r="AJ86" s="105" t="s">
        <v>147</v>
      </c>
      <c r="AK86" s="105" t="s">
        <v>148</v>
      </c>
      <c r="AL86" s="105" t="s">
        <v>149</v>
      </c>
      <c r="AM86" s="105" t="s">
        <v>150</v>
      </c>
      <c r="AN86" s="105" t="s">
        <v>151</v>
      </c>
      <c r="AO86" s="105" t="s">
        <v>152</v>
      </c>
      <c r="AP86" s="105" t="s">
        <v>153</v>
      </c>
      <c r="AQ86" s="105" t="s">
        <v>154</v>
      </c>
      <c r="AR86" s="105" t="s">
        <v>155</v>
      </c>
      <c r="AS86" s="105" t="s">
        <v>156</v>
      </c>
      <c r="AT86" s="105" t="s">
        <v>157</v>
      </c>
      <c r="AU86" s="105" t="s">
        <v>158</v>
      </c>
      <c r="AV86" s="105" t="s">
        <v>159</v>
      </c>
      <c r="AW86" s="105" t="s">
        <v>160</v>
      </c>
      <c r="AX86" s="105" t="s">
        <v>161</v>
      </c>
      <c r="AY86" s="105" t="s">
        <v>162</v>
      </c>
      <c r="AZ86" s="105" t="s">
        <v>163</v>
      </c>
      <c r="BA86" s="105" t="s">
        <v>164</v>
      </c>
      <c r="BB86" s="105" t="s">
        <v>165</v>
      </c>
      <c r="BC86" s="105" t="s">
        <v>166</v>
      </c>
      <c r="BD86" s="105" t="s">
        <v>167</v>
      </c>
      <c r="BE86" s="105" t="s">
        <v>168</v>
      </c>
      <c r="BF86" s="105" t="s">
        <v>169</v>
      </c>
      <c r="BG86" s="105" t="s">
        <v>170</v>
      </c>
      <c r="BH86" s="105" t="s">
        <v>171</v>
      </c>
      <c r="BI86" s="105" t="s">
        <v>172</v>
      </c>
      <c r="BJ86" s="105" t="s">
        <v>173</v>
      </c>
      <c r="BK86" s="105" t="s">
        <v>174</v>
      </c>
      <c r="BL86" s="105" t="s">
        <v>175</v>
      </c>
      <c r="BM86" s="105" t="s">
        <v>176</v>
      </c>
      <c r="BN86" s="105" t="s">
        <v>177</v>
      </c>
      <c r="BO86" s="105" t="s">
        <v>178</v>
      </c>
      <c r="BP86" s="105" t="s">
        <v>183</v>
      </c>
      <c r="BQ86" s="105" t="s">
        <v>184</v>
      </c>
      <c r="BR86" s="105" t="s">
        <v>185</v>
      </c>
      <c r="BS86" s="105" t="s">
        <v>187</v>
      </c>
      <c r="BT86" s="105" t="s">
        <v>188</v>
      </c>
      <c r="BU86" s="105" t="s">
        <v>189</v>
      </c>
      <c r="BV86" s="105" t="s">
        <v>190</v>
      </c>
      <c r="BW86" s="105" t="s">
        <v>191</v>
      </c>
      <c r="BX86" s="105" t="s">
        <v>192</v>
      </c>
      <c r="BY86" s="105" t="s">
        <v>193</v>
      </c>
      <c r="BZ86" s="105" t="s">
        <v>194</v>
      </c>
      <c r="CA86" s="105" t="s">
        <v>195</v>
      </c>
      <c r="CB86" s="105" t="s">
        <v>196</v>
      </c>
      <c r="CC86" s="105" t="s">
        <v>197</v>
      </c>
      <c r="CD86" s="105" t="s">
        <v>198</v>
      </c>
      <c r="CE86" s="105" t="s">
        <v>199</v>
      </c>
      <c r="CF86" s="105" t="str">
        <f>CF4</f>
        <v>2021T1</v>
      </c>
      <c r="CG86" s="105" t="str">
        <f t="shared" ref="CG86:CJ86" si="3">CG4</f>
        <v>2021T2</v>
      </c>
      <c r="CH86" s="105" t="str">
        <f t="shared" si="3"/>
        <v>2021T3</v>
      </c>
      <c r="CI86" s="105" t="str">
        <f t="shared" si="3"/>
        <v>2021T4</v>
      </c>
      <c r="CJ86" s="105" t="str">
        <f t="shared" si="3"/>
        <v>2022T1</v>
      </c>
      <c r="CK86" s="105" t="str">
        <f t="shared" ref="CK86:CM86" si="4">CK4</f>
        <v>2022T2</v>
      </c>
      <c r="CL86" s="105" t="str">
        <f t="shared" si="4"/>
        <v>2022T3</v>
      </c>
      <c r="CM86" s="105" t="str">
        <f t="shared" si="4"/>
        <v>2022T4</v>
      </c>
      <c r="CN86" s="105" t="str">
        <f t="shared" ref="CN86:CP86" si="5">CN4</f>
        <v>2023T1</v>
      </c>
      <c r="CO86" s="105" t="str">
        <f t="shared" si="5"/>
        <v>2023T2</v>
      </c>
      <c r="CP86" s="105" t="str">
        <f t="shared" si="5"/>
        <v>2023T3</v>
      </c>
    </row>
    <row r="87" spans="1:94" x14ac:dyDescent="0.25">
      <c r="A87" s="11"/>
      <c r="B87" s="73" t="s">
        <v>41</v>
      </c>
      <c r="C87" s="17"/>
      <c r="D87" s="28"/>
      <c r="E87" s="28"/>
      <c r="F87" s="28"/>
      <c r="G87" s="28" t="str">
        <f>IF(OR(IPC_Trimestriel!K64="",IPC_Trimestriel!H64="",IPC_Trimestriel!D64=""),"",AVERAGE(IPC_Trimestriel!H64:K64)/AVERAGE(IPC_Trimestriel!D64:G64)-1)</f>
        <v/>
      </c>
      <c r="H87" s="28" t="str">
        <f>IF(OR(IPC_Trimestriel!L64="",IPC_Trimestriel!I64="",IPC_Trimestriel!E64=""),"",AVERAGE(IPC_Trimestriel!I64:L64)/AVERAGE(IPC_Trimestriel!E64:H64)-1)</f>
        <v/>
      </c>
      <c r="I87" s="28" t="str">
        <f>IF(OR(IPC_Trimestriel!M64="",IPC_Trimestriel!J64="",IPC_Trimestriel!F64=""),"",AVERAGE(IPC_Trimestriel!J64:M64)/AVERAGE(IPC_Trimestriel!F64:I64)-1)</f>
        <v/>
      </c>
      <c r="J87" s="28" t="str">
        <f>IF(OR(IPC_Trimestriel!N64="",IPC_Trimestriel!K64="",IPC_Trimestriel!G64=""),"",AVERAGE(IPC_Trimestriel!K64:N64)/AVERAGE(IPC_Trimestriel!G64:J64)-1)</f>
        <v/>
      </c>
      <c r="K87" s="28" t="str">
        <f>IF(OR(IPC_Trimestriel!O64="",IPC_Trimestriel!L64="",IPC_Trimestriel!H64=""),"",AVERAGE(IPC_Trimestriel!L64:O64)/AVERAGE(IPC_Trimestriel!H64:K64)-1)</f>
        <v/>
      </c>
      <c r="L87" s="28" t="str">
        <f>IF(OR(IPC_Trimestriel!P64="",IPC_Trimestriel!M64="",IPC_Trimestriel!I64=""),"",AVERAGE(IPC_Trimestriel!M64:P64)/AVERAGE(IPC_Trimestriel!I64:L64)-1)</f>
        <v/>
      </c>
      <c r="M87" s="28" t="str">
        <f>IF(OR(IPC_Trimestriel!Q64="",IPC_Trimestriel!N64="",IPC_Trimestriel!J64=""),"",AVERAGE(IPC_Trimestriel!N64:Q64)/AVERAGE(IPC_Trimestriel!J64:M64)-1)</f>
        <v/>
      </c>
      <c r="N87" s="28" t="str">
        <f>IF(OR(IPC_Trimestriel!R64="",IPC_Trimestriel!O64="",IPC_Trimestriel!K64=""),"",AVERAGE(IPC_Trimestriel!O64:R64)/AVERAGE(IPC_Trimestriel!K64:N64)-1)</f>
        <v/>
      </c>
      <c r="O87" s="28" t="str">
        <f>IF(OR(IPC_Trimestriel!S64="",IPC_Trimestriel!P64="",IPC_Trimestriel!L64=""),"",AVERAGE(IPC_Trimestriel!P64:S64)/AVERAGE(IPC_Trimestriel!L64:O64)-1)</f>
        <v/>
      </c>
      <c r="P87" s="28" t="str">
        <f>IF(OR(IPC_Trimestriel!T64="",IPC_Trimestriel!Q64="",IPC_Trimestriel!M64=""),"",AVERAGE(IPC_Trimestriel!Q64:T64)/AVERAGE(IPC_Trimestriel!M64:P64)-1)</f>
        <v/>
      </c>
      <c r="Q87" s="28" t="str">
        <f>IF(OR(IPC_Trimestriel!U64="",IPC_Trimestriel!R64="",IPC_Trimestriel!N64=""),"",AVERAGE(IPC_Trimestriel!R64:U64)/AVERAGE(IPC_Trimestriel!N64:Q64)-1)</f>
        <v/>
      </c>
      <c r="R87" s="28" t="str">
        <f>IF(OR(IPC_Trimestriel!V64="",IPC_Trimestriel!S64="",IPC_Trimestriel!O64=""),"",AVERAGE(IPC_Trimestriel!S64:V64)/AVERAGE(IPC_Trimestriel!O64:R64)-1)</f>
        <v/>
      </c>
      <c r="S87" s="28" t="str">
        <f>IF(OR(IPC_Trimestriel!W64="",IPC_Trimestriel!T64="",IPC_Trimestriel!P64=""),"",AVERAGE(IPC_Trimestriel!T64:W64)/AVERAGE(IPC_Trimestriel!P64:S64)-1)</f>
        <v/>
      </c>
      <c r="T87" s="28" t="str">
        <f>IF(OR(IPC_Trimestriel!X64="",IPC_Trimestriel!U64="",IPC_Trimestriel!Q64=""),"",AVERAGE(IPC_Trimestriel!U64:X64)/AVERAGE(IPC_Trimestriel!Q64:T64)-1)</f>
        <v/>
      </c>
      <c r="U87" s="28" t="str">
        <f>IF(OR(IPC_Trimestriel!Y64="",IPC_Trimestriel!V64="",IPC_Trimestriel!R64=""),"",AVERAGE(IPC_Trimestriel!V64:Y64)/AVERAGE(IPC_Trimestriel!R64:U64)-1)</f>
        <v/>
      </c>
      <c r="V87" s="28" t="str">
        <f>IF(OR(IPC_Trimestriel!Z64="",IPC_Trimestriel!W64="",IPC_Trimestriel!S64=""),"",AVERAGE(IPC_Trimestriel!W64:Z64)/AVERAGE(IPC_Trimestriel!S64:V64)-1)</f>
        <v/>
      </c>
      <c r="W87" s="28" t="str">
        <f>IF(OR(IPC_Trimestriel!AA64="",IPC_Trimestriel!X64="",IPC_Trimestriel!T64=""),"",AVERAGE(IPC_Trimestriel!X64:AA64)/AVERAGE(IPC_Trimestriel!T64:W64)-1)</f>
        <v/>
      </c>
      <c r="X87" s="28" t="str">
        <f>IF(OR(IPC_Trimestriel!AB64="",IPC_Trimestriel!Y64="",IPC_Trimestriel!U64=""),"",AVERAGE(IPC_Trimestriel!Y64:AB64)/AVERAGE(IPC_Trimestriel!U64:X64)-1)</f>
        <v/>
      </c>
      <c r="Y87" s="28" t="str">
        <f>IF(OR(IPC_Trimestriel!AC64="",IPC_Trimestriel!Z64="",IPC_Trimestriel!V64=""),"",AVERAGE(IPC_Trimestriel!Z64:AC64)/AVERAGE(IPC_Trimestriel!V64:Y64)-1)</f>
        <v/>
      </c>
      <c r="Z87" s="28" t="str">
        <f>IF(OR(IPC_Trimestriel!AD64="",IPC_Trimestriel!AA64="",IPC_Trimestriel!W64=""),"",AVERAGE(IPC_Trimestriel!AA64:AD64)/AVERAGE(IPC_Trimestriel!W64:Z64)-1)</f>
        <v/>
      </c>
      <c r="AA87" s="28" t="str">
        <f>IF(OR(IPC_Trimestriel!AE64="",IPC_Trimestriel!AB64="",IPC_Trimestriel!X64=""),"",AVERAGE(IPC_Trimestriel!AB64:AE64)/AVERAGE(IPC_Trimestriel!X64:AA64)-1)</f>
        <v/>
      </c>
      <c r="AB87" s="28" t="str">
        <f>IF(OR(IPC_Trimestriel!AF64="",IPC_Trimestriel!AC64="",IPC_Trimestriel!Y64=""),"",AVERAGE(IPC_Trimestriel!AC64:AF64)/AVERAGE(IPC_Trimestriel!Y64:AB64)-1)</f>
        <v/>
      </c>
      <c r="AC87" s="28" t="str">
        <f>IF(OR(IPC_Trimestriel!AG64="",IPC_Trimestriel!AD64="",IPC_Trimestriel!Z64=""),"",AVERAGE(IPC_Trimestriel!AD64:AG64)/AVERAGE(IPC_Trimestriel!Z64:AC64)-1)</f>
        <v/>
      </c>
      <c r="AD87" s="28" t="str">
        <f>IF(OR(IPC_Trimestriel!AH64="",IPC_Trimestriel!AE64="",IPC_Trimestriel!AA64=""),"",AVERAGE(IPC_Trimestriel!AE64:AH64)/AVERAGE(IPC_Trimestriel!AA64:AD64)-1)</f>
        <v/>
      </c>
      <c r="AE87" s="28" t="str">
        <f>IF(OR(IPC_Trimestriel!AI64="",IPC_Trimestriel!AF64="",IPC_Trimestriel!AB64=""),"",AVERAGE(IPC_Trimestriel!AF64:AI64)/AVERAGE(IPC_Trimestriel!AB64:AE64)-1)</f>
        <v/>
      </c>
      <c r="AF87" s="28" t="str">
        <f>IF(OR(IPC_Trimestriel!AJ64="",IPC_Trimestriel!AG64="",IPC_Trimestriel!AC64=""),"",AVERAGE(IPC_Trimestriel!AG64:AJ64)/AVERAGE(IPC_Trimestriel!AC64:AF64)-1)</f>
        <v/>
      </c>
      <c r="AG87" s="28" t="str">
        <f>IF(OR(IPC_Trimestriel!AK64="",IPC_Trimestriel!AH64="",IPC_Trimestriel!AD64=""),"",AVERAGE(IPC_Trimestriel!AH64:AK64)/AVERAGE(IPC_Trimestriel!AD64:AG64)-1)</f>
        <v/>
      </c>
      <c r="AH87" s="28" t="str">
        <f>IF(OR(IPC_Trimestriel!AL64="",IPC_Trimestriel!AI64="",IPC_Trimestriel!AE64=""),"",AVERAGE(IPC_Trimestriel!AI64:AL64)/AVERAGE(IPC_Trimestriel!AE64:AH64)-1)</f>
        <v/>
      </c>
      <c r="AI87" s="28" t="str">
        <f>IF(OR(IPC_Trimestriel!AM64="",IPC_Trimestriel!AJ64="",IPC_Trimestriel!AF64=""),"",AVERAGE(IPC_Trimestriel!AJ64:AM64)/AVERAGE(IPC_Trimestriel!AF64:AI64)-1)</f>
        <v/>
      </c>
      <c r="AJ87" s="28" t="str">
        <f>IF(OR(IPC_Trimestriel!AN64="",IPC_Trimestriel!AK64="",IPC_Trimestriel!AG64=""),"",AVERAGE(IPC_Trimestriel!AK64:AN64)/AVERAGE(IPC_Trimestriel!AG64:AJ64)-1)</f>
        <v/>
      </c>
      <c r="AK87" s="28" t="str">
        <f>IF(OR(IPC_Trimestriel!AO64="",IPC_Trimestriel!AL64="",IPC_Trimestriel!AH64=""),"",AVERAGE(IPC_Trimestriel!AL64:AO64)/AVERAGE(IPC_Trimestriel!AH64:AK64)-1)</f>
        <v/>
      </c>
      <c r="AL87" s="28" t="str">
        <f>IF(OR(IPC_Trimestriel!AP64="",IPC_Trimestriel!AM64="",IPC_Trimestriel!AI64=""),"",AVERAGE(IPC_Trimestriel!AM64:AP64)/AVERAGE(IPC_Trimestriel!AI64:AL64)-1)</f>
        <v/>
      </c>
      <c r="AM87" s="28" t="str">
        <f>IF(OR(IPC_Trimestriel!AQ64="",IPC_Trimestriel!AN64="",IPC_Trimestriel!AJ64=""),"",AVERAGE(IPC_Trimestriel!AN64:AQ64)/AVERAGE(IPC_Trimestriel!AJ64:AM64)-1)</f>
        <v/>
      </c>
      <c r="AN87" s="28" t="str">
        <f>IF(OR(IPC_Trimestriel!AR64="",IPC_Trimestriel!AO64="",IPC_Trimestriel!AK64=""),"",AVERAGE(IPC_Trimestriel!AO64:AR64)/AVERAGE(IPC_Trimestriel!AK64:AN64)-1)</f>
        <v/>
      </c>
      <c r="AO87" s="28" t="str">
        <f>IF(OR(IPC_Trimestriel!AS64="",IPC_Trimestriel!AP64="",IPC_Trimestriel!AL64=""),"",AVERAGE(IPC_Trimestriel!AP64:AS64)/AVERAGE(IPC_Trimestriel!AL64:AO64)-1)</f>
        <v/>
      </c>
      <c r="AP87" s="28" t="str">
        <f>IF(OR(IPC_Trimestriel!AT64="",IPC_Trimestriel!AQ64="",IPC_Trimestriel!AM64=""),"",AVERAGE(IPC_Trimestriel!AQ64:AT64)/AVERAGE(IPC_Trimestriel!AM64:AP64)-1)</f>
        <v/>
      </c>
      <c r="AQ87" s="28" t="str">
        <f>IF(OR(IPC_Trimestriel!AU64="",IPC_Trimestriel!AR64="",IPC_Trimestriel!AN64=""),"",AVERAGE(IPC_Trimestriel!AR64:AU64)/AVERAGE(IPC_Trimestriel!AN64:AQ64)-1)</f>
        <v/>
      </c>
      <c r="AR87" s="28" t="str">
        <f>IF(OR(IPC_Trimestriel!AV64="",IPC_Trimestriel!AS64="",IPC_Trimestriel!AO64=""),"",AVERAGE(IPC_Trimestriel!AS64:AV64)/AVERAGE(IPC_Trimestriel!AO64:AR64)-1)</f>
        <v/>
      </c>
      <c r="AS87" s="28" t="str">
        <f>IF(OR(IPC_Trimestriel!AW64="",IPC_Trimestriel!AT64="",IPC_Trimestriel!AP64=""),"",AVERAGE(IPC_Trimestriel!AT64:AW64)/AVERAGE(IPC_Trimestriel!AP64:AS64)-1)</f>
        <v/>
      </c>
      <c r="AT87" s="28" t="str">
        <f>IF(OR(IPC_Trimestriel!AX64="",IPC_Trimestriel!AU64="",IPC_Trimestriel!AQ64=""),"",AVERAGE(IPC_Trimestriel!AU64:AX64)/AVERAGE(IPC_Trimestriel!AQ64:AT64)-1)</f>
        <v/>
      </c>
      <c r="AU87" s="28" t="str">
        <f>IF(OR(IPC_Trimestriel!AY64="",IPC_Trimestriel!AV64="",IPC_Trimestriel!AR64=""),"",AVERAGE(IPC_Trimestriel!AV64:AY64)/AVERAGE(IPC_Trimestriel!AR64:AU64)-1)</f>
        <v/>
      </c>
      <c r="AV87" s="28" t="str">
        <f>IF(OR(IPC_Trimestriel!AZ64="",IPC_Trimestriel!AW64="",IPC_Trimestriel!AS64=""),"",AVERAGE(IPC_Trimestriel!AW64:AZ64)/AVERAGE(IPC_Trimestriel!AS64:AV64)-1)</f>
        <v/>
      </c>
      <c r="AW87" s="28" t="str">
        <f>IF(OR(IPC_Trimestriel!BA64="",IPC_Trimestriel!AX64="",IPC_Trimestriel!AT64=""),"",AVERAGE(IPC_Trimestriel!AX64:BA64)/AVERAGE(IPC_Trimestriel!AT64:AW64)-1)</f>
        <v/>
      </c>
      <c r="AX87" s="28" t="str">
        <f>IF(OR(IPC_Trimestriel!BB64="",IPC_Trimestriel!AY64="",IPC_Trimestriel!AU64=""),"",AVERAGE(IPC_Trimestriel!AY64:BB64)/AVERAGE(IPC_Trimestriel!AU64:AX64)-1)</f>
        <v/>
      </c>
      <c r="AY87" s="28" t="str">
        <f>IF(OR(IPC_Trimestriel!BC64="",IPC_Trimestriel!AZ64="",IPC_Trimestriel!AV64=""),"",AVERAGE(IPC_Trimestriel!AZ64:BC64)/AVERAGE(IPC_Trimestriel!AV64:AY64)-1)</f>
        <v/>
      </c>
      <c r="AZ87" s="28" t="str">
        <f>IF(OR(IPC_Trimestriel!BD64="",IPC_Trimestriel!BA64="",IPC_Trimestriel!AW64=""),"",AVERAGE(IPC_Trimestriel!BA64:BD64)/AVERAGE(IPC_Trimestriel!AW64:AZ64)-1)</f>
        <v/>
      </c>
      <c r="BA87" s="28" t="str">
        <f>IF(OR(IPC_Trimestriel!BE64="",IPC_Trimestriel!BB64="",IPC_Trimestriel!AX64=""),"",AVERAGE(IPC_Trimestriel!BB64:BE64)/AVERAGE(IPC_Trimestriel!AX64:BA64)-1)</f>
        <v/>
      </c>
      <c r="BB87" s="28" t="str">
        <f>IF(OR(IPC_Trimestriel!BF64="",IPC_Trimestriel!BC64="",IPC_Trimestriel!AY64=""),"",AVERAGE(IPC_Trimestriel!BC64:BF64)/AVERAGE(IPC_Trimestriel!AY64:BB64)-1)</f>
        <v/>
      </c>
      <c r="BC87" s="28" t="str">
        <f>IF(OR(IPC_Trimestriel!BG64="",IPC_Trimestriel!BD64="",IPC_Trimestriel!AZ64=""),"",AVERAGE(IPC_Trimestriel!BD64:BG64)/AVERAGE(IPC_Trimestriel!AZ64:BC64)-1)</f>
        <v/>
      </c>
      <c r="BD87" s="28" t="str">
        <f>IF(OR(IPC_Trimestriel!BH64="",IPC_Trimestriel!BE64="",IPC_Trimestriel!BA64=""),"",AVERAGE(IPC_Trimestriel!BE64:BH64)/AVERAGE(IPC_Trimestriel!BA64:BD64)-1)</f>
        <v/>
      </c>
      <c r="BE87" s="28" t="str">
        <f>IF(OR(IPC_Trimestriel!BI64="",IPC_Trimestriel!BF64="",IPC_Trimestriel!BB64=""),"",AVERAGE(IPC_Trimestriel!BF64:BI64)/AVERAGE(IPC_Trimestriel!BB64:BE64)-1)</f>
        <v/>
      </c>
      <c r="BF87" s="28" t="str">
        <f>IF(OR(IPC_Trimestriel!BJ64="",IPC_Trimestriel!BG64="",IPC_Trimestriel!BC64=""),"",AVERAGE(IPC_Trimestriel!BG64:BJ64)/AVERAGE(IPC_Trimestriel!BC64:BF64)-1)</f>
        <v/>
      </c>
      <c r="BG87" s="28" t="str">
        <f>IF(OR(IPC_Trimestriel!BK64="",IPC_Trimestriel!BH64="",IPC_Trimestriel!BD64=""),"",AVERAGE(IPC_Trimestriel!BH64:BK64)/AVERAGE(IPC_Trimestriel!BD64:BG64)-1)</f>
        <v/>
      </c>
      <c r="BH87" s="28" t="str">
        <f>IF(OR(IPC_Trimestriel!BL64="",IPC_Trimestriel!BI64="",IPC_Trimestriel!BE64=""),"",AVERAGE(IPC_Trimestriel!BI64:BL64)/AVERAGE(IPC_Trimestriel!BE64:BH64)-1)</f>
        <v/>
      </c>
      <c r="BI87" s="28" t="str">
        <f>IF(OR(IPC_Trimestriel!BM64="",IPC_Trimestriel!BJ64="",IPC_Trimestriel!BF64=""),"",AVERAGE(IPC_Trimestriel!BJ64:BM64)/AVERAGE(IPC_Trimestriel!BF64:BI64)-1)</f>
        <v/>
      </c>
      <c r="BJ87" s="28" t="str">
        <f>IF(OR(IPC_Trimestriel!BN64="",IPC_Trimestriel!BK64="",IPC_Trimestriel!BG64=""),"",AVERAGE(IPC_Trimestriel!BK64:BN64)/AVERAGE(IPC_Trimestriel!BG64:BJ64)-1)</f>
        <v/>
      </c>
      <c r="BK87" s="28" t="str">
        <f>IF(OR(IPC_Trimestriel!BO64="",IPC_Trimestriel!BL64="",IPC_Trimestriel!BH64=""),"",AVERAGE(IPC_Trimestriel!BL64:BO64)/AVERAGE(IPC_Trimestriel!BH64:BK64)-1)</f>
        <v/>
      </c>
      <c r="BL87" s="28" t="str">
        <f>IF(OR(IPC_Trimestriel!BP64="",IPC_Trimestriel!BM64="",IPC_Trimestriel!BI64=""),"",AVERAGE(IPC_Trimestriel!BM64:BP64)/AVERAGE(IPC_Trimestriel!BI64:BL64)-1)</f>
        <v/>
      </c>
      <c r="BM87" s="28" t="str">
        <f>IF(OR(IPC_Trimestriel!BQ64="",IPC_Trimestriel!BN64="",IPC_Trimestriel!BJ64=""),"",AVERAGE(IPC_Trimestriel!BN64:BQ64)/AVERAGE(IPC_Trimestriel!BJ64:BM64)-1)</f>
        <v/>
      </c>
      <c r="BN87" s="28" t="str">
        <f>IF(OR(IPC_Trimestriel!BR64="",IPC_Trimestriel!BO64="",IPC_Trimestriel!BK64=""),"",AVERAGE(IPC_Trimestriel!BO64:BR64)/AVERAGE(IPC_Trimestriel!BK64:BN64)-1)</f>
        <v/>
      </c>
      <c r="BO87" s="28" t="str">
        <f>IF(OR(IPC_Trimestriel!BS64="",IPC_Trimestriel!BP64="",IPC_Trimestriel!BL64=""),"",AVERAGE(IPC_Trimestriel!BP64:BS64)/AVERAGE(IPC_Trimestriel!BL64:BO64)-1)</f>
        <v/>
      </c>
      <c r="BP87" s="28" t="str">
        <f>IF(OR(IPC_Trimestriel!BT64="",IPC_Trimestriel!BQ64="",IPC_Trimestriel!BM64=""),"",AVERAGE(IPC_Trimestriel!BQ64:BT64)/AVERAGE(IPC_Trimestriel!BM64:BP64)-1)</f>
        <v/>
      </c>
      <c r="BQ87" s="28" t="str">
        <f>IF(OR(IPC_Trimestriel!BU64="",IPC_Trimestriel!BR64="",IPC_Trimestriel!BN64=""),"",AVERAGE(IPC_Trimestriel!BR64:BU64)/AVERAGE(IPC_Trimestriel!BN64:BQ64)-1)</f>
        <v/>
      </c>
      <c r="BR87" s="28" t="str">
        <f>IF(OR(IPC_Trimestriel!BV64="",IPC_Trimestriel!BS64="",IPC_Trimestriel!BO64=""),"",AVERAGE(IPC_Trimestriel!BS64:BV64)/AVERAGE(IPC_Trimestriel!BO64:BR64)-1)</f>
        <v/>
      </c>
      <c r="BS87" s="28" t="str">
        <f>IF(OR(IPC_Trimestriel!BW64="",IPC_Trimestriel!BT64="",IPC_Trimestriel!BP64=""),"",AVERAGE(IPC_Trimestriel!BT64:BW64)/AVERAGE(IPC_Trimestriel!BP64:BS64)-1)</f>
        <v/>
      </c>
      <c r="BT87" s="28" t="str">
        <f>IF(OR(IPC_Trimestriel!BX64="",IPC_Trimestriel!BU64="",IPC_Trimestriel!BQ64=""),"",AVERAGE(IPC_Trimestriel!BU64:BX64)/AVERAGE(IPC_Trimestriel!BQ64:BT64)-1)</f>
        <v/>
      </c>
      <c r="BU87" s="28" t="str">
        <f>IF(OR(IPC_Trimestriel!BY64="",IPC_Trimestriel!BV64="",IPC_Trimestriel!BR64=""),"",AVERAGE(IPC_Trimestriel!BV64:BY64)/AVERAGE(IPC_Trimestriel!BR64:BU64)-1)</f>
        <v/>
      </c>
      <c r="BV87" s="28" t="str">
        <f>IF(OR(IPC_Trimestriel!BZ64="",IPC_Trimestriel!BW64="",IPC_Trimestriel!BS64=""),"",AVERAGE(IPC_Trimestriel!BW64:BZ64)/AVERAGE(IPC_Trimestriel!BS64:BV64)-1)</f>
        <v/>
      </c>
      <c r="BW87" s="28" t="str">
        <f>IF(OR(IPC_Trimestriel!CA64="",IPC_Trimestriel!BX64="",IPC_Trimestriel!BT64=""),"",AVERAGE(IPC_Trimestriel!BX64:CA64)/AVERAGE(IPC_Trimestriel!BT64:BW64)-1)</f>
        <v/>
      </c>
      <c r="BX87" s="28" t="str">
        <f>IF(OR(IPC_Trimestriel!CB64="",IPC_Trimestriel!BY64="",IPC_Trimestriel!BU64=""),"",AVERAGE(IPC_Trimestriel!BY64:CB64)/AVERAGE(IPC_Trimestriel!BU64:BX64)-1)</f>
        <v/>
      </c>
      <c r="BY87" s="28" t="str">
        <f>IF(OR(IPC_Trimestriel!CC64="",IPC_Trimestriel!BZ64="",IPC_Trimestriel!BV64=""),"",AVERAGE(IPC_Trimestriel!BZ64:CC64)/AVERAGE(IPC_Trimestriel!BV64:BY64)-1)</f>
        <v/>
      </c>
      <c r="BZ87" s="28" t="str">
        <f>IF(OR(IPC_Trimestriel!CD64="",IPC_Trimestriel!CA64="",IPC_Trimestriel!BW64=""),"",AVERAGE(IPC_Trimestriel!CA64:CD64)/AVERAGE(IPC_Trimestriel!BW64:BZ64)-1)</f>
        <v/>
      </c>
      <c r="CA87" s="28">
        <f>IF(OR(IPC_Trimestriel!CE64="",IPC_Trimestriel!CB64="",IPC_Trimestriel!BX64=""),"",AVERAGE(IPC_Trimestriel!CB64:CE64)/AVERAGE(IPC_Trimestriel!BX64:CA64)-1)</f>
        <v>2.685373552667869E-2</v>
      </c>
      <c r="CB87" s="28">
        <f>IF(OR(IPC_Trimestriel!CF64="",IPC_Trimestriel!CC64="",IPC_Trimestriel!BY64=""),"",AVERAGE(IPC_Trimestriel!CC64:CF64)/AVERAGE(IPC_Trimestriel!BY64:CB64)-1)</f>
        <v>1.3522999773428968E-2</v>
      </c>
      <c r="CC87" s="28">
        <f>IF(OR(IPC_Trimestriel!CG64="",IPC_Trimestriel!CD64="",IPC_Trimestriel!BZ64=""),"",AVERAGE(IPC_Trimestriel!CD64:CG64)/AVERAGE(IPC_Trimestriel!BZ64:CC64)-1)</f>
        <v>1.2559304187717002E-2</v>
      </c>
      <c r="CD87" s="28">
        <f>IF(OR(IPC_Trimestriel!CH64="",IPC_Trimestriel!CE64="",IPC_Trimestriel!CA64=""),"",AVERAGE(IPC_Trimestriel!CE64:CH64)/AVERAGE(IPC_Trimestriel!CA64:CD64)-1)</f>
        <v>1.1968059733376668E-2</v>
      </c>
      <c r="CE87" s="28">
        <f>IF(OR(IPC_Trimestriel!CI64="",IPC_Trimestriel!CF64="",IPC_Trimestriel!CB64=""),"",AVERAGE(IPC_Trimestriel!CF64:CI64)/AVERAGE(IPC_Trimestriel!CB64:CE64)-1)</f>
        <v>2.3038593175244149E-2</v>
      </c>
      <c r="CF87" s="28">
        <f>IF(OR(IPC_Trimestriel!CJ64="",IPC_Trimestriel!CG64="",IPC_Trimestriel!CC64=""),"",AVERAGE(IPC_Trimestriel!CG64:CJ64)/AVERAGE(IPC_Trimestriel!CC64:CF64)-1)</f>
        <v>3.5486964991050751E-2</v>
      </c>
      <c r="CG87" s="28">
        <f>IF(OR(IPC_Trimestriel!CK64="",IPC_Trimestriel!CH64="",IPC_Trimestriel!CD64=""),"",AVERAGE(IPC_Trimestriel!CH64:CK64)/AVERAGE(IPC_Trimestriel!CD64:CG64)-1)</f>
        <v>3.4987715994637236E-2</v>
      </c>
      <c r="CH87" s="28">
        <f>IF(OR(IPC_Trimestriel!CL64="",IPC_Trimestriel!CI64="",IPC_Trimestriel!CE64=""),"",AVERAGE(IPC_Trimestriel!CI64:CL64)/AVERAGE(IPC_Trimestriel!CE64:CH64)-1)</f>
        <v>3.4716334741355048E-2</v>
      </c>
      <c r="CI87" s="28">
        <f>IF(OR(IPC_Trimestriel!CM64="",IPC_Trimestriel!CJ64="",IPC_Trimestriel!CF64=""),"",AVERAGE(IPC_Trimestriel!CJ64:CM64)/AVERAGE(IPC_Trimestriel!CF64:CI64)-1)</f>
        <v>2.8091715128319539E-2</v>
      </c>
      <c r="CJ87" s="28">
        <f>IF(OR(IPC_Trimestriel!CN64="",IPC_Trimestriel!CK64="",IPC_Trimestriel!CG64=""),"",AVERAGE(IPC_Trimestriel!CK64:CN64)/AVERAGE(IPC_Trimestriel!CG64:CJ64)-1)</f>
        <v>2.1879472754899432E-2</v>
      </c>
      <c r="CK87" s="28">
        <f>IF(OR(IPC_Trimestriel!CO64="",IPC_Trimestriel!CL64="",IPC_Trimestriel!CH64=""),"",AVERAGE(IPC_Trimestriel!CL64:CO64)/AVERAGE(IPC_Trimestriel!CH64:CK64)-1)</f>
        <v>3.0692271729488629E-2</v>
      </c>
      <c r="CL87" s="28">
        <f>IF(OR(IPC_Trimestriel!CP64="",IPC_Trimestriel!CM64="",IPC_Trimestriel!CI64=""),"",AVERAGE(IPC_Trimestriel!CM64:CP64)/AVERAGE(IPC_Trimestriel!CI64:CL64)-1)</f>
        <v>3.9815076427073937E-2</v>
      </c>
      <c r="CM87" s="28">
        <f>IF(OR(IPC_Trimestriel!CQ64="",IPC_Trimestriel!CN64="",IPC_Trimestriel!CJ64=""),"",AVERAGE(IPC_Trimestriel!CN64:CQ64)/AVERAGE(IPC_Trimestriel!CJ64:CM64)-1)</f>
        <v>5.5794115031942315E-2</v>
      </c>
      <c r="CN87" s="28">
        <f>IF(OR(IPC_Trimestriel!CR64="",IPC_Trimestriel!CO64="",IPC_Trimestriel!CK64=""),"",AVERAGE(IPC_Trimestriel!CO64:CR64)/AVERAGE(IPC_Trimestriel!CK64:CN64)-1)</f>
        <v>7.0536069922159772E-2</v>
      </c>
      <c r="CO87" s="28">
        <f>IF(OR(IPC_Trimestriel!CS64="",IPC_Trimestriel!CP64="",IPC_Trimestriel!CL64=""),"",AVERAGE(IPC_Trimestriel!CP64:CS64)/AVERAGE(IPC_Trimestriel!CL64:CO64)-1)</f>
        <v>5.4832974645073085E-2</v>
      </c>
      <c r="CP87" s="28">
        <f>IF(OR(IPC_Trimestriel!CT64="",IPC_Trimestriel!CQ64="",IPC_Trimestriel!CM64=""),"",AVERAGE(IPC_Trimestriel!CQ64:CT64)/AVERAGE(IPC_Trimestriel!CM64:CP64)-1)</f>
        <v>4.3080979758025384E-2</v>
      </c>
    </row>
    <row r="88" spans="1:94" x14ac:dyDescent="0.25">
      <c r="A88" s="11"/>
      <c r="B88" s="73" t="s">
        <v>42</v>
      </c>
      <c r="C88" s="17"/>
      <c r="D88" s="28"/>
      <c r="E88" s="28"/>
      <c r="F88" s="28"/>
      <c r="G88" s="28" t="str">
        <f>IF(OR(IPC_Trimestriel!K65="",IPC_Trimestriel!H65="",IPC_Trimestriel!D65=""),"",AVERAGE(IPC_Trimestriel!H65:K65)/AVERAGE(IPC_Trimestriel!D65:G65)-1)</f>
        <v/>
      </c>
      <c r="H88" s="28" t="str">
        <f>IF(OR(IPC_Trimestriel!L65="",IPC_Trimestriel!I65="",IPC_Trimestriel!E65=""),"",AVERAGE(IPC_Trimestriel!I65:L65)/AVERAGE(IPC_Trimestriel!E65:H65)-1)</f>
        <v/>
      </c>
      <c r="I88" s="28" t="str">
        <f>IF(OR(IPC_Trimestriel!M65="",IPC_Trimestriel!J65="",IPC_Trimestriel!F65=""),"",AVERAGE(IPC_Trimestriel!J65:M65)/AVERAGE(IPC_Trimestriel!F65:I65)-1)</f>
        <v/>
      </c>
      <c r="J88" s="28" t="str">
        <f>IF(OR(IPC_Trimestriel!N65="",IPC_Trimestriel!K65="",IPC_Trimestriel!G65=""),"",AVERAGE(IPC_Trimestriel!K65:N65)/AVERAGE(IPC_Trimestriel!G65:J65)-1)</f>
        <v/>
      </c>
      <c r="K88" s="28" t="str">
        <f>IF(OR(IPC_Trimestriel!O65="",IPC_Trimestriel!L65="",IPC_Trimestriel!H65=""),"",AVERAGE(IPC_Trimestriel!L65:O65)/AVERAGE(IPC_Trimestriel!H65:K65)-1)</f>
        <v/>
      </c>
      <c r="L88" s="28" t="str">
        <f>IF(OR(IPC_Trimestriel!P65="",IPC_Trimestriel!M65="",IPC_Trimestriel!I65=""),"",AVERAGE(IPC_Trimestriel!M65:P65)/AVERAGE(IPC_Trimestriel!I65:L65)-1)</f>
        <v/>
      </c>
      <c r="M88" s="28" t="str">
        <f>IF(OR(IPC_Trimestriel!Q65="",IPC_Trimestriel!N65="",IPC_Trimestriel!J65=""),"",AVERAGE(IPC_Trimestriel!N65:Q65)/AVERAGE(IPC_Trimestriel!J65:M65)-1)</f>
        <v/>
      </c>
      <c r="N88" s="28" t="str">
        <f>IF(OR(IPC_Trimestriel!R65="",IPC_Trimestriel!O65="",IPC_Trimestriel!K65=""),"",AVERAGE(IPC_Trimestriel!O65:R65)/AVERAGE(IPC_Trimestriel!K65:N65)-1)</f>
        <v/>
      </c>
      <c r="O88" s="28" t="str">
        <f>IF(OR(IPC_Trimestriel!S65="",IPC_Trimestriel!P65="",IPC_Trimestriel!L65=""),"",AVERAGE(IPC_Trimestriel!P65:S65)/AVERAGE(IPC_Trimestriel!L65:O65)-1)</f>
        <v/>
      </c>
      <c r="P88" s="28" t="str">
        <f>IF(OR(IPC_Trimestriel!T65="",IPC_Trimestriel!Q65="",IPC_Trimestriel!M65=""),"",AVERAGE(IPC_Trimestriel!Q65:T65)/AVERAGE(IPC_Trimestriel!M65:P65)-1)</f>
        <v/>
      </c>
      <c r="Q88" s="28" t="str">
        <f>IF(OR(IPC_Trimestriel!U65="",IPC_Trimestriel!R65="",IPC_Trimestriel!N65=""),"",AVERAGE(IPC_Trimestriel!R65:U65)/AVERAGE(IPC_Trimestriel!N65:Q65)-1)</f>
        <v/>
      </c>
      <c r="R88" s="28" t="str">
        <f>IF(OR(IPC_Trimestriel!V65="",IPC_Trimestriel!S65="",IPC_Trimestriel!O65=""),"",AVERAGE(IPC_Trimestriel!S65:V65)/AVERAGE(IPC_Trimestriel!O65:R65)-1)</f>
        <v/>
      </c>
      <c r="S88" s="28" t="str">
        <f>IF(OR(IPC_Trimestriel!W65="",IPC_Trimestriel!T65="",IPC_Trimestriel!P65=""),"",AVERAGE(IPC_Trimestriel!T65:W65)/AVERAGE(IPC_Trimestriel!P65:S65)-1)</f>
        <v/>
      </c>
      <c r="T88" s="28" t="str">
        <f>IF(OR(IPC_Trimestriel!X65="",IPC_Trimestriel!U65="",IPC_Trimestriel!Q65=""),"",AVERAGE(IPC_Trimestriel!U65:X65)/AVERAGE(IPC_Trimestriel!Q65:T65)-1)</f>
        <v/>
      </c>
      <c r="U88" s="28" t="str">
        <f>IF(OR(IPC_Trimestriel!Y65="",IPC_Trimestriel!V65="",IPC_Trimestriel!R65=""),"",AVERAGE(IPC_Trimestriel!V65:Y65)/AVERAGE(IPC_Trimestriel!R65:U65)-1)</f>
        <v/>
      </c>
      <c r="V88" s="28" t="str">
        <f>IF(OR(IPC_Trimestriel!Z65="",IPC_Trimestriel!W65="",IPC_Trimestriel!S65=""),"",AVERAGE(IPC_Trimestriel!W65:Z65)/AVERAGE(IPC_Trimestriel!S65:V65)-1)</f>
        <v/>
      </c>
      <c r="W88" s="28" t="str">
        <f>IF(OR(IPC_Trimestriel!AA65="",IPC_Trimestriel!X65="",IPC_Trimestriel!T65=""),"",AVERAGE(IPC_Trimestriel!X65:AA65)/AVERAGE(IPC_Trimestriel!T65:W65)-1)</f>
        <v/>
      </c>
      <c r="X88" s="28" t="str">
        <f>IF(OR(IPC_Trimestriel!AB65="",IPC_Trimestriel!Y65="",IPC_Trimestriel!U65=""),"",AVERAGE(IPC_Trimestriel!Y65:AB65)/AVERAGE(IPC_Trimestriel!U65:X65)-1)</f>
        <v/>
      </c>
      <c r="Y88" s="28" t="str">
        <f>IF(OR(IPC_Trimestriel!AC65="",IPC_Trimestriel!Z65="",IPC_Trimestriel!V65=""),"",AVERAGE(IPC_Trimestriel!Z65:AC65)/AVERAGE(IPC_Trimestriel!V65:Y65)-1)</f>
        <v/>
      </c>
      <c r="Z88" s="28" t="str">
        <f>IF(OR(IPC_Trimestriel!AD65="",IPC_Trimestriel!AA65="",IPC_Trimestriel!W65=""),"",AVERAGE(IPC_Trimestriel!AA65:AD65)/AVERAGE(IPC_Trimestriel!W65:Z65)-1)</f>
        <v/>
      </c>
      <c r="AA88" s="28" t="str">
        <f>IF(OR(IPC_Trimestriel!AE65="",IPC_Trimestriel!AB65="",IPC_Trimestriel!X65=""),"",AVERAGE(IPC_Trimestriel!AB65:AE65)/AVERAGE(IPC_Trimestriel!X65:AA65)-1)</f>
        <v/>
      </c>
      <c r="AB88" s="28" t="str">
        <f>IF(OR(IPC_Trimestriel!AF65="",IPC_Trimestriel!AC65="",IPC_Trimestriel!Y65=""),"",AVERAGE(IPC_Trimestriel!AC65:AF65)/AVERAGE(IPC_Trimestriel!Y65:AB65)-1)</f>
        <v/>
      </c>
      <c r="AC88" s="28" t="str">
        <f>IF(OR(IPC_Trimestriel!AG65="",IPC_Trimestriel!AD65="",IPC_Trimestriel!Z65=""),"",AVERAGE(IPC_Trimestriel!AD65:AG65)/AVERAGE(IPC_Trimestriel!Z65:AC65)-1)</f>
        <v/>
      </c>
      <c r="AD88" s="28" t="str">
        <f>IF(OR(IPC_Trimestriel!AH65="",IPC_Trimestriel!AE65="",IPC_Trimestriel!AA65=""),"",AVERAGE(IPC_Trimestriel!AE65:AH65)/AVERAGE(IPC_Trimestriel!AA65:AD65)-1)</f>
        <v/>
      </c>
      <c r="AE88" s="28" t="str">
        <f>IF(OR(IPC_Trimestriel!AI65="",IPC_Trimestriel!AF65="",IPC_Trimestriel!AB65=""),"",AVERAGE(IPC_Trimestriel!AF65:AI65)/AVERAGE(IPC_Trimestriel!AB65:AE65)-1)</f>
        <v/>
      </c>
      <c r="AF88" s="28" t="str">
        <f>IF(OR(IPC_Trimestriel!AJ65="",IPC_Trimestriel!AG65="",IPC_Trimestriel!AC65=""),"",AVERAGE(IPC_Trimestriel!AG65:AJ65)/AVERAGE(IPC_Trimestriel!AC65:AF65)-1)</f>
        <v/>
      </c>
      <c r="AG88" s="28" t="str">
        <f>IF(OR(IPC_Trimestriel!AK65="",IPC_Trimestriel!AH65="",IPC_Trimestriel!AD65=""),"",AVERAGE(IPC_Trimestriel!AH65:AK65)/AVERAGE(IPC_Trimestriel!AD65:AG65)-1)</f>
        <v/>
      </c>
      <c r="AH88" s="28" t="str">
        <f>IF(OR(IPC_Trimestriel!AL65="",IPC_Trimestriel!AI65="",IPC_Trimestriel!AE65=""),"",AVERAGE(IPC_Trimestriel!AI65:AL65)/AVERAGE(IPC_Trimestriel!AE65:AH65)-1)</f>
        <v/>
      </c>
      <c r="AI88" s="28" t="str">
        <f>IF(OR(IPC_Trimestriel!AM65="",IPC_Trimestriel!AJ65="",IPC_Trimestriel!AF65=""),"",AVERAGE(IPC_Trimestriel!AJ65:AM65)/AVERAGE(IPC_Trimestriel!AF65:AI65)-1)</f>
        <v/>
      </c>
      <c r="AJ88" s="28" t="str">
        <f>IF(OR(IPC_Trimestriel!AN65="",IPC_Trimestriel!AK65="",IPC_Trimestriel!AG65=""),"",AVERAGE(IPC_Trimestriel!AK65:AN65)/AVERAGE(IPC_Trimestriel!AG65:AJ65)-1)</f>
        <v/>
      </c>
      <c r="AK88" s="28" t="str">
        <f>IF(OR(IPC_Trimestriel!AO65="",IPC_Trimestriel!AL65="",IPC_Trimestriel!AH65=""),"",AVERAGE(IPC_Trimestriel!AL65:AO65)/AVERAGE(IPC_Trimestriel!AH65:AK65)-1)</f>
        <v/>
      </c>
      <c r="AL88" s="28" t="str">
        <f>IF(OR(IPC_Trimestriel!AP65="",IPC_Trimestriel!AM65="",IPC_Trimestriel!AI65=""),"",AVERAGE(IPC_Trimestriel!AM65:AP65)/AVERAGE(IPC_Trimestriel!AI65:AL65)-1)</f>
        <v/>
      </c>
      <c r="AM88" s="28" t="str">
        <f>IF(OR(IPC_Trimestriel!AQ65="",IPC_Trimestriel!AN65="",IPC_Trimestriel!AJ65=""),"",AVERAGE(IPC_Trimestriel!AN65:AQ65)/AVERAGE(IPC_Trimestriel!AJ65:AM65)-1)</f>
        <v/>
      </c>
      <c r="AN88" s="28" t="str">
        <f>IF(OR(IPC_Trimestriel!AR65="",IPC_Trimestriel!AO65="",IPC_Trimestriel!AK65=""),"",AVERAGE(IPC_Trimestriel!AO65:AR65)/AVERAGE(IPC_Trimestriel!AK65:AN65)-1)</f>
        <v/>
      </c>
      <c r="AO88" s="28" t="str">
        <f>IF(OR(IPC_Trimestriel!AS65="",IPC_Trimestriel!AP65="",IPC_Trimestriel!AL65=""),"",AVERAGE(IPC_Trimestriel!AP65:AS65)/AVERAGE(IPC_Trimestriel!AL65:AO65)-1)</f>
        <v/>
      </c>
      <c r="AP88" s="28" t="str">
        <f>IF(OR(IPC_Trimestriel!AT65="",IPC_Trimestriel!AQ65="",IPC_Trimestriel!AM65=""),"",AVERAGE(IPC_Trimestriel!AQ65:AT65)/AVERAGE(IPC_Trimestriel!AM65:AP65)-1)</f>
        <v/>
      </c>
      <c r="AQ88" s="28" t="str">
        <f>IF(OR(IPC_Trimestriel!AU65="",IPC_Trimestriel!AR65="",IPC_Trimestriel!AN65=""),"",AVERAGE(IPC_Trimestriel!AR65:AU65)/AVERAGE(IPC_Trimestriel!AN65:AQ65)-1)</f>
        <v/>
      </c>
      <c r="AR88" s="28" t="str">
        <f>IF(OR(IPC_Trimestriel!AV65="",IPC_Trimestriel!AS65="",IPC_Trimestriel!AO65=""),"",AVERAGE(IPC_Trimestriel!AS65:AV65)/AVERAGE(IPC_Trimestriel!AO65:AR65)-1)</f>
        <v/>
      </c>
      <c r="AS88" s="28" t="str">
        <f>IF(OR(IPC_Trimestriel!AW65="",IPC_Trimestriel!AT65="",IPC_Trimestriel!AP65=""),"",AVERAGE(IPC_Trimestriel!AT65:AW65)/AVERAGE(IPC_Trimestriel!AP65:AS65)-1)</f>
        <v/>
      </c>
      <c r="AT88" s="28" t="str">
        <f>IF(OR(IPC_Trimestriel!AX65="",IPC_Trimestriel!AU65="",IPC_Trimestriel!AQ65=""),"",AVERAGE(IPC_Trimestriel!AU65:AX65)/AVERAGE(IPC_Trimestriel!AQ65:AT65)-1)</f>
        <v/>
      </c>
      <c r="AU88" s="28" t="str">
        <f>IF(OR(IPC_Trimestriel!AY65="",IPC_Trimestriel!AV65="",IPC_Trimestriel!AR65=""),"",AVERAGE(IPC_Trimestriel!AV65:AY65)/AVERAGE(IPC_Trimestriel!AR65:AU65)-1)</f>
        <v/>
      </c>
      <c r="AV88" s="28" t="str">
        <f>IF(OR(IPC_Trimestriel!AZ65="",IPC_Trimestriel!AW65="",IPC_Trimestriel!AS65=""),"",AVERAGE(IPC_Trimestriel!AW65:AZ65)/AVERAGE(IPC_Trimestriel!AS65:AV65)-1)</f>
        <v/>
      </c>
      <c r="AW88" s="28" t="str">
        <f>IF(OR(IPC_Trimestriel!BA65="",IPC_Trimestriel!AX65="",IPC_Trimestriel!AT65=""),"",AVERAGE(IPC_Trimestriel!AX65:BA65)/AVERAGE(IPC_Trimestriel!AT65:AW65)-1)</f>
        <v/>
      </c>
      <c r="AX88" s="28" t="str">
        <f>IF(OR(IPC_Trimestriel!BB65="",IPC_Trimestriel!AY65="",IPC_Trimestriel!AU65=""),"",AVERAGE(IPC_Trimestriel!AY65:BB65)/AVERAGE(IPC_Trimestriel!AU65:AX65)-1)</f>
        <v/>
      </c>
      <c r="AY88" s="28" t="str">
        <f>IF(OR(IPC_Trimestriel!BC65="",IPC_Trimestriel!AZ65="",IPC_Trimestriel!AV65=""),"",AVERAGE(IPC_Trimestriel!AZ65:BC65)/AVERAGE(IPC_Trimestriel!AV65:AY65)-1)</f>
        <v/>
      </c>
      <c r="AZ88" s="28" t="str">
        <f>IF(OR(IPC_Trimestriel!BD65="",IPC_Trimestriel!BA65="",IPC_Trimestriel!AW65=""),"",AVERAGE(IPC_Trimestriel!BA65:BD65)/AVERAGE(IPC_Trimestriel!AW65:AZ65)-1)</f>
        <v/>
      </c>
      <c r="BA88" s="28" t="str">
        <f>IF(OR(IPC_Trimestriel!BE65="",IPC_Trimestriel!BB65="",IPC_Trimestriel!AX65=""),"",AVERAGE(IPC_Trimestriel!BB65:BE65)/AVERAGE(IPC_Trimestriel!AX65:BA65)-1)</f>
        <v/>
      </c>
      <c r="BB88" s="28" t="str">
        <f>IF(OR(IPC_Trimestriel!BF65="",IPC_Trimestriel!BC65="",IPC_Trimestriel!AY65=""),"",AVERAGE(IPC_Trimestriel!BC65:BF65)/AVERAGE(IPC_Trimestriel!AY65:BB65)-1)</f>
        <v/>
      </c>
      <c r="BC88" s="28" t="str">
        <f>IF(OR(IPC_Trimestriel!BG65="",IPC_Trimestriel!BD65="",IPC_Trimestriel!AZ65=""),"",AVERAGE(IPC_Trimestriel!BD65:BG65)/AVERAGE(IPC_Trimestriel!AZ65:BC65)-1)</f>
        <v/>
      </c>
      <c r="BD88" s="28" t="str">
        <f>IF(OR(IPC_Trimestriel!BH65="",IPC_Trimestriel!BE65="",IPC_Trimestriel!BA65=""),"",AVERAGE(IPC_Trimestriel!BE65:BH65)/AVERAGE(IPC_Trimestriel!BA65:BD65)-1)</f>
        <v/>
      </c>
      <c r="BE88" s="28" t="str">
        <f>IF(OR(IPC_Trimestriel!BI65="",IPC_Trimestriel!BF65="",IPC_Trimestriel!BB65=""),"",AVERAGE(IPC_Trimestriel!BF65:BI65)/AVERAGE(IPC_Trimestriel!BB65:BE65)-1)</f>
        <v/>
      </c>
      <c r="BF88" s="28" t="str">
        <f>IF(OR(IPC_Trimestriel!BJ65="",IPC_Trimestriel!BG65="",IPC_Trimestriel!BC65=""),"",AVERAGE(IPC_Trimestriel!BG65:BJ65)/AVERAGE(IPC_Trimestriel!BC65:BF65)-1)</f>
        <v/>
      </c>
      <c r="BG88" s="28" t="str">
        <f>IF(OR(IPC_Trimestriel!BK65="",IPC_Trimestriel!BH65="",IPC_Trimestriel!BD65=""),"",AVERAGE(IPC_Trimestriel!BH65:BK65)/AVERAGE(IPC_Trimestriel!BD65:BG65)-1)</f>
        <v/>
      </c>
      <c r="BH88" s="28" t="str">
        <f>IF(OR(IPC_Trimestriel!BL65="",IPC_Trimestriel!BI65="",IPC_Trimestriel!BE65=""),"",AVERAGE(IPC_Trimestriel!BI65:BL65)/AVERAGE(IPC_Trimestriel!BE65:BH65)-1)</f>
        <v/>
      </c>
      <c r="BI88" s="28" t="str">
        <f>IF(OR(IPC_Trimestriel!BM65="",IPC_Trimestriel!BJ65="",IPC_Trimestriel!BF65=""),"",AVERAGE(IPC_Trimestriel!BJ65:BM65)/AVERAGE(IPC_Trimestriel!BF65:BI65)-1)</f>
        <v/>
      </c>
      <c r="BJ88" s="28" t="str">
        <f>IF(OR(IPC_Trimestriel!BN65="",IPC_Trimestriel!BK65="",IPC_Trimestriel!BG65=""),"",AVERAGE(IPC_Trimestriel!BK65:BN65)/AVERAGE(IPC_Trimestriel!BG65:BJ65)-1)</f>
        <v/>
      </c>
      <c r="BK88" s="28" t="str">
        <f>IF(OR(IPC_Trimestriel!BO65="",IPC_Trimestriel!BL65="",IPC_Trimestriel!BH65=""),"",AVERAGE(IPC_Trimestriel!BL65:BO65)/AVERAGE(IPC_Trimestriel!BH65:BK65)-1)</f>
        <v/>
      </c>
      <c r="BL88" s="28" t="str">
        <f>IF(OR(IPC_Trimestriel!BP65="",IPC_Trimestriel!BM65="",IPC_Trimestriel!BI65=""),"",AVERAGE(IPC_Trimestriel!BM65:BP65)/AVERAGE(IPC_Trimestriel!BI65:BL65)-1)</f>
        <v/>
      </c>
      <c r="BM88" s="28" t="str">
        <f>IF(OR(IPC_Trimestriel!BQ65="",IPC_Trimestriel!BN65="",IPC_Trimestriel!BJ65=""),"",AVERAGE(IPC_Trimestriel!BN65:BQ65)/AVERAGE(IPC_Trimestriel!BJ65:BM65)-1)</f>
        <v/>
      </c>
      <c r="BN88" s="28" t="str">
        <f>IF(OR(IPC_Trimestriel!BR65="",IPC_Trimestriel!BO65="",IPC_Trimestriel!BK65=""),"",AVERAGE(IPC_Trimestriel!BO65:BR65)/AVERAGE(IPC_Trimestriel!BK65:BN65)-1)</f>
        <v/>
      </c>
      <c r="BO88" s="28" t="str">
        <f>IF(OR(IPC_Trimestriel!BS65="",IPC_Trimestriel!BP65="",IPC_Trimestriel!BL65=""),"",AVERAGE(IPC_Trimestriel!BP65:BS65)/AVERAGE(IPC_Trimestriel!BL65:BO65)-1)</f>
        <v/>
      </c>
      <c r="BP88" s="28" t="str">
        <f>IF(OR(IPC_Trimestriel!BT65="",IPC_Trimestriel!BQ65="",IPC_Trimestriel!BM65=""),"",AVERAGE(IPC_Trimestriel!BQ65:BT65)/AVERAGE(IPC_Trimestriel!BM65:BP65)-1)</f>
        <v/>
      </c>
      <c r="BQ88" s="28" t="str">
        <f>IF(OR(IPC_Trimestriel!BU65="",IPC_Trimestriel!BR65="",IPC_Trimestriel!BN65=""),"",AVERAGE(IPC_Trimestriel!BR65:BU65)/AVERAGE(IPC_Trimestriel!BN65:BQ65)-1)</f>
        <v/>
      </c>
      <c r="BR88" s="28" t="str">
        <f>IF(OR(IPC_Trimestriel!BV65="",IPC_Trimestriel!BS65="",IPC_Trimestriel!BO65=""),"",AVERAGE(IPC_Trimestriel!BS65:BV65)/AVERAGE(IPC_Trimestriel!BO65:BR65)-1)</f>
        <v/>
      </c>
      <c r="BS88" s="28" t="str">
        <f>IF(OR(IPC_Trimestriel!BW65="",IPC_Trimestriel!BT65="",IPC_Trimestriel!BP65=""),"",AVERAGE(IPC_Trimestriel!BT65:BW65)/AVERAGE(IPC_Trimestriel!BP65:BS65)-1)</f>
        <v/>
      </c>
      <c r="BT88" s="28" t="str">
        <f>IF(OR(IPC_Trimestriel!BX65="",IPC_Trimestriel!BU65="",IPC_Trimestriel!BQ65=""),"",AVERAGE(IPC_Trimestriel!BU65:BX65)/AVERAGE(IPC_Trimestriel!BQ65:BT65)-1)</f>
        <v/>
      </c>
      <c r="BU88" s="28" t="str">
        <f>IF(OR(IPC_Trimestriel!BY65="",IPC_Trimestriel!BV65="",IPC_Trimestriel!BR65=""),"",AVERAGE(IPC_Trimestriel!BV65:BY65)/AVERAGE(IPC_Trimestriel!BR65:BU65)-1)</f>
        <v/>
      </c>
      <c r="BV88" s="28" t="str">
        <f>IF(OR(IPC_Trimestriel!BZ65="",IPC_Trimestriel!BW65="",IPC_Trimestriel!BS65=""),"",AVERAGE(IPC_Trimestriel!BW65:BZ65)/AVERAGE(IPC_Trimestriel!BS65:BV65)-1)</f>
        <v/>
      </c>
      <c r="BW88" s="28" t="str">
        <f>IF(OR(IPC_Trimestriel!CA65="",IPC_Trimestriel!BX65="",IPC_Trimestriel!BT65=""),"",AVERAGE(IPC_Trimestriel!BX65:CA65)/AVERAGE(IPC_Trimestriel!BT65:BW65)-1)</f>
        <v/>
      </c>
      <c r="BX88" s="28" t="str">
        <f>IF(OR(IPC_Trimestriel!CB65="",IPC_Trimestriel!BY65="",IPC_Trimestriel!BU65=""),"",AVERAGE(IPC_Trimestriel!BY65:CB65)/AVERAGE(IPC_Trimestriel!BU65:BX65)-1)</f>
        <v/>
      </c>
      <c r="BY88" s="28" t="str">
        <f>IF(OR(IPC_Trimestriel!CC65="",IPC_Trimestriel!BZ65="",IPC_Trimestriel!BV65=""),"",AVERAGE(IPC_Trimestriel!BZ65:CC65)/AVERAGE(IPC_Trimestriel!BV65:BY65)-1)</f>
        <v/>
      </c>
      <c r="BZ88" s="28" t="str">
        <f>IF(OR(IPC_Trimestriel!CD65="",IPC_Trimestriel!CA65="",IPC_Trimestriel!BW65=""),"",AVERAGE(IPC_Trimestriel!CA65:CD65)/AVERAGE(IPC_Trimestriel!BW65:BZ65)-1)</f>
        <v/>
      </c>
      <c r="CA88" s="28">
        <f>IF(OR(IPC_Trimestriel!CE65="",IPC_Trimestriel!CB65="",IPC_Trimestriel!BX65=""),"",AVERAGE(IPC_Trimestriel!CB65:CE65)/AVERAGE(IPC_Trimestriel!BX65:CA65)-1)</f>
        <v>1.5539624416383901E-2</v>
      </c>
      <c r="CB88" s="28">
        <f>IF(OR(IPC_Trimestriel!CF65="",IPC_Trimestriel!CC65="",IPC_Trimestriel!BY65=""),"",AVERAGE(IPC_Trimestriel!CC65:CF65)/AVERAGE(IPC_Trimestriel!BY65:CB65)-1)</f>
        <v>1.4510047354226341E-2</v>
      </c>
      <c r="CC88" s="28">
        <f>IF(OR(IPC_Trimestriel!CG65="",IPC_Trimestriel!CD65="",IPC_Trimestriel!BZ65=""),"",AVERAGE(IPC_Trimestriel!CD65:CG65)/AVERAGE(IPC_Trimestriel!BZ65:CC65)-1)</f>
        <v>1.5269833185005632E-2</v>
      </c>
      <c r="CD88" s="28">
        <f>IF(OR(IPC_Trimestriel!CH65="",IPC_Trimestriel!CE65="",IPC_Trimestriel!CA65=""),"",AVERAGE(IPC_Trimestriel!CE65:CH65)/AVERAGE(IPC_Trimestriel!CA65:CD65)-1)</f>
        <v>1.0103628064628944E-2</v>
      </c>
      <c r="CE88" s="28">
        <f>IF(OR(IPC_Trimestriel!CI65="",IPC_Trimestriel!CF65="",IPC_Trimestriel!CB65=""),"",AVERAGE(IPC_Trimestriel!CF65:CI65)/AVERAGE(IPC_Trimestriel!CB65:CE65)-1)</f>
        <v>2.1765527710320143E-3</v>
      </c>
      <c r="CF88" s="28">
        <f>IF(OR(IPC_Trimestriel!CJ65="",IPC_Trimestriel!CG65="",IPC_Trimestriel!CC65=""),"",AVERAGE(IPC_Trimestriel!CG65:CJ65)/AVERAGE(IPC_Trimestriel!CC65:CF65)-1)</f>
        <v>6.020705297409723E-3</v>
      </c>
      <c r="CG88" s="28">
        <f>IF(OR(IPC_Trimestriel!CK65="",IPC_Trimestriel!CH65="",IPC_Trimestriel!CD65=""),"",AVERAGE(IPC_Trimestriel!CH65:CK65)/AVERAGE(IPC_Trimestriel!CD65:CG65)-1)</f>
        <v>4.2901957368333132E-3</v>
      </c>
      <c r="CH88" s="28">
        <f>IF(OR(IPC_Trimestriel!CL65="",IPC_Trimestriel!CI65="",IPC_Trimestriel!CE65=""),"",AVERAGE(IPC_Trimestriel!CI65:CL65)/AVERAGE(IPC_Trimestriel!CE65:CH65)-1)</f>
        <v>1.2174564613270045E-2</v>
      </c>
      <c r="CI88" s="28">
        <f>IF(OR(IPC_Trimestriel!CM65="",IPC_Trimestriel!CJ65="",IPC_Trimestriel!CF65=""),"",AVERAGE(IPC_Trimestriel!CJ65:CM65)/AVERAGE(IPC_Trimestriel!CF65:CI65)-1)</f>
        <v>1.9651191353475594E-2</v>
      </c>
      <c r="CJ88" s="28">
        <f>IF(OR(IPC_Trimestriel!CN65="",IPC_Trimestriel!CK65="",IPC_Trimestriel!CG65=""),"",AVERAGE(IPC_Trimestriel!CK65:CN65)/AVERAGE(IPC_Trimestriel!CG65:CJ65)-1)</f>
        <v>2.0506651118902486E-2</v>
      </c>
      <c r="CK88" s="28">
        <f>IF(OR(IPC_Trimestriel!CO65="",IPC_Trimestriel!CL65="",IPC_Trimestriel!CH65=""),"",AVERAGE(IPC_Trimestriel!CL65:CO65)/AVERAGE(IPC_Trimestriel!CH65:CK65)-1)</f>
        <v>2.6233362151471873E-2</v>
      </c>
      <c r="CL88" s="28">
        <f>IF(OR(IPC_Trimestriel!CP65="",IPC_Trimestriel!CM65="",IPC_Trimestriel!CI65=""),"",AVERAGE(IPC_Trimestriel!CM65:CP65)/AVERAGE(IPC_Trimestriel!CI65:CL65)-1)</f>
        <v>2.7489751175229671E-2</v>
      </c>
      <c r="CM88" s="28">
        <f>IF(OR(IPC_Trimestriel!CQ65="",IPC_Trimestriel!CN65="",IPC_Trimestriel!CJ65=""),"",AVERAGE(IPC_Trimestriel!CN65:CQ65)/AVERAGE(IPC_Trimestriel!CJ65:CM65)-1)</f>
        <v>3.0400802484160883E-2</v>
      </c>
      <c r="CN88" s="28">
        <f>IF(OR(IPC_Trimestriel!CR65="",IPC_Trimestriel!CO65="",IPC_Trimestriel!CK65=""),"",AVERAGE(IPC_Trimestriel!CO65:CR65)/AVERAGE(IPC_Trimestriel!CK65:CN65)-1)</f>
        <v>3.2155976389468766E-2</v>
      </c>
      <c r="CO88" s="28">
        <f>IF(OR(IPC_Trimestriel!CS65="",IPC_Trimestriel!CP65="",IPC_Trimestriel!CL65=""),"",AVERAGE(IPC_Trimestriel!CP65:CS65)/AVERAGE(IPC_Trimestriel!CL65:CO65)-1)</f>
        <v>3.3613100432425158E-2</v>
      </c>
      <c r="CP88" s="28">
        <f>IF(OR(IPC_Trimestriel!CT65="",IPC_Trimestriel!CQ65="",IPC_Trimestriel!CM65=""),"",AVERAGE(IPC_Trimestriel!CQ65:CT65)/AVERAGE(IPC_Trimestriel!CM65:CP65)-1)</f>
        <v>3.8409077280165071E-2</v>
      </c>
    </row>
    <row r="89" spans="1:94" x14ac:dyDescent="0.25">
      <c r="A89" s="11"/>
      <c r="B89" s="73" t="s">
        <v>43</v>
      </c>
      <c r="C89" s="17"/>
      <c r="D89" s="28"/>
      <c r="E89" s="28"/>
      <c r="F89" s="28"/>
      <c r="G89" s="28" t="str">
        <f>IF(OR(IPC_Trimestriel!K66="",IPC_Trimestriel!H66="",IPC_Trimestriel!D66=""),"",AVERAGE(IPC_Trimestriel!H66:K66)/AVERAGE(IPC_Trimestriel!D66:G66)-1)</f>
        <v/>
      </c>
      <c r="H89" s="28" t="str">
        <f>IF(OR(IPC_Trimestriel!L66="",IPC_Trimestriel!I66="",IPC_Trimestriel!E66=""),"",AVERAGE(IPC_Trimestriel!I66:L66)/AVERAGE(IPC_Trimestriel!E66:H66)-1)</f>
        <v/>
      </c>
      <c r="I89" s="28" t="str">
        <f>IF(OR(IPC_Trimestriel!M66="",IPC_Trimestriel!J66="",IPC_Trimestriel!F66=""),"",AVERAGE(IPC_Trimestriel!J66:M66)/AVERAGE(IPC_Trimestriel!F66:I66)-1)</f>
        <v/>
      </c>
      <c r="J89" s="28" t="str">
        <f>IF(OR(IPC_Trimestriel!N66="",IPC_Trimestriel!K66="",IPC_Trimestriel!G66=""),"",AVERAGE(IPC_Trimestriel!K66:N66)/AVERAGE(IPC_Trimestriel!G66:J66)-1)</f>
        <v/>
      </c>
      <c r="K89" s="28" t="str">
        <f>IF(OR(IPC_Trimestriel!O66="",IPC_Trimestriel!L66="",IPC_Trimestriel!H66=""),"",AVERAGE(IPC_Trimestriel!L66:O66)/AVERAGE(IPC_Trimestriel!H66:K66)-1)</f>
        <v/>
      </c>
      <c r="L89" s="28" t="str">
        <f>IF(OR(IPC_Trimestriel!P66="",IPC_Trimestriel!M66="",IPC_Trimestriel!I66=""),"",AVERAGE(IPC_Trimestriel!M66:P66)/AVERAGE(IPC_Trimestriel!I66:L66)-1)</f>
        <v/>
      </c>
      <c r="M89" s="28" t="str">
        <f>IF(OR(IPC_Trimestriel!Q66="",IPC_Trimestriel!N66="",IPC_Trimestriel!J66=""),"",AVERAGE(IPC_Trimestriel!N66:Q66)/AVERAGE(IPC_Trimestriel!J66:M66)-1)</f>
        <v/>
      </c>
      <c r="N89" s="28" t="str">
        <f>IF(OR(IPC_Trimestriel!R66="",IPC_Trimestriel!O66="",IPC_Trimestriel!K66=""),"",AVERAGE(IPC_Trimestriel!O66:R66)/AVERAGE(IPC_Trimestriel!K66:N66)-1)</f>
        <v/>
      </c>
      <c r="O89" s="28" t="str">
        <f>IF(OR(IPC_Trimestriel!S66="",IPC_Trimestriel!P66="",IPC_Trimestriel!L66=""),"",AVERAGE(IPC_Trimestriel!P66:S66)/AVERAGE(IPC_Trimestriel!L66:O66)-1)</f>
        <v/>
      </c>
      <c r="P89" s="28" t="str">
        <f>IF(OR(IPC_Trimestriel!T66="",IPC_Trimestriel!Q66="",IPC_Trimestriel!M66=""),"",AVERAGE(IPC_Trimestriel!Q66:T66)/AVERAGE(IPC_Trimestriel!M66:P66)-1)</f>
        <v/>
      </c>
      <c r="Q89" s="28" t="str">
        <f>IF(OR(IPC_Trimestriel!U66="",IPC_Trimestriel!R66="",IPC_Trimestriel!N66=""),"",AVERAGE(IPC_Trimestriel!R66:U66)/AVERAGE(IPC_Trimestriel!N66:Q66)-1)</f>
        <v/>
      </c>
      <c r="R89" s="28" t="str">
        <f>IF(OR(IPC_Trimestriel!V66="",IPC_Trimestriel!S66="",IPC_Trimestriel!O66=""),"",AVERAGE(IPC_Trimestriel!S66:V66)/AVERAGE(IPC_Trimestriel!O66:R66)-1)</f>
        <v/>
      </c>
      <c r="S89" s="28" t="str">
        <f>IF(OR(IPC_Trimestriel!W66="",IPC_Trimestriel!T66="",IPC_Trimestriel!P66=""),"",AVERAGE(IPC_Trimestriel!T66:W66)/AVERAGE(IPC_Trimestriel!P66:S66)-1)</f>
        <v/>
      </c>
      <c r="T89" s="28" t="str">
        <f>IF(OR(IPC_Trimestriel!X66="",IPC_Trimestriel!U66="",IPC_Trimestriel!Q66=""),"",AVERAGE(IPC_Trimestriel!U66:X66)/AVERAGE(IPC_Trimestriel!Q66:T66)-1)</f>
        <v/>
      </c>
      <c r="U89" s="28" t="str">
        <f>IF(OR(IPC_Trimestriel!Y66="",IPC_Trimestriel!V66="",IPC_Trimestriel!R66=""),"",AVERAGE(IPC_Trimestriel!V66:Y66)/AVERAGE(IPC_Trimestriel!R66:U66)-1)</f>
        <v/>
      </c>
      <c r="V89" s="28" t="str">
        <f>IF(OR(IPC_Trimestriel!Z66="",IPC_Trimestriel!W66="",IPC_Trimestriel!S66=""),"",AVERAGE(IPC_Trimestriel!W66:Z66)/AVERAGE(IPC_Trimestriel!S66:V66)-1)</f>
        <v/>
      </c>
      <c r="W89" s="28" t="str">
        <f>IF(OR(IPC_Trimestriel!AA66="",IPC_Trimestriel!X66="",IPC_Trimestriel!T66=""),"",AVERAGE(IPC_Trimestriel!X66:AA66)/AVERAGE(IPC_Trimestriel!T66:W66)-1)</f>
        <v/>
      </c>
      <c r="X89" s="28" t="str">
        <f>IF(OR(IPC_Trimestriel!AB66="",IPC_Trimestriel!Y66="",IPC_Trimestriel!U66=""),"",AVERAGE(IPC_Trimestriel!Y66:AB66)/AVERAGE(IPC_Trimestriel!U66:X66)-1)</f>
        <v/>
      </c>
      <c r="Y89" s="28" t="str">
        <f>IF(OR(IPC_Trimestriel!AC66="",IPC_Trimestriel!Z66="",IPC_Trimestriel!V66=""),"",AVERAGE(IPC_Trimestriel!Z66:AC66)/AVERAGE(IPC_Trimestriel!V66:Y66)-1)</f>
        <v/>
      </c>
      <c r="Z89" s="28" t="str">
        <f>IF(OR(IPC_Trimestriel!AD66="",IPC_Trimestriel!AA66="",IPC_Trimestriel!W66=""),"",AVERAGE(IPC_Trimestriel!AA66:AD66)/AVERAGE(IPC_Trimestriel!W66:Z66)-1)</f>
        <v/>
      </c>
      <c r="AA89" s="28" t="str">
        <f>IF(OR(IPC_Trimestriel!AE66="",IPC_Trimestriel!AB66="",IPC_Trimestriel!X66=""),"",AVERAGE(IPC_Trimestriel!AB66:AE66)/AVERAGE(IPC_Trimestriel!X66:AA66)-1)</f>
        <v/>
      </c>
      <c r="AB89" s="28" t="str">
        <f>IF(OR(IPC_Trimestriel!AF66="",IPC_Trimestriel!AC66="",IPC_Trimestriel!Y66=""),"",AVERAGE(IPC_Trimestriel!AC66:AF66)/AVERAGE(IPC_Trimestriel!Y66:AB66)-1)</f>
        <v/>
      </c>
      <c r="AC89" s="28" t="str">
        <f>IF(OR(IPC_Trimestriel!AG66="",IPC_Trimestriel!AD66="",IPC_Trimestriel!Z66=""),"",AVERAGE(IPC_Trimestriel!AD66:AG66)/AVERAGE(IPC_Trimestriel!Z66:AC66)-1)</f>
        <v/>
      </c>
      <c r="AD89" s="28" t="str">
        <f>IF(OR(IPC_Trimestriel!AH66="",IPC_Trimestriel!AE66="",IPC_Trimestriel!AA66=""),"",AVERAGE(IPC_Trimestriel!AE66:AH66)/AVERAGE(IPC_Trimestriel!AA66:AD66)-1)</f>
        <v/>
      </c>
      <c r="AE89" s="28" t="str">
        <f>IF(OR(IPC_Trimestriel!AI66="",IPC_Trimestriel!AF66="",IPC_Trimestriel!AB66=""),"",AVERAGE(IPC_Trimestriel!AF66:AI66)/AVERAGE(IPC_Trimestriel!AB66:AE66)-1)</f>
        <v/>
      </c>
      <c r="AF89" s="28" t="str">
        <f>IF(OR(IPC_Trimestriel!AJ66="",IPC_Trimestriel!AG66="",IPC_Trimestriel!AC66=""),"",AVERAGE(IPC_Trimestriel!AG66:AJ66)/AVERAGE(IPC_Trimestriel!AC66:AF66)-1)</f>
        <v/>
      </c>
      <c r="AG89" s="28" t="str">
        <f>IF(OR(IPC_Trimestriel!AK66="",IPC_Trimestriel!AH66="",IPC_Trimestriel!AD66=""),"",AVERAGE(IPC_Trimestriel!AH66:AK66)/AVERAGE(IPC_Trimestriel!AD66:AG66)-1)</f>
        <v/>
      </c>
      <c r="AH89" s="28" t="str">
        <f>IF(OR(IPC_Trimestriel!AL66="",IPC_Trimestriel!AI66="",IPC_Trimestriel!AE66=""),"",AVERAGE(IPC_Trimestriel!AI66:AL66)/AVERAGE(IPC_Trimestriel!AE66:AH66)-1)</f>
        <v/>
      </c>
      <c r="AI89" s="28" t="str">
        <f>IF(OR(IPC_Trimestriel!AM66="",IPC_Trimestriel!AJ66="",IPC_Trimestriel!AF66=""),"",AVERAGE(IPC_Trimestriel!AJ66:AM66)/AVERAGE(IPC_Trimestriel!AF66:AI66)-1)</f>
        <v/>
      </c>
      <c r="AJ89" s="28" t="str">
        <f>IF(OR(IPC_Trimestriel!AN66="",IPC_Trimestriel!AK66="",IPC_Trimestriel!AG66=""),"",AVERAGE(IPC_Trimestriel!AK66:AN66)/AVERAGE(IPC_Trimestriel!AG66:AJ66)-1)</f>
        <v/>
      </c>
      <c r="AK89" s="28" t="str">
        <f>IF(OR(IPC_Trimestriel!AO66="",IPC_Trimestriel!AL66="",IPC_Trimestriel!AH66=""),"",AVERAGE(IPC_Trimestriel!AL66:AO66)/AVERAGE(IPC_Trimestriel!AH66:AK66)-1)</f>
        <v/>
      </c>
      <c r="AL89" s="28" t="str">
        <f>IF(OR(IPC_Trimestriel!AP66="",IPC_Trimestriel!AM66="",IPC_Trimestriel!AI66=""),"",AVERAGE(IPC_Trimestriel!AM66:AP66)/AVERAGE(IPC_Trimestriel!AI66:AL66)-1)</f>
        <v/>
      </c>
      <c r="AM89" s="28" t="str">
        <f>IF(OR(IPC_Trimestriel!AQ66="",IPC_Trimestriel!AN66="",IPC_Trimestriel!AJ66=""),"",AVERAGE(IPC_Trimestriel!AN66:AQ66)/AVERAGE(IPC_Trimestriel!AJ66:AM66)-1)</f>
        <v/>
      </c>
      <c r="AN89" s="28" t="str">
        <f>IF(OR(IPC_Trimestriel!AR66="",IPC_Trimestriel!AO66="",IPC_Trimestriel!AK66=""),"",AVERAGE(IPC_Trimestriel!AO66:AR66)/AVERAGE(IPC_Trimestriel!AK66:AN66)-1)</f>
        <v/>
      </c>
      <c r="AO89" s="28" t="str">
        <f>IF(OR(IPC_Trimestriel!AS66="",IPC_Trimestriel!AP66="",IPC_Trimestriel!AL66=""),"",AVERAGE(IPC_Trimestriel!AP66:AS66)/AVERAGE(IPC_Trimestriel!AL66:AO66)-1)</f>
        <v/>
      </c>
      <c r="AP89" s="28" t="str">
        <f>IF(OR(IPC_Trimestriel!AT66="",IPC_Trimestriel!AQ66="",IPC_Trimestriel!AM66=""),"",AVERAGE(IPC_Trimestriel!AQ66:AT66)/AVERAGE(IPC_Trimestriel!AM66:AP66)-1)</f>
        <v/>
      </c>
      <c r="AQ89" s="28" t="str">
        <f>IF(OR(IPC_Trimestriel!AU66="",IPC_Trimestriel!AR66="",IPC_Trimestriel!AN66=""),"",AVERAGE(IPC_Trimestriel!AR66:AU66)/AVERAGE(IPC_Trimestriel!AN66:AQ66)-1)</f>
        <v/>
      </c>
      <c r="AR89" s="28" t="str">
        <f>IF(OR(IPC_Trimestriel!AV66="",IPC_Trimestriel!AS66="",IPC_Trimestriel!AO66=""),"",AVERAGE(IPC_Trimestriel!AS66:AV66)/AVERAGE(IPC_Trimestriel!AO66:AR66)-1)</f>
        <v/>
      </c>
      <c r="AS89" s="28" t="str">
        <f>IF(OR(IPC_Trimestriel!AW66="",IPC_Trimestriel!AT66="",IPC_Trimestriel!AP66=""),"",AVERAGE(IPC_Trimestriel!AT66:AW66)/AVERAGE(IPC_Trimestriel!AP66:AS66)-1)</f>
        <v/>
      </c>
      <c r="AT89" s="28" t="str">
        <f>IF(OR(IPC_Trimestriel!AX66="",IPC_Trimestriel!AU66="",IPC_Trimestriel!AQ66=""),"",AVERAGE(IPC_Trimestriel!AU66:AX66)/AVERAGE(IPC_Trimestriel!AQ66:AT66)-1)</f>
        <v/>
      </c>
      <c r="AU89" s="28" t="str">
        <f>IF(OR(IPC_Trimestriel!AY66="",IPC_Trimestriel!AV66="",IPC_Trimestriel!AR66=""),"",AVERAGE(IPC_Trimestriel!AV66:AY66)/AVERAGE(IPC_Trimestriel!AR66:AU66)-1)</f>
        <v/>
      </c>
      <c r="AV89" s="28" t="str">
        <f>IF(OR(IPC_Trimestriel!AZ66="",IPC_Trimestriel!AW66="",IPC_Trimestriel!AS66=""),"",AVERAGE(IPC_Trimestriel!AW66:AZ66)/AVERAGE(IPC_Trimestriel!AS66:AV66)-1)</f>
        <v/>
      </c>
      <c r="AW89" s="28" t="str">
        <f>IF(OR(IPC_Trimestriel!BA66="",IPC_Trimestriel!AX66="",IPC_Trimestriel!AT66=""),"",AVERAGE(IPC_Trimestriel!AX66:BA66)/AVERAGE(IPC_Trimestriel!AT66:AW66)-1)</f>
        <v/>
      </c>
      <c r="AX89" s="28" t="str">
        <f>IF(OR(IPC_Trimestriel!BB66="",IPC_Trimestriel!AY66="",IPC_Trimestriel!AU66=""),"",AVERAGE(IPC_Trimestriel!AY66:BB66)/AVERAGE(IPC_Trimestriel!AU66:AX66)-1)</f>
        <v/>
      </c>
      <c r="AY89" s="28" t="str">
        <f>IF(OR(IPC_Trimestriel!BC66="",IPC_Trimestriel!AZ66="",IPC_Trimestriel!AV66=""),"",AVERAGE(IPC_Trimestriel!AZ66:BC66)/AVERAGE(IPC_Trimestriel!AV66:AY66)-1)</f>
        <v/>
      </c>
      <c r="AZ89" s="28" t="str">
        <f>IF(OR(IPC_Trimestriel!BD66="",IPC_Trimestriel!BA66="",IPC_Trimestriel!AW66=""),"",AVERAGE(IPC_Trimestriel!BA66:BD66)/AVERAGE(IPC_Trimestriel!AW66:AZ66)-1)</f>
        <v/>
      </c>
      <c r="BA89" s="28" t="str">
        <f>IF(OR(IPC_Trimestriel!BE66="",IPC_Trimestriel!BB66="",IPC_Trimestriel!AX66=""),"",AVERAGE(IPC_Trimestriel!BB66:BE66)/AVERAGE(IPC_Trimestriel!AX66:BA66)-1)</f>
        <v/>
      </c>
      <c r="BB89" s="28" t="str">
        <f>IF(OR(IPC_Trimestriel!BF66="",IPC_Trimestriel!BC66="",IPC_Trimestriel!AY66=""),"",AVERAGE(IPC_Trimestriel!BC66:BF66)/AVERAGE(IPC_Trimestriel!AY66:BB66)-1)</f>
        <v/>
      </c>
      <c r="BC89" s="28" t="str">
        <f>IF(OR(IPC_Trimestriel!BG66="",IPC_Trimestriel!BD66="",IPC_Trimestriel!AZ66=""),"",AVERAGE(IPC_Trimestriel!BD66:BG66)/AVERAGE(IPC_Trimestriel!AZ66:BC66)-1)</f>
        <v/>
      </c>
      <c r="BD89" s="28" t="str">
        <f>IF(OR(IPC_Trimestriel!BH66="",IPC_Trimestriel!BE66="",IPC_Trimestriel!BA66=""),"",AVERAGE(IPC_Trimestriel!BE66:BH66)/AVERAGE(IPC_Trimestriel!BA66:BD66)-1)</f>
        <v/>
      </c>
      <c r="BE89" s="28" t="str">
        <f>IF(OR(IPC_Trimestriel!BI66="",IPC_Trimestriel!BF66="",IPC_Trimestriel!BB66=""),"",AVERAGE(IPC_Trimestriel!BF66:BI66)/AVERAGE(IPC_Trimestriel!BB66:BE66)-1)</f>
        <v/>
      </c>
      <c r="BF89" s="28" t="str">
        <f>IF(OR(IPC_Trimestriel!BJ66="",IPC_Trimestriel!BG66="",IPC_Trimestriel!BC66=""),"",AVERAGE(IPC_Trimestriel!BG66:BJ66)/AVERAGE(IPC_Trimestriel!BC66:BF66)-1)</f>
        <v/>
      </c>
      <c r="BG89" s="28" t="str">
        <f>IF(OR(IPC_Trimestriel!BK66="",IPC_Trimestriel!BH66="",IPC_Trimestriel!BD66=""),"",AVERAGE(IPC_Trimestriel!BH66:BK66)/AVERAGE(IPC_Trimestriel!BD66:BG66)-1)</f>
        <v/>
      </c>
      <c r="BH89" s="28" t="str">
        <f>IF(OR(IPC_Trimestriel!BL66="",IPC_Trimestriel!BI66="",IPC_Trimestriel!BE66=""),"",AVERAGE(IPC_Trimestriel!BI66:BL66)/AVERAGE(IPC_Trimestriel!BE66:BH66)-1)</f>
        <v/>
      </c>
      <c r="BI89" s="28" t="str">
        <f>IF(OR(IPC_Trimestriel!BM66="",IPC_Trimestriel!BJ66="",IPC_Trimestriel!BF66=""),"",AVERAGE(IPC_Trimestriel!BJ66:BM66)/AVERAGE(IPC_Trimestriel!BF66:BI66)-1)</f>
        <v/>
      </c>
      <c r="BJ89" s="28" t="str">
        <f>IF(OR(IPC_Trimestriel!BN66="",IPC_Trimestriel!BK66="",IPC_Trimestriel!BG66=""),"",AVERAGE(IPC_Trimestriel!BK66:BN66)/AVERAGE(IPC_Trimestriel!BG66:BJ66)-1)</f>
        <v/>
      </c>
      <c r="BK89" s="28" t="str">
        <f>IF(OR(IPC_Trimestriel!BO66="",IPC_Trimestriel!BL66="",IPC_Trimestriel!BH66=""),"",AVERAGE(IPC_Trimestriel!BL66:BO66)/AVERAGE(IPC_Trimestriel!BH66:BK66)-1)</f>
        <v/>
      </c>
      <c r="BL89" s="28" t="str">
        <f>IF(OR(IPC_Trimestriel!BP66="",IPC_Trimestriel!BM66="",IPC_Trimestriel!BI66=""),"",AVERAGE(IPC_Trimestriel!BM66:BP66)/AVERAGE(IPC_Trimestriel!BI66:BL66)-1)</f>
        <v/>
      </c>
      <c r="BM89" s="28" t="str">
        <f>IF(OR(IPC_Trimestriel!BQ66="",IPC_Trimestriel!BN66="",IPC_Trimestriel!BJ66=""),"",AVERAGE(IPC_Trimestriel!BN66:BQ66)/AVERAGE(IPC_Trimestriel!BJ66:BM66)-1)</f>
        <v/>
      </c>
      <c r="BN89" s="28" t="str">
        <f>IF(OR(IPC_Trimestriel!BR66="",IPC_Trimestriel!BO66="",IPC_Trimestriel!BK66=""),"",AVERAGE(IPC_Trimestriel!BO66:BR66)/AVERAGE(IPC_Trimestriel!BK66:BN66)-1)</f>
        <v/>
      </c>
      <c r="BO89" s="28" t="str">
        <f>IF(OR(IPC_Trimestriel!BS66="",IPC_Trimestriel!BP66="",IPC_Trimestriel!BL66=""),"",AVERAGE(IPC_Trimestriel!BP66:BS66)/AVERAGE(IPC_Trimestriel!BL66:BO66)-1)</f>
        <v/>
      </c>
      <c r="BP89" s="28" t="str">
        <f>IF(OR(IPC_Trimestriel!BT66="",IPC_Trimestriel!BQ66="",IPC_Trimestriel!BM66=""),"",AVERAGE(IPC_Trimestriel!BQ66:BT66)/AVERAGE(IPC_Trimestriel!BM66:BP66)-1)</f>
        <v/>
      </c>
      <c r="BQ89" s="28" t="str">
        <f>IF(OR(IPC_Trimestriel!BU66="",IPC_Trimestriel!BR66="",IPC_Trimestriel!BN66=""),"",AVERAGE(IPC_Trimestriel!BR66:BU66)/AVERAGE(IPC_Trimestriel!BN66:BQ66)-1)</f>
        <v/>
      </c>
      <c r="BR89" s="28" t="str">
        <f>IF(OR(IPC_Trimestriel!BV66="",IPC_Trimestriel!BS66="",IPC_Trimestriel!BO66=""),"",AVERAGE(IPC_Trimestriel!BS66:BV66)/AVERAGE(IPC_Trimestriel!BO66:BR66)-1)</f>
        <v/>
      </c>
      <c r="BS89" s="28" t="str">
        <f>IF(OR(IPC_Trimestriel!BW66="",IPC_Trimestriel!BT66="",IPC_Trimestriel!BP66=""),"",AVERAGE(IPC_Trimestriel!BT66:BW66)/AVERAGE(IPC_Trimestriel!BP66:BS66)-1)</f>
        <v/>
      </c>
      <c r="BT89" s="28" t="str">
        <f>IF(OR(IPC_Trimestriel!BX66="",IPC_Trimestriel!BU66="",IPC_Trimestriel!BQ66=""),"",AVERAGE(IPC_Trimestriel!BU66:BX66)/AVERAGE(IPC_Trimestriel!BQ66:BT66)-1)</f>
        <v/>
      </c>
      <c r="BU89" s="28" t="str">
        <f>IF(OR(IPC_Trimestriel!BY66="",IPC_Trimestriel!BV66="",IPC_Trimestriel!BR66=""),"",AVERAGE(IPC_Trimestriel!BV66:BY66)/AVERAGE(IPC_Trimestriel!BR66:BU66)-1)</f>
        <v/>
      </c>
      <c r="BV89" s="28" t="str">
        <f>IF(OR(IPC_Trimestriel!BZ66="",IPC_Trimestriel!BW66="",IPC_Trimestriel!BS66=""),"",AVERAGE(IPC_Trimestriel!BW66:BZ66)/AVERAGE(IPC_Trimestriel!BS66:BV66)-1)</f>
        <v/>
      </c>
      <c r="BW89" s="28" t="str">
        <f>IF(OR(IPC_Trimestriel!CA66="",IPC_Trimestriel!BX66="",IPC_Trimestriel!BT66=""),"",AVERAGE(IPC_Trimestriel!BX66:CA66)/AVERAGE(IPC_Trimestriel!BT66:BW66)-1)</f>
        <v/>
      </c>
      <c r="BX89" s="28" t="str">
        <f>IF(OR(IPC_Trimestriel!CB66="",IPC_Trimestriel!BY66="",IPC_Trimestriel!BU66=""),"",AVERAGE(IPC_Trimestriel!BY66:CB66)/AVERAGE(IPC_Trimestriel!BU66:BX66)-1)</f>
        <v/>
      </c>
      <c r="BY89" s="28" t="str">
        <f>IF(OR(IPC_Trimestriel!CC66="",IPC_Trimestriel!BZ66="",IPC_Trimestriel!BV66=""),"",AVERAGE(IPC_Trimestriel!BZ66:CC66)/AVERAGE(IPC_Trimestriel!BV66:BY66)-1)</f>
        <v/>
      </c>
      <c r="BZ89" s="28" t="str">
        <f>IF(OR(IPC_Trimestriel!CD66="",IPC_Trimestriel!CA66="",IPC_Trimestriel!BW66=""),"",AVERAGE(IPC_Trimestriel!CA66:CD66)/AVERAGE(IPC_Trimestriel!BW66:BZ66)-1)</f>
        <v/>
      </c>
      <c r="CA89" s="28">
        <f>IF(OR(IPC_Trimestriel!CE66="",IPC_Trimestriel!CB66="",IPC_Trimestriel!BX66=""),"",AVERAGE(IPC_Trimestriel!CB66:CE66)/AVERAGE(IPC_Trimestriel!BX66:CA66)-1)</f>
        <v>6.8354599601065935E-3</v>
      </c>
      <c r="CB89" s="28">
        <f>IF(OR(IPC_Trimestriel!CF66="",IPC_Trimestriel!CC66="",IPC_Trimestriel!BY66=""),"",AVERAGE(IPC_Trimestriel!CC66:CF66)/AVERAGE(IPC_Trimestriel!BY66:CB66)-1)</f>
        <v>2.1477716090669841E-3</v>
      </c>
      <c r="CC89" s="28">
        <f>IF(OR(IPC_Trimestriel!CG66="",IPC_Trimestriel!CD66="",IPC_Trimestriel!BZ66=""),"",AVERAGE(IPC_Trimestriel!CD66:CG66)/AVERAGE(IPC_Trimestriel!BZ66:CC66)-1)</f>
        <v>2.1860784499723174E-3</v>
      </c>
      <c r="CD89" s="28">
        <f>IF(OR(IPC_Trimestriel!CH66="",IPC_Trimestriel!CE66="",IPC_Trimestriel!CA66=""),"",AVERAGE(IPC_Trimestriel!CE66:CH66)/AVERAGE(IPC_Trimestriel!CA66:CD66)-1)</f>
        <v>7.3276543203102396E-3</v>
      </c>
      <c r="CE89" s="28">
        <f>IF(OR(IPC_Trimestriel!CI66="",IPC_Trimestriel!CF66="",IPC_Trimestriel!CB66=""),"",AVERAGE(IPC_Trimestriel!CF66:CI66)/AVERAGE(IPC_Trimestriel!CB66:CE66)-1)</f>
        <v>1.4041292991053833E-2</v>
      </c>
      <c r="CF89" s="28">
        <f>IF(OR(IPC_Trimestriel!CJ66="",IPC_Trimestriel!CG66="",IPC_Trimestriel!CC66=""),"",AVERAGE(IPC_Trimestriel!CG66:CJ66)/AVERAGE(IPC_Trimestriel!CC66:CF66)-1)</f>
        <v>1.5790238590329242E-2</v>
      </c>
      <c r="CG89" s="28">
        <f>IF(OR(IPC_Trimestriel!CK66="",IPC_Trimestriel!CH66="",IPC_Trimestriel!CD66=""),"",AVERAGE(IPC_Trimestriel!CH66:CK66)/AVERAGE(IPC_Trimestriel!CD66:CG66)-1)</f>
        <v>1.5429043721839397E-2</v>
      </c>
      <c r="CH89" s="28">
        <f>IF(OR(IPC_Trimestriel!CL66="",IPC_Trimestriel!CI66="",IPC_Trimestriel!CE66=""),"",AVERAGE(IPC_Trimestriel!CI66:CL66)/AVERAGE(IPC_Trimestriel!CE66:CH66)-1)</f>
        <v>1.2364489033992454E-2</v>
      </c>
      <c r="CI89" s="28">
        <f>IF(OR(IPC_Trimestriel!CM66="",IPC_Trimestriel!CJ66="",IPC_Trimestriel!CF66=""),"",AVERAGE(IPC_Trimestriel!CJ66:CM66)/AVERAGE(IPC_Trimestriel!CF66:CI66)-1)</f>
        <v>1.1070065453603783E-2</v>
      </c>
      <c r="CJ89" s="28">
        <f>IF(OR(IPC_Trimestriel!CN66="",IPC_Trimestriel!CK66="",IPC_Trimestriel!CG66=""),"",AVERAGE(IPC_Trimestriel!CK66:CN66)/AVERAGE(IPC_Trimestriel!CG66:CJ66)-1)</f>
        <v>1.2946896926121942E-2</v>
      </c>
      <c r="CK89" s="28">
        <f>IF(OR(IPC_Trimestriel!CO66="",IPC_Trimestriel!CL66="",IPC_Trimestriel!CH66=""),"",AVERAGE(IPC_Trimestriel!CL66:CO66)/AVERAGE(IPC_Trimestriel!CH66:CK66)-1)</f>
        <v>1.9477338351230999E-2</v>
      </c>
      <c r="CL89" s="28">
        <f>IF(OR(IPC_Trimestriel!CP66="",IPC_Trimestriel!CM66="",IPC_Trimestriel!CI66=""),"",AVERAGE(IPC_Trimestriel!CM66:CP66)/AVERAGE(IPC_Trimestriel!CI66:CL66)-1)</f>
        <v>3.1578691631168887E-2</v>
      </c>
      <c r="CM89" s="28">
        <f>IF(OR(IPC_Trimestriel!CQ66="",IPC_Trimestriel!CN66="",IPC_Trimestriel!CJ66=""),"",AVERAGE(IPC_Trimestriel!CN66:CQ66)/AVERAGE(IPC_Trimestriel!CJ66:CM66)-1)</f>
        <v>4.2380352644836305E-2</v>
      </c>
      <c r="CN89" s="28">
        <f>IF(OR(IPC_Trimestriel!CR66="",IPC_Trimestriel!CO66="",IPC_Trimestriel!CK66=""),"",AVERAGE(IPC_Trimestriel!CO66:CR66)/AVERAGE(IPC_Trimestriel!CK66:CN66)-1)</f>
        <v>4.839149794061659E-2</v>
      </c>
      <c r="CO89" s="28">
        <f>IF(OR(IPC_Trimestriel!CS66="",IPC_Trimestriel!CP66="",IPC_Trimestriel!CL66=""),"",AVERAGE(IPC_Trimestriel!CP66:CS66)/AVERAGE(IPC_Trimestriel!CL66:CO66)-1)</f>
        <v>5.0426081096869968E-2</v>
      </c>
      <c r="CP89" s="28">
        <f>IF(OR(IPC_Trimestriel!CT66="",IPC_Trimestriel!CQ66="",IPC_Trimestriel!CM66=""),"",AVERAGE(IPC_Trimestriel!CQ66:CT66)/AVERAGE(IPC_Trimestriel!CM66:CP66)-1)</f>
        <v>4.400029520753268E-2</v>
      </c>
    </row>
    <row r="90" spans="1:94" x14ac:dyDescent="0.25">
      <c r="A90" s="11"/>
      <c r="B90" s="73" t="s">
        <v>44</v>
      </c>
      <c r="C90" s="17"/>
      <c r="D90" s="28"/>
      <c r="E90" s="28"/>
      <c r="F90" s="28"/>
      <c r="G90" s="28" t="str">
        <f>IF(OR(IPC_Trimestriel!K67="",IPC_Trimestriel!H67="",IPC_Trimestriel!D67=""),"",AVERAGE(IPC_Trimestriel!H67:K67)/AVERAGE(IPC_Trimestriel!D67:G67)-1)</f>
        <v/>
      </c>
      <c r="H90" s="28" t="str">
        <f>IF(OR(IPC_Trimestriel!L67="",IPC_Trimestriel!I67="",IPC_Trimestriel!E67=""),"",AVERAGE(IPC_Trimestriel!I67:L67)/AVERAGE(IPC_Trimestriel!E67:H67)-1)</f>
        <v/>
      </c>
      <c r="I90" s="28" t="str">
        <f>IF(OR(IPC_Trimestriel!M67="",IPC_Trimestriel!J67="",IPC_Trimestriel!F67=""),"",AVERAGE(IPC_Trimestriel!J67:M67)/AVERAGE(IPC_Trimestriel!F67:I67)-1)</f>
        <v/>
      </c>
      <c r="J90" s="28" t="str">
        <f>IF(OR(IPC_Trimestriel!N67="",IPC_Trimestriel!K67="",IPC_Trimestriel!G67=""),"",AVERAGE(IPC_Trimestriel!K67:N67)/AVERAGE(IPC_Trimestriel!G67:J67)-1)</f>
        <v/>
      </c>
      <c r="K90" s="28" t="str">
        <f>IF(OR(IPC_Trimestriel!O67="",IPC_Trimestriel!L67="",IPC_Trimestriel!H67=""),"",AVERAGE(IPC_Trimestriel!L67:O67)/AVERAGE(IPC_Trimestriel!H67:K67)-1)</f>
        <v/>
      </c>
      <c r="L90" s="28" t="str">
        <f>IF(OR(IPC_Trimestriel!P67="",IPC_Trimestriel!M67="",IPC_Trimestriel!I67=""),"",AVERAGE(IPC_Trimestriel!M67:P67)/AVERAGE(IPC_Trimestriel!I67:L67)-1)</f>
        <v/>
      </c>
      <c r="M90" s="28" t="str">
        <f>IF(OR(IPC_Trimestriel!Q67="",IPC_Trimestriel!N67="",IPC_Trimestriel!J67=""),"",AVERAGE(IPC_Trimestriel!N67:Q67)/AVERAGE(IPC_Trimestriel!J67:M67)-1)</f>
        <v/>
      </c>
      <c r="N90" s="28" t="str">
        <f>IF(OR(IPC_Trimestriel!R67="",IPC_Trimestriel!O67="",IPC_Trimestriel!K67=""),"",AVERAGE(IPC_Trimestriel!O67:R67)/AVERAGE(IPC_Trimestriel!K67:N67)-1)</f>
        <v/>
      </c>
      <c r="O90" s="28" t="str">
        <f>IF(OR(IPC_Trimestriel!S67="",IPC_Trimestriel!P67="",IPC_Trimestriel!L67=""),"",AVERAGE(IPC_Trimestriel!P67:S67)/AVERAGE(IPC_Trimestriel!L67:O67)-1)</f>
        <v/>
      </c>
      <c r="P90" s="28" t="str">
        <f>IF(OR(IPC_Trimestriel!T67="",IPC_Trimestriel!Q67="",IPC_Trimestriel!M67=""),"",AVERAGE(IPC_Trimestriel!Q67:T67)/AVERAGE(IPC_Trimestriel!M67:P67)-1)</f>
        <v/>
      </c>
      <c r="Q90" s="28" t="str">
        <f>IF(OR(IPC_Trimestriel!U67="",IPC_Trimestriel!R67="",IPC_Trimestriel!N67=""),"",AVERAGE(IPC_Trimestriel!R67:U67)/AVERAGE(IPC_Trimestriel!N67:Q67)-1)</f>
        <v/>
      </c>
      <c r="R90" s="28" t="str">
        <f>IF(OR(IPC_Trimestriel!V67="",IPC_Trimestriel!S67="",IPC_Trimestriel!O67=""),"",AVERAGE(IPC_Trimestriel!S67:V67)/AVERAGE(IPC_Trimestriel!O67:R67)-1)</f>
        <v/>
      </c>
      <c r="S90" s="28" t="str">
        <f>IF(OR(IPC_Trimestriel!W67="",IPC_Trimestriel!T67="",IPC_Trimestriel!P67=""),"",AVERAGE(IPC_Trimestriel!T67:W67)/AVERAGE(IPC_Trimestriel!P67:S67)-1)</f>
        <v/>
      </c>
      <c r="T90" s="28" t="str">
        <f>IF(OR(IPC_Trimestriel!X67="",IPC_Trimestriel!U67="",IPC_Trimestriel!Q67=""),"",AVERAGE(IPC_Trimestriel!U67:X67)/AVERAGE(IPC_Trimestriel!Q67:T67)-1)</f>
        <v/>
      </c>
      <c r="U90" s="28" t="str">
        <f>IF(OR(IPC_Trimestriel!Y67="",IPC_Trimestriel!V67="",IPC_Trimestriel!R67=""),"",AVERAGE(IPC_Trimestriel!V67:Y67)/AVERAGE(IPC_Trimestriel!R67:U67)-1)</f>
        <v/>
      </c>
      <c r="V90" s="28" t="str">
        <f>IF(OR(IPC_Trimestriel!Z67="",IPC_Trimestriel!W67="",IPC_Trimestriel!S67=""),"",AVERAGE(IPC_Trimestriel!W67:Z67)/AVERAGE(IPC_Trimestriel!S67:V67)-1)</f>
        <v/>
      </c>
      <c r="W90" s="28" t="str">
        <f>IF(OR(IPC_Trimestriel!AA67="",IPC_Trimestriel!X67="",IPC_Trimestriel!T67=""),"",AVERAGE(IPC_Trimestriel!X67:AA67)/AVERAGE(IPC_Trimestriel!T67:W67)-1)</f>
        <v/>
      </c>
      <c r="X90" s="28" t="str">
        <f>IF(OR(IPC_Trimestriel!AB67="",IPC_Trimestriel!Y67="",IPC_Trimestriel!U67=""),"",AVERAGE(IPC_Trimestriel!Y67:AB67)/AVERAGE(IPC_Trimestriel!U67:X67)-1)</f>
        <v/>
      </c>
      <c r="Y90" s="28" t="str">
        <f>IF(OR(IPC_Trimestriel!AC67="",IPC_Trimestriel!Z67="",IPC_Trimestriel!V67=""),"",AVERAGE(IPC_Trimestriel!Z67:AC67)/AVERAGE(IPC_Trimestriel!V67:Y67)-1)</f>
        <v/>
      </c>
      <c r="Z90" s="28" t="str">
        <f>IF(OR(IPC_Trimestriel!AD67="",IPC_Trimestriel!AA67="",IPC_Trimestriel!W67=""),"",AVERAGE(IPC_Trimestriel!AA67:AD67)/AVERAGE(IPC_Trimestriel!W67:Z67)-1)</f>
        <v/>
      </c>
      <c r="AA90" s="28" t="str">
        <f>IF(OR(IPC_Trimestriel!AE67="",IPC_Trimestriel!AB67="",IPC_Trimestriel!X67=""),"",AVERAGE(IPC_Trimestriel!AB67:AE67)/AVERAGE(IPC_Trimestriel!X67:AA67)-1)</f>
        <v/>
      </c>
      <c r="AB90" s="28" t="str">
        <f>IF(OR(IPC_Trimestriel!AF67="",IPC_Trimestriel!AC67="",IPC_Trimestriel!Y67=""),"",AVERAGE(IPC_Trimestriel!AC67:AF67)/AVERAGE(IPC_Trimestriel!Y67:AB67)-1)</f>
        <v/>
      </c>
      <c r="AC90" s="28" t="str">
        <f>IF(OR(IPC_Trimestriel!AG67="",IPC_Trimestriel!AD67="",IPC_Trimestriel!Z67=""),"",AVERAGE(IPC_Trimestriel!AD67:AG67)/AVERAGE(IPC_Trimestriel!Z67:AC67)-1)</f>
        <v/>
      </c>
      <c r="AD90" s="28" t="str">
        <f>IF(OR(IPC_Trimestriel!AH67="",IPC_Trimestriel!AE67="",IPC_Trimestriel!AA67=""),"",AVERAGE(IPC_Trimestriel!AE67:AH67)/AVERAGE(IPC_Trimestriel!AA67:AD67)-1)</f>
        <v/>
      </c>
      <c r="AE90" s="28" t="str">
        <f>IF(OR(IPC_Trimestriel!AI67="",IPC_Trimestriel!AF67="",IPC_Trimestriel!AB67=""),"",AVERAGE(IPC_Trimestriel!AF67:AI67)/AVERAGE(IPC_Trimestriel!AB67:AE67)-1)</f>
        <v/>
      </c>
      <c r="AF90" s="28" t="str">
        <f>IF(OR(IPC_Trimestriel!AJ67="",IPC_Trimestriel!AG67="",IPC_Trimestriel!AC67=""),"",AVERAGE(IPC_Trimestriel!AG67:AJ67)/AVERAGE(IPC_Trimestriel!AC67:AF67)-1)</f>
        <v/>
      </c>
      <c r="AG90" s="28" t="str">
        <f>IF(OR(IPC_Trimestriel!AK67="",IPC_Trimestriel!AH67="",IPC_Trimestriel!AD67=""),"",AVERAGE(IPC_Trimestriel!AH67:AK67)/AVERAGE(IPC_Trimestriel!AD67:AG67)-1)</f>
        <v/>
      </c>
      <c r="AH90" s="28" t="str">
        <f>IF(OR(IPC_Trimestriel!AL67="",IPC_Trimestriel!AI67="",IPC_Trimestriel!AE67=""),"",AVERAGE(IPC_Trimestriel!AI67:AL67)/AVERAGE(IPC_Trimestriel!AE67:AH67)-1)</f>
        <v/>
      </c>
      <c r="AI90" s="28" t="str">
        <f>IF(OR(IPC_Trimestriel!AM67="",IPC_Trimestriel!AJ67="",IPC_Trimestriel!AF67=""),"",AVERAGE(IPC_Trimestriel!AJ67:AM67)/AVERAGE(IPC_Trimestriel!AF67:AI67)-1)</f>
        <v/>
      </c>
      <c r="AJ90" s="28" t="str">
        <f>IF(OR(IPC_Trimestriel!AN67="",IPC_Trimestriel!AK67="",IPC_Trimestriel!AG67=""),"",AVERAGE(IPC_Trimestriel!AK67:AN67)/AVERAGE(IPC_Trimestriel!AG67:AJ67)-1)</f>
        <v/>
      </c>
      <c r="AK90" s="28" t="str">
        <f>IF(OR(IPC_Trimestriel!AO67="",IPC_Trimestriel!AL67="",IPC_Trimestriel!AH67=""),"",AVERAGE(IPC_Trimestriel!AL67:AO67)/AVERAGE(IPC_Trimestriel!AH67:AK67)-1)</f>
        <v/>
      </c>
      <c r="AL90" s="28" t="str">
        <f>IF(OR(IPC_Trimestriel!AP67="",IPC_Trimestriel!AM67="",IPC_Trimestriel!AI67=""),"",AVERAGE(IPC_Trimestriel!AM67:AP67)/AVERAGE(IPC_Trimestriel!AI67:AL67)-1)</f>
        <v/>
      </c>
      <c r="AM90" s="28" t="str">
        <f>IF(OR(IPC_Trimestriel!AQ67="",IPC_Trimestriel!AN67="",IPC_Trimestriel!AJ67=""),"",AVERAGE(IPC_Trimestriel!AN67:AQ67)/AVERAGE(IPC_Trimestriel!AJ67:AM67)-1)</f>
        <v/>
      </c>
      <c r="AN90" s="28" t="str">
        <f>IF(OR(IPC_Trimestriel!AR67="",IPC_Trimestriel!AO67="",IPC_Trimestriel!AK67=""),"",AVERAGE(IPC_Trimestriel!AO67:AR67)/AVERAGE(IPC_Trimestriel!AK67:AN67)-1)</f>
        <v/>
      </c>
      <c r="AO90" s="28" t="str">
        <f>IF(OR(IPC_Trimestriel!AS67="",IPC_Trimestriel!AP67="",IPC_Trimestriel!AL67=""),"",AVERAGE(IPC_Trimestriel!AP67:AS67)/AVERAGE(IPC_Trimestriel!AL67:AO67)-1)</f>
        <v/>
      </c>
      <c r="AP90" s="28" t="str">
        <f>IF(OR(IPC_Trimestriel!AT67="",IPC_Trimestriel!AQ67="",IPC_Trimestriel!AM67=""),"",AVERAGE(IPC_Trimestriel!AQ67:AT67)/AVERAGE(IPC_Trimestriel!AM67:AP67)-1)</f>
        <v/>
      </c>
      <c r="AQ90" s="28" t="str">
        <f>IF(OR(IPC_Trimestriel!AU67="",IPC_Trimestriel!AR67="",IPC_Trimestriel!AN67=""),"",AVERAGE(IPC_Trimestriel!AR67:AU67)/AVERAGE(IPC_Trimestriel!AN67:AQ67)-1)</f>
        <v/>
      </c>
      <c r="AR90" s="28" t="str">
        <f>IF(OR(IPC_Trimestriel!AV67="",IPC_Trimestriel!AS67="",IPC_Trimestriel!AO67=""),"",AVERAGE(IPC_Trimestriel!AS67:AV67)/AVERAGE(IPC_Trimestriel!AO67:AR67)-1)</f>
        <v/>
      </c>
      <c r="AS90" s="28" t="str">
        <f>IF(OR(IPC_Trimestriel!AW67="",IPC_Trimestriel!AT67="",IPC_Trimestriel!AP67=""),"",AVERAGE(IPC_Trimestriel!AT67:AW67)/AVERAGE(IPC_Trimestriel!AP67:AS67)-1)</f>
        <v/>
      </c>
      <c r="AT90" s="28" t="str">
        <f>IF(OR(IPC_Trimestriel!AX67="",IPC_Trimestriel!AU67="",IPC_Trimestriel!AQ67=""),"",AVERAGE(IPC_Trimestriel!AU67:AX67)/AVERAGE(IPC_Trimestriel!AQ67:AT67)-1)</f>
        <v/>
      </c>
      <c r="AU90" s="28" t="str">
        <f>IF(OR(IPC_Trimestriel!AY67="",IPC_Trimestriel!AV67="",IPC_Trimestriel!AR67=""),"",AVERAGE(IPC_Trimestriel!AV67:AY67)/AVERAGE(IPC_Trimestriel!AR67:AU67)-1)</f>
        <v/>
      </c>
      <c r="AV90" s="28" t="str">
        <f>IF(OR(IPC_Trimestriel!AZ67="",IPC_Trimestriel!AW67="",IPC_Trimestriel!AS67=""),"",AVERAGE(IPC_Trimestriel!AW67:AZ67)/AVERAGE(IPC_Trimestriel!AS67:AV67)-1)</f>
        <v/>
      </c>
      <c r="AW90" s="28" t="str">
        <f>IF(OR(IPC_Trimestriel!BA67="",IPC_Trimestriel!AX67="",IPC_Trimestriel!AT67=""),"",AVERAGE(IPC_Trimestriel!AX67:BA67)/AVERAGE(IPC_Trimestriel!AT67:AW67)-1)</f>
        <v/>
      </c>
      <c r="AX90" s="28" t="str">
        <f>IF(OR(IPC_Trimestriel!BB67="",IPC_Trimestriel!AY67="",IPC_Trimestriel!AU67=""),"",AVERAGE(IPC_Trimestriel!AY67:BB67)/AVERAGE(IPC_Trimestriel!AU67:AX67)-1)</f>
        <v/>
      </c>
      <c r="AY90" s="28" t="str">
        <f>IF(OR(IPC_Trimestriel!BC67="",IPC_Trimestriel!AZ67="",IPC_Trimestriel!AV67=""),"",AVERAGE(IPC_Trimestriel!AZ67:BC67)/AVERAGE(IPC_Trimestriel!AV67:AY67)-1)</f>
        <v/>
      </c>
      <c r="AZ90" s="28" t="str">
        <f>IF(OR(IPC_Trimestriel!BD67="",IPC_Trimestriel!BA67="",IPC_Trimestriel!AW67=""),"",AVERAGE(IPC_Trimestriel!BA67:BD67)/AVERAGE(IPC_Trimestriel!AW67:AZ67)-1)</f>
        <v/>
      </c>
      <c r="BA90" s="28" t="str">
        <f>IF(OR(IPC_Trimestriel!BE67="",IPC_Trimestriel!BB67="",IPC_Trimestriel!AX67=""),"",AVERAGE(IPC_Trimestriel!BB67:BE67)/AVERAGE(IPC_Trimestriel!AX67:BA67)-1)</f>
        <v/>
      </c>
      <c r="BB90" s="28" t="str">
        <f>IF(OR(IPC_Trimestriel!BF67="",IPC_Trimestriel!BC67="",IPC_Trimestriel!AY67=""),"",AVERAGE(IPC_Trimestriel!BC67:BF67)/AVERAGE(IPC_Trimestriel!AY67:BB67)-1)</f>
        <v/>
      </c>
      <c r="BC90" s="28" t="str">
        <f>IF(OR(IPC_Trimestriel!BG67="",IPC_Trimestriel!BD67="",IPC_Trimestriel!AZ67=""),"",AVERAGE(IPC_Trimestriel!BD67:BG67)/AVERAGE(IPC_Trimestriel!AZ67:BC67)-1)</f>
        <v/>
      </c>
      <c r="BD90" s="28" t="str">
        <f>IF(OR(IPC_Trimestriel!BH67="",IPC_Trimestriel!BE67="",IPC_Trimestriel!BA67=""),"",AVERAGE(IPC_Trimestriel!BE67:BH67)/AVERAGE(IPC_Trimestriel!BA67:BD67)-1)</f>
        <v/>
      </c>
      <c r="BE90" s="28" t="str">
        <f>IF(OR(IPC_Trimestriel!BI67="",IPC_Trimestriel!BF67="",IPC_Trimestriel!BB67=""),"",AVERAGE(IPC_Trimestriel!BF67:BI67)/AVERAGE(IPC_Trimestriel!BB67:BE67)-1)</f>
        <v/>
      </c>
      <c r="BF90" s="28" t="str">
        <f>IF(OR(IPC_Trimestriel!BJ67="",IPC_Trimestriel!BG67="",IPC_Trimestriel!BC67=""),"",AVERAGE(IPC_Trimestriel!BG67:BJ67)/AVERAGE(IPC_Trimestriel!BC67:BF67)-1)</f>
        <v/>
      </c>
      <c r="BG90" s="28" t="str">
        <f>IF(OR(IPC_Trimestriel!BK67="",IPC_Trimestriel!BH67="",IPC_Trimestriel!BD67=""),"",AVERAGE(IPC_Trimestriel!BH67:BK67)/AVERAGE(IPC_Trimestriel!BD67:BG67)-1)</f>
        <v/>
      </c>
      <c r="BH90" s="28" t="str">
        <f>IF(OR(IPC_Trimestriel!BL67="",IPC_Trimestriel!BI67="",IPC_Trimestriel!BE67=""),"",AVERAGE(IPC_Trimestriel!BI67:BL67)/AVERAGE(IPC_Trimestriel!BE67:BH67)-1)</f>
        <v/>
      </c>
      <c r="BI90" s="28" t="str">
        <f>IF(OR(IPC_Trimestriel!BM67="",IPC_Trimestriel!BJ67="",IPC_Trimestriel!BF67=""),"",AVERAGE(IPC_Trimestriel!BJ67:BM67)/AVERAGE(IPC_Trimestriel!BF67:BI67)-1)</f>
        <v/>
      </c>
      <c r="BJ90" s="28" t="str">
        <f>IF(OR(IPC_Trimestriel!BN67="",IPC_Trimestriel!BK67="",IPC_Trimestriel!BG67=""),"",AVERAGE(IPC_Trimestriel!BK67:BN67)/AVERAGE(IPC_Trimestriel!BG67:BJ67)-1)</f>
        <v/>
      </c>
      <c r="BK90" s="28" t="str">
        <f>IF(OR(IPC_Trimestriel!BO67="",IPC_Trimestriel!BL67="",IPC_Trimestriel!BH67=""),"",AVERAGE(IPC_Trimestriel!BL67:BO67)/AVERAGE(IPC_Trimestriel!BH67:BK67)-1)</f>
        <v/>
      </c>
      <c r="BL90" s="28" t="str">
        <f>IF(OR(IPC_Trimestriel!BP67="",IPC_Trimestriel!BM67="",IPC_Trimestriel!BI67=""),"",AVERAGE(IPC_Trimestriel!BM67:BP67)/AVERAGE(IPC_Trimestriel!BI67:BL67)-1)</f>
        <v/>
      </c>
      <c r="BM90" s="28" t="str">
        <f>IF(OR(IPC_Trimestriel!BQ67="",IPC_Trimestriel!BN67="",IPC_Trimestriel!BJ67=""),"",AVERAGE(IPC_Trimestriel!BN67:BQ67)/AVERAGE(IPC_Trimestriel!BJ67:BM67)-1)</f>
        <v/>
      </c>
      <c r="BN90" s="28" t="str">
        <f>IF(OR(IPC_Trimestriel!BR67="",IPC_Trimestriel!BO67="",IPC_Trimestriel!BK67=""),"",AVERAGE(IPC_Trimestriel!BO67:BR67)/AVERAGE(IPC_Trimestriel!BK67:BN67)-1)</f>
        <v/>
      </c>
      <c r="BO90" s="28" t="str">
        <f>IF(OR(IPC_Trimestriel!BS67="",IPC_Trimestriel!BP67="",IPC_Trimestriel!BL67=""),"",AVERAGE(IPC_Trimestriel!BP67:BS67)/AVERAGE(IPC_Trimestriel!BL67:BO67)-1)</f>
        <v/>
      </c>
      <c r="BP90" s="28" t="str">
        <f>IF(OR(IPC_Trimestriel!BT67="",IPC_Trimestriel!BQ67="",IPC_Trimestriel!BM67=""),"",AVERAGE(IPC_Trimestriel!BQ67:BT67)/AVERAGE(IPC_Trimestriel!BM67:BP67)-1)</f>
        <v/>
      </c>
      <c r="BQ90" s="28" t="str">
        <f>IF(OR(IPC_Trimestriel!BU67="",IPC_Trimestriel!BR67="",IPC_Trimestriel!BN67=""),"",AVERAGE(IPC_Trimestriel!BR67:BU67)/AVERAGE(IPC_Trimestriel!BN67:BQ67)-1)</f>
        <v/>
      </c>
      <c r="BR90" s="28" t="str">
        <f>IF(OR(IPC_Trimestriel!BV67="",IPC_Trimestriel!BS67="",IPC_Trimestriel!BO67=""),"",AVERAGE(IPC_Trimestriel!BS67:BV67)/AVERAGE(IPC_Trimestriel!BO67:BR67)-1)</f>
        <v/>
      </c>
      <c r="BS90" s="28" t="str">
        <f>IF(OR(IPC_Trimestriel!BW67="",IPC_Trimestriel!BT67="",IPC_Trimestriel!BP67=""),"",AVERAGE(IPC_Trimestriel!BT67:BW67)/AVERAGE(IPC_Trimestriel!BP67:BS67)-1)</f>
        <v/>
      </c>
      <c r="BT90" s="28" t="str">
        <f>IF(OR(IPC_Trimestriel!BX67="",IPC_Trimestriel!BU67="",IPC_Trimestriel!BQ67=""),"",AVERAGE(IPC_Trimestriel!BU67:BX67)/AVERAGE(IPC_Trimestriel!BQ67:BT67)-1)</f>
        <v/>
      </c>
      <c r="BU90" s="28" t="str">
        <f>IF(OR(IPC_Trimestriel!BY67="",IPC_Trimestriel!BV67="",IPC_Trimestriel!BR67=""),"",AVERAGE(IPC_Trimestriel!BV67:BY67)/AVERAGE(IPC_Trimestriel!BR67:BU67)-1)</f>
        <v/>
      </c>
      <c r="BV90" s="28" t="str">
        <f>IF(OR(IPC_Trimestriel!BZ67="",IPC_Trimestriel!BW67="",IPC_Trimestriel!BS67=""),"",AVERAGE(IPC_Trimestriel!BW67:BZ67)/AVERAGE(IPC_Trimestriel!BS67:BV67)-1)</f>
        <v/>
      </c>
      <c r="BW90" s="28" t="str">
        <f>IF(OR(IPC_Trimestriel!CA67="",IPC_Trimestriel!BX67="",IPC_Trimestriel!BT67=""),"",AVERAGE(IPC_Trimestriel!BX67:CA67)/AVERAGE(IPC_Trimestriel!BT67:BW67)-1)</f>
        <v/>
      </c>
      <c r="BX90" s="28" t="str">
        <f>IF(OR(IPC_Trimestriel!CB67="",IPC_Trimestriel!BY67="",IPC_Trimestriel!BU67=""),"",AVERAGE(IPC_Trimestriel!BY67:CB67)/AVERAGE(IPC_Trimestriel!BU67:BX67)-1)</f>
        <v/>
      </c>
      <c r="BY90" s="28" t="str">
        <f>IF(OR(IPC_Trimestriel!CC67="",IPC_Trimestriel!BZ67="",IPC_Trimestriel!BV67=""),"",AVERAGE(IPC_Trimestriel!BZ67:CC67)/AVERAGE(IPC_Trimestriel!BV67:BY67)-1)</f>
        <v/>
      </c>
      <c r="BZ90" s="28" t="str">
        <f>IF(OR(IPC_Trimestriel!CD67="",IPC_Trimestriel!CA67="",IPC_Trimestriel!BW67=""),"",AVERAGE(IPC_Trimestriel!CA67:CD67)/AVERAGE(IPC_Trimestriel!BW67:BZ67)-1)</f>
        <v/>
      </c>
      <c r="CA90" s="28">
        <f>IF(OR(IPC_Trimestriel!CE67="",IPC_Trimestriel!CB67="",IPC_Trimestriel!BX67=""),"",AVERAGE(IPC_Trimestriel!CB67:CE67)/AVERAGE(IPC_Trimestriel!BX67:CA67)-1)</f>
        <v>1.2114523742601468E-2</v>
      </c>
      <c r="CB90" s="28">
        <f>IF(OR(IPC_Trimestriel!CF67="",IPC_Trimestriel!CC67="",IPC_Trimestriel!BY67=""),"",AVERAGE(IPC_Trimestriel!CC67:CF67)/AVERAGE(IPC_Trimestriel!BY67:CB67)-1)</f>
        <v>1.9026501922384531E-2</v>
      </c>
      <c r="CC90" s="28">
        <f>IF(OR(IPC_Trimestriel!CG67="",IPC_Trimestriel!CD67="",IPC_Trimestriel!BZ67=""),"",AVERAGE(IPC_Trimestriel!CD67:CG67)/AVERAGE(IPC_Trimestriel!BZ67:CC67)-1)</f>
        <v>3.6478361019422145E-2</v>
      </c>
      <c r="CD90" s="28">
        <f>IF(OR(IPC_Trimestriel!CH67="",IPC_Trimestriel!CE67="",IPC_Trimestriel!CA67=""),"",AVERAGE(IPC_Trimestriel!CE67:CH67)/AVERAGE(IPC_Trimestriel!CA67:CD67)-1)</f>
        <v>5.4846290713024493E-2</v>
      </c>
      <c r="CE90" s="28">
        <f>IF(OR(IPC_Trimestriel!CI67="",IPC_Trimestriel!CF67="",IPC_Trimestriel!CB67=""),"",AVERAGE(IPC_Trimestriel!CF67:CI67)/AVERAGE(IPC_Trimestriel!CB67:CE67)-1)</f>
        <v>4.8001982415841971E-2</v>
      </c>
      <c r="CF90" s="28">
        <f>IF(OR(IPC_Trimestriel!CJ67="",IPC_Trimestriel!CG67="",IPC_Trimestriel!CC67=""),"",AVERAGE(IPC_Trimestriel!CG67:CJ67)/AVERAGE(IPC_Trimestriel!CC67:CF67)-1)</f>
        <v>3.1300850431900784E-2</v>
      </c>
      <c r="CG90" s="28">
        <f>IF(OR(IPC_Trimestriel!CK67="",IPC_Trimestriel!CH67="",IPC_Trimestriel!CD67=""),"",AVERAGE(IPC_Trimestriel!CH67:CK67)/AVERAGE(IPC_Trimestriel!CD67:CG67)-1)</f>
        <v>1.0357018186120559E-2</v>
      </c>
      <c r="CH90" s="28">
        <f>IF(OR(IPC_Trimestriel!CL67="",IPC_Trimestriel!CI67="",IPC_Trimestriel!CE67=""),"",AVERAGE(IPC_Trimestriel!CI67:CL67)/AVERAGE(IPC_Trimestriel!CE67:CH67)-1)</f>
        <v>-4.9657866896403169E-3</v>
      </c>
      <c r="CI90" s="28">
        <f>IF(OR(IPC_Trimestriel!CM67="",IPC_Trimestriel!CJ67="",IPC_Trimestriel!CF67=""),"",AVERAGE(IPC_Trimestriel!CJ67:CM67)/AVERAGE(IPC_Trimestriel!CF67:CI67)-1)</f>
        <v>-9.8821609758048545E-4</v>
      </c>
      <c r="CJ90" s="28">
        <f>IF(OR(IPC_Trimestriel!CN67="",IPC_Trimestriel!CK67="",IPC_Trimestriel!CG67=""),"",AVERAGE(IPC_Trimestriel!CK67:CN67)/AVERAGE(IPC_Trimestriel!CG67:CJ67)-1)</f>
        <v>1.0424049648209976E-2</v>
      </c>
      <c r="CK90" s="28">
        <f>IF(OR(IPC_Trimestriel!CO67="",IPC_Trimestriel!CL67="",IPC_Trimestriel!CH67=""),"",AVERAGE(IPC_Trimestriel!CL67:CO67)/AVERAGE(IPC_Trimestriel!CH67:CK67)-1)</f>
        <v>2.744179320318163E-2</v>
      </c>
      <c r="CL90" s="28">
        <f>IF(OR(IPC_Trimestriel!CP67="",IPC_Trimestriel!CM67="",IPC_Trimestriel!CI67=""),"",AVERAGE(IPC_Trimestriel!CM67:CP67)/AVERAGE(IPC_Trimestriel!CI67:CL67)-1)</f>
        <v>4.1947843078331326E-2</v>
      </c>
      <c r="CM90" s="28">
        <f>IF(OR(IPC_Trimestriel!CQ67="",IPC_Trimestriel!CN67="",IPC_Trimestriel!CJ67=""),"",AVERAGE(IPC_Trimestriel!CN67:CQ67)/AVERAGE(IPC_Trimestriel!CJ67:CM67)-1)</f>
        <v>4.9119835700531356E-2</v>
      </c>
      <c r="CN90" s="28">
        <f>IF(OR(IPC_Trimestriel!CR67="",IPC_Trimestriel!CO67="",IPC_Trimestriel!CK67=""),"",AVERAGE(IPC_Trimestriel!CO67:CR67)/AVERAGE(IPC_Trimestriel!CK67:CN67)-1)</f>
        <v>5.1274068501697911E-2</v>
      </c>
      <c r="CO90" s="28">
        <f>IF(OR(IPC_Trimestriel!CS67="",IPC_Trimestriel!CP67="",IPC_Trimestriel!CL67=""),"",AVERAGE(IPC_Trimestriel!CP67:CS67)/AVERAGE(IPC_Trimestriel!CL67:CO67)-1)</f>
        <v>4.2314774386595477E-2</v>
      </c>
      <c r="CP90" s="28">
        <f>IF(OR(IPC_Trimestriel!CT67="",IPC_Trimestriel!CQ67="",IPC_Trimestriel!CM67=""),"",AVERAGE(IPC_Trimestriel!CQ67:CT67)/AVERAGE(IPC_Trimestriel!CM67:CP67)-1)</f>
        <v>3.1592909176282102E-2</v>
      </c>
    </row>
    <row r="91" spans="1:94" s="95" customFormat="1" x14ac:dyDescent="0.25">
      <c r="A91" s="91"/>
      <c r="B91" s="92" t="s">
        <v>45</v>
      </c>
      <c r="C91" s="93"/>
      <c r="D91" s="94"/>
      <c r="E91" s="94"/>
      <c r="F91" s="94"/>
      <c r="G91" s="94" t="str">
        <f>IF(OR(IPC_Trimestriel!K68="",IPC_Trimestriel!H68="",IPC_Trimestriel!D68=""),"",AVERAGE(IPC_Trimestriel!H68:K68)/AVERAGE(IPC_Trimestriel!D68:G68)-1)</f>
        <v/>
      </c>
      <c r="H91" s="94" t="str">
        <f>IF(OR(IPC_Trimestriel!L68="",IPC_Trimestriel!I68="",IPC_Trimestriel!E68=""),"",AVERAGE(IPC_Trimestriel!I68:L68)/AVERAGE(IPC_Trimestriel!E68:H68)-1)</f>
        <v/>
      </c>
      <c r="I91" s="94" t="str">
        <f>IF(OR(IPC_Trimestriel!M68="",IPC_Trimestriel!J68="",IPC_Trimestriel!F68=""),"",AVERAGE(IPC_Trimestriel!J68:M68)/AVERAGE(IPC_Trimestriel!F68:I68)-1)</f>
        <v/>
      </c>
      <c r="J91" s="94" t="str">
        <f>IF(OR(IPC_Trimestriel!N68="",IPC_Trimestriel!K68="",IPC_Trimestriel!G68=""),"",AVERAGE(IPC_Trimestriel!K68:N68)/AVERAGE(IPC_Trimestriel!G68:J68)-1)</f>
        <v/>
      </c>
      <c r="K91" s="94" t="str">
        <f>IF(OR(IPC_Trimestriel!O68="",IPC_Trimestriel!L68="",IPC_Trimestriel!H68=""),"",AVERAGE(IPC_Trimestriel!L68:O68)/AVERAGE(IPC_Trimestriel!H68:K68)-1)</f>
        <v/>
      </c>
      <c r="L91" s="94" t="str">
        <f>IF(OR(IPC_Trimestriel!P68="",IPC_Trimestriel!M68="",IPC_Trimestriel!I68=""),"",AVERAGE(IPC_Trimestriel!M68:P68)/AVERAGE(IPC_Trimestriel!I68:L68)-1)</f>
        <v/>
      </c>
      <c r="M91" s="94" t="str">
        <f>IF(OR(IPC_Trimestriel!Q68="",IPC_Trimestriel!N68="",IPC_Trimestriel!J68=""),"",AVERAGE(IPC_Trimestriel!N68:Q68)/AVERAGE(IPC_Trimestriel!J68:M68)-1)</f>
        <v/>
      </c>
      <c r="N91" s="94" t="str">
        <f>IF(OR(IPC_Trimestriel!R68="",IPC_Trimestriel!O68="",IPC_Trimestriel!K68=""),"",AVERAGE(IPC_Trimestriel!O68:R68)/AVERAGE(IPC_Trimestriel!K68:N68)-1)</f>
        <v/>
      </c>
      <c r="O91" s="94" t="str">
        <f>IF(OR(IPC_Trimestriel!S68="",IPC_Trimestriel!P68="",IPC_Trimestriel!L68=""),"",AVERAGE(IPC_Trimestriel!P68:S68)/AVERAGE(IPC_Trimestriel!L68:O68)-1)</f>
        <v/>
      </c>
      <c r="P91" s="94" t="str">
        <f>IF(OR(IPC_Trimestriel!T68="",IPC_Trimestriel!Q68="",IPC_Trimestriel!M68=""),"",AVERAGE(IPC_Trimestriel!Q68:T68)/AVERAGE(IPC_Trimestriel!M68:P68)-1)</f>
        <v/>
      </c>
      <c r="Q91" s="94" t="str">
        <f>IF(OR(IPC_Trimestriel!U68="",IPC_Trimestriel!R68="",IPC_Trimestriel!N68=""),"",AVERAGE(IPC_Trimestriel!R68:U68)/AVERAGE(IPC_Trimestriel!N68:Q68)-1)</f>
        <v/>
      </c>
      <c r="R91" s="94" t="str">
        <f>IF(OR(IPC_Trimestriel!V68="",IPC_Trimestriel!S68="",IPC_Trimestriel!O68=""),"",AVERAGE(IPC_Trimestriel!S68:V68)/AVERAGE(IPC_Trimestriel!O68:R68)-1)</f>
        <v/>
      </c>
      <c r="S91" s="94" t="str">
        <f>IF(OR(IPC_Trimestriel!W68="",IPC_Trimestriel!T68="",IPC_Trimestriel!P68=""),"",AVERAGE(IPC_Trimestriel!T68:W68)/AVERAGE(IPC_Trimestriel!P68:S68)-1)</f>
        <v/>
      </c>
      <c r="T91" s="94" t="str">
        <f>IF(OR(IPC_Trimestriel!X68="",IPC_Trimestriel!U68="",IPC_Trimestriel!Q68=""),"",AVERAGE(IPC_Trimestriel!U68:X68)/AVERAGE(IPC_Trimestriel!Q68:T68)-1)</f>
        <v/>
      </c>
      <c r="U91" s="94" t="str">
        <f>IF(OR(IPC_Trimestriel!Y68="",IPC_Trimestriel!V68="",IPC_Trimestriel!R68=""),"",AVERAGE(IPC_Trimestriel!V68:Y68)/AVERAGE(IPC_Trimestriel!R68:U68)-1)</f>
        <v/>
      </c>
      <c r="V91" s="94" t="str">
        <f>IF(OR(IPC_Trimestriel!Z68="",IPC_Trimestriel!W68="",IPC_Trimestriel!S68=""),"",AVERAGE(IPC_Trimestriel!W68:Z68)/AVERAGE(IPC_Trimestriel!S68:V68)-1)</f>
        <v/>
      </c>
      <c r="W91" s="94" t="str">
        <f>IF(OR(IPC_Trimestriel!AA68="",IPC_Trimestriel!X68="",IPC_Trimestriel!T68=""),"",AVERAGE(IPC_Trimestriel!X68:AA68)/AVERAGE(IPC_Trimestriel!T68:W68)-1)</f>
        <v/>
      </c>
      <c r="X91" s="94" t="str">
        <f>IF(OR(IPC_Trimestriel!AB68="",IPC_Trimestriel!Y68="",IPC_Trimestriel!U68=""),"",AVERAGE(IPC_Trimestriel!Y68:AB68)/AVERAGE(IPC_Trimestriel!U68:X68)-1)</f>
        <v/>
      </c>
      <c r="Y91" s="94" t="str">
        <f>IF(OR(IPC_Trimestriel!AC68="",IPC_Trimestriel!Z68="",IPC_Trimestriel!V68=""),"",AVERAGE(IPC_Trimestriel!Z68:AC68)/AVERAGE(IPC_Trimestriel!V68:Y68)-1)</f>
        <v/>
      </c>
      <c r="Z91" s="94" t="str">
        <f>IF(OR(IPC_Trimestriel!AD68="",IPC_Trimestriel!AA68="",IPC_Trimestriel!W68=""),"",AVERAGE(IPC_Trimestriel!AA68:AD68)/AVERAGE(IPC_Trimestriel!W68:Z68)-1)</f>
        <v/>
      </c>
      <c r="AA91" s="94" t="str">
        <f>IF(OR(IPC_Trimestriel!AE68="",IPC_Trimestriel!AB68="",IPC_Trimestriel!X68=""),"",AVERAGE(IPC_Trimestriel!AB68:AE68)/AVERAGE(IPC_Trimestriel!X68:AA68)-1)</f>
        <v/>
      </c>
      <c r="AB91" s="94" t="str">
        <f>IF(OR(IPC_Trimestriel!AF68="",IPC_Trimestriel!AC68="",IPC_Trimestriel!Y68=""),"",AVERAGE(IPC_Trimestriel!AC68:AF68)/AVERAGE(IPC_Trimestriel!Y68:AB68)-1)</f>
        <v/>
      </c>
      <c r="AC91" s="94" t="str">
        <f>IF(OR(IPC_Trimestriel!AG68="",IPC_Trimestriel!AD68="",IPC_Trimestriel!Z68=""),"",AVERAGE(IPC_Trimestriel!AD68:AG68)/AVERAGE(IPC_Trimestriel!Z68:AC68)-1)</f>
        <v/>
      </c>
      <c r="AD91" s="94" t="str">
        <f>IF(OR(IPC_Trimestriel!AH68="",IPC_Trimestriel!AE68="",IPC_Trimestriel!AA68=""),"",AVERAGE(IPC_Trimestriel!AE68:AH68)/AVERAGE(IPC_Trimestriel!AA68:AD68)-1)</f>
        <v/>
      </c>
      <c r="AE91" s="94" t="str">
        <f>IF(OR(IPC_Trimestriel!AI68="",IPC_Trimestriel!AF68="",IPC_Trimestriel!AB68=""),"",AVERAGE(IPC_Trimestriel!AF68:AI68)/AVERAGE(IPC_Trimestriel!AB68:AE68)-1)</f>
        <v/>
      </c>
      <c r="AF91" s="94" t="str">
        <f>IF(OR(IPC_Trimestriel!AJ68="",IPC_Trimestriel!AG68="",IPC_Trimestriel!AC68=""),"",AVERAGE(IPC_Trimestriel!AG68:AJ68)/AVERAGE(IPC_Trimestriel!AC68:AF68)-1)</f>
        <v/>
      </c>
      <c r="AG91" s="94" t="str">
        <f>IF(OR(IPC_Trimestriel!AK68="",IPC_Trimestriel!AH68="",IPC_Trimestriel!AD68=""),"",AVERAGE(IPC_Trimestriel!AH68:AK68)/AVERAGE(IPC_Trimestriel!AD68:AG68)-1)</f>
        <v/>
      </c>
      <c r="AH91" s="94" t="str">
        <f>IF(OR(IPC_Trimestriel!AL68="",IPC_Trimestriel!AI68="",IPC_Trimestriel!AE68=""),"",AVERAGE(IPC_Trimestriel!AI68:AL68)/AVERAGE(IPC_Trimestriel!AE68:AH68)-1)</f>
        <v/>
      </c>
      <c r="AI91" s="94" t="str">
        <f>IF(OR(IPC_Trimestriel!AM68="",IPC_Trimestriel!AJ68="",IPC_Trimestriel!AF68=""),"",AVERAGE(IPC_Trimestriel!AJ68:AM68)/AVERAGE(IPC_Trimestriel!AF68:AI68)-1)</f>
        <v/>
      </c>
      <c r="AJ91" s="94" t="str">
        <f>IF(OR(IPC_Trimestriel!AN68="",IPC_Trimestriel!AK68="",IPC_Trimestriel!AG68=""),"",AVERAGE(IPC_Trimestriel!AK68:AN68)/AVERAGE(IPC_Trimestriel!AG68:AJ68)-1)</f>
        <v/>
      </c>
      <c r="AK91" s="94" t="str">
        <f>IF(OR(IPC_Trimestriel!AO68="",IPC_Trimestriel!AL68="",IPC_Trimestriel!AH68=""),"",AVERAGE(IPC_Trimestriel!AL68:AO68)/AVERAGE(IPC_Trimestriel!AH68:AK68)-1)</f>
        <v/>
      </c>
      <c r="AL91" s="94" t="str">
        <f>IF(OR(IPC_Trimestriel!AP68="",IPC_Trimestriel!AM68="",IPC_Trimestriel!AI68=""),"",AVERAGE(IPC_Trimestriel!AM68:AP68)/AVERAGE(IPC_Trimestriel!AI68:AL68)-1)</f>
        <v/>
      </c>
      <c r="AM91" s="94" t="str">
        <f>IF(OR(IPC_Trimestriel!AQ68="",IPC_Trimestriel!AN68="",IPC_Trimestriel!AJ68=""),"",AVERAGE(IPC_Trimestriel!AN68:AQ68)/AVERAGE(IPC_Trimestriel!AJ68:AM68)-1)</f>
        <v/>
      </c>
      <c r="AN91" s="94" t="str">
        <f>IF(OR(IPC_Trimestriel!AR68="",IPC_Trimestriel!AO68="",IPC_Trimestriel!AK68=""),"",AVERAGE(IPC_Trimestriel!AO68:AR68)/AVERAGE(IPC_Trimestriel!AK68:AN68)-1)</f>
        <v/>
      </c>
      <c r="AO91" s="94" t="str">
        <f>IF(OR(IPC_Trimestriel!AS68="",IPC_Trimestriel!AP68="",IPC_Trimestriel!AL68=""),"",AVERAGE(IPC_Trimestriel!AP68:AS68)/AVERAGE(IPC_Trimestriel!AL68:AO68)-1)</f>
        <v/>
      </c>
      <c r="AP91" s="94" t="str">
        <f>IF(OR(IPC_Trimestriel!AT68="",IPC_Trimestriel!AQ68="",IPC_Trimestriel!AM68=""),"",AVERAGE(IPC_Trimestriel!AQ68:AT68)/AVERAGE(IPC_Trimestriel!AM68:AP68)-1)</f>
        <v/>
      </c>
      <c r="AQ91" s="94" t="str">
        <f>IF(OR(IPC_Trimestriel!AU68="",IPC_Trimestriel!AR68="",IPC_Trimestriel!AN68=""),"",AVERAGE(IPC_Trimestriel!AR68:AU68)/AVERAGE(IPC_Trimestriel!AN68:AQ68)-1)</f>
        <v/>
      </c>
      <c r="AR91" s="94" t="str">
        <f>IF(OR(IPC_Trimestriel!AV68="",IPC_Trimestriel!AS68="",IPC_Trimestriel!AO68=""),"",AVERAGE(IPC_Trimestriel!AS68:AV68)/AVERAGE(IPC_Trimestriel!AO68:AR68)-1)</f>
        <v/>
      </c>
      <c r="AS91" s="94" t="str">
        <f>IF(OR(IPC_Trimestriel!AW68="",IPC_Trimestriel!AT68="",IPC_Trimestriel!AP68=""),"",AVERAGE(IPC_Trimestriel!AT68:AW68)/AVERAGE(IPC_Trimestriel!AP68:AS68)-1)</f>
        <v/>
      </c>
      <c r="AT91" s="94" t="str">
        <f>IF(OR(IPC_Trimestriel!AX68="",IPC_Trimestriel!AU68="",IPC_Trimestriel!AQ68=""),"",AVERAGE(IPC_Trimestriel!AU68:AX68)/AVERAGE(IPC_Trimestriel!AQ68:AT68)-1)</f>
        <v/>
      </c>
      <c r="AU91" s="94" t="str">
        <f>IF(OR(IPC_Trimestriel!AY68="",IPC_Trimestriel!AV68="",IPC_Trimestriel!AR68=""),"",AVERAGE(IPC_Trimestriel!AV68:AY68)/AVERAGE(IPC_Trimestriel!AR68:AU68)-1)</f>
        <v/>
      </c>
      <c r="AV91" s="94" t="str">
        <f>IF(OR(IPC_Trimestriel!AZ68="",IPC_Trimestriel!AW68="",IPC_Trimestriel!AS68=""),"",AVERAGE(IPC_Trimestriel!AW68:AZ68)/AVERAGE(IPC_Trimestriel!AS68:AV68)-1)</f>
        <v/>
      </c>
      <c r="AW91" s="94" t="str">
        <f>IF(OR(IPC_Trimestriel!BA68="",IPC_Trimestriel!AX68="",IPC_Trimestriel!AT68=""),"",AVERAGE(IPC_Trimestriel!AX68:BA68)/AVERAGE(IPC_Trimestriel!AT68:AW68)-1)</f>
        <v/>
      </c>
      <c r="AX91" s="94" t="str">
        <f>IF(OR(IPC_Trimestriel!BB68="",IPC_Trimestriel!AY68="",IPC_Trimestriel!AU68=""),"",AVERAGE(IPC_Trimestriel!AY68:BB68)/AVERAGE(IPC_Trimestriel!AU68:AX68)-1)</f>
        <v/>
      </c>
      <c r="AY91" s="94" t="str">
        <f>IF(OR(IPC_Trimestriel!BC68="",IPC_Trimestriel!AZ68="",IPC_Trimestriel!AV68=""),"",AVERAGE(IPC_Trimestriel!AZ68:BC68)/AVERAGE(IPC_Trimestriel!AV68:AY68)-1)</f>
        <v/>
      </c>
      <c r="AZ91" s="94" t="str">
        <f>IF(OR(IPC_Trimestriel!BD68="",IPC_Trimestriel!BA68="",IPC_Trimestriel!AW68=""),"",AVERAGE(IPC_Trimestriel!BA68:BD68)/AVERAGE(IPC_Trimestriel!AW68:AZ68)-1)</f>
        <v/>
      </c>
      <c r="BA91" s="94" t="str">
        <f>IF(OR(IPC_Trimestriel!BE68="",IPC_Trimestriel!BB68="",IPC_Trimestriel!AX68=""),"",AVERAGE(IPC_Trimestriel!BB68:BE68)/AVERAGE(IPC_Trimestriel!AX68:BA68)-1)</f>
        <v/>
      </c>
      <c r="BB91" s="94" t="str">
        <f>IF(OR(IPC_Trimestriel!BF68="",IPC_Trimestriel!BC68="",IPC_Trimestriel!AY68=""),"",AVERAGE(IPC_Trimestriel!BC68:BF68)/AVERAGE(IPC_Trimestriel!AY68:BB68)-1)</f>
        <v/>
      </c>
      <c r="BC91" s="94" t="str">
        <f>IF(OR(IPC_Trimestriel!BG68="",IPC_Trimestriel!BD68="",IPC_Trimestriel!AZ68=""),"",AVERAGE(IPC_Trimestriel!BD68:BG68)/AVERAGE(IPC_Trimestriel!AZ68:BC68)-1)</f>
        <v/>
      </c>
      <c r="BD91" s="94" t="str">
        <f>IF(OR(IPC_Trimestriel!BH68="",IPC_Trimestriel!BE68="",IPC_Trimestriel!BA68=""),"",AVERAGE(IPC_Trimestriel!BE68:BH68)/AVERAGE(IPC_Trimestriel!BA68:BD68)-1)</f>
        <v/>
      </c>
      <c r="BE91" s="94" t="str">
        <f>IF(OR(IPC_Trimestriel!BI68="",IPC_Trimestriel!BF68="",IPC_Trimestriel!BB68=""),"",AVERAGE(IPC_Trimestriel!BF68:BI68)/AVERAGE(IPC_Trimestriel!BB68:BE68)-1)</f>
        <v/>
      </c>
      <c r="BF91" s="94" t="str">
        <f>IF(OR(IPC_Trimestriel!BJ68="",IPC_Trimestriel!BG68="",IPC_Trimestriel!BC68=""),"",AVERAGE(IPC_Trimestriel!BG68:BJ68)/AVERAGE(IPC_Trimestriel!BC68:BF68)-1)</f>
        <v/>
      </c>
      <c r="BG91" s="94" t="str">
        <f>IF(OR(IPC_Trimestriel!BK68="",IPC_Trimestriel!BH68="",IPC_Trimestriel!BD68=""),"",AVERAGE(IPC_Trimestriel!BH68:BK68)/AVERAGE(IPC_Trimestriel!BD68:BG68)-1)</f>
        <v/>
      </c>
      <c r="BH91" s="94" t="str">
        <f>IF(OR(IPC_Trimestriel!BL68="",IPC_Trimestriel!BI68="",IPC_Trimestriel!BE68=""),"",AVERAGE(IPC_Trimestriel!BI68:BL68)/AVERAGE(IPC_Trimestriel!BE68:BH68)-1)</f>
        <v/>
      </c>
      <c r="BI91" s="94" t="str">
        <f>IF(OR(IPC_Trimestriel!BM68="",IPC_Trimestriel!BJ68="",IPC_Trimestriel!BF68=""),"",AVERAGE(IPC_Trimestriel!BJ68:BM68)/AVERAGE(IPC_Trimestriel!BF68:BI68)-1)</f>
        <v/>
      </c>
      <c r="BJ91" s="94" t="str">
        <f>IF(OR(IPC_Trimestriel!BN68="",IPC_Trimestriel!BK68="",IPC_Trimestriel!BG68=""),"",AVERAGE(IPC_Trimestriel!BK68:BN68)/AVERAGE(IPC_Trimestriel!BG68:BJ68)-1)</f>
        <v/>
      </c>
      <c r="BK91" s="94" t="str">
        <f>IF(OR(IPC_Trimestriel!BO68="",IPC_Trimestriel!BL68="",IPC_Trimestriel!BH68=""),"",AVERAGE(IPC_Trimestriel!BL68:BO68)/AVERAGE(IPC_Trimestriel!BH68:BK68)-1)</f>
        <v/>
      </c>
      <c r="BL91" s="94" t="str">
        <f>IF(OR(IPC_Trimestriel!BP68="",IPC_Trimestriel!BM68="",IPC_Trimestriel!BI68=""),"",AVERAGE(IPC_Trimestriel!BM68:BP68)/AVERAGE(IPC_Trimestriel!BI68:BL68)-1)</f>
        <v/>
      </c>
      <c r="BM91" s="94" t="str">
        <f>IF(OR(IPC_Trimestriel!BQ68="",IPC_Trimestriel!BN68="",IPC_Trimestriel!BJ68=""),"",AVERAGE(IPC_Trimestriel!BN68:BQ68)/AVERAGE(IPC_Trimestriel!BJ68:BM68)-1)</f>
        <v/>
      </c>
      <c r="BN91" s="94" t="str">
        <f>IF(OR(IPC_Trimestriel!BR68="",IPC_Trimestriel!BO68="",IPC_Trimestriel!BK68=""),"",AVERAGE(IPC_Trimestriel!BO68:BR68)/AVERAGE(IPC_Trimestriel!BK68:BN68)-1)</f>
        <v/>
      </c>
      <c r="BO91" s="94" t="str">
        <f>IF(OR(IPC_Trimestriel!BS68="",IPC_Trimestriel!BP68="",IPC_Trimestriel!BL68=""),"",AVERAGE(IPC_Trimestriel!BP68:BS68)/AVERAGE(IPC_Trimestriel!BL68:BO68)-1)</f>
        <v/>
      </c>
      <c r="BP91" s="94" t="str">
        <f>IF(OR(IPC_Trimestriel!BT68="",IPC_Trimestriel!BQ68="",IPC_Trimestriel!BM68=""),"",AVERAGE(IPC_Trimestriel!BQ68:BT68)/AVERAGE(IPC_Trimestriel!BM68:BP68)-1)</f>
        <v/>
      </c>
      <c r="BQ91" s="94" t="str">
        <f>IF(OR(IPC_Trimestriel!BU68="",IPC_Trimestriel!BR68="",IPC_Trimestriel!BN68=""),"",AVERAGE(IPC_Trimestriel!BR68:BU68)/AVERAGE(IPC_Trimestriel!BN68:BQ68)-1)</f>
        <v/>
      </c>
      <c r="BR91" s="94" t="str">
        <f>IF(OR(IPC_Trimestriel!BV68="",IPC_Trimestriel!BS68="",IPC_Trimestriel!BO68=""),"",AVERAGE(IPC_Trimestriel!BS68:BV68)/AVERAGE(IPC_Trimestriel!BO68:BR68)-1)</f>
        <v/>
      </c>
      <c r="BS91" s="94" t="str">
        <f>IF(OR(IPC_Trimestriel!BW68="",IPC_Trimestriel!BT68="",IPC_Trimestriel!BP68=""),"",AVERAGE(IPC_Trimestriel!BT68:BW68)/AVERAGE(IPC_Trimestriel!BP68:BS68)-1)</f>
        <v/>
      </c>
      <c r="BT91" s="94" t="str">
        <f>IF(OR(IPC_Trimestriel!BX68="",IPC_Trimestriel!BU68="",IPC_Trimestriel!BQ68=""),"",AVERAGE(IPC_Trimestriel!BU68:BX68)/AVERAGE(IPC_Trimestriel!BQ68:BT68)-1)</f>
        <v/>
      </c>
      <c r="BU91" s="94" t="str">
        <f>IF(OR(IPC_Trimestriel!BY68="",IPC_Trimestriel!BV68="",IPC_Trimestriel!BR68=""),"",AVERAGE(IPC_Trimestriel!BV68:BY68)/AVERAGE(IPC_Trimestriel!BR68:BU68)-1)</f>
        <v/>
      </c>
      <c r="BV91" s="94" t="str">
        <f>IF(OR(IPC_Trimestriel!BZ68="",IPC_Trimestriel!BW68="",IPC_Trimestriel!BS68=""),"",AVERAGE(IPC_Trimestriel!BW68:BZ68)/AVERAGE(IPC_Trimestriel!BS68:BV68)-1)</f>
        <v/>
      </c>
      <c r="BW91" s="94" t="str">
        <f>IF(OR(IPC_Trimestriel!CA68="",IPC_Trimestriel!BX68="",IPC_Trimestriel!BT68=""),"",AVERAGE(IPC_Trimestriel!BX68:CA68)/AVERAGE(IPC_Trimestriel!BT68:BW68)-1)</f>
        <v/>
      </c>
      <c r="BX91" s="94" t="str">
        <f>IF(OR(IPC_Trimestriel!CB68="",IPC_Trimestriel!BY68="",IPC_Trimestriel!BU68=""),"",AVERAGE(IPC_Trimestriel!BY68:CB68)/AVERAGE(IPC_Trimestriel!BU68:BX68)-1)</f>
        <v/>
      </c>
      <c r="BY91" s="94" t="str">
        <f>IF(OR(IPC_Trimestriel!CC68="",IPC_Trimestriel!BZ68="",IPC_Trimestriel!BV68=""),"",AVERAGE(IPC_Trimestriel!BZ68:CC68)/AVERAGE(IPC_Trimestriel!BV68:BY68)-1)</f>
        <v/>
      </c>
      <c r="BZ91" s="94" t="str">
        <f>IF(OR(IPC_Trimestriel!CD68="",IPC_Trimestriel!CA68="",IPC_Trimestriel!BW68=""),"",AVERAGE(IPC_Trimestriel!CA68:CD68)/AVERAGE(IPC_Trimestriel!BW68:BZ68)-1)</f>
        <v/>
      </c>
      <c r="CA91" s="94">
        <f>IF(OR(IPC_Trimestriel!CE68="",IPC_Trimestriel!CB68="",IPC_Trimestriel!BX68=""),"",AVERAGE(IPC_Trimestriel!CB68:CE68)/AVERAGE(IPC_Trimestriel!BX68:CA68)-1)</f>
        <v>-9.7056816204598162E-3</v>
      </c>
      <c r="CB91" s="94">
        <f>IF(OR(IPC_Trimestriel!CF68="",IPC_Trimestriel!CC68="",IPC_Trimestriel!BY68=""),"",AVERAGE(IPC_Trimestriel!CC68:CF68)/AVERAGE(IPC_Trimestriel!BY68:CB68)-1)</f>
        <v>-2.6244217006090365E-2</v>
      </c>
      <c r="CC91" s="94">
        <f>IF(OR(IPC_Trimestriel!CG68="",IPC_Trimestriel!CD68="",IPC_Trimestriel!BZ68=""),"",AVERAGE(IPC_Trimestriel!CD68:CG68)/AVERAGE(IPC_Trimestriel!BZ68:CC68)-1)</f>
        <v>-3.0287462703492252E-2</v>
      </c>
      <c r="CD91" s="94">
        <f>IF(OR(IPC_Trimestriel!CH68="",IPC_Trimestriel!CE68="",IPC_Trimestriel!CA68=""),"",AVERAGE(IPC_Trimestriel!CE68:CH68)/AVERAGE(IPC_Trimestriel!CA68:CD68)-1)</f>
        <v>-2.6191944545411849E-2</v>
      </c>
      <c r="CE91" s="94">
        <f>IF(OR(IPC_Trimestriel!CI68="",IPC_Trimestriel!CF68="",IPC_Trimestriel!CB68=""),"",AVERAGE(IPC_Trimestriel!CF68:CI68)/AVERAGE(IPC_Trimestriel!CB68:CE68)-1)</f>
        <v>-2.6612469696997265E-2</v>
      </c>
      <c r="CF91" s="94">
        <f>IF(OR(IPC_Trimestriel!CJ68="",IPC_Trimestriel!CG68="",IPC_Trimestriel!CC68=""),"",AVERAGE(IPC_Trimestriel!CG68:CJ68)/AVERAGE(IPC_Trimestriel!CC68:CF68)-1)</f>
        <v>-1.6068278622249244E-2</v>
      </c>
      <c r="CG91" s="94">
        <f>IF(OR(IPC_Trimestriel!CK68="",IPC_Trimestriel!CH68="",IPC_Trimestriel!CD68=""),"",AVERAGE(IPC_Trimestriel!CH68:CK68)/AVERAGE(IPC_Trimestriel!CD68:CG68)-1)</f>
        <v>-1.1217454556713968E-2</v>
      </c>
      <c r="CH91" s="94">
        <f>IF(OR(IPC_Trimestriel!CL68="",IPC_Trimestriel!CI68="",IPC_Trimestriel!CE68=""),"",AVERAGE(IPC_Trimestriel!CI68:CL68)/AVERAGE(IPC_Trimestriel!CE68:CH68)-1)</f>
        <v>-1.2869055393638584E-2</v>
      </c>
      <c r="CI91" s="94">
        <f>IF(OR(IPC_Trimestriel!CM68="",IPC_Trimestriel!CJ68="",IPC_Trimestriel!CF68=""),"",AVERAGE(IPC_Trimestriel!CJ68:CM68)/AVERAGE(IPC_Trimestriel!CF68:CI68)-1)</f>
        <v>-7.9456829663714368E-3</v>
      </c>
      <c r="CJ91" s="94">
        <f>IF(OR(IPC_Trimestriel!CN68="",IPC_Trimestriel!CK68="",IPC_Trimestriel!CG68=""),"",AVERAGE(IPC_Trimestriel!CK68:CN68)/AVERAGE(IPC_Trimestriel!CG68:CJ68)-1)</f>
        <v>-2.2768178130281314E-3</v>
      </c>
      <c r="CK91" s="94">
        <f>IF(OR(IPC_Trimestriel!CO68="",IPC_Trimestriel!CL68="",IPC_Trimestriel!CH68=""),"",AVERAGE(IPC_Trimestriel!CL68:CO68)/AVERAGE(IPC_Trimestriel!CH68:CK68)-1)</f>
        <v>1.2064555630519225E-2</v>
      </c>
      <c r="CL91" s="94">
        <f>IF(OR(IPC_Trimestriel!CP68="",IPC_Trimestriel!CM68="",IPC_Trimestriel!CI68=""),"",AVERAGE(IPC_Trimestriel!CM68:CP68)/AVERAGE(IPC_Trimestriel!CI68:CL68)-1)</f>
        <v>3.3847451605983681E-2</v>
      </c>
      <c r="CM91" s="94">
        <f>IF(OR(IPC_Trimestriel!CQ68="",IPC_Trimestriel!CN68="",IPC_Trimestriel!CJ68=""),"",AVERAGE(IPC_Trimestriel!CN68:CQ68)/AVERAGE(IPC_Trimestriel!CJ68:CM68)-1)</f>
        <v>5.8320364887505027E-2</v>
      </c>
      <c r="CN91" s="94">
        <f>IF(OR(IPC_Trimestriel!CR68="",IPC_Trimestriel!CO68="",IPC_Trimestriel!CK68=""),"",AVERAGE(IPC_Trimestriel!CO68:CR68)/AVERAGE(IPC_Trimestriel!CK68:CN68)-1)</f>
        <v>6.9305917880281509E-2</v>
      </c>
      <c r="CO91" s="94">
        <f>IF(OR(IPC_Trimestriel!CS68="",IPC_Trimestriel!CP68="",IPC_Trimestriel!CL68=""),"",AVERAGE(IPC_Trimestriel!CP68:CS68)/AVERAGE(IPC_Trimestriel!CL68:CO68)-1)</f>
        <v>6.5785473546231765E-2</v>
      </c>
      <c r="CP91" s="94">
        <f>IF(OR(IPC_Trimestriel!CT68="",IPC_Trimestriel!CQ68="",IPC_Trimestriel!CM68=""),"",AVERAGE(IPC_Trimestriel!CQ68:CT68)/AVERAGE(IPC_Trimestriel!CM68:CP68)-1)</f>
        <v>5.3897486740671852E-2</v>
      </c>
    </row>
    <row r="92" spans="1:94" s="100" customFormat="1" x14ac:dyDescent="0.25">
      <c r="A92" s="96"/>
      <c r="B92" s="97" t="s">
        <v>46</v>
      </c>
      <c r="C92" s="98"/>
      <c r="D92" s="99"/>
      <c r="E92" s="99"/>
      <c r="F92" s="99"/>
      <c r="G92" s="99" t="str">
        <f>IF(OR(IPC_Trimestriel!K69="",IPC_Trimestriel!H69="",IPC_Trimestriel!D69=""),"",AVERAGE(IPC_Trimestriel!H69:K69)/AVERAGE(IPC_Trimestriel!D69:G69)-1)</f>
        <v/>
      </c>
      <c r="H92" s="99" t="str">
        <f>IF(OR(IPC_Trimestriel!L69="",IPC_Trimestriel!I69="",IPC_Trimestriel!E69=""),"",AVERAGE(IPC_Trimestriel!I69:L69)/AVERAGE(IPC_Trimestriel!E69:H69)-1)</f>
        <v/>
      </c>
      <c r="I92" s="99" t="str">
        <f>IF(OR(IPC_Trimestriel!M69="",IPC_Trimestriel!J69="",IPC_Trimestriel!F69=""),"",AVERAGE(IPC_Trimestriel!J69:M69)/AVERAGE(IPC_Trimestriel!F69:I69)-1)</f>
        <v/>
      </c>
      <c r="J92" s="99" t="str">
        <f>IF(OR(IPC_Trimestriel!N69="",IPC_Trimestriel!K69="",IPC_Trimestriel!G69=""),"",AVERAGE(IPC_Trimestriel!K69:N69)/AVERAGE(IPC_Trimestriel!G69:J69)-1)</f>
        <v/>
      </c>
      <c r="K92" s="99" t="str">
        <f>IF(OR(IPC_Trimestriel!O69="",IPC_Trimestriel!L69="",IPC_Trimestriel!H69=""),"",AVERAGE(IPC_Trimestriel!L69:O69)/AVERAGE(IPC_Trimestriel!H69:K69)-1)</f>
        <v/>
      </c>
      <c r="L92" s="99" t="str">
        <f>IF(OR(IPC_Trimestriel!P69="",IPC_Trimestriel!M69="",IPC_Trimestriel!I69=""),"",AVERAGE(IPC_Trimestriel!M69:P69)/AVERAGE(IPC_Trimestriel!I69:L69)-1)</f>
        <v/>
      </c>
      <c r="M92" s="99" t="str">
        <f>IF(OR(IPC_Trimestriel!Q69="",IPC_Trimestriel!N69="",IPC_Trimestriel!J69=""),"",AVERAGE(IPC_Trimestriel!N69:Q69)/AVERAGE(IPC_Trimestriel!J69:M69)-1)</f>
        <v/>
      </c>
      <c r="N92" s="99" t="str">
        <f>IF(OR(IPC_Trimestriel!R69="",IPC_Trimestriel!O69="",IPC_Trimestriel!K69=""),"",AVERAGE(IPC_Trimestriel!O69:R69)/AVERAGE(IPC_Trimestriel!K69:N69)-1)</f>
        <v/>
      </c>
      <c r="O92" s="99" t="str">
        <f>IF(OR(IPC_Trimestriel!S69="",IPC_Trimestriel!P69="",IPC_Trimestriel!L69=""),"",AVERAGE(IPC_Trimestriel!P69:S69)/AVERAGE(IPC_Trimestriel!L69:O69)-1)</f>
        <v/>
      </c>
      <c r="P92" s="99" t="str">
        <f>IF(OR(IPC_Trimestriel!T69="",IPC_Trimestriel!Q69="",IPC_Trimestriel!M69=""),"",AVERAGE(IPC_Trimestriel!Q69:T69)/AVERAGE(IPC_Trimestriel!M69:P69)-1)</f>
        <v/>
      </c>
      <c r="Q92" s="99" t="str">
        <f>IF(OR(IPC_Trimestriel!U69="",IPC_Trimestriel!R69="",IPC_Trimestriel!N69=""),"",AVERAGE(IPC_Trimestriel!R69:U69)/AVERAGE(IPC_Trimestriel!N69:Q69)-1)</f>
        <v/>
      </c>
      <c r="R92" s="99" t="str">
        <f>IF(OR(IPC_Trimestriel!V69="",IPC_Trimestriel!S69="",IPC_Trimestriel!O69=""),"",AVERAGE(IPC_Trimestriel!S69:V69)/AVERAGE(IPC_Trimestriel!O69:R69)-1)</f>
        <v/>
      </c>
      <c r="S92" s="99" t="str">
        <f>IF(OR(IPC_Trimestriel!W69="",IPC_Trimestriel!T69="",IPC_Trimestriel!P69=""),"",AVERAGE(IPC_Trimestriel!T69:W69)/AVERAGE(IPC_Trimestriel!P69:S69)-1)</f>
        <v/>
      </c>
      <c r="T92" s="99" t="str">
        <f>IF(OR(IPC_Trimestriel!X69="",IPC_Trimestriel!U69="",IPC_Trimestriel!Q69=""),"",AVERAGE(IPC_Trimestriel!U69:X69)/AVERAGE(IPC_Trimestriel!Q69:T69)-1)</f>
        <v/>
      </c>
      <c r="U92" s="99" t="str">
        <f>IF(OR(IPC_Trimestriel!Y69="",IPC_Trimestriel!V69="",IPC_Trimestriel!R69=""),"",AVERAGE(IPC_Trimestriel!V69:Y69)/AVERAGE(IPC_Trimestriel!R69:U69)-1)</f>
        <v/>
      </c>
      <c r="V92" s="99" t="str">
        <f>IF(OR(IPC_Trimestriel!Z69="",IPC_Trimestriel!W69="",IPC_Trimestriel!S69=""),"",AVERAGE(IPC_Trimestriel!W69:Z69)/AVERAGE(IPC_Trimestriel!S69:V69)-1)</f>
        <v/>
      </c>
      <c r="W92" s="99" t="str">
        <f>IF(OR(IPC_Trimestriel!AA69="",IPC_Trimestriel!X69="",IPC_Trimestriel!T69=""),"",AVERAGE(IPC_Trimestriel!X69:AA69)/AVERAGE(IPC_Trimestriel!T69:W69)-1)</f>
        <v/>
      </c>
      <c r="X92" s="99" t="str">
        <f>IF(OR(IPC_Trimestriel!AB69="",IPC_Trimestriel!Y69="",IPC_Trimestriel!U69=""),"",AVERAGE(IPC_Trimestriel!Y69:AB69)/AVERAGE(IPC_Trimestriel!U69:X69)-1)</f>
        <v/>
      </c>
      <c r="Y92" s="99" t="str">
        <f>IF(OR(IPC_Trimestriel!AC69="",IPC_Trimestriel!Z69="",IPC_Trimestriel!V69=""),"",AVERAGE(IPC_Trimestriel!Z69:AC69)/AVERAGE(IPC_Trimestriel!V69:Y69)-1)</f>
        <v/>
      </c>
      <c r="Z92" s="99" t="str">
        <f>IF(OR(IPC_Trimestriel!AD69="",IPC_Trimestriel!AA69="",IPC_Trimestriel!W69=""),"",AVERAGE(IPC_Trimestriel!AA69:AD69)/AVERAGE(IPC_Trimestriel!W69:Z69)-1)</f>
        <v/>
      </c>
      <c r="AA92" s="99" t="str">
        <f>IF(OR(IPC_Trimestriel!AE69="",IPC_Trimestriel!AB69="",IPC_Trimestriel!X69=""),"",AVERAGE(IPC_Trimestriel!AB69:AE69)/AVERAGE(IPC_Trimestriel!X69:AA69)-1)</f>
        <v/>
      </c>
      <c r="AB92" s="99" t="str">
        <f>IF(OR(IPC_Trimestriel!AF69="",IPC_Trimestriel!AC69="",IPC_Trimestriel!Y69=""),"",AVERAGE(IPC_Trimestriel!AC69:AF69)/AVERAGE(IPC_Trimestriel!Y69:AB69)-1)</f>
        <v/>
      </c>
      <c r="AC92" s="99" t="str">
        <f>IF(OR(IPC_Trimestriel!AG69="",IPC_Trimestriel!AD69="",IPC_Trimestriel!Z69=""),"",AVERAGE(IPC_Trimestriel!AD69:AG69)/AVERAGE(IPC_Trimestriel!Z69:AC69)-1)</f>
        <v/>
      </c>
      <c r="AD92" s="99" t="str">
        <f>IF(OR(IPC_Trimestriel!AH69="",IPC_Trimestriel!AE69="",IPC_Trimestriel!AA69=""),"",AVERAGE(IPC_Trimestriel!AE69:AH69)/AVERAGE(IPC_Trimestriel!AA69:AD69)-1)</f>
        <v/>
      </c>
      <c r="AE92" s="99" t="str">
        <f>IF(OR(IPC_Trimestriel!AI69="",IPC_Trimestriel!AF69="",IPC_Trimestriel!AB69=""),"",AVERAGE(IPC_Trimestriel!AF69:AI69)/AVERAGE(IPC_Trimestriel!AB69:AE69)-1)</f>
        <v/>
      </c>
      <c r="AF92" s="99" t="str">
        <f>IF(OR(IPC_Trimestriel!AJ69="",IPC_Trimestriel!AG69="",IPC_Trimestriel!AC69=""),"",AVERAGE(IPC_Trimestriel!AG69:AJ69)/AVERAGE(IPC_Trimestriel!AC69:AF69)-1)</f>
        <v/>
      </c>
      <c r="AG92" s="99" t="str">
        <f>IF(OR(IPC_Trimestriel!AK69="",IPC_Trimestriel!AH69="",IPC_Trimestriel!AD69=""),"",AVERAGE(IPC_Trimestriel!AH69:AK69)/AVERAGE(IPC_Trimestriel!AD69:AG69)-1)</f>
        <v/>
      </c>
      <c r="AH92" s="99" t="str">
        <f>IF(OR(IPC_Trimestriel!AL69="",IPC_Trimestriel!AI69="",IPC_Trimestriel!AE69=""),"",AVERAGE(IPC_Trimestriel!AI69:AL69)/AVERAGE(IPC_Trimestriel!AE69:AH69)-1)</f>
        <v/>
      </c>
      <c r="AI92" s="99" t="str">
        <f>IF(OR(IPC_Trimestriel!AM69="",IPC_Trimestriel!AJ69="",IPC_Trimestriel!AF69=""),"",AVERAGE(IPC_Trimestriel!AJ69:AM69)/AVERAGE(IPC_Trimestriel!AF69:AI69)-1)</f>
        <v/>
      </c>
      <c r="AJ92" s="99" t="str">
        <f>IF(OR(IPC_Trimestriel!AN69="",IPC_Trimestriel!AK69="",IPC_Trimestriel!AG69=""),"",AVERAGE(IPC_Trimestriel!AK69:AN69)/AVERAGE(IPC_Trimestriel!AG69:AJ69)-1)</f>
        <v/>
      </c>
      <c r="AK92" s="99" t="str">
        <f>IF(OR(IPC_Trimestriel!AO69="",IPC_Trimestriel!AL69="",IPC_Trimestriel!AH69=""),"",AVERAGE(IPC_Trimestriel!AL69:AO69)/AVERAGE(IPC_Trimestriel!AH69:AK69)-1)</f>
        <v/>
      </c>
      <c r="AL92" s="99" t="str">
        <f>IF(OR(IPC_Trimestriel!AP69="",IPC_Trimestriel!AM69="",IPC_Trimestriel!AI69=""),"",AVERAGE(IPC_Trimestriel!AM69:AP69)/AVERAGE(IPC_Trimestriel!AI69:AL69)-1)</f>
        <v/>
      </c>
      <c r="AM92" s="99" t="str">
        <f>IF(OR(IPC_Trimestriel!AQ69="",IPC_Trimestriel!AN69="",IPC_Trimestriel!AJ69=""),"",AVERAGE(IPC_Trimestriel!AN69:AQ69)/AVERAGE(IPC_Trimestriel!AJ69:AM69)-1)</f>
        <v/>
      </c>
      <c r="AN92" s="99" t="str">
        <f>IF(OR(IPC_Trimestriel!AR69="",IPC_Trimestriel!AO69="",IPC_Trimestriel!AK69=""),"",AVERAGE(IPC_Trimestriel!AO69:AR69)/AVERAGE(IPC_Trimestriel!AK69:AN69)-1)</f>
        <v/>
      </c>
      <c r="AO92" s="99" t="str">
        <f>IF(OR(IPC_Trimestriel!AS69="",IPC_Trimestriel!AP69="",IPC_Trimestriel!AL69=""),"",AVERAGE(IPC_Trimestriel!AP69:AS69)/AVERAGE(IPC_Trimestriel!AL69:AO69)-1)</f>
        <v/>
      </c>
      <c r="AP92" s="99" t="str">
        <f>IF(OR(IPC_Trimestriel!AT69="",IPC_Trimestriel!AQ69="",IPC_Trimestriel!AM69=""),"",AVERAGE(IPC_Trimestriel!AQ69:AT69)/AVERAGE(IPC_Trimestriel!AM69:AP69)-1)</f>
        <v/>
      </c>
      <c r="AQ92" s="99" t="str">
        <f>IF(OR(IPC_Trimestriel!AU69="",IPC_Trimestriel!AR69="",IPC_Trimestriel!AN69=""),"",AVERAGE(IPC_Trimestriel!AR69:AU69)/AVERAGE(IPC_Trimestriel!AN69:AQ69)-1)</f>
        <v/>
      </c>
      <c r="AR92" s="99" t="str">
        <f>IF(OR(IPC_Trimestriel!AV69="",IPC_Trimestriel!AS69="",IPC_Trimestriel!AO69=""),"",AVERAGE(IPC_Trimestriel!AS69:AV69)/AVERAGE(IPC_Trimestriel!AO69:AR69)-1)</f>
        <v/>
      </c>
      <c r="AS92" s="99" t="str">
        <f>IF(OR(IPC_Trimestriel!AW69="",IPC_Trimestriel!AT69="",IPC_Trimestriel!AP69=""),"",AVERAGE(IPC_Trimestriel!AT69:AW69)/AVERAGE(IPC_Trimestriel!AP69:AS69)-1)</f>
        <v/>
      </c>
      <c r="AT92" s="99" t="str">
        <f>IF(OR(IPC_Trimestriel!AX69="",IPC_Trimestriel!AU69="",IPC_Trimestriel!AQ69=""),"",AVERAGE(IPC_Trimestriel!AU69:AX69)/AVERAGE(IPC_Trimestriel!AQ69:AT69)-1)</f>
        <v/>
      </c>
      <c r="AU92" s="99" t="str">
        <f>IF(OR(IPC_Trimestriel!AY69="",IPC_Trimestriel!AV69="",IPC_Trimestriel!AR69=""),"",AVERAGE(IPC_Trimestriel!AV69:AY69)/AVERAGE(IPC_Trimestriel!AR69:AU69)-1)</f>
        <v/>
      </c>
      <c r="AV92" s="99" t="str">
        <f>IF(OR(IPC_Trimestriel!AZ69="",IPC_Trimestriel!AW69="",IPC_Trimestriel!AS69=""),"",AVERAGE(IPC_Trimestriel!AW69:AZ69)/AVERAGE(IPC_Trimestriel!AS69:AV69)-1)</f>
        <v/>
      </c>
      <c r="AW92" s="99" t="str">
        <f>IF(OR(IPC_Trimestriel!BA69="",IPC_Trimestriel!AX69="",IPC_Trimestriel!AT69=""),"",AVERAGE(IPC_Trimestriel!AX69:BA69)/AVERAGE(IPC_Trimestriel!AT69:AW69)-1)</f>
        <v/>
      </c>
      <c r="AX92" s="99" t="str">
        <f>IF(OR(IPC_Trimestriel!BB69="",IPC_Trimestriel!AY69="",IPC_Trimestriel!AU69=""),"",AVERAGE(IPC_Trimestriel!AY69:BB69)/AVERAGE(IPC_Trimestriel!AU69:AX69)-1)</f>
        <v/>
      </c>
      <c r="AY92" s="99" t="str">
        <f>IF(OR(IPC_Trimestriel!BC69="",IPC_Trimestriel!AZ69="",IPC_Trimestriel!AV69=""),"",AVERAGE(IPC_Trimestriel!AZ69:BC69)/AVERAGE(IPC_Trimestriel!AV69:AY69)-1)</f>
        <v/>
      </c>
      <c r="AZ92" s="99" t="str">
        <f>IF(OR(IPC_Trimestriel!BD69="",IPC_Trimestriel!BA69="",IPC_Trimestriel!AW69=""),"",AVERAGE(IPC_Trimestriel!BA69:BD69)/AVERAGE(IPC_Trimestriel!AW69:AZ69)-1)</f>
        <v/>
      </c>
      <c r="BA92" s="99" t="str">
        <f>IF(OR(IPC_Trimestriel!BE69="",IPC_Trimestriel!BB69="",IPC_Trimestriel!AX69=""),"",AVERAGE(IPC_Trimestriel!BB69:BE69)/AVERAGE(IPC_Trimestriel!AX69:BA69)-1)</f>
        <v/>
      </c>
      <c r="BB92" s="99" t="str">
        <f>IF(OR(IPC_Trimestriel!BF69="",IPC_Trimestriel!BC69="",IPC_Trimestriel!AY69=""),"",AVERAGE(IPC_Trimestriel!BC69:BF69)/AVERAGE(IPC_Trimestriel!AY69:BB69)-1)</f>
        <v/>
      </c>
      <c r="BC92" s="99" t="str">
        <f>IF(OR(IPC_Trimestriel!BG69="",IPC_Trimestriel!BD69="",IPC_Trimestriel!AZ69=""),"",AVERAGE(IPC_Trimestriel!BD69:BG69)/AVERAGE(IPC_Trimestriel!AZ69:BC69)-1)</f>
        <v/>
      </c>
      <c r="BD92" s="99" t="str">
        <f>IF(OR(IPC_Trimestriel!BH69="",IPC_Trimestriel!BE69="",IPC_Trimestriel!BA69=""),"",AVERAGE(IPC_Trimestriel!BE69:BH69)/AVERAGE(IPC_Trimestriel!BA69:BD69)-1)</f>
        <v/>
      </c>
      <c r="BE92" s="99" t="str">
        <f>IF(OR(IPC_Trimestriel!BI69="",IPC_Trimestriel!BF69="",IPC_Trimestriel!BB69=""),"",AVERAGE(IPC_Trimestriel!BF69:BI69)/AVERAGE(IPC_Trimestriel!BB69:BE69)-1)</f>
        <v/>
      </c>
      <c r="BF92" s="99" t="str">
        <f>IF(OR(IPC_Trimestriel!BJ69="",IPC_Trimestriel!BG69="",IPC_Trimestriel!BC69=""),"",AVERAGE(IPC_Trimestriel!BG69:BJ69)/AVERAGE(IPC_Trimestriel!BC69:BF69)-1)</f>
        <v/>
      </c>
      <c r="BG92" s="99" t="str">
        <f>IF(OR(IPC_Trimestriel!BK69="",IPC_Trimestriel!BH69="",IPC_Trimestriel!BD69=""),"",AVERAGE(IPC_Trimestriel!BH69:BK69)/AVERAGE(IPC_Trimestriel!BD69:BG69)-1)</f>
        <v/>
      </c>
      <c r="BH92" s="99" t="str">
        <f>IF(OR(IPC_Trimestriel!BL69="",IPC_Trimestriel!BI69="",IPC_Trimestriel!BE69=""),"",AVERAGE(IPC_Trimestriel!BI69:BL69)/AVERAGE(IPC_Trimestriel!BE69:BH69)-1)</f>
        <v/>
      </c>
      <c r="BI92" s="99" t="str">
        <f>IF(OR(IPC_Trimestriel!BM69="",IPC_Trimestriel!BJ69="",IPC_Trimestriel!BF69=""),"",AVERAGE(IPC_Trimestriel!BJ69:BM69)/AVERAGE(IPC_Trimestriel!BF69:BI69)-1)</f>
        <v/>
      </c>
      <c r="BJ92" s="99" t="str">
        <f>IF(OR(IPC_Trimestriel!BN69="",IPC_Trimestriel!BK69="",IPC_Trimestriel!BG69=""),"",AVERAGE(IPC_Trimestriel!BK69:BN69)/AVERAGE(IPC_Trimestriel!BG69:BJ69)-1)</f>
        <v/>
      </c>
      <c r="BK92" s="99" t="str">
        <f>IF(OR(IPC_Trimestriel!BO69="",IPC_Trimestriel!BL69="",IPC_Trimestriel!BH69=""),"",AVERAGE(IPC_Trimestriel!BL69:BO69)/AVERAGE(IPC_Trimestriel!BH69:BK69)-1)</f>
        <v/>
      </c>
      <c r="BL92" s="99" t="str">
        <f>IF(OR(IPC_Trimestriel!BP69="",IPC_Trimestriel!BM69="",IPC_Trimestriel!BI69=""),"",AVERAGE(IPC_Trimestriel!BM69:BP69)/AVERAGE(IPC_Trimestriel!BI69:BL69)-1)</f>
        <v/>
      </c>
      <c r="BM92" s="99" t="str">
        <f>IF(OR(IPC_Trimestriel!BQ69="",IPC_Trimestriel!BN69="",IPC_Trimestriel!BJ69=""),"",AVERAGE(IPC_Trimestriel!BN69:BQ69)/AVERAGE(IPC_Trimestriel!BJ69:BM69)-1)</f>
        <v/>
      </c>
      <c r="BN92" s="99" t="str">
        <f>IF(OR(IPC_Trimestriel!BR69="",IPC_Trimestriel!BO69="",IPC_Trimestriel!BK69=""),"",AVERAGE(IPC_Trimestriel!BO69:BR69)/AVERAGE(IPC_Trimestriel!BK69:BN69)-1)</f>
        <v/>
      </c>
      <c r="BO92" s="99" t="str">
        <f>IF(OR(IPC_Trimestriel!BS69="",IPC_Trimestriel!BP69="",IPC_Trimestriel!BL69=""),"",AVERAGE(IPC_Trimestriel!BP69:BS69)/AVERAGE(IPC_Trimestriel!BL69:BO69)-1)</f>
        <v/>
      </c>
      <c r="BP92" s="99" t="str">
        <f>IF(OR(IPC_Trimestriel!BT69="",IPC_Trimestriel!BQ69="",IPC_Trimestriel!BM69=""),"",AVERAGE(IPC_Trimestriel!BQ69:BT69)/AVERAGE(IPC_Trimestriel!BM69:BP69)-1)</f>
        <v/>
      </c>
      <c r="BQ92" s="99" t="str">
        <f>IF(OR(IPC_Trimestriel!BU69="",IPC_Trimestriel!BR69="",IPC_Trimestriel!BN69=""),"",AVERAGE(IPC_Trimestriel!BR69:BU69)/AVERAGE(IPC_Trimestriel!BN69:BQ69)-1)</f>
        <v/>
      </c>
      <c r="BR92" s="99" t="str">
        <f>IF(OR(IPC_Trimestriel!BV69="",IPC_Trimestriel!BS69="",IPC_Trimestriel!BO69=""),"",AVERAGE(IPC_Trimestriel!BS69:BV69)/AVERAGE(IPC_Trimestriel!BO69:BR69)-1)</f>
        <v/>
      </c>
      <c r="BS92" s="99" t="str">
        <f>IF(OR(IPC_Trimestriel!BW69="",IPC_Trimestriel!BT69="",IPC_Trimestriel!BP69=""),"",AVERAGE(IPC_Trimestriel!BT69:BW69)/AVERAGE(IPC_Trimestriel!BP69:BS69)-1)</f>
        <v/>
      </c>
      <c r="BT92" s="99" t="str">
        <f>IF(OR(IPC_Trimestriel!BX69="",IPC_Trimestriel!BU69="",IPC_Trimestriel!BQ69=""),"",AVERAGE(IPC_Trimestriel!BU69:BX69)/AVERAGE(IPC_Trimestriel!BQ69:BT69)-1)</f>
        <v/>
      </c>
      <c r="BU92" s="99" t="str">
        <f>IF(OR(IPC_Trimestriel!BY69="",IPC_Trimestriel!BV69="",IPC_Trimestriel!BR69=""),"",AVERAGE(IPC_Trimestriel!BV69:BY69)/AVERAGE(IPC_Trimestriel!BR69:BU69)-1)</f>
        <v/>
      </c>
      <c r="BV92" s="99" t="str">
        <f>IF(OR(IPC_Trimestriel!BZ69="",IPC_Trimestriel!BW69="",IPC_Trimestriel!BS69=""),"",AVERAGE(IPC_Trimestriel!BW69:BZ69)/AVERAGE(IPC_Trimestriel!BS69:BV69)-1)</f>
        <v/>
      </c>
      <c r="BW92" s="99" t="str">
        <f>IF(OR(IPC_Trimestriel!CA69="",IPC_Trimestriel!BX69="",IPC_Trimestriel!BT69=""),"",AVERAGE(IPC_Trimestriel!BX69:CA69)/AVERAGE(IPC_Trimestriel!BT69:BW69)-1)</f>
        <v/>
      </c>
      <c r="BX92" s="99" t="str">
        <f>IF(OR(IPC_Trimestriel!CB69="",IPC_Trimestriel!BY69="",IPC_Trimestriel!BU69=""),"",AVERAGE(IPC_Trimestriel!BY69:CB69)/AVERAGE(IPC_Trimestriel!BU69:BX69)-1)</f>
        <v/>
      </c>
      <c r="BY92" s="99" t="str">
        <f>IF(OR(IPC_Trimestriel!CC69="",IPC_Trimestriel!BZ69="",IPC_Trimestriel!BV69=""),"",AVERAGE(IPC_Trimestriel!BZ69:CC69)/AVERAGE(IPC_Trimestriel!BV69:BY69)-1)</f>
        <v/>
      </c>
      <c r="BZ92" s="99" t="str">
        <f>IF(OR(IPC_Trimestriel!CD69="",IPC_Trimestriel!CA69="",IPC_Trimestriel!BW69=""),"",AVERAGE(IPC_Trimestriel!CA69:CD69)/AVERAGE(IPC_Trimestriel!BW69:BZ69)-1)</f>
        <v/>
      </c>
      <c r="CA92" s="99">
        <f>IF(OR(IPC_Trimestriel!CE69="",IPC_Trimestriel!CB69="",IPC_Trimestriel!BX69=""),"",AVERAGE(IPC_Trimestriel!CB69:CE69)/AVERAGE(IPC_Trimestriel!BX69:CA69)-1)</f>
        <v>2.6853735526678468E-2</v>
      </c>
      <c r="CB92" s="99">
        <f>IF(OR(IPC_Trimestriel!CF69="",IPC_Trimestriel!CC69="",IPC_Trimestriel!BY69=""),"",AVERAGE(IPC_Trimestriel!CC69:CF69)/AVERAGE(IPC_Trimestriel!BY69:CB69)-1)</f>
        <v>1.3522999773428968E-2</v>
      </c>
      <c r="CC92" s="99">
        <f>IF(OR(IPC_Trimestriel!CG69="",IPC_Trimestriel!CD69="",IPC_Trimestriel!BZ69=""),"",AVERAGE(IPC_Trimestriel!CD69:CG69)/AVERAGE(IPC_Trimestriel!BZ69:CC69)-1)</f>
        <v>1.255930418771678E-2</v>
      </c>
      <c r="CD92" s="99">
        <f>IF(OR(IPC_Trimestriel!CH69="",IPC_Trimestriel!CE69="",IPC_Trimestriel!CA69=""),"",AVERAGE(IPC_Trimestriel!CE69:CH69)/AVERAGE(IPC_Trimestriel!CA69:CD69)-1)</f>
        <v>1.1968059733376668E-2</v>
      </c>
      <c r="CE92" s="99">
        <f>IF(OR(IPC_Trimestriel!CI69="",IPC_Trimestriel!CF69="",IPC_Trimestriel!CB69=""),"",AVERAGE(IPC_Trimestriel!CF69:CI69)/AVERAGE(IPC_Trimestriel!CB69:CE69)-1)</f>
        <v>2.3038593175244371E-2</v>
      </c>
      <c r="CF92" s="99">
        <f>IF(OR(IPC_Trimestriel!CJ69="",IPC_Trimestriel!CG69="",IPC_Trimestriel!CC69=""),"",AVERAGE(IPC_Trimestriel!CG69:CJ69)/AVERAGE(IPC_Trimestriel!CC69:CF69)-1)</f>
        <v>3.5486964991050751E-2</v>
      </c>
      <c r="CG92" s="99">
        <f>IF(OR(IPC_Trimestriel!CK69="",IPC_Trimestriel!CH69="",IPC_Trimestriel!CD69=""),"",AVERAGE(IPC_Trimestriel!CH69:CK69)/AVERAGE(IPC_Trimestriel!CD69:CG69)-1)</f>
        <v>3.4987715994637236E-2</v>
      </c>
      <c r="CH92" s="99">
        <f>IF(OR(IPC_Trimestriel!CL69="",IPC_Trimestriel!CI69="",IPC_Trimestriel!CE69=""),"",AVERAGE(IPC_Trimestriel!CI69:CL69)/AVERAGE(IPC_Trimestriel!CE69:CH69)-1)</f>
        <v>3.4716334741354826E-2</v>
      </c>
      <c r="CI92" s="99">
        <f>IF(OR(IPC_Trimestriel!CM69="",IPC_Trimestriel!CJ69="",IPC_Trimestriel!CF69=""),"",AVERAGE(IPC_Trimestriel!CJ69:CM69)/AVERAGE(IPC_Trimestriel!CF69:CI69)-1)</f>
        <v>2.8091715128319761E-2</v>
      </c>
      <c r="CJ92" s="99">
        <f>IF(OR(IPC_Trimestriel!CN69="",IPC_Trimestriel!CK69="",IPC_Trimestriel!CG69=""),"",AVERAGE(IPC_Trimestriel!CK69:CN69)/AVERAGE(IPC_Trimestriel!CG69:CJ69)-1)</f>
        <v>2.1879472754899432E-2</v>
      </c>
      <c r="CK92" s="99">
        <f>IF(OR(IPC_Trimestriel!CO69="",IPC_Trimestriel!CL69="",IPC_Trimestriel!CH69=""),"",AVERAGE(IPC_Trimestriel!CL69:CO69)/AVERAGE(IPC_Trimestriel!CH69:CK69)-1)</f>
        <v>3.0692271729488407E-2</v>
      </c>
      <c r="CL92" s="99">
        <f>IF(OR(IPC_Trimestriel!CP69="",IPC_Trimestriel!CM69="",IPC_Trimestriel!CI69=""),"",AVERAGE(IPC_Trimestriel!CM69:CP69)/AVERAGE(IPC_Trimestriel!CI69:CL69)-1)</f>
        <v>3.9815076427074159E-2</v>
      </c>
      <c r="CM92" s="99">
        <f>IF(OR(IPC_Trimestriel!CQ69="",IPC_Trimestriel!CN69="",IPC_Trimestriel!CJ69=""),"",AVERAGE(IPC_Trimestriel!CN69:CQ69)/AVERAGE(IPC_Trimestriel!CJ69:CM69)-1)</f>
        <v>5.5794115031942093E-2</v>
      </c>
      <c r="CN92" s="99">
        <f>IF(OR(IPC_Trimestriel!CR69="",IPC_Trimestriel!CO69="",IPC_Trimestriel!CK69=""),"",AVERAGE(IPC_Trimestriel!CO69:CR69)/AVERAGE(IPC_Trimestriel!CK69:CN69)-1)</f>
        <v>7.0536069922159772E-2</v>
      </c>
      <c r="CO92" s="99">
        <f>IF(OR(IPC_Trimestriel!CS69="",IPC_Trimestriel!CP69="",IPC_Trimestriel!CL69=""),"",AVERAGE(IPC_Trimestriel!CP69:CS69)/AVERAGE(IPC_Trimestriel!CL69:CO69)-1)</f>
        <v>5.4832974645073307E-2</v>
      </c>
      <c r="CP92" s="99">
        <f>IF(OR(IPC_Trimestriel!CT69="",IPC_Trimestriel!CQ69="",IPC_Trimestriel!CM69=""),"",AVERAGE(IPC_Trimestriel!CQ69:CT69)/AVERAGE(IPC_Trimestriel!CM69:CP69)-1)</f>
        <v>4.3080979758025384E-2</v>
      </c>
    </row>
    <row r="93" spans="1:94" x14ac:dyDescent="0.25">
      <c r="A93" s="11"/>
      <c r="B93" s="30" t="s">
        <v>50</v>
      </c>
      <c r="C93" s="17"/>
      <c r="D93" s="28"/>
      <c r="E93" s="28"/>
      <c r="F93" s="28"/>
      <c r="G93" s="28" t="str">
        <f>IF(OR(IPC_Trimestriel!K70="",IPC_Trimestriel!H70="",IPC_Trimestriel!D70=""),"",AVERAGE(IPC_Trimestriel!H70:K70)/AVERAGE(IPC_Trimestriel!D70:G70)-1)</f>
        <v/>
      </c>
      <c r="H93" s="28" t="str">
        <f>IF(OR(IPC_Trimestriel!L70="",IPC_Trimestriel!I70="",IPC_Trimestriel!E70=""),"",AVERAGE(IPC_Trimestriel!I70:L70)/AVERAGE(IPC_Trimestriel!E70:H70)-1)</f>
        <v/>
      </c>
      <c r="I93" s="28" t="str">
        <f>IF(OR(IPC_Trimestriel!M70="",IPC_Trimestriel!J70="",IPC_Trimestriel!F70=""),"",AVERAGE(IPC_Trimestriel!J70:M70)/AVERAGE(IPC_Trimestriel!F70:I70)-1)</f>
        <v/>
      </c>
      <c r="J93" s="28" t="str">
        <f>IF(OR(IPC_Trimestriel!N70="",IPC_Trimestriel!K70="",IPC_Trimestriel!G70=""),"",AVERAGE(IPC_Trimestriel!K70:N70)/AVERAGE(IPC_Trimestriel!G70:J70)-1)</f>
        <v/>
      </c>
      <c r="K93" s="28" t="str">
        <f>IF(OR(IPC_Trimestriel!O70="",IPC_Trimestriel!L70="",IPC_Trimestriel!H70=""),"",AVERAGE(IPC_Trimestriel!L70:O70)/AVERAGE(IPC_Trimestriel!H70:K70)-1)</f>
        <v/>
      </c>
      <c r="L93" s="28" t="str">
        <f>IF(OR(IPC_Trimestriel!P70="",IPC_Trimestriel!M70="",IPC_Trimestriel!I70=""),"",AVERAGE(IPC_Trimestriel!M70:P70)/AVERAGE(IPC_Trimestriel!I70:L70)-1)</f>
        <v/>
      </c>
      <c r="M93" s="28" t="str">
        <f>IF(OR(IPC_Trimestriel!Q70="",IPC_Trimestriel!N70="",IPC_Trimestriel!J70=""),"",AVERAGE(IPC_Trimestriel!N70:Q70)/AVERAGE(IPC_Trimestriel!J70:M70)-1)</f>
        <v/>
      </c>
      <c r="N93" s="28" t="str">
        <f>IF(OR(IPC_Trimestriel!R70="",IPC_Trimestriel!O70="",IPC_Trimestriel!K70=""),"",AVERAGE(IPC_Trimestriel!O70:R70)/AVERAGE(IPC_Trimestriel!K70:N70)-1)</f>
        <v/>
      </c>
      <c r="O93" s="28" t="str">
        <f>IF(OR(IPC_Trimestriel!S70="",IPC_Trimestriel!P70="",IPC_Trimestriel!L70=""),"",AVERAGE(IPC_Trimestriel!P70:S70)/AVERAGE(IPC_Trimestriel!L70:O70)-1)</f>
        <v/>
      </c>
      <c r="P93" s="28" t="str">
        <f>IF(OR(IPC_Trimestriel!T70="",IPC_Trimestriel!Q70="",IPC_Trimestriel!M70=""),"",AVERAGE(IPC_Trimestriel!Q70:T70)/AVERAGE(IPC_Trimestriel!M70:P70)-1)</f>
        <v/>
      </c>
      <c r="Q93" s="28" t="str">
        <f>IF(OR(IPC_Trimestriel!U70="",IPC_Trimestriel!R70="",IPC_Trimestriel!N70=""),"",AVERAGE(IPC_Trimestriel!R70:U70)/AVERAGE(IPC_Trimestriel!N70:Q70)-1)</f>
        <v/>
      </c>
      <c r="R93" s="28" t="str">
        <f>IF(OR(IPC_Trimestriel!V70="",IPC_Trimestriel!S70="",IPC_Trimestriel!O70=""),"",AVERAGE(IPC_Trimestriel!S70:V70)/AVERAGE(IPC_Trimestriel!O70:R70)-1)</f>
        <v/>
      </c>
      <c r="S93" s="28" t="str">
        <f>IF(OR(IPC_Trimestriel!W70="",IPC_Trimestriel!T70="",IPC_Trimestriel!P70=""),"",AVERAGE(IPC_Trimestriel!T70:W70)/AVERAGE(IPC_Trimestriel!P70:S70)-1)</f>
        <v/>
      </c>
      <c r="T93" s="28" t="str">
        <f>IF(OR(IPC_Trimestriel!X70="",IPC_Trimestriel!U70="",IPC_Trimestriel!Q70=""),"",AVERAGE(IPC_Trimestriel!U70:X70)/AVERAGE(IPC_Trimestriel!Q70:T70)-1)</f>
        <v/>
      </c>
      <c r="U93" s="28" t="str">
        <f>IF(OR(IPC_Trimestriel!Y70="",IPC_Trimestriel!V70="",IPC_Trimestriel!R70=""),"",AVERAGE(IPC_Trimestriel!V70:Y70)/AVERAGE(IPC_Trimestriel!R70:U70)-1)</f>
        <v/>
      </c>
      <c r="V93" s="28" t="str">
        <f>IF(OR(IPC_Trimestriel!Z70="",IPC_Trimestriel!W70="",IPC_Trimestriel!S70=""),"",AVERAGE(IPC_Trimestriel!W70:Z70)/AVERAGE(IPC_Trimestriel!S70:V70)-1)</f>
        <v/>
      </c>
      <c r="W93" s="28" t="str">
        <f>IF(OR(IPC_Trimestriel!AA70="",IPC_Trimestriel!X70="",IPC_Trimestriel!T70=""),"",AVERAGE(IPC_Trimestriel!X70:AA70)/AVERAGE(IPC_Trimestriel!T70:W70)-1)</f>
        <v/>
      </c>
      <c r="X93" s="28" t="str">
        <f>IF(OR(IPC_Trimestriel!AB70="",IPC_Trimestriel!Y70="",IPC_Trimestriel!U70=""),"",AVERAGE(IPC_Trimestriel!Y70:AB70)/AVERAGE(IPC_Trimestriel!U70:X70)-1)</f>
        <v/>
      </c>
      <c r="Y93" s="28" t="str">
        <f>IF(OR(IPC_Trimestriel!AC70="",IPC_Trimestriel!Z70="",IPC_Trimestriel!V70=""),"",AVERAGE(IPC_Trimestriel!Z70:AC70)/AVERAGE(IPC_Trimestriel!V70:Y70)-1)</f>
        <v/>
      </c>
      <c r="Z93" s="28" t="str">
        <f>IF(OR(IPC_Trimestriel!AD70="",IPC_Trimestriel!AA70="",IPC_Trimestriel!W70=""),"",AVERAGE(IPC_Trimestriel!AA70:AD70)/AVERAGE(IPC_Trimestriel!W70:Z70)-1)</f>
        <v/>
      </c>
      <c r="AA93" s="28" t="str">
        <f>IF(OR(IPC_Trimestriel!AE70="",IPC_Trimestriel!AB70="",IPC_Trimestriel!X70=""),"",AVERAGE(IPC_Trimestriel!AB70:AE70)/AVERAGE(IPC_Trimestriel!X70:AA70)-1)</f>
        <v/>
      </c>
      <c r="AB93" s="28" t="str">
        <f>IF(OR(IPC_Trimestriel!AF70="",IPC_Trimestriel!AC70="",IPC_Trimestriel!Y70=""),"",AVERAGE(IPC_Trimestriel!AC70:AF70)/AVERAGE(IPC_Trimestriel!Y70:AB70)-1)</f>
        <v/>
      </c>
      <c r="AC93" s="28" t="str">
        <f>IF(OR(IPC_Trimestriel!AG70="",IPC_Trimestriel!AD70="",IPC_Trimestriel!Z70=""),"",AVERAGE(IPC_Trimestriel!AD70:AG70)/AVERAGE(IPC_Trimestriel!Z70:AC70)-1)</f>
        <v/>
      </c>
      <c r="AD93" s="28" t="str">
        <f>IF(OR(IPC_Trimestriel!AH70="",IPC_Trimestriel!AE70="",IPC_Trimestriel!AA70=""),"",AVERAGE(IPC_Trimestriel!AE70:AH70)/AVERAGE(IPC_Trimestriel!AA70:AD70)-1)</f>
        <v/>
      </c>
      <c r="AE93" s="28" t="str">
        <f>IF(OR(IPC_Trimestriel!AI70="",IPC_Trimestriel!AF70="",IPC_Trimestriel!AB70=""),"",AVERAGE(IPC_Trimestriel!AF70:AI70)/AVERAGE(IPC_Trimestriel!AB70:AE70)-1)</f>
        <v/>
      </c>
      <c r="AF93" s="28" t="str">
        <f>IF(OR(IPC_Trimestriel!AJ70="",IPC_Trimestriel!AG70="",IPC_Trimestriel!AC70=""),"",AVERAGE(IPC_Trimestriel!AG70:AJ70)/AVERAGE(IPC_Trimestriel!AC70:AF70)-1)</f>
        <v/>
      </c>
      <c r="AG93" s="28" t="str">
        <f>IF(OR(IPC_Trimestriel!AK70="",IPC_Trimestriel!AH70="",IPC_Trimestriel!AD70=""),"",AVERAGE(IPC_Trimestriel!AH70:AK70)/AVERAGE(IPC_Trimestriel!AD70:AG70)-1)</f>
        <v/>
      </c>
      <c r="AH93" s="28" t="str">
        <f>IF(OR(IPC_Trimestriel!AL70="",IPC_Trimestriel!AI70="",IPC_Trimestriel!AE70=""),"",AVERAGE(IPC_Trimestriel!AI70:AL70)/AVERAGE(IPC_Trimestriel!AE70:AH70)-1)</f>
        <v/>
      </c>
      <c r="AI93" s="28" t="str">
        <f>IF(OR(IPC_Trimestriel!AM70="",IPC_Trimestriel!AJ70="",IPC_Trimestriel!AF70=""),"",AVERAGE(IPC_Trimestriel!AJ70:AM70)/AVERAGE(IPC_Trimestriel!AF70:AI70)-1)</f>
        <v/>
      </c>
      <c r="AJ93" s="28" t="str">
        <f>IF(OR(IPC_Trimestriel!AN70="",IPC_Trimestriel!AK70="",IPC_Trimestriel!AG70=""),"",AVERAGE(IPC_Trimestriel!AK70:AN70)/AVERAGE(IPC_Trimestriel!AG70:AJ70)-1)</f>
        <v/>
      </c>
      <c r="AK93" s="28" t="str">
        <f>IF(OR(IPC_Trimestriel!AO70="",IPC_Trimestriel!AL70="",IPC_Trimestriel!AH70=""),"",AVERAGE(IPC_Trimestriel!AL70:AO70)/AVERAGE(IPC_Trimestriel!AH70:AK70)-1)</f>
        <v/>
      </c>
      <c r="AL93" s="28" t="str">
        <f>IF(OR(IPC_Trimestriel!AP70="",IPC_Trimestriel!AM70="",IPC_Trimestriel!AI70=""),"",AVERAGE(IPC_Trimestriel!AM70:AP70)/AVERAGE(IPC_Trimestriel!AI70:AL70)-1)</f>
        <v/>
      </c>
      <c r="AM93" s="28" t="str">
        <f>IF(OR(IPC_Trimestriel!AQ70="",IPC_Trimestriel!AN70="",IPC_Trimestriel!AJ70=""),"",AVERAGE(IPC_Trimestriel!AN70:AQ70)/AVERAGE(IPC_Trimestriel!AJ70:AM70)-1)</f>
        <v/>
      </c>
      <c r="AN93" s="28" t="str">
        <f>IF(OR(IPC_Trimestriel!AR70="",IPC_Trimestriel!AO70="",IPC_Trimestriel!AK70=""),"",AVERAGE(IPC_Trimestriel!AO70:AR70)/AVERAGE(IPC_Trimestriel!AK70:AN70)-1)</f>
        <v/>
      </c>
      <c r="AO93" s="28" t="str">
        <f>IF(OR(IPC_Trimestriel!AS70="",IPC_Trimestriel!AP70="",IPC_Trimestriel!AL70=""),"",AVERAGE(IPC_Trimestriel!AP70:AS70)/AVERAGE(IPC_Trimestriel!AL70:AO70)-1)</f>
        <v/>
      </c>
      <c r="AP93" s="28" t="str">
        <f>IF(OR(IPC_Trimestriel!AT70="",IPC_Trimestriel!AQ70="",IPC_Trimestriel!AM70=""),"",AVERAGE(IPC_Trimestriel!AQ70:AT70)/AVERAGE(IPC_Trimestriel!AM70:AP70)-1)</f>
        <v/>
      </c>
      <c r="AQ93" s="28" t="str">
        <f>IF(OR(IPC_Trimestriel!AU70="",IPC_Trimestriel!AR70="",IPC_Trimestriel!AN70=""),"",AVERAGE(IPC_Trimestriel!AR70:AU70)/AVERAGE(IPC_Trimestriel!AN70:AQ70)-1)</f>
        <v/>
      </c>
      <c r="AR93" s="28" t="str">
        <f>IF(OR(IPC_Trimestriel!AV70="",IPC_Trimestriel!AS70="",IPC_Trimestriel!AO70=""),"",AVERAGE(IPC_Trimestriel!AS70:AV70)/AVERAGE(IPC_Trimestriel!AO70:AR70)-1)</f>
        <v/>
      </c>
      <c r="AS93" s="28" t="str">
        <f>IF(OR(IPC_Trimestriel!AW70="",IPC_Trimestriel!AT70="",IPC_Trimestriel!AP70=""),"",AVERAGE(IPC_Trimestriel!AT70:AW70)/AVERAGE(IPC_Trimestriel!AP70:AS70)-1)</f>
        <v/>
      </c>
      <c r="AT93" s="28" t="str">
        <f>IF(OR(IPC_Trimestriel!AX70="",IPC_Trimestriel!AU70="",IPC_Trimestriel!AQ70=""),"",AVERAGE(IPC_Trimestriel!AU70:AX70)/AVERAGE(IPC_Trimestriel!AQ70:AT70)-1)</f>
        <v/>
      </c>
      <c r="AU93" s="28" t="str">
        <f>IF(OR(IPC_Trimestriel!AY70="",IPC_Trimestriel!AV70="",IPC_Trimestriel!AR70=""),"",AVERAGE(IPC_Trimestriel!AV70:AY70)/AVERAGE(IPC_Trimestriel!AR70:AU70)-1)</f>
        <v/>
      </c>
      <c r="AV93" s="28" t="str">
        <f>IF(OR(IPC_Trimestriel!AZ70="",IPC_Trimestriel!AW70="",IPC_Trimestriel!AS70=""),"",AVERAGE(IPC_Trimestriel!AW70:AZ70)/AVERAGE(IPC_Trimestriel!AS70:AV70)-1)</f>
        <v/>
      </c>
      <c r="AW93" s="28" t="str">
        <f>IF(OR(IPC_Trimestriel!BA70="",IPC_Trimestriel!AX70="",IPC_Trimestriel!AT70=""),"",AVERAGE(IPC_Trimestriel!AX70:BA70)/AVERAGE(IPC_Trimestriel!AT70:AW70)-1)</f>
        <v/>
      </c>
      <c r="AX93" s="28" t="str">
        <f>IF(OR(IPC_Trimestriel!BB70="",IPC_Trimestriel!AY70="",IPC_Trimestriel!AU70=""),"",AVERAGE(IPC_Trimestriel!AY70:BB70)/AVERAGE(IPC_Trimestriel!AU70:AX70)-1)</f>
        <v/>
      </c>
      <c r="AY93" s="28">
        <f>IF(OR(IPC_Trimestriel!BC70="",IPC_Trimestriel!AZ70="",IPC_Trimestriel!AV70=""),"",AVERAGE(IPC_Trimestriel!AZ70:BC70)/AVERAGE(IPC_Trimestriel!AV70:AY70)-1)</f>
        <v>2.5189513581806766E-2</v>
      </c>
      <c r="AZ93" s="28">
        <f>IF(OR(IPC_Trimestriel!BD70="",IPC_Trimestriel!BA70="",IPC_Trimestriel!AW70=""),"",AVERAGE(IPC_Trimestriel!BA70:BD70)/AVERAGE(IPC_Trimestriel!AW70:AZ70)-1)</f>
        <v>2.4480188309141004E-2</v>
      </c>
      <c r="BA93" s="28">
        <f>IF(OR(IPC_Trimestriel!BE70="",IPC_Trimestriel!BB70="",IPC_Trimestriel!AX70=""),"",AVERAGE(IPC_Trimestriel!BB70:BE70)/AVERAGE(IPC_Trimestriel!AX70:BA70)-1)</f>
        <v>2.4755954705193428E-2</v>
      </c>
      <c r="BB93" s="28">
        <f>IF(OR(IPC_Trimestriel!BF70="",IPC_Trimestriel!BC70="",IPC_Trimestriel!AY70=""),"",AVERAGE(IPC_Trimestriel!BC70:BF70)/AVERAGE(IPC_Trimestriel!AY70:BB70)-1)</f>
        <v>2.2198075131946604E-2</v>
      </c>
      <c r="BC93" s="28">
        <f>IF(OR(IPC_Trimestriel!BG70="",IPC_Trimestriel!BD70="",IPC_Trimestriel!AZ70=""),"",AVERAGE(IPC_Trimestriel!BD70:BG70)/AVERAGE(IPC_Trimestriel!AZ70:BC70)-1)</f>
        <v>1.5441346376030118E-2</v>
      </c>
      <c r="BD93" s="28">
        <f>IF(OR(IPC_Trimestriel!BH70="",IPC_Trimestriel!BE70="",IPC_Trimestriel!BA70=""),"",AVERAGE(IPC_Trimestriel!BE70:BH70)/AVERAGE(IPC_Trimestriel!BA70:BD70)-1)</f>
        <v>9.1836562763267793E-3</v>
      </c>
      <c r="BE93" s="28">
        <f>IF(OR(IPC_Trimestriel!BI70="",IPC_Trimestriel!BF70="",IPC_Trimestriel!BB70=""),"",AVERAGE(IPC_Trimestriel!BF70:BI70)/AVERAGE(IPC_Trimestriel!BB70:BE70)-1)</f>
        <v>3.5749885688156624E-3</v>
      </c>
      <c r="BF93" s="28">
        <f>IF(OR(IPC_Trimestriel!BJ70="",IPC_Trimestriel!BG70="",IPC_Trimestriel!BC70=""),"",AVERAGE(IPC_Trimestriel!BG70:BJ70)/AVERAGE(IPC_Trimestriel!BC70:BF70)-1)</f>
        <v>-6.6735003796503101E-4</v>
      </c>
      <c r="BG93" s="28">
        <f>IF(OR(IPC_Trimestriel!BK70="",IPC_Trimestriel!BH70="",IPC_Trimestriel!BD70=""),"",AVERAGE(IPC_Trimestriel!BH70:BK70)/AVERAGE(IPC_Trimestriel!BD70:BG70)-1)</f>
        <v>-1.5882762321769439E-3</v>
      </c>
      <c r="BH93" s="28" t="str">
        <f>IF(OR(IPC_Trimestriel!BL70="",IPC_Trimestriel!BI70="",IPC_Trimestriel!BE70=""),"",AVERAGE(IPC_Trimestriel!BI70:BL70)/AVERAGE(IPC_Trimestriel!BE70:BH70)-1)</f>
        <v/>
      </c>
      <c r="BI93" s="28" t="str">
        <f>IF(OR(IPC_Trimestriel!BM70="",IPC_Trimestriel!BJ70="",IPC_Trimestriel!BF70=""),"",AVERAGE(IPC_Trimestriel!BJ70:BM70)/AVERAGE(IPC_Trimestriel!BF70:BI70)-1)</f>
        <v/>
      </c>
      <c r="BJ93" s="28" t="str">
        <f>IF(OR(IPC_Trimestriel!BN70="",IPC_Trimestriel!BK70="",IPC_Trimestriel!BG70=""),"",AVERAGE(IPC_Trimestriel!BK70:BN70)/AVERAGE(IPC_Trimestriel!BG70:BJ70)-1)</f>
        <v/>
      </c>
      <c r="BK93" s="28" t="str">
        <f>IF(OR(IPC_Trimestriel!BO70="",IPC_Trimestriel!BL70="",IPC_Trimestriel!BH70=""),"",AVERAGE(IPC_Trimestriel!BL70:BO70)/AVERAGE(IPC_Trimestriel!BH70:BK70)-1)</f>
        <v/>
      </c>
      <c r="BL93" s="28" t="str">
        <f>IF(OR(IPC_Trimestriel!BP70="",IPC_Trimestriel!BM70="",IPC_Trimestriel!BI70=""),"",AVERAGE(IPC_Trimestriel!BM70:BP70)/AVERAGE(IPC_Trimestriel!BI70:BL70)-1)</f>
        <v/>
      </c>
      <c r="BM93" s="28" t="str">
        <f>IF(OR(IPC_Trimestriel!BQ70="",IPC_Trimestriel!BN70="",IPC_Trimestriel!BJ70=""),"",AVERAGE(IPC_Trimestriel!BN70:BQ70)/AVERAGE(IPC_Trimestriel!BJ70:BM70)-1)</f>
        <v/>
      </c>
      <c r="BN93" s="28" t="str">
        <f>IF(OR(IPC_Trimestriel!BR70="",IPC_Trimestriel!BO70="",IPC_Trimestriel!BK70=""),"",AVERAGE(IPC_Trimestriel!BO70:BR70)/AVERAGE(IPC_Trimestriel!BK70:BN70)-1)</f>
        <v/>
      </c>
      <c r="BO93" s="28" t="str">
        <f>IF(OR(IPC_Trimestriel!BS70="",IPC_Trimestriel!BP70="",IPC_Trimestriel!BL70=""),"",AVERAGE(IPC_Trimestriel!BP70:BS70)/AVERAGE(IPC_Trimestriel!BL70:BO70)-1)</f>
        <v/>
      </c>
      <c r="BP93" s="28" t="str">
        <f>IF(OR(IPC_Trimestriel!BT70="",IPC_Trimestriel!BQ70="",IPC_Trimestriel!BM70=""),"",AVERAGE(IPC_Trimestriel!BQ70:BT70)/AVERAGE(IPC_Trimestriel!BM70:BP70)-1)</f>
        <v/>
      </c>
      <c r="BQ93" s="28" t="str">
        <f>IF(OR(IPC_Trimestriel!BU70="",IPC_Trimestriel!BR70="",IPC_Trimestriel!BN70=""),"",AVERAGE(IPC_Trimestriel!BR70:BU70)/AVERAGE(IPC_Trimestriel!BN70:BQ70)-1)</f>
        <v/>
      </c>
      <c r="BR93" s="28" t="str">
        <f>IF(OR(IPC_Trimestriel!BV70="",IPC_Trimestriel!BS70="",IPC_Trimestriel!BO70=""),"",AVERAGE(IPC_Trimestriel!BS70:BV70)/AVERAGE(IPC_Trimestriel!BO70:BR70)-1)</f>
        <v/>
      </c>
      <c r="BS93" s="28">
        <f>IF(OR(IPC_Trimestriel!BW70="",IPC_Trimestriel!BT70="",IPC_Trimestriel!BP70=""),"",AVERAGE(IPC_Trimestriel!BT70:BW70)/AVERAGE(IPC_Trimestriel!BP70:BS70)-1)</f>
        <v>1.0631999605308584E-2</v>
      </c>
      <c r="BT93" s="28">
        <f>IF(OR(IPC_Trimestriel!BX70="",IPC_Trimestriel!BU70="",IPC_Trimestriel!BQ70=""),"",AVERAGE(IPC_Trimestriel!BU70:BX70)/AVERAGE(IPC_Trimestriel!BQ70:BT70)-1)</f>
        <v>1.2011322147926551E-2</v>
      </c>
      <c r="BU93" s="28">
        <f>IF(OR(IPC_Trimestriel!BY70="",IPC_Trimestriel!BV70="",IPC_Trimestriel!BR70=""),"",AVERAGE(IPC_Trimestriel!BV70:BY70)/AVERAGE(IPC_Trimestriel!BR70:BU70)-1)</f>
        <v>1.4756154546125222E-2</v>
      </c>
      <c r="BV93" s="28">
        <f>IF(OR(IPC_Trimestriel!BZ70="",IPC_Trimestriel!BW70="",IPC_Trimestriel!BS70=""),"",AVERAGE(IPC_Trimestriel!BW70:BZ70)/AVERAGE(IPC_Trimestriel!BS70:BV70)-1)</f>
        <v>1.398338656059317E-2</v>
      </c>
      <c r="BW93" s="28">
        <f>IF(OR(IPC_Trimestriel!CA70="",IPC_Trimestriel!BX70="",IPC_Trimestriel!BT70=""),"",AVERAGE(IPC_Trimestriel!BX70:CA70)/AVERAGE(IPC_Trimestriel!BT70:BW70)-1)</f>
        <v>1.2139259765513666E-2</v>
      </c>
      <c r="BX93" s="28">
        <f>IF(OR(IPC_Trimestriel!CB70="",IPC_Trimestriel!BY70="",IPC_Trimestriel!BU70=""),"",AVERAGE(IPC_Trimestriel!BY70:CB70)/AVERAGE(IPC_Trimestriel!BU70:BX70)-1)</f>
        <v>7.1423359735383052E-3</v>
      </c>
      <c r="BY93" s="28">
        <f>IF(OR(IPC_Trimestriel!CC70="",IPC_Trimestriel!BZ70="",IPC_Trimestriel!BV70=""),"",AVERAGE(IPC_Trimestriel!BZ70:CC70)/AVERAGE(IPC_Trimestriel!BV70:BY70)-1)</f>
        <v>1.7369105612239366E-3</v>
      </c>
      <c r="BZ93" s="28">
        <f>IF(OR(IPC_Trimestriel!CD70="",IPC_Trimestriel!CA70="",IPC_Trimestriel!BW70=""),"",AVERAGE(IPC_Trimestriel!CA70:CD70)/AVERAGE(IPC_Trimestriel!BW70:BZ70)-1)</f>
        <v>-3.7537356113512832E-3</v>
      </c>
      <c r="CA93" s="28">
        <f>IF(OR(IPC_Trimestriel!CE70="",IPC_Trimestriel!CB70="",IPC_Trimestriel!BX70=""),"",AVERAGE(IPC_Trimestriel!CB70:CE70)/AVERAGE(IPC_Trimestriel!BX70:CA70)-1)</f>
        <v>-7.3634032427912777E-3</v>
      </c>
      <c r="CB93" s="28">
        <f>IF(OR(IPC_Trimestriel!CF70="",IPC_Trimestriel!CC70="",IPC_Trimestriel!BY70=""),"",AVERAGE(IPC_Trimestriel!CC70:CF70)/AVERAGE(IPC_Trimestriel!BY70:CB70)-1)</f>
        <v>-3.0105449569345355E-3</v>
      </c>
      <c r="CC93" s="28">
        <f>IF(OR(IPC_Trimestriel!CG70="",IPC_Trimestriel!CD70="",IPC_Trimestriel!BZ70=""),"",AVERAGE(IPC_Trimestriel!CD70:CG70)/AVERAGE(IPC_Trimestriel!BZ70:CC70)-1)</f>
        <v>3.1855352505687495E-3</v>
      </c>
      <c r="CD93" s="28">
        <f>IF(OR(IPC_Trimestriel!CH70="",IPC_Trimestriel!CE70="",IPC_Trimestriel!CA70=""),"",AVERAGE(IPC_Trimestriel!CE70:CH70)/AVERAGE(IPC_Trimestriel!CA70:CD70)-1)</f>
        <v>1.3050122496502947E-2</v>
      </c>
      <c r="CE93" s="28">
        <f>IF(OR(IPC_Trimestriel!CI70="",IPC_Trimestriel!CF70="",IPC_Trimestriel!CB70=""),"",AVERAGE(IPC_Trimestriel!CF70:CI70)/AVERAGE(IPC_Trimestriel!CB70:CE70)-1)</f>
        <v>2.14037559826048E-2</v>
      </c>
      <c r="CF93" s="28">
        <f>IF(OR(IPC_Trimestriel!CJ70="",IPC_Trimestriel!CG70="",IPC_Trimestriel!CC70=""),"",AVERAGE(IPC_Trimestriel!CG70:CJ70)/AVERAGE(IPC_Trimestriel!CC70:CF70)-1)</f>
        <v>2.3801834388321952E-2</v>
      </c>
      <c r="CG93" s="28">
        <f>IF(OR(IPC_Trimestriel!CK70="",IPC_Trimestriel!CH70="",IPC_Trimestriel!CD70=""),"",AVERAGE(IPC_Trimestriel!CH70:CK70)/AVERAGE(IPC_Trimestriel!CD70:CG70)-1)</f>
        <v>2.7823109017388381E-2</v>
      </c>
      <c r="CH93" s="28">
        <f>IF(OR(IPC_Trimestriel!CL70="",IPC_Trimestriel!CI70="",IPC_Trimestriel!CE70=""),"",AVERAGE(IPC_Trimestriel!CI70:CL70)/AVERAGE(IPC_Trimestriel!CE70:CH70)-1)</f>
        <v>3.0089950595014958E-2</v>
      </c>
      <c r="CI93" s="28">
        <f>IF(OR(IPC_Trimestriel!CM70="",IPC_Trimestriel!CJ70="",IPC_Trimestriel!CF70=""),"",AVERAGE(IPC_Trimestriel!CJ70:CM70)/AVERAGE(IPC_Trimestriel!CF70:CI70)-1)</f>
        <v>3.5678607107178628E-2</v>
      </c>
      <c r="CJ93" s="28">
        <f>IF(OR(IPC_Trimestriel!CN70="",IPC_Trimestriel!CK70="",IPC_Trimestriel!CG70=""),"",AVERAGE(IPC_Trimestriel!CK70:CN70)/AVERAGE(IPC_Trimestriel!CG70:CJ70)-1)</f>
        <v>4.6157849910097415E-2</v>
      </c>
      <c r="CK93" s="28">
        <f>IF(OR(IPC_Trimestriel!CO70="",IPC_Trimestriel!CL70="",IPC_Trimestriel!CH70=""),"",AVERAGE(IPC_Trimestriel!CL70:CO70)/AVERAGE(IPC_Trimestriel!CH70:CK70)-1)</f>
        <v>5.5438234235925421E-2</v>
      </c>
      <c r="CL93" s="28">
        <f>IF(OR(IPC_Trimestriel!CP70="",IPC_Trimestriel!CM70="",IPC_Trimestriel!CI70=""),"",AVERAGE(IPC_Trimestriel!CM70:CP70)/AVERAGE(IPC_Trimestriel!CI70:CL70)-1)</f>
        <v>6.7092305189019097E-2</v>
      </c>
      <c r="CM93" s="28">
        <f>IF(OR(IPC_Trimestriel!CQ70="",IPC_Trimestriel!CN70="",IPC_Trimestriel!CJ70=""),"",AVERAGE(IPC_Trimestriel!CN70:CQ70)/AVERAGE(IPC_Trimestriel!CJ70:CM70)-1)</f>
        <v>7.4288426500084048E-2</v>
      </c>
      <c r="CN93" s="28">
        <f>IF(OR(IPC_Trimestriel!CR70="",IPC_Trimestriel!CO70="",IPC_Trimestriel!CK70=""),"",AVERAGE(IPC_Trimestriel!CO70:CR70)/AVERAGE(IPC_Trimestriel!CK70:CN70)-1)</f>
        <v>7.2615843868020669E-2</v>
      </c>
      <c r="CO93" s="28">
        <f>IF(OR(IPC_Trimestriel!CS70="",IPC_Trimestriel!CP70="",IPC_Trimestriel!CL70=""),"",AVERAGE(IPC_Trimestriel!CP70:CS70)/AVERAGE(IPC_Trimestriel!CL70:CO70)-1)</f>
        <v>6.4753746053860084E-2</v>
      </c>
      <c r="CP93" s="28">
        <f>IF(OR(IPC_Trimestriel!CT70="",IPC_Trimestriel!CQ70="",IPC_Trimestriel!CM70=""),"",AVERAGE(IPC_Trimestriel!CQ70:CT70)/AVERAGE(IPC_Trimestriel!CM70:CP70)-1)</f>
        <v>5.0813244263723467E-2</v>
      </c>
    </row>
    <row r="94" spans="1:94" x14ac:dyDescent="0.25">
      <c r="A94" s="11"/>
      <c r="B94" s="30" t="s">
        <v>51</v>
      </c>
      <c r="C94" s="17"/>
      <c r="D94" s="28"/>
      <c r="E94" s="28"/>
      <c r="F94" s="28"/>
      <c r="G94" s="28" t="str">
        <f>IF(OR(IPC_Trimestriel!K71="",IPC_Trimestriel!H71="",IPC_Trimestriel!D71=""),"",AVERAGE(IPC_Trimestriel!H71:K71)/AVERAGE(IPC_Trimestriel!D71:G71)-1)</f>
        <v/>
      </c>
      <c r="H94" s="28" t="str">
        <f>IF(OR(IPC_Trimestriel!L71="",IPC_Trimestriel!I71="",IPC_Trimestriel!E71=""),"",AVERAGE(IPC_Trimestriel!I71:L71)/AVERAGE(IPC_Trimestriel!E71:H71)-1)</f>
        <v/>
      </c>
      <c r="I94" s="28" t="str">
        <f>IF(OR(IPC_Trimestriel!M71="",IPC_Trimestriel!J71="",IPC_Trimestriel!F71=""),"",AVERAGE(IPC_Trimestriel!J71:M71)/AVERAGE(IPC_Trimestriel!F71:I71)-1)</f>
        <v/>
      </c>
      <c r="J94" s="28" t="str">
        <f>IF(OR(IPC_Trimestriel!N71="",IPC_Trimestriel!K71="",IPC_Trimestriel!G71=""),"",AVERAGE(IPC_Trimestriel!K71:N71)/AVERAGE(IPC_Trimestriel!G71:J71)-1)</f>
        <v/>
      </c>
      <c r="K94" s="28" t="str">
        <f>IF(OR(IPC_Trimestriel!O71="",IPC_Trimestriel!L71="",IPC_Trimestriel!H71=""),"",AVERAGE(IPC_Trimestriel!L71:O71)/AVERAGE(IPC_Trimestriel!H71:K71)-1)</f>
        <v/>
      </c>
      <c r="L94" s="28" t="str">
        <f>IF(OR(IPC_Trimestriel!P71="",IPC_Trimestriel!M71="",IPC_Trimestriel!I71=""),"",AVERAGE(IPC_Trimestriel!M71:P71)/AVERAGE(IPC_Trimestriel!I71:L71)-1)</f>
        <v/>
      </c>
      <c r="M94" s="28" t="str">
        <f>IF(OR(IPC_Trimestriel!Q71="",IPC_Trimestriel!N71="",IPC_Trimestriel!J71=""),"",AVERAGE(IPC_Trimestriel!N71:Q71)/AVERAGE(IPC_Trimestriel!J71:M71)-1)</f>
        <v/>
      </c>
      <c r="N94" s="28" t="str">
        <f>IF(OR(IPC_Trimestriel!R71="",IPC_Trimestriel!O71="",IPC_Trimestriel!K71=""),"",AVERAGE(IPC_Trimestriel!O71:R71)/AVERAGE(IPC_Trimestriel!K71:N71)-1)</f>
        <v/>
      </c>
      <c r="O94" s="28" t="str">
        <f>IF(OR(IPC_Trimestriel!S71="",IPC_Trimestriel!P71="",IPC_Trimestriel!L71=""),"",AVERAGE(IPC_Trimestriel!P71:S71)/AVERAGE(IPC_Trimestriel!L71:O71)-1)</f>
        <v/>
      </c>
      <c r="P94" s="28" t="str">
        <f>IF(OR(IPC_Trimestriel!T71="",IPC_Trimestriel!Q71="",IPC_Trimestriel!M71=""),"",AVERAGE(IPC_Trimestriel!Q71:T71)/AVERAGE(IPC_Trimestriel!M71:P71)-1)</f>
        <v/>
      </c>
      <c r="Q94" s="28" t="str">
        <f>IF(OR(IPC_Trimestriel!U71="",IPC_Trimestriel!R71="",IPC_Trimestriel!N71=""),"",AVERAGE(IPC_Trimestriel!R71:U71)/AVERAGE(IPC_Trimestriel!N71:Q71)-1)</f>
        <v/>
      </c>
      <c r="R94" s="28" t="str">
        <f>IF(OR(IPC_Trimestriel!V71="",IPC_Trimestriel!S71="",IPC_Trimestriel!O71=""),"",AVERAGE(IPC_Trimestriel!S71:V71)/AVERAGE(IPC_Trimestriel!O71:R71)-1)</f>
        <v/>
      </c>
      <c r="S94" s="28" t="str">
        <f>IF(OR(IPC_Trimestriel!W71="",IPC_Trimestriel!T71="",IPC_Trimestriel!P71=""),"",AVERAGE(IPC_Trimestriel!T71:W71)/AVERAGE(IPC_Trimestriel!P71:S71)-1)</f>
        <v/>
      </c>
      <c r="T94" s="28" t="str">
        <f>IF(OR(IPC_Trimestriel!X71="",IPC_Trimestriel!U71="",IPC_Trimestriel!Q71=""),"",AVERAGE(IPC_Trimestriel!U71:X71)/AVERAGE(IPC_Trimestriel!Q71:T71)-1)</f>
        <v/>
      </c>
      <c r="U94" s="28" t="str">
        <f>IF(OR(IPC_Trimestriel!Y71="",IPC_Trimestriel!V71="",IPC_Trimestriel!R71=""),"",AVERAGE(IPC_Trimestriel!V71:Y71)/AVERAGE(IPC_Trimestriel!R71:U71)-1)</f>
        <v/>
      </c>
      <c r="V94" s="28" t="str">
        <f>IF(OR(IPC_Trimestriel!Z71="",IPC_Trimestriel!W71="",IPC_Trimestriel!S71=""),"",AVERAGE(IPC_Trimestriel!W71:Z71)/AVERAGE(IPC_Trimestriel!S71:V71)-1)</f>
        <v/>
      </c>
      <c r="W94" s="28" t="str">
        <f>IF(OR(IPC_Trimestriel!AA71="",IPC_Trimestriel!X71="",IPC_Trimestriel!T71=""),"",AVERAGE(IPC_Trimestriel!X71:AA71)/AVERAGE(IPC_Trimestriel!T71:W71)-1)</f>
        <v/>
      </c>
      <c r="X94" s="28" t="str">
        <f>IF(OR(IPC_Trimestriel!AB71="",IPC_Trimestriel!Y71="",IPC_Trimestriel!U71=""),"",AVERAGE(IPC_Trimestriel!Y71:AB71)/AVERAGE(IPC_Trimestriel!U71:X71)-1)</f>
        <v/>
      </c>
      <c r="Y94" s="28" t="str">
        <f>IF(OR(IPC_Trimestriel!AC71="",IPC_Trimestriel!Z71="",IPC_Trimestriel!V71=""),"",AVERAGE(IPC_Trimestriel!Z71:AC71)/AVERAGE(IPC_Trimestriel!V71:Y71)-1)</f>
        <v/>
      </c>
      <c r="Z94" s="28" t="str">
        <f>IF(OR(IPC_Trimestriel!AD71="",IPC_Trimestriel!AA71="",IPC_Trimestriel!W71=""),"",AVERAGE(IPC_Trimestriel!AA71:AD71)/AVERAGE(IPC_Trimestriel!W71:Z71)-1)</f>
        <v/>
      </c>
      <c r="AA94" s="28" t="str">
        <f>IF(OR(IPC_Trimestriel!AE71="",IPC_Trimestriel!AB71="",IPC_Trimestriel!X71=""),"",AVERAGE(IPC_Trimestriel!AB71:AE71)/AVERAGE(IPC_Trimestriel!X71:AA71)-1)</f>
        <v/>
      </c>
      <c r="AB94" s="28" t="str">
        <f>IF(OR(IPC_Trimestriel!AF71="",IPC_Trimestriel!AC71="",IPC_Trimestriel!Y71=""),"",AVERAGE(IPC_Trimestriel!AC71:AF71)/AVERAGE(IPC_Trimestriel!Y71:AB71)-1)</f>
        <v/>
      </c>
      <c r="AC94" s="28" t="str">
        <f>IF(OR(IPC_Trimestriel!AG71="",IPC_Trimestriel!AD71="",IPC_Trimestriel!Z71=""),"",AVERAGE(IPC_Trimestriel!AD71:AG71)/AVERAGE(IPC_Trimestriel!Z71:AC71)-1)</f>
        <v/>
      </c>
      <c r="AD94" s="28" t="str">
        <f>IF(OR(IPC_Trimestriel!AH71="",IPC_Trimestriel!AE71="",IPC_Trimestriel!AA71=""),"",AVERAGE(IPC_Trimestriel!AE71:AH71)/AVERAGE(IPC_Trimestriel!AA71:AD71)-1)</f>
        <v/>
      </c>
      <c r="AE94" s="28" t="str">
        <f>IF(OR(IPC_Trimestriel!AI71="",IPC_Trimestriel!AF71="",IPC_Trimestriel!AB71=""),"",AVERAGE(IPC_Trimestriel!AF71:AI71)/AVERAGE(IPC_Trimestriel!AB71:AE71)-1)</f>
        <v/>
      </c>
      <c r="AF94" s="28" t="str">
        <f>IF(OR(IPC_Trimestriel!AJ71="",IPC_Trimestriel!AG71="",IPC_Trimestriel!AC71=""),"",AVERAGE(IPC_Trimestriel!AG71:AJ71)/AVERAGE(IPC_Trimestriel!AC71:AF71)-1)</f>
        <v/>
      </c>
      <c r="AG94" s="28" t="str">
        <f>IF(OR(IPC_Trimestriel!AK71="",IPC_Trimestriel!AH71="",IPC_Trimestriel!AD71=""),"",AVERAGE(IPC_Trimestriel!AH71:AK71)/AVERAGE(IPC_Trimestriel!AD71:AG71)-1)</f>
        <v/>
      </c>
      <c r="AH94" s="28" t="str">
        <f>IF(OR(IPC_Trimestriel!AL71="",IPC_Trimestriel!AI71="",IPC_Trimestriel!AE71=""),"",AVERAGE(IPC_Trimestriel!AI71:AL71)/AVERAGE(IPC_Trimestriel!AE71:AH71)-1)</f>
        <v/>
      </c>
      <c r="AI94" s="28" t="str">
        <f>IF(OR(IPC_Trimestriel!AM71="",IPC_Trimestriel!AJ71="",IPC_Trimestriel!AF71=""),"",AVERAGE(IPC_Trimestriel!AJ71:AM71)/AVERAGE(IPC_Trimestriel!AF71:AI71)-1)</f>
        <v/>
      </c>
      <c r="AJ94" s="28" t="str">
        <f>IF(OR(IPC_Trimestriel!AN71="",IPC_Trimestriel!AK71="",IPC_Trimestriel!AG71=""),"",AVERAGE(IPC_Trimestriel!AK71:AN71)/AVERAGE(IPC_Trimestriel!AG71:AJ71)-1)</f>
        <v/>
      </c>
      <c r="AK94" s="28" t="str">
        <f>IF(OR(IPC_Trimestriel!AO71="",IPC_Trimestriel!AL71="",IPC_Trimestriel!AH71=""),"",AVERAGE(IPC_Trimestriel!AL71:AO71)/AVERAGE(IPC_Trimestriel!AH71:AK71)-1)</f>
        <v/>
      </c>
      <c r="AL94" s="28" t="str">
        <f>IF(OR(IPC_Trimestriel!AP71="",IPC_Trimestriel!AM71="",IPC_Trimestriel!AI71=""),"",AVERAGE(IPC_Trimestriel!AM71:AP71)/AVERAGE(IPC_Trimestriel!AI71:AL71)-1)</f>
        <v/>
      </c>
      <c r="AM94" s="28" t="str">
        <f>IF(OR(IPC_Trimestriel!AQ71="",IPC_Trimestriel!AN71="",IPC_Trimestriel!AJ71=""),"",AVERAGE(IPC_Trimestriel!AN71:AQ71)/AVERAGE(IPC_Trimestriel!AJ71:AM71)-1)</f>
        <v/>
      </c>
      <c r="AN94" s="28" t="str">
        <f>IF(OR(IPC_Trimestriel!AR71="",IPC_Trimestriel!AO71="",IPC_Trimestriel!AK71=""),"",AVERAGE(IPC_Trimestriel!AO71:AR71)/AVERAGE(IPC_Trimestriel!AK71:AN71)-1)</f>
        <v/>
      </c>
      <c r="AO94" s="28" t="str">
        <f>IF(OR(IPC_Trimestriel!AS71="",IPC_Trimestriel!AP71="",IPC_Trimestriel!AL71=""),"",AVERAGE(IPC_Trimestriel!AP71:AS71)/AVERAGE(IPC_Trimestriel!AL71:AO71)-1)</f>
        <v/>
      </c>
      <c r="AP94" s="28" t="str">
        <f>IF(OR(IPC_Trimestriel!AT71="",IPC_Trimestriel!AQ71="",IPC_Trimestriel!AM71=""),"",AVERAGE(IPC_Trimestriel!AQ71:AT71)/AVERAGE(IPC_Trimestriel!AM71:AP71)-1)</f>
        <v/>
      </c>
      <c r="AQ94" s="28" t="str">
        <f>IF(OR(IPC_Trimestriel!AU71="",IPC_Trimestriel!AR71="",IPC_Trimestriel!AN71=""),"",AVERAGE(IPC_Trimestriel!AR71:AU71)/AVERAGE(IPC_Trimestriel!AN71:AQ71)-1)</f>
        <v/>
      </c>
      <c r="AR94" s="28" t="str">
        <f>IF(OR(IPC_Trimestriel!AV71="",IPC_Trimestriel!AS71="",IPC_Trimestriel!AO71=""),"",AVERAGE(IPC_Trimestriel!AS71:AV71)/AVERAGE(IPC_Trimestriel!AO71:AR71)-1)</f>
        <v/>
      </c>
      <c r="AS94" s="28" t="str">
        <f>IF(OR(IPC_Trimestriel!AW71="",IPC_Trimestriel!AT71="",IPC_Trimestriel!AP71=""),"",AVERAGE(IPC_Trimestriel!AT71:AW71)/AVERAGE(IPC_Trimestriel!AP71:AS71)-1)</f>
        <v/>
      </c>
      <c r="AT94" s="28" t="str">
        <f>IF(OR(IPC_Trimestriel!AX71="",IPC_Trimestriel!AU71="",IPC_Trimestriel!AQ71=""),"",AVERAGE(IPC_Trimestriel!AU71:AX71)/AVERAGE(IPC_Trimestriel!AQ71:AT71)-1)</f>
        <v/>
      </c>
      <c r="AU94" s="28" t="str">
        <f>IF(OR(IPC_Trimestriel!AY71="",IPC_Trimestriel!AV71="",IPC_Trimestriel!AR71=""),"",AVERAGE(IPC_Trimestriel!AV71:AY71)/AVERAGE(IPC_Trimestriel!AR71:AU71)-1)</f>
        <v/>
      </c>
      <c r="AV94" s="28" t="str">
        <f>IF(OR(IPC_Trimestriel!AZ71="",IPC_Trimestriel!AW71="",IPC_Trimestriel!AS71=""),"",AVERAGE(IPC_Trimestriel!AW71:AZ71)/AVERAGE(IPC_Trimestriel!AS71:AV71)-1)</f>
        <v/>
      </c>
      <c r="AW94" s="28" t="str">
        <f>IF(OR(IPC_Trimestriel!BA71="",IPC_Trimestriel!AX71="",IPC_Trimestriel!AT71=""),"",AVERAGE(IPC_Trimestriel!AX71:BA71)/AVERAGE(IPC_Trimestriel!AT71:AW71)-1)</f>
        <v/>
      </c>
      <c r="AX94" s="28" t="str">
        <f>IF(OR(IPC_Trimestriel!BB71="",IPC_Trimestriel!AY71="",IPC_Trimestriel!AU71=""),"",AVERAGE(IPC_Trimestriel!AY71:BB71)/AVERAGE(IPC_Trimestriel!AU71:AX71)-1)</f>
        <v/>
      </c>
      <c r="AY94" s="28">
        <f>IF(OR(IPC_Trimestriel!BC71="",IPC_Trimestriel!AZ71="",IPC_Trimestriel!AV71=""),"",AVERAGE(IPC_Trimestriel!AZ71:BC71)/AVERAGE(IPC_Trimestriel!AV71:AY71)-1)</f>
        <v>2.5396192417327379E-2</v>
      </c>
      <c r="AZ94" s="28">
        <f>IF(OR(IPC_Trimestriel!BD71="",IPC_Trimestriel!BA71="",IPC_Trimestriel!AW71=""),"",AVERAGE(IPC_Trimestriel!BA71:BD71)/AVERAGE(IPC_Trimestriel!AW71:AZ71)-1)</f>
        <v>2.3269462132104568E-2</v>
      </c>
      <c r="BA94" s="28">
        <f>IF(OR(IPC_Trimestriel!BE71="",IPC_Trimestriel!BB71="",IPC_Trimestriel!AX71=""),"",AVERAGE(IPC_Trimestriel!BB71:BE71)/AVERAGE(IPC_Trimestriel!AX71:BA71)-1)</f>
        <v>2.0595933305628922E-2</v>
      </c>
      <c r="BB94" s="28">
        <f>IF(OR(IPC_Trimestriel!BF71="",IPC_Trimestriel!BC71="",IPC_Trimestriel!AY71=""),"",AVERAGE(IPC_Trimestriel!BC71:BF71)/AVERAGE(IPC_Trimestriel!AY71:BB71)-1)</f>
        <v>1.7515773613334451E-2</v>
      </c>
      <c r="BC94" s="28">
        <f>IF(OR(IPC_Trimestriel!BG71="",IPC_Trimestriel!BD71="",IPC_Trimestriel!AZ71=""),"",AVERAGE(IPC_Trimestriel!BD71:BG71)/AVERAGE(IPC_Trimestriel!AZ71:BC71)-1)</f>
        <v>1.3748352574305178E-2</v>
      </c>
      <c r="BD94" s="28">
        <f>IF(OR(IPC_Trimestriel!BH71="",IPC_Trimestriel!BE71="",IPC_Trimestriel!BA71=""),"",AVERAGE(IPC_Trimestriel!BE71:BH71)/AVERAGE(IPC_Trimestriel!BA71:BD71)-1)</f>
        <v>1.0861149346180321E-2</v>
      </c>
      <c r="BE94" s="28">
        <f>IF(OR(IPC_Trimestriel!BI71="",IPC_Trimestriel!BF71="",IPC_Trimestriel!BB71=""),"",AVERAGE(IPC_Trimestriel!BF71:BI71)/AVERAGE(IPC_Trimestriel!BB71:BE71)-1)</f>
        <v>8.6793153698887515E-3</v>
      </c>
      <c r="BF94" s="28">
        <f>IF(OR(IPC_Trimestriel!BJ71="",IPC_Trimestriel!BG71="",IPC_Trimestriel!BC71=""),"",AVERAGE(IPC_Trimestriel!BG71:BJ71)/AVERAGE(IPC_Trimestriel!BC71:BF71)-1)</f>
        <v>6.1367600469868222E-3</v>
      </c>
      <c r="BG94" s="28">
        <f>IF(OR(IPC_Trimestriel!BK71="",IPC_Trimestriel!BH71="",IPC_Trimestriel!BD71=""),"",AVERAGE(IPC_Trimestriel!BH71:BK71)/AVERAGE(IPC_Trimestriel!BD71:BG71)-1)</f>
        <v>4.4330145920064012E-3</v>
      </c>
      <c r="BH94" s="28" t="str">
        <f>IF(OR(IPC_Trimestriel!BL71="",IPC_Trimestriel!BI71="",IPC_Trimestriel!BE71=""),"",AVERAGE(IPC_Trimestriel!BI71:BL71)/AVERAGE(IPC_Trimestriel!BE71:BH71)-1)</f>
        <v/>
      </c>
      <c r="BI94" s="28" t="str">
        <f>IF(OR(IPC_Trimestriel!BM71="",IPC_Trimestriel!BJ71="",IPC_Trimestriel!BF71=""),"",AVERAGE(IPC_Trimestriel!BJ71:BM71)/AVERAGE(IPC_Trimestriel!BF71:BI71)-1)</f>
        <v/>
      </c>
      <c r="BJ94" s="28" t="str">
        <f>IF(OR(IPC_Trimestriel!BN71="",IPC_Trimestriel!BK71="",IPC_Trimestriel!BG71=""),"",AVERAGE(IPC_Trimestriel!BK71:BN71)/AVERAGE(IPC_Trimestriel!BG71:BJ71)-1)</f>
        <v/>
      </c>
      <c r="BK94" s="28" t="str">
        <f>IF(OR(IPC_Trimestriel!BO71="",IPC_Trimestriel!BL71="",IPC_Trimestriel!BH71=""),"",AVERAGE(IPC_Trimestriel!BL71:BO71)/AVERAGE(IPC_Trimestriel!BH71:BK71)-1)</f>
        <v/>
      </c>
      <c r="BL94" s="28" t="str">
        <f>IF(OR(IPC_Trimestriel!BP71="",IPC_Trimestriel!BM71="",IPC_Trimestriel!BI71=""),"",AVERAGE(IPC_Trimestriel!BM71:BP71)/AVERAGE(IPC_Trimestriel!BI71:BL71)-1)</f>
        <v/>
      </c>
      <c r="BM94" s="28" t="str">
        <f>IF(OR(IPC_Trimestriel!BQ71="",IPC_Trimestriel!BN71="",IPC_Trimestriel!BJ71=""),"",AVERAGE(IPC_Trimestriel!BN71:BQ71)/AVERAGE(IPC_Trimestriel!BJ71:BM71)-1)</f>
        <v/>
      </c>
      <c r="BN94" s="28" t="str">
        <f>IF(OR(IPC_Trimestriel!BR71="",IPC_Trimestriel!BO71="",IPC_Trimestriel!BK71=""),"",AVERAGE(IPC_Trimestriel!BO71:BR71)/AVERAGE(IPC_Trimestriel!BK71:BN71)-1)</f>
        <v/>
      </c>
      <c r="BO94" s="28" t="str">
        <f>IF(OR(IPC_Trimestriel!BS71="",IPC_Trimestriel!BP71="",IPC_Trimestriel!BL71=""),"",AVERAGE(IPC_Trimestriel!BP71:BS71)/AVERAGE(IPC_Trimestriel!BL71:BO71)-1)</f>
        <v/>
      </c>
      <c r="BP94" s="28" t="str">
        <f>IF(OR(IPC_Trimestriel!BT71="",IPC_Trimestriel!BQ71="",IPC_Trimestriel!BM71=""),"",AVERAGE(IPC_Trimestriel!BQ71:BT71)/AVERAGE(IPC_Trimestriel!BM71:BP71)-1)</f>
        <v/>
      </c>
      <c r="BQ94" s="28" t="str">
        <f>IF(OR(IPC_Trimestriel!BU71="",IPC_Trimestriel!BR71="",IPC_Trimestriel!BN71=""),"",AVERAGE(IPC_Trimestriel!BR71:BU71)/AVERAGE(IPC_Trimestriel!BN71:BQ71)-1)</f>
        <v/>
      </c>
      <c r="BR94" s="28" t="str">
        <f>IF(OR(IPC_Trimestriel!BV71="",IPC_Trimestriel!BS71="",IPC_Trimestriel!BO71=""),"",AVERAGE(IPC_Trimestriel!BS71:BV71)/AVERAGE(IPC_Trimestriel!BO71:BR71)-1)</f>
        <v/>
      </c>
      <c r="BS94" s="28" t="str">
        <f>IF(OR(IPC_Trimestriel!BW71="",IPC_Trimestriel!BT71="",IPC_Trimestriel!BP71=""),"",AVERAGE(IPC_Trimestriel!BT71:BW71)/AVERAGE(IPC_Trimestriel!BP71:BS71)-1)</f>
        <v/>
      </c>
      <c r="BT94" s="28" t="str">
        <f>IF(OR(IPC_Trimestriel!BX71="",IPC_Trimestriel!BU71="",IPC_Trimestriel!BQ71=""),"",AVERAGE(IPC_Trimestriel!BU71:BX71)/AVERAGE(IPC_Trimestriel!BQ71:BT71)-1)</f>
        <v/>
      </c>
      <c r="BU94" s="28" t="str">
        <f>IF(OR(IPC_Trimestriel!BY71="",IPC_Trimestriel!BV71="",IPC_Trimestriel!BR71=""),"",AVERAGE(IPC_Trimestriel!BV71:BY71)/AVERAGE(IPC_Trimestriel!BR71:BU71)-1)</f>
        <v/>
      </c>
      <c r="BV94" s="28" t="str">
        <f>IF(OR(IPC_Trimestriel!BZ71="",IPC_Trimestriel!BW71="",IPC_Trimestriel!BS71=""),"",AVERAGE(IPC_Trimestriel!BW71:BZ71)/AVERAGE(IPC_Trimestriel!BS71:BV71)-1)</f>
        <v/>
      </c>
      <c r="BW94" s="28" t="str">
        <f>IF(OR(IPC_Trimestriel!CA71="",IPC_Trimestriel!BX71="",IPC_Trimestriel!BT71=""),"",AVERAGE(IPC_Trimestriel!BX71:CA71)/AVERAGE(IPC_Trimestriel!BT71:BW71)-1)</f>
        <v/>
      </c>
      <c r="BX94" s="28" t="str">
        <f>IF(OR(IPC_Trimestriel!CB71="",IPC_Trimestriel!BY71="",IPC_Trimestriel!BU71=""),"",AVERAGE(IPC_Trimestriel!BY71:CB71)/AVERAGE(IPC_Trimestriel!BU71:BX71)-1)</f>
        <v/>
      </c>
      <c r="BY94" s="28" t="str">
        <f>IF(OR(IPC_Trimestriel!CC71="",IPC_Trimestriel!BZ71="",IPC_Trimestriel!BV71=""),"",AVERAGE(IPC_Trimestriel!BZ71:CC71)/AVERAGE(IPC_Trimestriel!BV71:BY71)-1)</f>
        <v/>
      </c>
      <c r="BZ94" s="28" t="str">
        <f>IF(OR(IPC_Trimestriel!CD71="",IPC_Trimestriel!CA71="",IPC_Trimestriel!BW71=""),"",AVERAGE(IPC_Trimestriel!CA71:CD71)/AVERAGE(IPC_Trimestriel!BW71:BZ71)-1)</f>
        <v/>
      </c>
      <c r="CA94" s="28" t="str">
        <f>IF(OR(IPC_Trimestriel!CE71="",IPC_Trimestriel!CB71="",IPC_Trimestriel!BX71=""),"",AVERAGE(IPC_Trimestriel!CB71:CE71)/AVERAGE(IPC_Trimestriel!BX71:CA71)-1)</f>
        <v/>
      </c>
      <c r="CB94" s="28" t="str">
        <f>IF(OR(IPC_Trimestriel!CF71="",IPC_Trimestriel!CC71="",IPC_Trimestriel!BY71=""),"",AVERAGE(IPC_Trimestriel!CC71:CF71)/AVERAGE(IPC_Trimestriel!BY71:CB71)-1)</f>
        <v/>
      </c>
      <c r="CC94" s="28" t="str">
        <f>IF(OR(IPC_Trimestriel!CG71="",IPC_Trimestriel!CD71="",IPC_Trimestriel!BZ71=""),"",AVERAGE(IPC_Trimestriel!CD71:CG71)/AVERAGE(IPC_Trimestriel!BZ71:CC71)-1)</f>
        <v/>
      </c>
      <c r="CD94" s="28" t="str">
        <f>IF(OR(IPC_Trimestriel!CH71="",IPC_Trimestriel!CE71="",IPC_Trimestriel!CA71=""),"",AVERAGE(IPC_Trimestriel!CE71:CH71)/AVERAGE(IPC_Trimestriel!CA71:CD71)-1)</f>
        <v/>
      </c>
      <c r="CE94" s="28" t="str">
        <f>IF(OR(IPC_Trimestriel!CI71="",IPC_Trimestriel!CF71="",IPC_Trimestriel!CB71=""),"",AVERAGE(IPC_Trimestriel!CF71:CI71)/AVERAGE(IPC_Trimestriel!CB71:CE71)-1)</f>
        <v/>
      </c>
      <c r="CF94" s="28" t="str">
        <f>IF(OR(IPC_Trimestriel!CJ71="",IPC_Trimestriel!CG71="",IPC_Trimestriel!CC71=""),"",AVERAGE(IPC_Trimestriel!CG71:CJ71)/AVERAGE(IPC_Trimestriel!CC71:CF71)-1)</f>
        <v/>
      </c>
      <c r="CG94" s="28" t="str">
        <f>IF(OR(IPC_Trimestriel!CK71="",IPC_Trimestriel!CH71="",IPC_Trimestriel!CD71=""),"",AVERAGE(IPC_Trimestriel!CH71:CK71)/AVERAGE(IPC_Trimestriel!CD71:CG71)-1)</f>
        <v/>
      </c>
      <c r="CH94" s="28" t="str">
        <f>IF(OR(IPC_Trimestriel!CL71="",IPC_Trimestriel!CI71="",IPC_Trimestriel!CE71=""),"",AVERAGE(IPC_Trimestriel!CI71:CL71)/AVERAGE(IPC_Trimestriel!CE71:CH71)-1)</f>
        <v/>
      </c>
      <c r="CI94" s="28" t="str">
        <f>IF(OR(IPC_Trimestriel!CM71="",IPC_Trimestriel!CJ71="",IPC_Trimestriel!CF71=""),"",AVERAGE(IPC_Trimestriel!CJ71:CM71)/AVERAGE(IPC_Trimestriel!CF71:CI71)-1)</f>
        <v/>
      </c>
      <c r="CJ94" s="28" t="str">
        <f>IF(OR(IPC_Trimestriel!CN71="",IPC_Trimestriel!CK71="",IPC_Trimestriel!CG71=""),"",AVERAGE(IPC_Trimestriel!CK71:CN71)/AVERAGE(IPC_Trimestriel!CG71:CJ71)-1)</f>
        <v/>
      </c>
      <c r="CK94" s="28" t="str">
        <f>IF(OR(IPC_Trimestriel!CO71="",IPC_Trimestriel!CL71="",IPC_Trimestriel!CH71=""),"",AVERAGE(IPC_Trimestriel!CL71:CO71)/AVERAGE(IPC_Trimestriel!CH71:CK71)-1)</f>
        <v/>
      </c>
      <c r="CL94" s="28" t="str">
        <f>IF(OR(IPC_Trimestriel!CP71="",IPC_Trimestriel!CM71="",IPC_Trimestriel!CI71=""),"",AVERAGE(IPC_Trimestriel!CM71:CP71)/AVERAGE(IPC_Trimestriel!CI71:CL71)-1)</f>
        <v/>
      </c>
      <c r="CM94" s="28" t="str">
        <f>IF(OR(IPC_Trimestriel!CQ71="",IPC_Trimestriel!CN71="",IPC_Trimestriel!CJ71=""),"",AVERAGE(IPC_Trimestriel!CN71:CQ71)/AVERAGE(IPC_Trimestriel!CJ71:CM71)-1)</f>
        <v/>
      </c>
      <c r="CN94" s="28" t="str">
        <f>IF(OR(IPC_Trimestriel!CR71="",IPC_Trimestriel!CO71="",IPC_Trimestriel!CK71=""),"",AVERAGE(IPC_Trimestriel!CO71:CR71)/AVERAGE(IPC_Trimestriel!CK71:CN71)-1)</f>
        <v/>
      </c>
      <c r="CO94" s="28" t="str">
        <f>IF(OR(IPC_Trimestriel!CS71="",IPC_Trimestriel!CP71="",IPC_Trimestriel!CL71=""),"",AVERAGE(IPC_Trimestriel!CP71:CS71)/AVERAGE(IPC_Trimestriel!CL71:CO71)-1)</f>
        <v/>
      </c>
      <c r="CP94" s="28" t="str">
        <f>IF(OR(IPC_Trimestriel!CT71="",IPC_Trimestriel!CQ71="",IPC_Trimestriel!CM71=""),"",AVERAGE(IPC_Trimestriel!CQ71:CT71)/AVERAGE(IPC_Trimestriel!CM71:CP71)-1)</f>
        <v/>
      </c>
    </row>
    <row r="95" spans="1:94" x14ac:dyDescent="0.25">
      <c r="A95" s="11"/>
      <c r="B95" s="73" t="s">
        <v>52</v>
      </c>
      <c r="C95" s="17"/>
      <c r="D95" s="28"/>
      <c r="E95" s="28"/>
      <c r="F95" s="28"/>
      <c r="G95" s="28" t="str">
        <f>IF(OR(IPC_Trimestriel!K72="",IPC_Trimestriel!H72="",IPC_Trimestriel!D72=""),"",AVERAGE(IPC_Trimestriel!H72:K72)/AVERAGE(IPC_Trimestriel!D72:G72)-1)</f>
        <v/>
      </c>
      <c r="H95" s="28" t="str">
        <f>IF(OR(IPC_Trimestriel!L72="",IPC_Trimestriel!I72="",IPC_Trimestriel!E72=""),"",AVERAGE(IPC_Trimestriel!I72:L72)/AVERAGE(IPC_Trimestriel!E72:H72)-1)</f>
        <v/>
      </c>
      <c r="I95" s="28" t="str">
        <f>IF(OR(IPC_Trimestriel!M72="",IPC_Trimestriel!J72="",IPC_Trimestriel!F72=""),"",AVERAGE(IPC_Trimestriel!J72:M72)/AVERAGE(IPC_Trimestriel!F72:I72)-1)</f>
        <v/>
      </c>
      <c r="J95" s="28" t="str">
        <f>IF(OR(IPC_Trimestriel!N72="",IPC_Trimestriel!K72="",IPC_Trimestriel!G72=""),"",AVERAGE(IPC_Trimestriel!K72:N72)/AVERAGE(IPC_Trimestriel!G72:J72)-1)</f>
        <v/>
      </c>
      <c r="K95" s="28" t="str">
        <f>IF(OR(IPC_Trimestriel!O72="",IPC_Trimestriel!L72="",IPC_Trimestriel!H72=""),"",AVERAGE(IPC_Trimestriel!L72:O72)/AVERAGE(IPC_Trimestriel!H72:K72)-1)</f>
        <v/>
      </c>
      <c r="L95" s="28" t="str">
        <f>IF(OR(IPC_Trimestriel!P72="",IPC_Trimestriel!M72="",IPC_Trimestriel!I72=""),"",AVERAGE(IPC_Trimestriel!M72:P72)/AVERAGE(IPC_Trimestriel!I72:L72)-1)</f>
        <v/>
      </c>
      <c r="M95" s="28" t="str">
        <f>IF(OR(IPC_Trimestriel!Q72="",IPC_Trimestriel!N72="",IPC_Trimestriel!J72=""),"",AVERAGE(IPC_Trimestriel!N72:Q72)/AVERAGE(IPC_Trimestriel!J72:M72)-1)</f>
        <v/>
      </c>
      <c r="N95" s="28" t="str">
        <f>IF(OR(IPC_Trimestriel!R72="",IPC_Trimestriel!O72="",IPC_Trimestriel!K72=""),"",AVERAGE(IPC_Trimestriel!O72:R72)/AVERAGE(IPC_Trimestriel!K72:N72)-1)</f>
        <v/>
      </c>
      <c r="O95" s="28" t="str">
        <f>IF(OR(IPC_Trimestriel!S72="",IPC_Trimestriel!P72="",IPC_Trimestriel!L72=""),"",AVERAGE(IPC_Trimestriel!P72:S72)/AVERAGE(IPC_Trimestriel!L72:O72)-1)</f>
        <v/>
      </c>
      <c r="P95" s="28" t="str">
        <f>IF(OR(IPC_Trimestriel!T72="",IPC_Trimestriel!Q72="",IPC_Trimestriel!M72=""),"",AVERAGE(IPC_Trimestriel!Q72:T72)/AVERAGE(IPC_Trimestriel!M72:P72)-1)</f>
        <v/>
      </c>
      <c r="Q95" s="28" t="str">
        <f>IF(OR(IPC_Trimestriel!U72="",IPC_Trimestriel!R72="",IPC_Trimestriel!N72=""),"",AVERAGE(IPC_Trimestriel!R72:U72)/AVERAGE(IPC_Trimestriel!N72:Q72)-1)</f>
        <v/>
      </c>
      <c r="R95" s="28" t="str">
        <f>IF(OR(IPC_Trimestriel!V72="",IPC_Trimestriel!S72="",IPC_Trimestriel!O72=""),"",AVERAGE(IPC_Trimestriel!S72:V72)/AVERAGE(IPC_Trimestriel!O72:R72)-1)</f>
        <v/>
      </c>
      <c r="S95" s="28" t="str">
        <f>IF(OR(IPC_Trimestriel!W72="",IPC_Trimestriel!T72="",IPC_Trimestriel!P72=""),"",AVERAGE(IPC_Trimestriel!T72:W72)/AVERAGE(IPC_Trimestriel!P72:S72)-1)</f>
        <v/>
      </c>
      <c r="T95" s="28" t="str">
        <f>IF(OR(IPC_Trimestriel!X72="",IPC_Trimestriel!U72="",IPC_Trimestriel!Q72=""),"",AVERAGE(IPC_Trimestriel!U72:X72)/AVERAGE(IPC_Trimestriel!Q72:T72)-1)</f>
        <v/>
      </c>
      <c r="U95" s="28" t="str">
        <f>IF(OR(IPC_Trimestriel!Y72="",IPC_Trimestriel!V72="",IPC_Trimestriel!R72=""),"",AVERAGE(IPC_Trimestriel!V72:Y72)/AVERAGE(IPC_Trimestriel!R72:U72)-1)</f>
        <v/>
      </c>
      <c r="V95" s="28" t="str">
        <f>IF(OR(IPC_Trimestriel!Z72="",IPC_Trimestriel!W72="",IPC_Trimestriel!S72=""),"",AVERAGE(IPC_Trimestriel!W72:Z72)/AVERAGE(IPC_Trimestriel!S72:V72)-1)</f>
        <v/>
      </c>
      <c r="W95" s="28" t="str">
        <f>IF(OR(IPC_Trimestriel!AA72="",IPC_Trimestriel!X72="",IPC_Trimestriel!T72=""),"",AVERAGE(IPC_Trimestriel!X72:AA72)/AVERAGE(IPC_Trimestriel!T72:W72)-1)</f>
        <v/>
      </c>
      <c r="X95" s="28" t="str">
        <f>IF(OR(IPC_Trimestriel!AB72="",IPC_Trimestriel!Y72="",IPC_Trimestriel!U72=""),"",AVERAGE(IPC_Trimestriel!Y72:AB72)/AVERAGE(IPC_Trimestriel!U72:X72)-1)</f>
        <v/>
      </c>
      <c r="Y95" s="28" t="str">
        <f>IF(OR(IPC_Trimestriel!AC72="",IPC_Trimestriel!Z72="",IPC_Trimestriel!V72=""),"",AVERAGE(IPC_Trimestriel!Z72:AC72)/AVERAGE(IPC_Trimestriel!V72:Y72)-1)</f>
        <v/>
      </c>
      <c r="Z95" s="28" t="str">
        <f>IF(OR(IPC_Trimestriel!AD72="",IPC_Trimestriel!AA72="",IPC_Trimestriel!W72=""),"",AVERAGE(IPC_Trimestriel!AA72:AD72)/AVERAGE(IPC_Trimestriel!W72:Z72)-1)</f>
        <v/>
      </c>
      <c r="AA95" s="28" t="str">
        <f>IF(OR(IPC_Trimestriel!AE72="",IPC_Trimestriel!AB72="",IPC_Trimestriel!X72=""),"",AVERAGE(IPC_Trimestriel!AB72:AE72)/AVERAGE(IPC_Trimestriel!X72:AA72)-1)</f>
        <v/>
      </c>
      <c r="AB95" s="28" t="str">
        <f>IF(OR(IPC_Trimestriel!AF72="",IPC_Trimestriel!AC72="",IPC_Trimestriel!Y72=""),"",AVERAGE(IPC_Trimestriel!AC72:AF72)/AVERAGE(IPC_Trimestriel!Y72:AB72)-1)</f>
        <v/>
      </c>
      <c r="AC95" s="28" t="str">
        <f>IF(OR(IPC_Trimestriel!AG72="",IPC_Trimestriel!AD72="",IPC_Trimestriel!Z72=""),"",AVERAGE(IPC_Trimestriel!AD72:AG72)/AVERAGE(IPC_Trimestriel!Z72:AC72)-1)</f>
        <v/>
      </c>
      <c r="AD95" s="28" t="str">
        <f>IF(OR(IPC_Trimestriel!AH72="",IPC_Trimestriel!AE72="",IPC_Trimestriel!AA72=""),"",AVERAGE(IPC_Trimestriel!AE72:AH72)/AVERAGE(IPC_Trimestriel!AA72:AD72)-1)</f>
        <v/>
      </c>
      <c r="AE95" s="28" t="str">
        <f>IF(OR(IPC_Trimestriel!AI72="",IPC_Trimestriel!AF72="",IPC_Trimestriel!AB72=""),"",AVERAGE(IPC_Trimestriel!AF72:AI72)/AVERAGE(IPC_Trimestriel!AB72:AE72)-1)</f>
        <v/>
      </c>
      <c r="AF95" s="28" t="str">
        <f>IF(OR(IPC_Trimestriel!AJ72="",IPC_Trimestriel!AG72="",IPC_Trimestriel!AC72=""),"",AVERAGE(IPC_Trimestriel!AG72:AJ72)/AVERAGE(IPC_Trimestriel!AC72:AF72)-1)</f>
        <v/>
      </c>
      <c r="AG95" s="28" t="str">
        <f>IF(OR(IPC_Trimestriel!AK72="",IPC_Trimestriel!AH72="",IPC_Trimestriel!AD72=""),"",AVERAGE(IPC_Trimestriel!AH72:AK72)/AVERAGE(IPC_Trimestriel!AD72:AG72)-1)</f>
        <v/>
      </c>
      <c r="AH95" s="28" t="str">
        <f>IF(OR(IPC_Trimestriel!AL72="",IPC_Trimestriel!AI72="",IPC_Trimestriel!AE72=""),"",AVERAGE(IPC_Trimestriel!AI72:AL72)/AVERAGE(IPC_Trimestriel!AE72:AH72)-1)</f>
        <v/>
      </c>
      <c r="AI95" s="28" t="str">
        <f>IF(OR(IPC_Trimestriel!AM72="",IPC_Trimestriel!AJ72="",IPC_Trimestriel!AF72=""),"",AVERAGE(IPC_Trimestriel!AJ72:AM72)/AVERAGE(IPC_Trimestriel!AF72:AI72)-1)</f>
        <v/>
      </c>
      <c r="AJ95" s="28" t="str">
        <f>IF(OR(IPC_Trimestriel!AN72="",IPC_Trimestriel!AK72="",IPC_Trimestriel!AG72=""),"",AVERAGE(IPC_Trimestriel!AK72:AN72)/AVERAGE(IPC_Trimestriel!AG72:AJ72)-1)</f>
        <v/>
      </c>
      <c r="AK95" s="28" t="str">
        <f>IF(OR(IPC_Trimestriel!AO72="",IPC_Trimestriel!AL72="",IPC_Trimestriel!AH72=""),"",AVERAGE(IPC_Trimestriel!AL72:AO72)/AVERAGE(IPC_Trimestriel!AH72:AK72)-1)</f>
        <v/>
      </c>
      <c r="AL95" s="28" t="str">
        <f>IF(OR(IPC_Trimestriel!AP72="",IPC_Trimestriel!AM72="",IPC_Trimestriel!AI72=""),"",AVERAGE(IPC_Trimestriel!AM72:AP72)/AVERAGE(IPC_Trimestriel!AI72:AL72)-1)</f>
        <v/>
      </c>
      <c r="AM95" s="28" t="str">
        <f>IF(OR(IPC_Trimestriel!AQ72="",IPC_Trimestriel!AN72="",IPC_Trimestriel!AJ72=""),"",AVERAGE(IPC_Trimestriel!AN72:AQ72)/AVERAGE(IPC_Trimestriel!AJ72:AM72)-1)</f>
        <v/>
      </c>
      <c r="AN95" s="28" t="str">
        <f>IF(OR(IPC_Trimestriel!AR72="",IPC_Trimestriel!AO72="",IPC_Trimestriel!AK72=""),"",AVERAGE(IPC_Trimestriel!AO72:AR72)/AVERAGE(IPC_Trimestriel!AK72:AN72)-1)</f>
        <v/>
      </c>
      <c r="AO95" s="28" t="str">
        <f>IF(OR(IPC_Trimestriel!AS72="",IPC_Trimestriel!AP72="",IPC_Trimestriel!AL72=""),"",AVERAGE(IPC_Trimestriel!AP72:AS72)/AVERAGE(IPC_Trimestriel!AL72:AO72)-1)</f>
        <v/>
      </c>
      <c r="AP95" s="28" t="str">
        <f>IF(OR(IPC_Trimestriel!AT72="",IPC_Trimestriel!AQ72="",IPC_Trimestriel!AM72=""),"",AVERAGE(IPC_Trimestriel!AQ72:AT72)/AVERAGE(IPC_Trimestriel!AM72:AP72)-1)</f>
        <v/>
      </c>
      <c r="AQ95" s="28" t="str">
        <f>IF(OR(IPC_Trimestriel!AU72="",IPC_Trimestriel!AR72="",IPC_Trimestriel!AN72=""),"",AVERAGE(IPC_Trimestriel!AR72:AU72)/AVERAGE(IPC_Trimestriel!AN72:AQ72)-1)</f>
        <v/>
      </c>
      <c r="AR95" s="28" t="str">
        <f>IF(OR(IPC_Trimestriel!AV72="",IPC_Trimestriel!AS72="",IPC_Trimestriel!AO72=""),"",AVERAGE(IPC_Trimestriel!AS72:AV72)/AVERAGE(IPC_Trimestriel!AO72:AR72)-1)</f>
        <v/>
      </c>
      <c r="AS95" s="28" t="str">
        <f>IF(OR(IPC_Trimestriel!AW72="",IPC_Trimestriel!AT72="",IPC_Trimestriel!AP72=""),"",AVERAGE(IPC_Trimestriel!AT72:AW72)/AVERAGE(IPC_Trimestriel!AP72:AS72)-1)</f>
        <v/>
      </c>
      <c r="AT95" s="28" t="str">
        <f>IF(OR(IPC_Trimestriel!AX72="",IPC_Trimestriel!AU72="",IPC_Trimestriel!AQ72=""),"",AVERAGE(IPC_Trimestriel!AU72:AX72)/AVERAGE(IPC_Trimestriel!AQ72:AT72)-1)</f>
        <v/>
      </c>
      <c r="AU95" s="28" t="str">
        <f>IF(OR(IPC_Trimestriel!AY72="",IPC_Trimestriel!AV72="",IPC_Trimestriel!AR72=""),"",AVERAGE(IPC_Trimestriel!AV72:AY72)/AVERAGE(IPC_Trimestriel!AR72:AU72)-1)</f>
        <v/>
      </c>
      <c r="AV95" s="28" t="str">
        <f>IF(OR(IPC_Trimestriel!AZ72="",IPC_Trimestriel!AW72="",IPC_Trimestriel!AS72=""),"",AVERAGE(IPC_Trimestriel!AW72:AZ72)/AVERAGE(IPC_Trimestriel!AS72:AV72)-1)</f>
        <v/>
      </c>
      <c r="AW95" s="28" t="str">
        <f>IF(OR(IPC_Trimestriel!BA72="",IPC_Trimestriel!AX72="",IPC_Trimestriel!AT72=""),"",AVERAGE(IPC_Trimestriel!AX72:BA72)/AVERAGE(IPC_Trimestriel!AT72:AW72)-1)</f>
        <v/>
      </c>
      <c r="AX95" s="28" t="str">
        <f>IF(OR(IPC_Trimestriel!BB72="",IPC_Trimestriel!AY72="",IPC_Trimestriel!AU72=""),"",AVERAGE(IPC_Trimestriel!AY72:BB72)/AVERAGE(IPC_Trimestriel!AU72:AX72)-1)</f>
        <v/>
      </c>
      <c r="AY95" s="28">
        <f>IF(OR(IPC_Trimestriel!BC72="",IPC_Trimestriel!AZ72="",IPC_Trimestriel!AV72=""),"",AVERAGE(IPC_Trimestriel!AZ72:BC72)/AVERAGE(IPC_Trimestriel!AV72:AY72)-1)</f>
        <v>2.2184684684684708E-2</v>
      </c>
      <c r="AZ95" s="28">
        <f>IF(OR(IPC_Trimestriel!BD72="",IPC_Trimestriel!BA72="",IPC_Trimestriel!AW72=""),"",AVERAGE(IPC_Trimestriel!BA72:BD72)/AVERAGE(IPC_Trimestriel!AW72:AZ72)-1)</f>
        <v>1.8773563792242598E-2</v>
      </c>
      <c r="BA95" s="28">
        <f>IF(OR(IPC_Trimestriel!BE72="",IPC_Trimestriel!BB72="",IPC_Trimestriel!AX72=""),"",AVERAGE(IPC_Trimestriel!BB72:BE72)/AVERAGE(IPC_Trimestriel!AX72:BA72)-1)</f>
        <v>1.5234117576576889E-2</v>
      </c>
      <c r="BB95" s="28">
        <f>IF(OR(IPC_Trimestriel!BF72="",IPC_Trimestriel!BC72="",IPC_Trimestriel!AY72=""),"",AVERAGE(IPC_Trimestriel!BC72:BF72)/AVERAGE(IPC_Trimestriel!AY72:BB72)-1)</f>
        <v>1.2272862675007268E-2</v>
      </c>
      <c r="BC95" s="28">
        <f>IF(OR(IPC_Trimestriel!BG72="",IPC_Trimestriel!BD72="",IPC_Trimestriel!AZ72=""),"",AVERAGE(IPC_Trimestriel!BD72:BG72)/AVERAGE(IPC_Trimestriel!AZ72:BC72)-1)</f>
        <v>9.8982212015152893E-3</v>
      </c>
      <c r="BD95" s="28">
        <f>IF(OR(IPC_Trimestriel!BH72="",IPC_Trimestriel!BE72="",IPC_Trimestriel!BA72=""),"",AVERAGE(IPC_Trimestriel!BE72:BH72)/AVERAGE(IPC_Trimestriel!BA72:BD72)-1)</f>
        <v>9.0321490431330975E-3</v>
      </c>
      <c r="BE95" s="28">
        <f>IF(OR(IPC_Trimestriel!BI72="",IPC_Trimestriel!BF72="",IPC_Trimestriel!BB72=""),"",AVERAGE(IPC_Trimestriel!BF72:BI72)/AVERAGE(IPC_Trimestriel!BB72:BE72)-1)</f>
        <v>8.6408200770509147E-3</v>
      </c>
      <c r="BF95" s="28">
        <f>IF(OR(IPC_Trimestriel!BJ72="",IPC_Trimestriel!BG72="",IPC_Trimestriel!BC72=""),"",AVERAGE(IPC_Trimestriel!BG72:BJ72)/AVERAGE(IPC_Trimestriel!BC72:BF72)-1)</f>
        <v>7.2139031588154268E-3</v>
      </c>
      <c r="BG95" s="28">
        <f>IF(OR(IPC_Trimestriel!BK72="",IPC_Trimestriel!BH72="",IPC_Trimestriel!BD72=""),"",AVERAGE(IPC_Trimestriel!BH72:BK72)/AVERAGE(IPC_Trimestriel!BD72:BG72)-1)</f>
        <v>6.1089712928696915E-3</v>
      </c>
      <c r="BH95" s="28">
        <f>IF(OR(IPC_Trimestriel!BL72="",IPC_Trimestriel!BI72="",IPC_Trimestriel!BE72=""),"",AVERAGE(IPC_Trimestriel!BI72:BL72)/AVERAGE(IPC_Trimestriel!BE72:BH72)-1)</f>
        <v>3.3661575562700108E-3</v>
      </c>
      <c r="BI95" s="28">
        <f>IF(OR(IPC_Trimestriel!BM72="",IPC_Trimestriel!BJ72="",IPC_Trimestriel!BF72=""),"",AVERAGE(IPC_Trimestriel!BJ72:BM72)/AVERAGE(IPC_Trimestriel!BF72:BI72)-1)</f>
        <v>2.1563252206471262E-3</v>
      </c>
      <c r="BJ95" s="28">
        <f>IF(OR(IPC_Trimestriel!BN72="",IPC_Trimestriel!BK72="",IPC_Trimestriel!BG72=""),"",AVERAGE(IPC_Trimestriel!BK72:BN72)/AVERAGE(IPC_Trimestriel!BG72:BJ72)-1)</f>
        <v>1.2771818523309442E-3</v>
      </c>
      <c r="BK95" s="28">
        <f>IF(OR(IPC_Trimestriel!BO72="",IPC_Trimestriel!BL72="",IPC_Trimestriel!BH72=""),"",AVERAGE(IPC_Trimestriel!BL72:BO72)/AVERAGE(IPC_Trimestriel!BH72:BK72)-1)</f>
        <v>8.6741119460875815E-4</v>
      </c>
      <c r="BL95" s="28">
        <f>IF(OR(IPC_Trimestriel!BP72="",IPC_Trimestriel!BM72="",IPC_Trimestriel!BI72=""),"",AVERAGE(IPC_Trimestriel!BM72:BP72)/AVERAGE(IPC_Trimestriel!BI72:BL72)-1)</f>
        <v>1.5689416320330274E-3</v>
      </c>
      <c r="BM95" s="28">
        <f>IF(OR(IPC_Trimestriel!BQ72="",IPC_Trimestriel!BN72="",IPC_Trimestriel!BJ72=""),"",AVERAGE(IPC_Trimestriel!BN72:BQ72)/AVERAGE(IPC_Trimestriel!BJ72:BM72)-1)</f>
        <v>1.1342218070822252E-3</v>
      </c>
      <c r="BN95" s="28">
        <f>IF(OR(IPC_Trimestriel!BR72="",IPC_Trimestriel!BO72="",IPC_Trimestriel!BK72=""),"",AVERAGE(IPC_Trimestriel!BO72:BR72)/AVERAGE(IPC_Trimestriel!BK72:BN72)-1)</f>
        <v>1.8508020142062875E-3</v>
      </c>
      <c r="BO95" s="28">
        <f>IF(OR(IPC_Trimestriel!BS72="",IPC_Trimestriel!BP72="",IPC_Trimestriel!BL72=""),"",AVERAGE(IPC_Trimestriel!BP72:BS72)/AVERAGE(IPC_Trimestriel!BL72:BO72)-1)</f>
        <v>3.0499745835452785E-3</v>
      </c>
      <c r="BP95" s="28">
        <f>IF(OR(IPC_Trimestriel!BT72="",IPC_Trimestriel!BQ72="",IPC_Trimestriel!BM72=""),"",AVERAGE(IPC_Trimestriel!BQ72:BT72)/AVERAGE(IPC_Trimestriel!BM72:BP72)-1)</f>
        <v>6.5659006449247936E-3</v>
      </c>
      <c r="BQ95" s="28">
        <f>IF(OR(IPC_Trimestriel!BU72="",IPC_Trimestriel!BR72="",IPC_Trimestriel!BN72=""),"",AVERAGE(IPC_Trimestriel!BR72:BU72)/AVERAGE(IPC_Trimestriel!BN72:BQ72)-1)</f>
        <v>8.9218773429300402E-3</v>
      </c>
      <c r="BR95" s="28">
        <f>IF(OR(IPC_Trimestriel!BV72="",IPC_Trimestriel!BS72="",IPC_Trimestriel!BO72=""),"",AVERAGE(IPC_Trimestriel!BS72:BV72)/AVERAGE(IPC_Trimestriel!BO72:BR72)-1)</f>
        <v>1.0227178164267325E-2</v>
      </c>
      <c r="BS95" s="28">
        <f>IF(OR(IPC_Trimestriel!BW72="",IPC_Trimestriel!BT72="",IPC_Trimestriel!BP72=""),"",AVERAGE(IPC_Trimestriel!BT72:BW72)/AVERAGE(IPC_Trimestriel!BP72:BS72)-1)</f>
        <v>1.1622786976496879E-2</v>
      </c>
      <c r="BT95" s="28">
        <f>IF(OR(IPC_Trimestriel!BX72="",IPC_Trimestriel!BU72="",IPC_Trimestriel!BQ72=""),"",AVERAGE(IPC_Trimestriel!BU72:BX72)/AVERAGE(IPC_Trimestriel!BQ72:BT72)-1)</f>
        <v>1.1754772271982183E-2</v>
      </c>
      <c r="BU95" s="28">
        <f>IF(OR(IPC_Trimestriel!BY72="",IPC_Trimestriel!BV72="",IPC_Trimestriel!BR72=""),"",AVERAGE(IPC_Trimestriel!BV72:BY72)/AVERAGE(IPC_Trimestriel!BR72:BU72)-1)</f>
        <v>1.455665370356618E-2</v>
      </c>
      <c r="BV95" s="28">
        <f>IF(OR(IPC_Trimestriel!BZ72="",IPC_Trimestriel!BW72="",IPC_Trimestriel!BS72=""),"",AVERAGE(IPC_Trimestriel!BW72:BZ72)/AVERAGE(IPC_Trimestriel!BS72:BV72)-1)</f>
        <v>1.8575111821349299E-2</v>
      </c>
      <c r="BW95" s="28">
        <f>IF(OR(IPC_Trimestriel!CA72="",IPC_Trimestriel!BX72="",IPC_Trimestriel!BT72=""),"",AVERAGE(IPC_Trimestriel!BX72:CA72)/AVERAGE(IPC_Trimestriel!BT72:BW72)-1)</f>
        <v>2.0991081254208899E-2</v>
      </c>
      <c r="BX95" s="28">
        <f>IF(OR(IPC_Trimestriel!CB72="",IPC_Trimestriel!BY72="",IPC_Trimestriel!BU72=""),"",AVERAGE(IPC_Trimestriel!BY72:CB72)/AVERAGE(IPC_Trimestriel!BU72:BX72)-1)</f>
        <v>2.0765492300895083E-2</v>
      </c>
      <c r="BY95" s="28">
        <f>IF(OR(IPC_Trimestriel!CC72="",IPC_Trimestriel!BZ72="",IPC_Trimestriel!BV72=""),"",AVERAGE(IPC_Trimestriel!BZ72:CC72)/AVERAGE(IPC_Trimestriel!BV72:BY72)-1)</f>
        <v>1.8636674370910544E-2</v>
      </c>
      <c r="BZ95" s="28">
        <f>IF(OR(IPC_Trimestriel!CD72="",IPC_Trimestriel!CA72="",IPC_Trimestriel!BW72=""),"",AVERAGE(IPC_Trimestriel!CA72:CD72)/AVERAGE(IPC_Trimestriel!BW72:BZ72)-1)</f>
        <v>1.4645704950911442E-2</v>
      </c>
      <c r="CA95" s="28">
        <f>IF(OR(IPC_Trimestriel!CE72="",IPC_Trimestriel!CB72="",IPC_Trimestriel!BX72=""),"",AVERAGE(IPC_Trimestriel!CB72:CE72)/AVERAGE(IPC_Trimestriel!BX72:CA72)-1)</f>
        <v>1.0496935377487304E-2</v>
      </c>
      <c r="CB95" s="28">
        <f>IF(OR(IPC_Trimestriel!CF72="",IPC_Trimestriel!CC72="",IPC_Trimestriel!BY72=""),"",AVERAGE(IPC_Trimestriel!CC72:CF72)/AVERAGE(IPC_Trimestriel!BY72:CB72)-1)</f>
        <v>8.5123436999037239E-3</v>
      </c>
      <c r="CC95" s="28">
        <f>IF(OR(IPC_Trimestriel!CG72="",IPC_Trimestriel!CD72="",IPC_Trimestriel!BZ72=""),"",AVERAGE(IPC_Trimestriel!CD72:CG72)/AVERAGE(IPC_Trimestriel!BZ72:CC72)-1)</f>
        <v>4.2183979674992322E-3</v>
      </c>
      <c r="CD95" s="28">
        <f>IF(OR(IPC_Trimestriel!CH72="",IPC_Trimestriel!CE72="",IPC_Trimestriel!CA72=""),"",AVERAGE(IPC_Trimestriel!CE72:CH72)/AVERAGE(IPC_Trimestriel!CA72:CD72)-1)</f>
        <v>1.4824851552226459E-3</v>
      </c>
      <c r="CE95" s="28">
        <f>IF(OR(IPC_Trimestriel!CI72="",IPC_Trimestriel!CF72="",IPC_Trimestriel!CB72=""),"",AVERAGE(IPC_Trimestriel!CF72:CI72)/AVERAGE(IPC_Trimestriel!CB72:CE72)-1)</f>
        <v>3.8208346931800641E-4</v>
      </c>
      <c r="CF95" s="28">
        <f>IF(OR(IPC_Trimestriel!CJ72="",IPC_Trimestriel!CG72="",IPC_Trimestriel!CC72=""),"",AVERAGE(IPC_Trimestriel!CG72:CJ72)/AVERAGE(IPC_Trimestriel!CC72:CF72)-1)</f>
        <v>6.8350526934879419E-4</v>
      </c>
      <c r="CG95" s="28">
        <f>IF(OR(IPC_Trimestriel!CK72="",IPC_Trimestriel!CH72="",IPC_Trimestriel!CD72=""),"",AVERAGE(IPC_Trimestriel!CH72:CK72)/AVERAGE(IPC_Trimestriel!CD72:CG72)-1)</f>
        <v>5.1553773449808382E-3</v>
      </c>
      <c r="CH95" s="28">
        <f>IF(OR(IPC_Trimestriel!CL72="",IPC_Trimestriel!CI72="",IPC_Trimestriel!CE72=""),"",AVERAGE(IPC_Trimestriel!CI72:CL72)/AVERAGE(IPC_Trimestriel!CE72:CH72)-1)</f>
        <v>9.8208529975885028E-3</v>
      </c>
      <c r="CI95" s="28">
        <f>IF(OR(IPC_Trimestriel!CM72="",IPC_Trimestriel!CJ72="",IPC_Trimestriel!CF72=""),"",AVERAGE(IPC_Trimestriel!CJ72:CM72)/AVERAGE(IPC_Trimestriel!CF72:CI72)-1)</f>
        <v>1.6423314103839015E-2</v>
      </c>
      <c r="CJ95" s="28">
        <f>IF(OR(IPC_Trimestriel!CN72="",IPC_Trimestriel!CK72="",IPC_Trimestriel!CG72=""),"",AVERAGE(IPC_Trimestriel!CK72:CN72)/AVERAGE(IPC_Trimestriel!CG72:CJ72)-1)</f>
        <v>2.3723671252025236E-2</v>
      </c>
      <c r="CK95" s="28">
        <f>IF(OR(IPC_Trimestriel!CO72="",IPC_Trimestriel!CL72="",IPC_Trimestriel!CH72=""),"",AVERAGE(IPC_Trimestriel!CL72:CO72)/AVERAGE(IPC_Trimestriel!CH72:CK72)-1)</f>
        <v>3.3591363125484719E-2</v>
      </c>
      <c r="CL95" s="28">
        <f>IF(OR(IPC_Trimestriel!CP72="",IPC_Trimestriel!CM72="",IPC_Trimestriel!CI72=""),"",AVERAGE(IPC_Trimestriel!CM72:CP72)/AVERAGE(IPC_Trimestriel!CI72:CL72)-1)</f>
        <v>4.3929542499113294E-2</v>
      </c>
      <c r="CM95" s="28">
        <f>IF(OR(IPC_Trimestriel!CQ72="",IPC_Trimestriel!CN72="",IPC_Trimestriel!CJ72=""),"",AVERAGE(IPC_Trimestriel!CN72:CQ72)/AVERAGE(IPC_Trimestriel!CJ72:CM72)-1)</f>
        <v>5.22784740760458E-2</v>
      </c>
      <c r="CN95" s="28">
        <f>IF(OR(IPC_Trimestriel!CR72="",IPC_Trimestriel!CO72="",IPC_Trimestriel!CK72=""),"",AVERAGE(IPC_Trimestriel!CO72:CR72)/AVERAGE(IPC_Trimestriel!CK72:CN72)-1)</f>
        <v>5.8062764265487621E-2</v>
      </c>
      <c r="CO95" s="28">
        <f>IF(OR(IPC_Trimestriel!CS72="",IPC_Trimestriel!CP72="",IPC_Trimestriel!CL72=""),"",AVERAGE(IPC_Trimestriel!CP72:CS72)/AVERAGE(IPC_Trimestriel!CL72:CO72)-1)</f>
        <v>5.7594229090408122E-2</v>
      </c>
      <c r="CP95" s="28">
        <f>IF(OR(IPC_Trimestriel!CT72="",IPC_Trimestriel!CQ72="",IPC_Trimestriel!CM72=""),"",AVERAGE(IPC_Trimestriel!CQ72:CT72)/AVERAGE(IPC_Trimestriel!CM72:CP72)-1)</f>
        <v>5.431869484142271E-2</v>
      </c>
    </row>
    <row r="96" spans="1:94" x14ac:dyDescent="0.25">
      <c r="A96" s="11"/>
      <c r="B96" s="31" t="s">
        <v>53</v>
      </c>
      <c r="C96" s="17"/>
      <c r="D96" s="28"/>
      <c r="E96" s="28"/>
      <c r="F96" s="28"/>
      <c r="G96" s="28" t="str">
        <f>IF(OR(IPC_Trimestriel!K73="",IPC_Trimestriel!H73="",IPC_Trimestriel!D73=""),"",AVERAGE(IPC_Trimestriel!H73:K73)/AVERAGE(IPC_Trimestriel!D73:G73)-1)</f>
        <v/>
      </c>
      <c r="H96" s="28" t="str">
        <f>IF(OR(IPC_Trimestriel!L73="",IPC_Trimestriel!I73="",IPC_Trimestriel!E73=""),"",AVERAGE(IPC_Trimestriel!I73:L73)/AVERAGE(IPC_Trimestriel!E73:H73)-1)</f>
        <v/>
      </c>
      <c r="I96" s="28" t="str">
        <f>IF(OR(IPC_Trimestriel!M73="",IPC_Trimestriel!J73="",IPC_Trimestriel!F73=""),"",AVERAGE(IPC_Trimestriel!J73:M73)/AVERAGE(IPC_Trimestriel!F73:I73)-1)</f>
        <v/>
      </c>
      <c r="J96" s="28" t="str">
        <f>IF(OR(IPC_Trimestriel!N73="",IPC_Trimestriel!K73="",IPC_Trimestriel!G73=""),"",AVERAGE(IPC_Trimestriel!K73:N73)/AVERAGE(IPC_Trimestriel!G73:J73)-1)</f>
        <v/>
      </c>
      <c r="K96" s="28" t="str">
        <f>IF(OR(IPC_Trimestriel!O73="",IPC_Trimestriel!L73="",IPC_Trimestriel!H73=""),"",AVERAGE(IPC_Trimestriel!L73:O73)/AVERAGE(IPC_Trimestriel!H73:K73)-1)</f>
        <v/>
      </c>
      <c r="L96" s="28" t="str">
        <f>IF(OR(IPC_Trimestriel!P73="",IPC_Trimestriel!M73="",IPC_Trimestriel!I73=""),"",AVERAGE(IPC_Trimestriel!M73:P73)/AVERAGE(IPC_Trimestriel!I73:L73)-1)</f>
        <v/>
      </c>
      <c r="M96" s="28" t="str">
        <f>IF(OR(IPC_Trimestriel!Q73="",IPC_Trimestriel!N73="",IPC_Trimestriel!J73=""),"",AVERAGE(IPC_Trimestriel!N73:Q73)/AVERAGE(IPC_Trimestriel!J73:M73)-1)</f>
        <v/>
      </c>
      <c r="N96" s="28" t="str">
        <f>IF(OR(IPC_Trimestriel!R73="",IPC_Trimestriel!O73="",IPC_Trimestriel!K73=""),"",AVERAGE(IPC_Trimestriel!O73:R73)/AVERAGE(IPC_Trimestriel!K73:N73)-1)</f>
        <v/>
      </c>
      <c r="O96" s="28" t="str">
        <f>IF(OR(IPC_Trimestriel!S73="",IPC_Trimestriel!P73="",IPC_Trimestriel!L73=""),"",AVERAGE(IPC_Trimestriel!P73:S73)/AVERAGE(IPC_Trimestriel!L73:O73)-1)</f>
        <v/>
      </c>
      <c r="P96" s="28" t="str">
        <f>IF(OR(IPC_Trimestriel!T73="",IPC_Trimestriel!Q73="",IPC_Trimestriel!M73=""),"",AVERAGE(IPC_Trimestriel!Q73:T73)/AVERAGE(IPC_Trimestriel!M73:P73)-1)</f>
        <v/>
      </c>
      <c r="Q96" s="28" t="str">
        <f>IF(OR(IPC_Trimestriel!U73="",IPC_Trimestriel!R73="",IPC_Trimestriel!N73=""),"",AVERAGE(IPC_Trimestriel!R73:U73)/AVERAGE(IPC_Trimestriel!N73:Q73)-1)</f>
        <v/>
      </c>
      <c r="R96" s="28" t="str">
        <f>IF(OR(IPC_Trimestriel!V73="",IPC_Trimestriel!S73="",IPC_Trimestriel!O73=""),"",AVERAGE(IPC_Trimestriel!S73:V73)/AVERAGE(IPC_Trimestriel!O73:R73)-1)</f>
        <v/>
      </c>
      <c r="S96" s="28" t="str">
        <f>IF(OR(IPC_Trimestriel!W73="",IPC_Trimestriel!T73="",IPC_Trimestriel!P73=""),"",AVERAGE(IPC_Trimestriel!T73:W73)/AVERAGE(IPC_Trimestriel!P73:S73)-1)</f>
        <v/>
      </c>
      <c r="T96" s="28" t="str">
        <f>IF(OR(IPC_Trimestriel!X73="",IPC_Trimestriel!U73="",IPC_Trimestriel!Q73=""),"",AVERAGE(IPC_Trimestriel!U73:X73)/AVERAGE(IPC_Trimestriel!Q73:T73)-1)</f>
        <v/>
      </c>
      <c r="U96" s="28" t="str">
        <f>IF(OR(IPC_Trimestriel!Y73="",IPC_Trimestriel!V73="",IPC_Trimestriel!R73=""),"",AVERAGE(IPC_Trimestriel!V73:Y73)/AVERAGE(IPC_Trimestriel!R73:U73)-1)</f>
        <v/>
      </c>
      <c r="V96" s="28" t="str">
        <f>IF(OR(IPC_Trimestriel!Z73="",IPC_Trimestriel!W73="",IPC_Trimestriel!S73=""),"",AVERAGE(IPC_Trimestriel!W73:Z73)/AVERAGE(IPC_Trimestriel!S73:V73)-1)</f>
        <v/>
      </c>
      <c r="W96" s="28" t="str">
        <f>IF(OR(IPC_Trimestriel!AA73="",IPC_Trimestriel!X73="",IPC_Trimestriel!T73=""),"",AVERAGE(IPC_Trimestriel!X73:AA73)/AVERAGE(IPC_Trimestriel!T73:W73)-1)</f>
        <v/>
      </c>
      <c r="X96" s="28" t="str">
        <f>IF(OR(IPC_Trimestriel!AB73="",IPC_Trimestriel!Y73="",IPC_Trimestriel!U73=""),"",AVERAGE(IPC_Trimestriel!Y73:AB73)/AVERAGE(IPC_Trimestriel!U73:X73)-1)</f>
        <v/>
      </c>
      <c r="Y96" s="28" t="str">
        <f>IF(OR(IPC_Trimestriel!AC73="",IPC_Trimestriel!Z73="",IPC_Trimestriel!V73=""),"",AVERAGE(IPC_Trimestriel!Z73:AC73)/AVERAGE(IPC_Trimestriel!V73:Y73)-1)</f>
        <v/>
      </c>
      <c r="Z96" s="28" t="str">
        <f>IF(OR(IPC_Trimestriel!AD73="",IPC_Trimestriel!AA73="",IPC_Trimestriel!W73=""),"",AVERAGE(IPC_Trimestriel!AA73:AD73)/AVERAGE(IPC_Trimestriel!W73:Z73)-1)</f>
        <v/>
      </c>
      <c r="AA96" s="28" t="str">
        <f>IF(OR(IPC_Trimestriel!AE73="",IPC_Trimestriel!AB73="",IPC_Trimestriel!X73=""),"",AVERAGE(IPC_Trimestriel!AB73:AE73)/AVERAGE(IPC_Trimestriel!X73:AA73)-1)</f>
        <v/>
      </c>
      <c r="AB96" s="28" t="str">
        <f>IF(OR(IPC_Trimestriel!AF73="",IPC_Trimestriel!AC73="",IPC_Trimestriel!Y73=""),"",AVERAGE(IPC_Trimestriel!AC73:AF73)/AVERAGE(IPC_Trimestriel!Y73:AB73)-1)</f>
        <v/>
      </c>
      <c r="AC96" s="28" t="str">
        <f>IF(OR(IPC_Trimestriel!AG73="",IPC_Trimestriel!AD73="",IPC_Trimestriel!Z73=""),"",AVERAGE(IPC_Trimestriel!AD73:AG73)/AVERAGE(IPC_Trimestriel!Z73:AC73)-1)</f>
        <v/>
      </c>
      <c r="AD96" s="28" t="str">
        <f>IF(OR(IPC_Trimestriel!AH73="",IPC_Trimestriel!AE73="",IPC_Trimestriel!AA73=""),"",AVERAGE(IPC_Trimestriel!AE73:AH73)/AVERAGE(IPC_Trimestriel!AA73:AD73)-1)</f>
        <v/>
      </c>
      <c r="AE96" s="28" t="str">
        <f>IF(OR(IPC_Trimestriel!AI73="",IPC_Trimestriel!AF73="",IPC_Trimestriel!AB73=""),"",AVERAGE(IPC_Trimestriel!AF73:AI73)/AVERAGE(IPC_Trimestriel!AB73:AE73)-1)</f>
        <v/>
      </c>
      <c r="AF96" s="28" t="str">
        <f>IF(OR(IPC_Trimestriel!AJ73="",IPC_Trimestriel!AG73="",IPC_Trimestriel!AC73=""),"",AVERAGE(IPC_Trimestriel!AG73:AJ73)/AVERAGE(IPC_Trimestriel!AC73:AF73)-1)</f>
        <v/>
      </c>
      <c r="AG96" s="28" t="str">
        <f>IF(OR(IPC_Trimestriel!AK73="",IPC_Trimestriel!AH73="",IPC_Trimestriel!AD73=""),"",AVERAGE(IPC_Trimestriel!AH73:AK73)/AVERAGE(IPC_Trimestriel!AD73:AG73)-1)</f>
        <v/>
      </c>
      <c r="AH96" s="28" t="str">
        <f>IF(OR(IPC_Trimestriel!AL73="",IPC_Trimestriel!AI73="",IPC_Trimestriel!AE73=""),"",AVERAGE(IPC_Trimestriel!AI73:AL73)/AVERAGE(IPC_Trimestriel!AE73:AH73)-1)</f>
        <v/>
      </c>
      <c r="AI96" s="28" t="str">
        <f>IF(OR(IPC_Trimestriel!AM73="",IPC_Trimestriel!AJ73="",IPC_Trimestriel!AF73=""),"",AVERAGE(IPC_Trimestriel!AJ73:AM73)/AVERAGE(IPC_Trimestriel!AF73:AI73)-1)</f>
        <v/>
      </c>
      <c r="AJ96" s="28" t="str">
        <f>IF(OR(IPC_Trimestriel!AN73="",IPC_Trimestriel!AK73="",IPC_Trimestriel!AG73=""),"",AVERAGE(IPC_Trimestriel!AK73:AN73)/AVERAGE(IPC_Trimestriel!AG73:AJ73)-1)</f>
        <v/>
      </c>
      <c r="AK96" s="28" t="str">
        <f>IF(OR(IPC_Trimestriel!AO73="",IPC_Trimestriel!AL73="",IPC_Trimestriel!AH73=""),"",AVERAGE(IPC_Trimestriel!AL73:AO73)/AVERAGE(IPC_Trimestriel!AH73:AK73)-1)</f>
        <v/>
      </c>
      <c r="AL96" s="28" t="str">
        <f>IF(OR(IPC_Trimestriel!AP73="",IPC_Trimestriel!AM73="",IPC_Trimestriel!AI73=""),"",AVERAGE(IPC_Trimestriel!AM73:AP73)/AVERAGE(IPC_Trimestriel!AI73:AL73)-1)</f>
        <v/>
      </c>
      <c r="AM96" s="28" t="str">
        <f>IF(OR(IPC_Trimestriel!AQ73="",IPC_Trimestriel!AN73="",IPC_Trimestriel!AJ73=""),"",AVERAGE(IPC_Trimestriel!AN73:AQ73)/AVERAGE(IPC_Trimestriel!AJ73:AM73)-1)</f>
        <v/>
      </c>
      <c r="AN96" s="28" t="str">
        <f>IF(OR(IPC_Trimestriel!AR73="",IPC_Trimestriel!AO73="",IPC_Trimestriel!AK73=""),"",AVERAGE(IPC_Trimestriel!AO73:AR73)/AVERAGE(IPC_Trimestriel!AK73:AN73)-1)</f>
        <v/>
      </c>
      <c r="AO96" s="28" t="str">
        <f>IF(OR(IPC_Trimestriel!AS73="",IPC_Trimestriel!AP73="",IPC_Trimestriel!AL73=""),"",AVERAGE(IPC_Trimestriel!AP73:AS73)/AVERAGE(IPC_Trimestriel!AL73:AO73)-1)</f>
        <v/>
      </c>
      <c r="AP96" s="28" t="str">
        <f>IF(OR(IPC_Trimestriel!AT73="",IPC_Trimestriel!AQ73="",IPC_Trimestriel!AM73=""),"",AVERAGE(IPC_Trimestriel!AQ73:AT73)/AVERAGE(IPC_Trimestriel!AM73:AP73)-1)</f>
        <v/>
      </c>
      <c r="AQ96" s="28" t="str">
        <f>IF(OR(IPC_Trimestriel!AU73="",IPC_Trimestriel!AR73="",IPC_Trimestriel!AN73=""),"",AVERAGE(IPC_Trimestriel!AR73:AU73)/AVERAGE(IPC_Trimestriel!AN73:AQ73)-1)</f>
        <v/>
      </c>
      <c r="AR96" s="28" t="str">
        <f>IF(OR(IPC_Trimestriel!AV73="",IPC_Trimestriel!AS73="",IPC_Trimestriel!AO73=""),"",AVERAGE(IPC_Trimestriel!AS73:AV73)/AVERAGE(IPC_Trimestriel!AO73:AR73)-1)</f>
        <v/>
      </c>
      <c r="AS96" s="28" t="str">
        <f>IF(OR(IPC_Trimestriel!AW73="",IPC_Trimestriel!AT73="",IPC_Trimestriel!AP73=""),"",AVERAGE(IPC_Trimestriel!AT73:AW73)/AVERAGE(IPC_Trimestriel!AP73:AS73)-1)</f>
        <v/>
      </c>
      <c r="AT96" s="28" t="str">
        <f>IF(OR(IPC_Trimestriel!AX73="",IPC_Trimestriel!AU73="",IPC_Trimestriel!AQ73=""),"",AVERAGE(IPC_Trimestriel!AU73:AX73)/AVERAGE(IPC_Trimestriel!AQ73:AT73)-1)</f>
        <v/>
      </c>
      <c r="AU96" s="28" t="str">
        <f>IF(OR(IPC_Trimestriel!AY73="",IPC_Trimestriel!AV73="",IPC_Trimestriel!AR73=""),"",AVERAGE(IPC_Trimestriel!AV73:AY73)/AVERAGE(IPC_Trimestriel!AR73:AU73)-1)</f>
        <v/>
      </c>
      <c r="AV96" s="28" t="str">
        <f>IF(OR(IPC_Trimestriel!AZ73="",IPC_Trimestriel!AW73="",IPC_Trimestriel!AS73=""),"",AVERAGE(IPC_Trimestriel!AW73:AZ73)/AVERAGE(IPC_Trimestriel!AS73:AV73)-1)</f>
        <v/>
      </c>
      <c r="AW96" s="28" t="str">
        <f>IF(OR(IPC_Trimestriel!BA73="",IPC_Trimestriel!AX73="",IPC_Trimestriel!AT73=""),"",AVERAGE(IPC_Trimestriel!AX73:BA73)/AVERAGE(IPC_Trimestriel!AT73:AW73)-1)</f>
        <v/>
      </c>
      <c r="AX96" s="28" t="str">
        <f>IF(OR(IPC_Trimestriel!BB73="",IPC_Trimestriel!AY73="",IPC_Trimestriel!AU73=""),"",AVERAGE(IPC_Trimestriel!AY73:BB73)/AVERAGE(IPC_Trimestriel!AU73:AX73)-1)</f>
        <v/>
      </c>
      <c r="AY96" s="28">
        <f>IF(OR(IPC_Trimestriel!BC73="",IPC_Trimestriel!AZ73="",IPC_Trimestriel!AV73=""),"",AVERAGE(IPC_Trimestriel!AZ73:BC73)/AVERAGE(IPC_Trimestriel!AV73:AY73)-1)</f>
        <v>2.0410226742848758E-2</v>
      </c>
      <c r="AZ96" s="28">
        <f>IF(OR(IPC_Trimestriel!BD73="",IPC_Trimestriel!BA73="",IPC_Trimestriel!AW73=""),"",AVERAGE(IPC_Trimestriel!BA73:BD73)/AVERAGE(IPC_Trimestriel!AW73:AZ73)-1)</f>
        <v>1.761330616388479E-2</v>
      </c>
      <c r="BA96" s="28">
        <f>IF(OR(IPC_Trimestriel!BE73="",IPC_Trimestriel!BB73="",IPC_Trimestriel!AX73=""),"",AVERAGE(IPC_Trimestriel!BB73:BE73)/AVERAGE(IPC_Trimestriel!AX73:BA73)-1)</f>
        <v>1.6365211240896294E-2</v>
      </c>
      <c r="BB96" s="28">
        <f>IF(OR(IPC_Trimestriel!BF73="",IPC_Trimestriel!BC73="",IPC_Trimestriel!AY73=""),"",AVERAGE(IPC_Trimestriel!BC73:BF73)/AVERAGE(IPC_Trimestriel!AY73:BB73)-1)</f>
        <v>1.6004024702339859E-2</v>
      </c>
      <c r="BC96" s="28">
        <f>IF(OR(IPC_Trimestriel!BG73="",IPC_Trimestriel!BD73="",IPC_Trimestriel!AZ73=""),"",AVERAGE(IPC_Trimestriel!BD73:BG73)/AVERAGE(IPC_Trimestriel!AZ73:BC73)-1)</f>
        <v>1.4648326556271352E-2</v>
      </c>
      <c r="BD96" s="28">
        <f>IF(OR(IPC_Trimestriel!BH73="",IPC_Trimestriel!BE73="",IPC_Trimestriel!BA73=""),"",AVERAGE(IPC_Trimestriel!BE73:BH73)/AVERAGE(IPC_Trimestriel!BA73:BD73)-1)</f>
        <v>1.3962855839567689E-2</v>
      </c>
      <c r="BE96" s="28">
        <f>IF(OR(IPC_Trimestriel!BI73="",IPC_Trimestriel!BF73="",IPC_Trimestriel!BB73=""),"",AVERAGE(IPC_Trimestriel!BF73:BI73)/AVERAGE(IPC_Trimestriel!BB73:BE73)-1)</f>
        <v>1.5619394372508255E-2</v>
      </c>
      <c r="BF96" s="28">
        <f>IF(OR(IPC_Trimestriel!BJ73="",IPC_Trimestriel!BG73="",IPC_Trimestriel!BC73=""),"",AVERAGE(IPC_Trimestriel!BG73:BJ73)/AVERAGE(IPC_Trimestriel!BC73:BF73)-1)</f>
        <v>1.6197577288515008E-2</v>
      </c>
      <c r="BG96" s="28">
        <f>IF(OR(IPC_Trimestriel!BK73="",IPC_Trimestriel!BH73="",IPC_Trimestriel!BD73=""),"",AVERAGE(IPC_Trimestriel!BH73:BK73)/AVERAGE(IPC_Trimestriel!BD73:BG73)-1)</f>
        <v>1.6222229774082164E-2</v>
      </c>
      <c r="BH96" s="28">
        <f>IF(OR(IPC_Trimestriel!BL73="",IPC_Trimestriel!BI73="",IPC_Trimestriel!BE73=""),"",AVERAGE(IPC_Trimestriel!BI73:BL73)/AVERAGE(IPC_Trimestriel!BE73:BH73)-1)</f>
        <v>1.252506010146659E-2</v>
      </c>
      <c r="BI96" s="28">
        <f>IF(OR(IPC_Trimestriel!BM73="",IPC_Trimestriel!BJ73="",IPC_Trimestriel!BF73=""),"",AVERAGE(IPC_Trimestriel!BJ73:BM73)/AVERAGE(IPC_Trimestriel!BF73:BI73)-1)</f>
        <v>7.280488553127018E-3</v>
      </c>
      <c r="BJ96" s="28">
        <f>IF(OR(IPC_Trimestriel!BN73="",IPC_Trimestriel!BK73="",IPC_Trimestriel!BG73=""),"",AVERAGE(IPC_Trimestriel!BK73:BN73)/AVERAGE(IPC_Trimestriel!BG73:BJ73)-1)</f>
        <v>3.1068796250981467E-3</v>
      </c>
      <c r="BK96" s="28">
        <f>IF(OR(IPC_Trimestriel!BO73="",IPC_Trimestriel!BL73="",IPC_Trimestriel!BH73=""),"",AVERAGE(IPC_Trimestriel!BL73:BO73)/AVERAGE(IPC_Trimestriel!BH73:BK73)-1)</f>
        <v>1.1862713555244042E-3</v>
      </c>
      <c r="BL96" s="28">
        <f>IF(OR(IPC_Trimestriel!BP73="",IPC_Trimestriel!BM73="",IPC_Trimestriel!BI73=""),"",AVERAGE(IPC_Trimestriel!BM73:BP73)/AVERAGE(IPC_Trimestriel!BI73:BL73)-1)</f>
        <v>4.0216280006422078E-3</v>
      </c>
      <c r="BM96" s="28">
        <f>IF(OR(IPC_Trimestriel!BQ73="",IPC_Trimestriel!BN73="",IPC_Trimestriel!BJ73=""),"",AVERAGE(IPC_Trimestriel!BN73:BQ73)/AVERAGE(IPC_Trimestriel!BJ73:BM73)-1)</f>
        <v>6.7564070378740571E-3</v>
      </c>
      <c r="BN96" s="28">
        <f>IF(OR(IPC_Trimestriel!BR73="",IPC_Trimestriel!BO73="",IPC_Trimestriel!BK73=""),"",AVERAGE(IPC_Trimestriel!BO73:BR73)/AVERAGE(IPC_Trimestriel!BK73:BN73)-1)</f>
        <v>9.29986648601977E-3</v>
      </c>
      <c r="BO96" s="28">
        <f>IF(OR(IPC_Trimestriel!BS73="",IPC_Trimestriel!BP73="",IPC_Trimestriel!BL73=""),"",AVERAGE(IPC_Trimestriel!BP73:BS73)/AVERAGE(IPC_Trimestriel!BL73:BO73)-1)</f>
        <v>1.2633411668080186E-2</v>
      </c>
      <c r="BP96" s="28">
        <f>IF(OR(IPC_Trimestriel!BT73="",IPC_Trimestriel!BQ73="",IPC_Trimestriel!BM73=""),"",AVERAGE(IPC_Trimestriel!BQ73:BT73)/AVERAGE(IPC_Trimestriel!BM73:BP73)-1)</f>
        <v>1.6272093386141773E-2</v>
      </c>
      <c r="BQ96" s="28">
        <f>IF(OR(IPC_Trimestriel!BU73="",IPC_Trimestriel!BR73="",IPC_Trimestriel!BN73=""),"",AVERAGE(IPC_Trimestriel!BR73:BU73)/AVERAGE(IPC_Trimestriel!BN73:BQ73)-1)</f>
        <v>1.8392212381457496E-2</v>
      </c>
      <c r="BR96" s="28">
        <f>IF(OR(IPC_Trimestriel!BV73="",IPC_Trimestriel!BS73="",IPC_Trimestriel!BO73=""),"",AVERAGE(IPC_Trimestriel!BS73:BV73)/AVERAGE(IPC_Trimestriel!BO73:BR73)-1)</f>
        <v>2.0497181864186143E-2</v>
      </c>
      <c r="BS96" s="28">
        <f>IF(OR(IPC_Trimestriel!BW73="",IPC_Trimestriel!BT73="",IPC_Trimestriel!BP73=""),"",AVERAGE(IPC_Trimestriel!BT73:BW73)/AVERAGE(IPC_Trimestriel!BP73:BS73)-1)</f>
        <v>2.1283369951974329E-2</v>
      </c>
      <c r="BT96" s="28">
        <f>IF(OR(IPC_Trimestriel!BX73="",IPC_Trimestriel!BU73="",IPC_Trimestriel!BQ73=""),"",AVERAGE(IPC_Trimestriel!BU73:BX73)/AVERAGE(IPC_Trimestriel!BQ73:BT73)-1)</f>
        <v>2.0489817888221129E-2</v>
      </c>
      <c r="BU96" s="28">
        <f>IF(OR(IPC_Trimestriel!BY73="",IPC_Trimestriel!BV73="",IPC_Trimestriel!BR73=""),"",AVERAGE(IPC_Trimestriel!BV73:BY73)/AVERAGE(IPC_Trimestriel!BR73:BU73)-1)</f>
        <v>2.2534450909492909E-2</v>
      </c>
      <c r="BV96" s="28">
        <f>IF(OR(IPC_Trimestriel!BZ73="",IPC_Trimestriel!BW73="",IPC_Trimestriel!BS73=""),"",AVERAGE(IPC_Trimestriel!BW73:BZ73)/AVERAGE(IPC_Trimestriel!BS73:BV73)-1)</f>
        <v>2.4226502711978126E-2</v>
      </c>
      <c r="BW96" s="28">
        <f>IF(OR(IPC_Trimestriel!CA73="",IPC_Trimestriel!BX73="",IPC_Trimestriel!BT73=""),"",AVERAGE(IPC_Trimestriel!BX73:CA73)/AVERAGE(IPC_Trimestriel!BT73:BW73)-1)</f>
        <v>2.4425832969282135E-2</v>
      </c>
      <c r="BX96" s="28">
        <f>IF(OR(IPC_Trimestriel!CB73="",IPC_Trimestriel!BY73="",IPC_Trimestriel!BU73=""),"",AVERAGE(IPC_Trimestriel!BY73:CB73)/AVERAGE(IPC_Trimestriel!BU73:BX73)-1)</f>
        <v>2.2976706820791559E-2</v>
      </c>
      <c r="BY96" s="28">
        <f>IF(OR(IPC_Trimestriel!CC73="",IPC_Trimestriel!BZ73="",IPC_Trimestriel!BV73=""),"",AVERAGE(IPC_Trimestriel!BZ73:CC73)/AVERAGE(IPC_Trimestriel!BV73:BY73)-1)</f>
        <v>2.0723657143624674E-2</v>
      </c>
      <c r="BZ96" s="28" t="str">
        <f>IF(OR(IPC_Trimestriel!CD73="",IPC_Trimestriel!CA73="",IPC_Trimestriel!BW73=""),"",AVERAGE(IPC_Trimestriel!CA73:CD73)/AVERAGE(IPC_Trimestriel!BW73:BZ73)-1)</f>
        <v/>
      </c>
      <c r="CA96" s="28" t="str">
        <f>IF(OR(IPC_Trimestriel!CE73="",IPC_Trimestriel!CB73="",IPC_Trimestriel!BX73=""),"",AVERAGE(IPC_Trimestriel!CB73:CE73)/AVERAGE(IPC_Trimestriel!BX73:CA73)-1)</f>
        <v/>
      </c>
      <c r="CB96" s="28" t="str">
        <f>IF(OR(IPC_Trimestriel!CF73="",IPC_Trimestriel!CC73="",IPC_Trimestriel!BY73=""),"",AVERAGE(IPC_Trimestriel!CC73:CF73)/AVERAGE(IPC_Trimestriel!BY73:CB73)-1)</f>
        <v/>
      </c>
      <c r="CC96" s="28" t="str">
        <f>IF(OR(IPC_Trimestriel!CG73="",IPC_Trimestriel!CD73="",IPC_Trimestriel!BZ73=""),"",AVERAGE(IPC_Trimestriel!CD73:CG73)/AVERAGE(IPC_Trimestriel!BZ73:CC73)-1)</f>
        <v/>
      </c>
      <c r="CD96" s="28" t="str">
        <f>IF(OR(IPC_Trimestriel!CH73="",IPC_Trimestriel!CE73="",IPC_Trimestriel!CA73=""),"",AVERAGE(IPC_Trimestriel!CE73:CH73)/AVERAGE(IPC_Trimestriel!CA73:CD73)-1)</f>
        <v/>
      </c>
      <c r="CE96" s="28" t="str">
        <f>IF(OR(IPC_Trimestriel!CI73="",IPC_Trimestriel!CF73="",IPC_Trimestriel!CB73=""),"",AVERAGE(IPC_Trimestriel!CF73:CI73)/AVERAGE(IPC_Trimestriel!CB73:CE73)-1)</f>
        <v/>
      </c>
      <c r="CF96" s="28" t="str">
        <f>IF(OR(IPC_Trimestriel!CJ73="",IPC_Trimestriel!CG73="",IPC_Trimestriel!CC73=""),"",AVERAGE(IPC_Trimestriel!CG73:CJ73)/AVERAGE(IPC_Trimestriel!CC73:CF73)-1)</f>
        <v/>
      </c>
      <c r="CG96" s="28" t="str">
        <f>IF(OR(IPC_Trimestriel!CK73="",IPC_Trimestriel!CH73="",IPC_Trimestriel!CD73=""),"",AVERAGE(IPC_Trimestriel!CH73:CK73)/AVERAGE(IPC_Trimestriel!CD73:CG73)-1)</f>
        <v/>
      </c>
      <c r="CH96" s="28" t="str">
        <f>IF(OR(IPC_Trimestriel!CL73="",IPC_Trimestriel!CI73="",IPC_Trimestriel!CE73=""),"",AVERAGE(IPC_Trimestriel!CI73:CL73)/AVERAGE(IPC_Trimestriel!CE73:CH73)-1)</f>
        <v/>
      </c>
      <c r="CI96" s="28" t="str">
        <f>IF(OR(IPC_Trimestriel!CM73="",IPC_Trimestriel!CJ73="",IPC_Trimestriel!CF73=""),"",AVERAGE(IPC_Trimestriel!CJ73:CM73)/AVERAGE(IPC_Trimestriel!CF73:CI73)-1)</f>
        <v/>
      </c>
      <c r="CJ96" s="28" t="str">
        <f>IF(OR(IPC_Trimestriel!CN73="",IPC_Trimestriel!CK73="",IPC_Trimestriel!CG73=""),"",AVERAGE(IPC_Trimestriel!CK73:CN73)/AVERAGE(IPC_Trimestriel!CG73:CJ73)-1)</f>
        <v/>
      </c>
      <c r="CK96" s="28" t="str">
        <f>IF(OR(IPC_Trimestriel!CO73="",IPC_Trimestriel!CL73="",IPC_Trimestriel!CH73=""),"",AVERAGE(IPC_Trimestriel!CL73:CO73)/AVERAGE(IPC_Trimestriel!CH73:CK73)-1)</f>
        <v/>
      </c>
      <c r="CL96" s="28" t="str">
        <f>IF(OR(IPC_Trimestriel!CP73="",IPC_Trimestriel!CM73="",IPC_Trimestriel!CI73=""),"",AVERAGE(IPC_Trimestriel!CM73:CP73)/AVERAGE(IPC_Trimestriel!CI73:CL73)-1)</f>
        <v/>
      </c>
      <c r="CM96" s="28" t="str">
        <f>IF(OR(IPC_Trimestriel!CQ73="",IPC_Trimestriel!CN73="",IPC_Trimestriel!CJ73=""),"",AVERAGE(IPC_Trimestriel!CN73:CQ73)/AVERAGE(IPC_Trimestriel!CJ73:CM73)-1)</f>
        <v/>
      </c>
      <c r="CN96" s="28">
        <f>IF(OR(IPC_Trimestriel!CR73="",IPC_Trimestriel!CO73="",IPC_Trimestriel!CK73=""),"",AVERAGE(IPC_Trimestriel!CO73:CR73)/AVERAGE(IPC_Trimestriel!CK73:CN73)-1)</f>
        <v>7.4462821386979794E-2</v>
      </c>
      <c r="CO96" s="28">
        <f>IF(OR(IPC_Trimestriel!CS73="",IPC_Trimestriel!CP73="",IPC_Trimestriel!CL73=""),"",AVERAGE(IPC_Trimestriel!CP73:CS73)/AVERAGE(IPC_Trimestriel!CL73:CO73)-1)</f>
        <v>6.2636106030476091E-2</v>
      </c>
      <c r="CP96" s="28">
        <f>IF(OR(IPC_Trimestriel!CT73="",IPC_Trimestriel!CQ73="",IPC_Trimestriel!CM73=""),"",AVERAGE(IPC_Trimestriel!CQ73:CT73)/AVERAGE(IPC_Trimestriel!CM73:CP73)-1)</f>
        <v>5.0638777301176496E-2</v>
      </c>
    </row>
    <row r="97" spans="1:94" x14ac:dyDescent="0.25">
      <c r="A97" s="11"/>
      <c r="B97" s="31" t="s">
        <v>72</v>
      </c>
      <c r="C97" s="17"/>
      <c r="D97" s="28"/>
      <c r="E97" s="28"/>
      <c r="F97" s="28"/>
      <c r="G97" s="28" t="str">
        <f>IF(OR(IPC_Trimestriel!K74="",IPC_Trimestriel!H74="",IPC_Trimestriel!D74=""),"",AVERAGE(IPC_Trimestriel!H74:K74)/AVERAGE(IPC_Trimestriel!D74:G74)-1)</f>
        <v/>
      </c>
      <c r="H97" s="28" t="str">
        <f>IF(OR(IPC_Trimestriel!L74="",IPC_Trimestriel!I74="",IPC_Trimestriel!E74=""),"",AVERAGE(IPC_Trimestriel!I74:L74)/AVERAGE(IPC_Trimestriel!E74:H74)-1)</f>
        <v/>
      </c>
      <c r="I97" s="28" t="str">
        <f>IF(OR(IPC_Trimestriel!M74="",IPC_Trimestriel!J74="",IPC_Trimestriel!F74=""),"",AVERAGE(IPC_Trimestriel!J74:M74)/AVERAGE(IPC_Trimestriel!F74:I74)-1)</f>
        <v/>
      </c>
      <c r="J97" s="28" t="str">
        <f>IF(OR(IPC_Trimestriel!N74="",IPC_Trimestriel!K74="",IPC_Trimestriel!G74=""),"",AVERAGE(IPC_Trimestriel!K74:N74)/AVERAGE(IPC_Trimestriel!G74:J74)-1)</f>
        <v/>
      </c>
      <c r="K97" s="28" t="str">
        <f>IF(OR(IPC_Trimestriel!O74="",IPC_Trimestriel!L74="",IPC_Trimestriel!H74=""),"",AVERAGE(IPC_Trimestriel!L74:O74)/AVERAGE(IPC_Trimestriel!H74:K74)-1)</f>
        <v/>
      </c>
      <c r="L97" s="28" t="str">
        <f>IF(OR(IPC_Trimestriel!P74="",IPC_Trimestriel!M74="",IPC_Trimestriel!I74=""),"",AVERAGE(IPC_Trimestriel!M74:P74)/AVERAGE(IPC_Trimestriel!I74:L74)-1)</f>
        <v/>
      </c>
      <c r="M97" s="28" t="str">
        <f>IF(OR(IPC_Trimestriel!Q74="",IPC_Trimestriel!N74="",IPC_Trimestriel!J74=""),"",AVERAGE(IPC_Trimestriel!N74:Q74)/AVERAGE(IPC_Trimestriel!J74:M74)-1)</f>
        <v/>
      </c>
      <c r="N97" s="28" t="str">
        <f>IF(OR(IPC_Trimestriel!R74="",IPC_Trimestriel!O74="",IPC_Trimestriel!K74=""),"",AVERAGE(IPC_Trimestriel!O74:R74)/AVERAGE(IPC_Trimestriel!K74:N74)-1)</f>
        <v/>
      </c>
      <c r="O97" s="28" t="str">
        <f>IF(OR(IPC_Trimestriel!S74="",IPC_Trimestriel!P74="",IPC_Trimestriel!L74=""),"",AVERAGE(IPC_Trimestriel!P74:S74)/AVERAGE(IPC_Trimestriel!L74:O74)-1)</f>
        <v/>
      </c>
      <c r="P97" s="28" t="str">
        <f>IF(OR(IPC_Trimestriel!T74="",IPC_Trimestriel!Q74="",IPC_Trimestriel!M74=""),"",AVERAGE(IPC_Trimestriel!Q74:T74)/AVERAGE(IPC_Trimestriel!M74:P74)-1)</f>
        <v/>
      </c>
      <c r="Q97" s="28" t="str">
        <f>IF(OR(IPC_Trimestriel!U74="",IPC_Trimestriel!R74="",IPC_Trimestriel!N74=""),"",AVERAGE(IPC_Trimestriel!R74:U74)/AVERAGE(IPC_Trimestriel!N74:Q74)-1)</f>
        <v/>
      </c>
      <c r="R97" s="28" t="str">
        <f>IF(OR(IPC_Trimestriel!V74="",IPC_Trimestriel!S74="",IPC_Trimestriel!O74=""),"",AVERAGE(IPC_Trimestriel!S74:V74)/AVERAGE(IPC_Trimestriel!O74:R74)-1)</f>
        <v/>
      </c>
      <c r="S97" s="28" t="str">
        <f>IF(OR(IPC_Trimestriel!W74="",IPC_Trimestriel!T74="",IPC_Trimestriel!P74=""),"",AVERAGE(IPC_Trimestriel!T74:W74)/AVERAGE(IPC_Trimestriel!P74:S74)-1)</f>
        <v/>
      </c>
      <c r="T97" s="28" t="str">
        <f>IF(OR(IPC_Trimestriel!X74="",IPC_Trimestriel!U74="",IPC_Trimestriel!Q74=""),"",AVERAGE(IPC_Trimestriel!U74:X74)/AVERAGE(IPC_Trimestriel!Q74:T74)-1)</f>
        <v/>
      </c>
      <c r="U97" s="28" t="str">
        <f>IF(OR(IPC_Trimestriel!Y74="",IPC_Trimestriel!V74="",IPC_Trimestriel!R74=""),"",AVERAGE(IPC_Trimestriel!V74:Y74)/AVERAGE(IPC_Trimestriel!R74:U74)-1)</f>
        <v/>
      </c>
      <c r="V97" s="28" t="str">
        <f>IF(OR(IPC_Trimestriel!Z74="",IPC_Trimestriel!W74="",IPC_Trimestriel!S74=""),"",AVERAGE(IPC_Trimestriel!W74:Z74)/AVERAGE(IPC_Trimestriel!S74:V74)-1)</f>
        <v/>
      </c>
      <c r="W97" s="28" t="str">
        <f>IF(OR(IPC_Trimestriel!AA74="",IPC_Trimestriel!X74="",IPC_Trimestriel!T74=""),"",AVERAGE(IPC_Trimestriel!X74:AA74)/AVERAGE(IPC_Trimestriel!T74:W74)-1)</f>
        <v/>
      </c>
      <c r="X97" s="28" t="str">
        <f>IF(OR(IPC_Trimestriel!AB74="",IPC_Trimestriel!Y74="",IPC_Trimestriel!U74=""),"",AVERAGE(IPC_Trimestriel!Y74:AB74)/AVERAGE(IPC_Trimestriel!U74:X74)-1)</f>
        <v/>
      </c>
      <c r="Y97" s="28" t="str">
        <f>IF(OR(IPC_Trimestriel!AC74="",IPC_Trimestriel!Z74="",IPC_Trimestriel!V74=""),"",AVERAGE(IPC_Trimestriel!Z74:AC74)/AVERAGE(IPC_Trimestriel!V74:Y74)-1)</f>
        <v/>
      </c>
      <c r="Z97" s="28" t="str">
        <f>IF(OR(IPC_Trimestriel!AD74="",IPC_Trimestriel!AA74="",IPC_Trimestriel!W74=""),"",AVERAGE(IPC_Trimestriel!AA74:AD74)/AVERAGE(IPC_Trimestriel!W74:Z74)-1)</f>
        <v/>
      </c>
      <c r="AA97" s="28" t="str">
        <f>IF(OR(IPC_Trimestriel!AE74="",IPC_Trimestriel!AB74="",IPC_Trimestriel!X74=""),"",AVERAGE(IPC_Trimestriel!AB74:AE74)/AVERAGE(IPC_Trimestriel!X74:AA74)-1)</f>
        <v/>
      </c>
      <c r="AB97" s="28" t="str">
        <f>IF(OR(IPC_Trimestriel!AF74="",IPC_Trimestriel!AC74="",IPC_Trimestriel!Y74=""),"",AVERAGE(IPC_Trimestriel!AC74:AF74)/AVERAGE(IPC_Trimestriel!Y74:AB74)-1)</f>
        <v/>
      </c>
      <c r="AC97" s="28" t="str">
        <f>IF(OR(IPC_Trimestriel!AG74="",IPC_Trimestriel!AD74="",IPC_Trimestriel!Z74=""),"",AVERAGE(IPC_Trimestriel!AD74:AG74)/AVERAGE(IPC_Trimestriel!Z74:AC74)-1)</f>
        <v/>
      </c>
      <c r="AD97" s="28" t="str">
        <f>IF(OR(IPC_Trimestriel!AH74="",IPC_Trimestriel!AE74="",IPC_Trimestriel!AA74=""),"",AVERAGE(IPC_Trimestriel!AE74:AH74)/AVERAGE(IPC_Trimestriel!AA74:AD74)-1)</f>
        <v/>
      </c>
      <c r="AE97" s="28" t="str">
        <f>IF(OR(IPC_Trimestriel!AI74="",IPC_Trimestriel!AF74="",IPC_Trimestriel!AB74=""),"",AVERAGE(IPC_Trimestriel!AF74:AI74)/AVERAGE(IPC_Trimestriel!AB74:AE74)-1)</f>
        <v/>
      </c>
      <c r="AF97" s="28" t="str">
        <f>IF(OR(IPC_Trimestriel!AJ74="",IPC_Trimestriel!AG74="",IPC_Trimestriel!AC74=""),"",AVERAGE(IPC_Trimestriel!AG74:AJ74)/AVERAGE(IPC_Trimestriel!AC74:AF74)-1)</f>
        <v/>
      </c>
      <c r="AG97" s="28" t="str">
        <f>IF(OR(IPC_Trimestriel!AK74="",IPC_Trimestriel!AH74="",IPC_Trimestriel!AD74=""),"",AVERAGE(IPC_Trimestriel!AH74:AK74)/AVERAGE(IPC_Trimestriel!AD74:AG74)-1)</f>
        <v/>
      </c>
      <c r="AH97" s="28" t="str">
        <f>IF(OR(IPC_Trimestriel!AL74="",IPC_Trimestriel!AI74="",IPC_Trimestriel!AE74=""),"",AVERAGE(IPC_Trimestriel!AI74:AL74)/AVERAGE(IPC_Trimestriel!AE74:AH74)-1)</f>
        <v/>
      </c>
      <c r="AI97" s="28" t="str">
        <f>IF(OR(IPC_Trimestriel!AM74="",IPC_Trimestriel!AJ74="",IPC_Trimestriel!AF74=""),"",AVERAGE(IPC_Trimestriel!AJ74:AM74)/AVERAGE(IPC_Trimestriel!AF74:AI74)-1)</f>
        <v/>
      </c>
      <c r="AJ97" s="28" t="str">
        <f>IF(OR(IPC_Trimestriel!AN74="",IPC_Trimestriel!AK74="",IPC_Trimestriel!AG74=""),"",AVERAGE(IPC_Trimestriel!AK74:AN74)/AVERAGE(IPC_Trimestriel!AG74:AJ74)-1)</f>
        <v/>
      </c>
      <c r="AK97" s="28" t="str">
        <f>IF(OR(IPC_Trimestriel!AO74="",IPC_Trimestriel!AL74="",IPC_Trimestriel!AH74=""),"",AVERAGE(IPC_Trimestriel!AL74:AO74)/AVERAGE(IPC_Trimestriel!AH74:AK74)-1)</f>
        <v/>
      </c>
      <c r="AL97" s="28" t="str">
        <f>IF(OR(IPC_Trimestriel!AP74="",IPC_Trimestriel!AM74="",IPC_Trimestriel!AI74=""),"",AVERAGE(IPC_Trimestriel!AM74:AP74)/AVERAGE(IPC_Trimestriel!AI74:AL74)-1)</f>
        <v/>
      </c>
      <c r="AM97" s="28" t="str">
        <f>IF(OR(IPC_Trimestriel!AQ74="",IPC_Trimestriel!AN74="",IPC_Trimestriel!AJ74=""),"",AVERAGE(IPC_Trimestriel!AN74:AQ74)/AVERAGE(IPC_Trimestriel!AJ74:AM74)-1)</f>
        <v/>
      </c>
      <c r="AN97" s="28" t="str">
        <f>IF(OR(IPC_Trimestriel!AR74="",IPC_Trimestriel!AO74="",IPC_Trimestriel!AK74=""),"",AVERAGE(IPC_Trimestriel!AO74:AR74)/AVERAGE(IPC_Trimestriel!AK74:AN74)-1)</f>
        <v/>
      </c>
      <c r="AO97" s="28" t="str">
        <f>IF(OR(IPC_Trimestriel!AS74="",IPC_Trimestriel!AP74="",IPC_Trimestriel!AL74=""),"",AVERAGE(IPC_Trimestriel!AP74:AS74)/AVERAGE(IPC_Trimestriel!AL74:AO74)-1)</f>
        <v/>
      </c>
      <c r="AP97" s="28" t="str">
        <f>IF(OR(IPC_Trimestriel!AT74="",IPC_Trimestriel!AQ74="",IPC_Trimestriel!AM74=""),"",AVERAGE(IPC_Trimestriel!AQ74:AT74)/AVERAGE(IPC_Trimestriel!AM74:AP74)-1)</f>
        <v/>
      </c>
      <c r="AQ97" s="28" t="str">
        <f>IF(OR(IPC_Trimestriel!AU74="",IPC_Trimestriel!AR74="",IPC_Trimestriel!AN74=""),"",AVERAGE(IPC_Trimestriel!AR74:AU74)/AVERAGE(IPC_Trimestriel!AN74:AQ74)-1)</f>
        <v/>
      </c>
      <c r="AR97" s="28" t="str">
        <f>IF(OR(IPC_Trimestriel!AV74="",IPC_Trimestriel!AS74="",IPC_Trimestriel!AO74=""),"",AVERAGE(IPC_Trimestriel!AS74:AV74)/AVERAGE(IPC_Trimestriel!AO74:AR74)-1)</f>
        <v/>
      </c>
      <c r="AS97" s="28" t="str">
        <f>IF(OR(IPC_Trimestriel!AW74="",IPC_Trimestriel!AT74="",IPC_Trimestriel!AP74=""),"",AVERAGE(IPC_Trimestriel!AT74:AW74)/AVERAGE(IPC_Trimestriel!AP74:AS74)-1)</f>
        <v/>
      </c>
      <c r="AT97" s="28" t="str">
        <f>IF(OR(IPC_Trimestriel!AX74="",IPC_Trimestriel!AU74="",IPC_Trimestriel!AQ74=""),"",AVERAGE(IPC_Trimestriel!AU74:AX74)/AVERAGE(IPC_Trimestriel!AQ74:AT74)-1)</f>
        <v/>
      </c>
      <c r="AU97" s="28" t="str">
        <f>IF(OR(IPC_Trimestriel!AY74="",IPC_Trimestriel!AV74="",IPC_Trimestriel!AR74=""),"",AVERAGE(IPC_Trimestriel!AV74:AY74)/AVERAGE(IPC_Trimestriel!AR74:AU74)-1)</f>
        <v/>
      </c>
      <c r="AV97" s="28" t="str">
        <f>IF(OR(IPC_Trimestriel!AZ74="",IPC_Trimestriel!AW74="",IPC_Trimestriel!AS74=""),"",AVERAGE(IPC_Trimestriel!AW74:AZ74)/AVERAGE(IPC_Trimestriel!AS74:AV74)-1)</f>
        <v/>
      </c>
      <c r="AW97" s="28" t="str">
        <f>IF(OR(IPC_Trimestriel!BA74="",IPC_Trimestriel!AX74="",IPC_Trimestriel!AT74=""),"",AVERAGE(IPC_Trimestriel!AX74:BA74)/AVERAGE(IPC_Trimestriel!AT74:AW74)-1)</f>
        <v/>
      </c>
      <c r="AX97" s="28" t="str">
        <f>IF(OR(IPC_Trimestriel!BB74="",IPC_Trimestriel!AY74="",IPC_Trimestriel!AU74=""),"",AVERAGE(IPC_Trimestriel!AY74:BB74)/AVERAGE(IPC_Trimestriel!AU74:AX74)-1)</f>
        <v/>
      </c>
      <c r="AY97" s="28">
        <f>IF(OR(IPC_Trimestriel!BC74="",IPC_Trimestriel!AZ74="",IPC_Trimestriel!AV74=""),"",AVERAGE(IPC_Trimestriel!AZ74:BC74)/AVERAGE(IPC_Trimestriel!AV74:AY74)-1)</f>
        <v>0.12223909442297076</v>
      </c>
      <c r="AZ97" s="28">
        <f>IF(OR(IPC_Trimestriel!BD74="",IPC_Trimestriel!BA74="",IPC_Trimestriel!AW74=""),"",AVERAGE(IPC_Trimestriel!BA74:BD74)/AVERAGE(IPC_Trimestriel!AW74:AZ74)-1)</f>
        <v>0.11397921555481072</v>
      </c>
      <c r="BA97" s="28">
        <f>IF(OR(IPC_Trimestriel!BE74="",IPC_Trimestriel!BB74="",IPC_Trimestriel!AX74=""),"",AVERAGE(IPC_Trimestriel!BB74:BE74)/AVERAGE(IPC_Trimestriel!AX74:BA74)-1)</f>
        <v>0.10389694879968769</v>
      </c>
      <c r="BB97" s="28">
        <f>IF(OR(IPC_Trimestriel!BF74="",IPC_Trimestriel!BC74="",IPC_Trimestriel!AY74=""),"",AVERAGE(IPC_Trimestriel!BC74:BF74)/AVERAGE(IPC_Trimestriel!AY74:BB74)-1)</f>
        <v>9.47675227732796E-2</v>
      </c>
      <c r="BC97" s="28">
        <f>IF(OR(IPC_Trimestriel!BG74="",IPC_Trimestriel!BD74="",IPC_Trimestriel!AZ74=""),"",AVERAGE(IPC_Trimestriel!BD74:BG74)/AVERAGE(IPC_Trimestriel!AZ74:BC74)-1)</f>
        <v>8.4696783320007407E-2</v>
      </c>
      <c r="BD97" s="28">
        <f>IF(OR(IPC_Trimestriel!BH74="",IPC_Trimestriel!BE74="",IPC_Trimestriel!BA74=""),"",AVERAGE(IPC_Trimestriel!BE74:BH74)/AVERAGE(IPC_Trimestriel!BA74:BD74)-1)</f>
        <v>8.1678302738489084E-2</v>
      </c>
      <c r="BE97" s="28">
        <f>IF(OR(IPC_Trimestriel!BI74="",IPC_Trimestriel!BF74="",IPC_Trimestriel!BB74=""),"",AVERAGE(IPC_Trimestriel!BF74:BI74)/AVERAGE(IPC_Trimestriel!BB74:BE74)-1)</f>
        <v>7.9802274870344192E-2</v>
      </c>
      <c r="BF97" s="28">
        <f>IF(OR(IPC_Trimestriel!BJ74="",IPC_Trimestriel!BG74="",IPC_Trimestriel!BC74=""),"",AVERAGE(IPC_Trimestriel!BG74:BJ74)/AVERAGE(IPC_Trimestriel!BC74:BF74)-1)</f>
        <v>8.0255875317843506E-2</v>
      </c>
      <c r="BG97" s="28">
        <f>IF(OR(IPC_Trimestriel!BK74="",IPC_Trimestriel!BH74="",IPC_Trimestriel!BD74=""),"",AVERAGE(IPC_Trimestriel!BH74:BK74)/AVERAGE(IPC_Trimestriel!BD74:BG74)-1)</f>
        <v>8.0568618261932956E-2</v>
      </c>
      <c r="BH97" s="28">
        <f>IF(OR(IPC_Trimestriel!BL74="",IPC_Trimestriel!BI74="",IPC_Trimestriel!BE74=""),"",AVERAGE(IPC_Trimestriel!BI74:BL74)/AVERAGE(IPC_Trimestriel!BE74:BH74)-1)</f>
        <v>8.183741209999873E-2</v>
      </c>
      <c r="BI97" s="28">
        <f>IF(OR(IPC_Trimestriel!BM74="",IPC_Trimestriel!BJ74="",IPC_Trimestriel!BF74=""),"",AVERAGE(IPC_Trimestriel!BJ74:BM74)/AVERAGE(IPC_Trimestriel!BF74:BI74)-1)</f>
        <v>8.4231798593186191E-2</v>
      </c>
      <c r="BJ97" s="28">
        <f>IF(OR(IPC_Trimestriel!BN74="",IPC_Trimestriel!BK74="",IPC_Trimestriel!BG74=""),"",AVERAGE(IPC_Trimestriel!BK74:BN74)/AVERAGE(IPC_Trimestriel!BG74:BJ74)-1)</f>
        <v>8.6582922534293338E-2</v>
      </c>
      <c r="BK97" s="28">
        <f>IF(OR(IPC_Trimestriel!BO74="",IPC_Trimestriel!BL74="",IPC_Trimestriel!BH74=""),"",AVERAGE(IPC_Trimestriel!BL74:BO74)/AVERAGE(IPC_Trimestriel!BH74:BK74)-1)</f>
        <v>9.0142061971764997E-2</v>
      </c>
      <c r="BL97" s="28">
        <f>IF(OR(IPC_Trimestriel!BP74="",IPC_Trimestriel!BM74="",IPC_Trimestriel!BI74=""),"",AVERAGE(IPC_Trimestriel!BM74:BP74)/AVERAGE(IPC_Trimestriel!BI74:BL74)-1)</f>
        <v>9.7539333380256332E-2</v>
      </c>
      <c r="BM97" s="28">
        <f>IF(OR(IPC_Trimestriel!BQ74="",IPC_Trimestriel!BN74="",IPC_Trimestriel!BJ74=""),"",AVERAGE(IPC_Trimestriel!BN74:BQ74)/AVERAGE(IPC_Trimestriel!BJ74:BM74)-1)</f>
        <v>0.11373751097385032</v>
      </c>
      <c r="BN97" s="28">
        <f>IF(OR(IPC_Trimestriel!BR74="",IPC_Trimestriel!BO74="",IPC_Trimestriel!BK74=""),"",AVERAGE(IPC_Trimestriel!BO74:BR74)/AVERAGE(IPC_Trimestriel!BK74:BN74)-1)</f>
        <v>0.1345733358145027</v>
      </c>
      <c r="BO97" s="28">
        <f>IF(OR(IPC_Trimestriel!BS74="",IPC_Trimestriel!BP74="",IPC_Trimestriel!BL74=""),"",AVERAGE(IPC_Trimestriel!BP74:BS74)/AVERAGE(IPC_Trimestriel!BL74:BO74)-1)</f>
        <v>0.15696812638797275</v>
      </c>
      <c r="BP97" s="28">
        <f>IF(OR(IPC_Trimestriel!BT74="",IPC_Trimestriel!BQ74="",IPC_Trimestriel!BM74=""),"",AVERAGE(IPC_Trimestriel!BQ74:BT74)/AVERAGE(IPC_Trimestriel!BM74:BP74)-1)</f>
        <v>0.17315030486428307</v>
      </c>
      <c r="BQ97" s="28">
        <f>IF(OR(IPC_Trimestriel!BU74="",IPC_Trimestriel!BR74="",IPC_Trimestriel!BN74=""),"",AVERAGE(IPC_Trimestriel!BR74:BU74)/AVERAGE(IPC_Trimestriel!BN74:BQ74)-1)</f>
        <v>0.17578403259316833</v>
      </c>
      <c r="BR97" s="28">
        <f>IF(OR(IPC_Trimestriel!BV74="",IPC_Trimestriel!BS74="",IPC_Trimestriel!BO74=""),"",AVERAGE(IPC_Trimestriel!BS74:BV74)/AVERAGE(IPC_Trimestriel!BO74:BR74)-1)</f>
        <v>0.17169532065601967</v>
      </c>
      <c r="BS97" s="28">
        <f>IF(OR(IPC_Trimestriel!BW74="",IPC_Trimestriel!BT74="",IPC_Trimestriel!BP74=""),"",AVERAGE(IPC_Trimestriel!BT74:BW74)/AVERAGE(IPC_Trimestriel!BP74:BS74)-1)</f>
        <v>0.16502266213964045</v>
      </c>
      <c r="BT97" s="28">
        <f>IF(OR(IPC_Trimestriel!BX74="",IPC_Trimestriel!BU74="",IPC_Trimestriel!BQ74=""),"",AVERAGE(IPC_Trimestriel!BU74:BX74)/AVERAGE(IPC_Trimestriel!BQ74:BT74)-1)</f>
        <v>0.15599200258211621</v>
      </c>
      <c r="BU97" s="28">
        <f>IF(OR(IPC_Trimestriel!BY74="",IPC_Trimestriel!BV74="",IPC_Trimestriel!BR74=""),"",AVERAGE(IPC_Trimestriel!BV74:BY74)/AVERAGE(IPC_Trimestriel!BR74:BU74)-1)</f>
        <v>0.14370667340824261</v>
      </c>
      <c r="BV97" s="28">
        <f>IF(OR(IPC_Trimestriel!BZ74="",IPC_Trimestriel!BW74="",IPC_Trimestriel!BS74=""),"",AVERAGE(IPC_Trimestriel!BW74:BZ74)/AVERAGE(IPC_Trimestriel!BS74:BV74)-1)</f>
        <v>0.13156623410382395</v>
      </c>
      <c r="BW97" s="28">
        <f>IF(OR(IPC_Trimestriel!CA74="",IPC_Trimestriel!BX74="",IPC_Trimestriel!BT74=""),"",AVERAGE(IPC_Trimestriel!BX74:CA74)/AVERAGE(IPC_Trimestriel!BT74:BW74)-1)</f>
        <v>0.12095106517343157</v>
      </c>
      <c r="BX97" s="28">
        <f>IF(OR(IPC_Trimestriel!CB74="",IPC_Trimestriel!BY74="",IPC_Trimestriel!BU74=""),"",AVERAGE(IPC_Trimestriel!BY74:CB74)/AVERAGE(IPC_Trimestriel!BU74:BX74)-1)</f>
        <v>0.11399596045061577</v>
      </c>
      <c r="BY97" s="28">
        <f>IF(OR(IPC_Trimestriel!CC74="",IPC_Trimestriel!BZ74="",IPC_Trimestriel!BV74=""),"",AVERAGE(IPC_Trimestriel!BZ74:CC74)/AVERAGE(IPC_Trimestriel!BV74:BY74)-1)</f>
        <v>0.1129684623426741</v>
      </c>
      <c r="BZ97" s="28">
        <f>IF(OR(IPC_Trimestriel!CD74="",IPC_Trimestriel!CA74="",IPC_Trimestriel!BW74=""),"",AVERAGE(IPC_Trimestriel!CA74:CD74)/AVERAGE(IPC_Trimestriel!BW74:BZ74)-1)</f>
        <v>0.11267212895860923</v>
      </c>
      <c r="CA97" s="28">
        <f>IF(OR(IPC_Trimestriel!CE74="",IPC_Trimestriel!CB74="",IPC_Trimestriel!BX74=""),"",AVERAGE(IPC_Trimestriel!CB74:CE74)/AVERAGE(IPC_Trimestriel!BX74:CA74)-1)</f>
        <v>0.11398237793659582</v>
      </c>
      <c r="CB97" s="28">
        <f>IF(OR(IPC_Trimestriel!CF74="",IPC_Trimestriel!CC74="",IPC_Trimestriel!BY74=""),"",AVERAGE(IPC_Trimestriel!CC74:CF74)/AVERAGE(IPC_Trimestriel!BY74:CB74)-1)</f>
        <v>0.11627959744617633</v>
      </c>
      <c r="CC97" s="28">
        <f>IF(OR(IPC_Trimestriel!CG74="",IPC_Trimestriel!CD74="",IPC_Trimestriel!BZ74=""),"",AVERAGE(IPC_Trimestriel!CD74:CG74)/AVERAGE(IPC_Trimestriel!BZ74:CC74)-1)</f>
        <v>0.1190605488422587</v>
      </c>
      <c r="CD97" s="28">
        <f>IF(OR(IPC_Trimestriel!CH74="",IPC_Trimestriel!CE74="",IPC_Trimestriel!CA74=""),"",AVERAGE(IPC_Trimestriel!CE74:CH74)/AVERAGE(IPC_Trimestriel!CA74:CD74)-1)</f>
        <v>0.12443111748796398</v>
      </c>
      <c r="CE97" s="28">
        <f>IF(OR(IPC_Trimestriel!CI74="",IPC_Trimestriel!CF74="",IPC_Trimestriel!CB74=""),"",AVERAGE(IPC_Trimestriel!CF74:CI74)/AVERAGE(IPC_Trimestriel!CB74:CE74)-1)</f>
        <v>0.13243915691938124</v>
      </c>
      <c r="CF97" s="28">
        <f>IF(OR(IPC_Trimestriel!CJ74="",IPC_Trimestriel!CG74="",IPC_Trimestriel!CC74=""),"",AVERAGE(IPC_Trimestriel!CG74:CJ74)/AVERAGE(IPC_Trimestriel!CC74:CF74)-1)</f>
        <v>0.14549698502236907</v>
      </c>
      <c r="CG97" s="28">
        <f>IF(OR(IPC_Trimestriel!CK74="",IPC_Trimestriel!CH74="",IPC_Trimestriel!CD74=""),"",AVERAGE(IPC_Trimestriel!CH74:CK74)/AVERAGE(IPC_Trimestriel!CD74:CG74)-1)</f>
        <v>0.15921848013816908</v>
      </c>
      <c r="CH97" s="28">
        <f>IF(OR(IPC_Trimestriel!CL74="",IPC_Trimestriel!CI74="",IPC_Trimestriel!CE74=""),"",AVERAGE(IPC_Trimestriel!CI74:CL74)/AVERAGE(IPC_Trimestriel!CE74:CH74)-1)</f>
        <v>0.1682665899401008</v>
      </c>
      <c r="CI97" s="28">
        <f>IF(OR(IPC_Trimestriel!CM74="",IPC_Trimestriel!CJ74="",IPC_Trimestriel!CF74=""),"",AVERAGE(IPC_Trimestriel!CJ74:CM74)/AVERAGE(IPC_Trimestriel!CF74:CI74)-1)</f>
        <v>0.16952876407899398</v>
      </c>
      <c r="CJ97" s="28">
        <f>IF(OR(IPC_Trimestriel!CN74="",IPC_Trimestriel!CK74="",IPC_Trimestriel!CG74=""),"",AVERAGE(IPC_Trimestriel!CK74:CN74)/AVERAGE(IPC_Trimestriel!CG74:CJ74)-1)</f>
        <v>0.16546588069766877</v>
      </c>
      <c r="CK97" s="28" t="str">
        <f>IF(OR(IPC_Trimestriel!CO74="",IPC_Trimestriel!CL74="",IPC_Trimestriel!CH74=""),"",AVERAGE(IPC_Trimestriel!CL74:CO74)/AVERAGE(IPC_Trimestriel!CH74:CK74)-1)</f>
        <v/>
      </c>
      <c r="CL97" s="28">
        <f>IF(OR(IPC_Trimestriel!CP74="",IPC_Trimestriel!CM74="",IPC_Trimestriel!CI74=""),"",AVERAGE(IPC_Trimestriel!CM74:CP74)/AVERAGE(IPC_Trimestriel!CI74:CL74)-1)</f>
        <v>0.16514418771269934</v>
      </c>
      <c r="CM97" s="28">
        <f>IF(OR(IPC_Trimestriel!CQ74="",IPC_Trimestriel!CN74="",IPC_Trimestriel!CJ74=""),"",AVERAGE(IPC_Trimestriel!CN74:CQ74)/AVERAGE(IPC_Trimestriel!CJ74:CM74)-1)</f>
        <v>0.1982466368681306</v>
      </c>
      <c r="CN97" s="28" t="str">
        <f>IF(OR(IPC_Trimestriel!CR74="",IPC_Trimestriel!CO74="",IPC_Trimestriel!CK74=""),"",AVERAGE(IPC_Trimestriel!CO74:CR74)/AVERAGE(IPC_Trimestriel!CK74:CN74)-1)</f>
        <v/>
      </c>
      <c r="CO97" s="28">
        <f>IF(OR(IPC_Trimestriel!CS74="",IPC_Trimestriel!CP74="",IPC_Trimestriel!CL74=""),"",AVERAGE(IPC_Trimestriel!CP74:CS74)/AVERAGE(IPC_Trimestriel!CL74:CO74)-1)</f>
        <v>0.24544945966597531</v>
      </c>
      <c r="CP97" s="28">
        <f>IF(OR(IPC_Trimestriel!CT74="",IPC_Trimestriel!CQ74="",IPC_Trimestriel!CM74=""),"",AVERAGE(IPC_Trimestriel!CQ74:CT74)/AVERAGE(IPC_Trimestriel!CM74:CP74)-1)</f>
        <v>0.23873943120676411</v>
      </c>
    </row>
    <row r="98" spans="1:94" x14ac:dyDescent="0.25">
      <c r="A98" s="11"/>
      <c r="B98" s="31" t="s">
        <v>73</v>
      </c>
      <c r="C98" s="17"/>
      <c r="D98" s="28"/>
      <c r="E98" s="28"/>
      <c r="F98" s="28"/>
      <c r="G98" s="28" t="str">
        <f>IF(OR(IPC_Trimestriel!K75="",IPC_Trimestriel!H75="",IPC_Trimestriel!D75=""),"",AVERAGE(IPC_Trimestriel!H75:K75)/AVERAGE(IPC_Trimestriel!D75:G75)-1)</f>
        <v/>
      </c>
      <c r="H98" s="28" t="str">
        <f>IF(OR(IPC_Trimestriel!L75="",IPC_Trimestriel!I75="",IPC_Trimestriel!E75=""),"",AVERAGE(IPC_Trimestriel!I75:L75)/AVERAGE(IPC_Trimestriel!E75:H75)-1)</f>
        <v/>
      </c>
      <c r="I98" s="28" t="str">
        <f>IF(OR(IPC_Trimestriel!M75="",IPC_Trimestriel!J75="",IPC_Trimestriel!F75=""),"",AVERAGE(IPC_Trimestriel!J75:M75)/AVERAGE(IPC_Trimestriel!F75:I75)-1)</f>
        <v/>
      </c>
      <c r="J98" s="28" t="str">
        <f>IF(OR(IPC_Trimestriel!N75="",IPC_Trimestriel!K75="",IPC_Trimestriel!G75=""),"",AVERAGE(IPC_Trimestriel!K75:N75)/AVERAGE(IPC_Trimestriel!G75:J75)-1)</f>
        <v/>
      </c>
      <c r="K98" s="28" t="str">
        <f>IF(OR(IPC_Trimestriel!O75="",IPC_Trimestriel!L75="",IPC_Trimestriel!H75=""),"",AVERAGE(IPC_Trimestriel!L75:O75)/AVERAGE(IPC_Trimestriel!H75:K75)-1)</f>
        <v/>
      </c>
      <c r="L98" s="28" t="str">
        <f>IF(OR(IPC_Trimestriel!P75="",IPC_Trimestriel!M75="",IPC_Trimestriel!I75=""),"",AVERAGE(IPC_Trimestriel!M75:P75)/AVERAGE(IPC_Trimestriel!I75:L75)-1)</f>
        <v/>
      </c>
      <c r="M98" s="28" t="str">
        <f>IF(OR(IPC_Trimestriel!Q75="",IPC_Trimestriel!N75="",IPC_Trimestriel!J75=""),"",AVERAGE(IPC_Trimestriel!N75:Q75)/AVERAGE(IPC_Trimestriel!J75:M75)-1)</f>
        <v/>
      </c>
      <c r="N98" s="28" t="str">
        <f>IF(OR(IPC_Trimestriel!R75="",IPC_Trimestriel!O75="",IPC_Trimestriel!K75=""),"",AVERAGE(IPC_Trimestriel!O75:R75)/AVERAGE(IPC_Trimestriel!K75:N75)-1)</f>
        <v/>
      </c>
      <c r="O98" s="28" t="str">
        <f>IF(OR(IPC_Trimestriel!S75="",IPC_Trimestriel!P75="",IPC_Trimestriel!L75=""),"",AVERAGE(IPC_Trimestriel!P75:S75)/AVERAGE(IPC_Trimestriel!L75:O75)-1)</f>
        <v/>
      </c>
      <c r="P98" s="28" t="str">
        <f>IF(OR(IPC_Trimestriel!T75="",IPC_Trimestriel!Q75="",IPC_Trimestriel!M75=""),"",AVERAGE(IPC_Trimestriel!Q75:T75)/AVERAGE(IPC_Trimestriel!M75:P75)-1)</f>
        <v/>
      </c>
      <c r="Q98" s="28" t="str">
        <f>IF(OR(IPC_Trimestriel!U75="",IPC_Trimestriel!R75="",IPC_Trimestriel!N75=""),"",AVERAGE(IPC_Trimestriel!R75:U75)/AVERAGE(IPC_Trimestriel!N75:Q75)-1)</f>
        <v/>
      </c>
      <c r="R98" s="28" t="str">
        <f>IF(OR(IPC_Trimestriel!V75="",IPC_Trimestriel!S75="",IPC_Trimestriel!O75=""),"",AVERAGE(IPC_Trimestriel!S75:V75)/AVERAGE(IPC_Trimestriel!O75:R75)-1)</f>
        <v/>
      </c>
      <c r="S98" s="28" t="str">
        <f>IF(OR(IPC_Trimestriel!W75="",IPC_Trimestriel!T75="",IPC_Trimestriel!P75=""),"",AVERAGE(IPC_Trimestriel!T75:W75)/AVERAGE(IPC_Trimestriel!P75:S75)-1)</f>
        <v/>
      </c>
      <c r="T98" s="28" t="str">
        <f>IF(OR(IPC_Trimestriel!X75="",IPC_Trimestriel!U75="",IPC_Trimestriel!Q75=""),"",AVERAGE(IPC_Trimestriel!U75:X75)/AVERAGE(IPC_Trimestriel!Q75:T75)-1)</f>
        <v/>
      </c>
      <c r="U98" s="28" t="str">
        <f>IF(OR(IPC_Trimestriel!Y75="",IPC_Trimestriel!V75="",IPC_Trimestriel!R75=""),"",AVERAGE(IPC_Trimestriel!V75:Y75)/AVERAGE(IPC_Trimestriel!R75:U75)-1)</f>
        <v/>
      </c>
      <c r="V98" s="28" t="str">
        <f>IF(OR(IPC_Trimestriel!Z75="",IPC_Trimestriel!W75="",IPC_Trimestriel!S75=""),"",AVERAGE(IPC_Trimestriel!W75:Z75)/AVERAGE(IPC_Trimestriel!S75:V75)-1)</f>
        <v/>
      </c>
      <c r="W98" s="28" t="str">
        <f>IF(OR(IPC_Trimestriel!AA75="",IPC_Trimestriel!X75="",IPC_Trimestriel!T75=""),"",AVERAGE(IPC_Trimestriel!X75:AA75)/AVERAGE(IPC_Trimestriel!T75:W75)-1)</f>
        <v/>
      </c>
      <c r="X98" s="28" t="str">
        <f>IF(OR(IPC_Trimestriel!AB75="",IPC_Trimestriel!Y75="",IPC_Trimestriel!U75=""),"",AVERAGE(IPC_Trimestriel!Y75:AB75)/AVERAGE(IPC_Trimestriel!U75:X75)-1)</f>
        <v/>
      </c>
      <c r="Y98" s="28" t="str">
        <f>IF(OR(IPC_Trimestriel!AC75="",IPC_Trimestriel!Z75="",IPC_Trimestriel!V75=""),"",AVERAGE(IPC_Trimestriel!Z75:AC75)/AVERAGE(IPC_Trimestriel!V75:Y75)-1)</f>
        <v/>
      </c>
      <c r="Z98" s="28" t="str">
        <f>IF(OR(IPC_Trimestriel!AD75="",IPC_Trimestriel!AA75="",IPC_Trimestriel!W75=""),"",AVERAGE(IPC_Trimestriel!AA75:AD75)/AVERAGE(IPC_Trimestriel!W75:Z75)-1)</f>
        <v/>
      </c>
      <c r="AA98" s="28" t="str">
        <f>IF(OR(IPC_Trimestriel!AE75="",IPC_Trimestriel!AB75="",IPC_Trimestriel!X75=""),"",AVERAGE(IPC_Trimestriel!AB75:AE75)/AVERAGE(IPC_Trimestriel!X75:AA75)-1)</f>
        <v/>
      </c>
      <c r="AB98" s="28" t="str">
        <f>IF(OR(IPC_Trimestriel!AF75="",IPC_Trimestriel!AC75="",IPC_Trimestriel!Y75=""),"",AVERAGE(IPC_Trimestriel!AC75:AF75)/AVERAGE(IPC_Trimestriel!Y75:AB75)-1)</f>
        <v/>
      </c>
      <c r="AC98" s="28" t="str">
        <f>IF(OR(IPC_Trimestriel!AG75="",IPC_Trimestriel!AD75="",IPC_Trimestriel!Z75=""),"",AVERAGE(IPC_Trimestriel!AD75:AG75)/AVERAGE(IPC_Trimestriel!Z75:AC75)-1)</f>
        <v/>
      </c>
      <c r="AD98" s="28" t="str">
        <f>IF(OR(IPC_Trimestriel!AH75="",IPC_Trimestriel!AE75="",IPC_Trimestriel!AA75=""),"",AVERAGE(IPC_Trimestriel!AE75:AH75)/AVERAGE(IPC_Trimestriel!AA75:AD75)-1)</f>
        <v/>
      </c>
      <c r="AE98" s="28" t="str">
        <f>IF(OR(IPC_Trimestriel!AI75="",IPC_Trimestriel!AF75="",IPC_Trimestriel!AB75=""),"",AVERAGE(IPC_Trimestriel!AF75:AI75)/AVERAGE(IPC_Trimestriel!AB75:AE75)-1)</f>
        <v/>
      </c>
      <c r="AF98" s="28" t="str">
        <f>IF(OR(IPC_Trimestriel!AJ75="",IPC_Trimestriel!AG75="",IPC_Trimestriel!AC75=""),"",AVERAGE(IPC_Trimestriel!AG75:AJ75)/AVERAGE(IPC_Trimestriel!AC75:AF75)-1)</f>
        <v/>
      </c>
      <c r="AG98" s="28" t="str">
        <f>IF(OR(IPC_Trimestriel!AK75="",IPC_Trimestriel!AH75="",IPC_Trimestriel!AD75=""),"",AVERAGE(IPC_Trimestriel!AH75:AK75)/AVERAGE(IPC_Trimestriel!AD75:AG75)-1)</f>
        <v/>
      </c>
      <c r="AH98" s="28" t="str">
        <f>IF(OR(IPC_Trimestriel!AL75="",IPC_Trimestriel!AI75="",IPC_Trimestriel!AE75=""),"",AVERAGE(IPC_Trimestriel!AI75:AL75)/AVERAGE(IPC_Trimestriel!AE75:AH75)-1)</f>
        <v/>
      </c>
      <c r="AI98" s="28" t="str">
        <f>IF(OR(IPC_Trimestriel!AM75="",IPC_Trimestriel!AJ75="",IPC_Trimestriel!AF75=""),"",AVERAGE(IPC_Trimestriel!AJ75:AM75)/AVERAGE(IPC_Trimestriel!AF75:AI75)-1)</f>
        <v/>
      </c>
      <c r="AJ98" s="28" t="str">
        <f>IF(OR(IPC_Trimestriel!AN75="",IPC_Trimestriel!AK75="",IPC_Trimestriel!AG75=""),"",AVERAGE(IPC_Trimestriel!AK75:AN75)/AVERAGE(IPC_Trimestriel!AG75:AJ75)-1)</f>
        <v/>
      </c>
      <c r="AK98" s="28" t="str">
        <f>IF(OR(IPC_Trimestriel!AO75="",IPC_Trimestriel!AL75="",IPC_Trimestriel!AH75=""),"",AVERAGE(IPC_Trimestriel!AL75:AO75)/AVERAGE(IPC_Trimestriel!AH75:AK75)-1)</f>
        <v/>
      </c>
      <c r="AL98" s="28" t="str">
        <f>IF(OR(IPC_Trimestriel!AP75="",IPC_Trimestriel!AM75="",IPC_Trimestriel!AI75=""),"",AVERAGE(IPC_Trimestriel!AM75:AP75)/AVERAGE(IPC_Trimestriel!AI75:AL75)-1)</f>
        <v/>
      </c>
      <c r="AM98" s="28" t="str">
        <f>IF(OR(IPC_Trimestriel!AQ75="",IPC_Trimestriel!AN75="",IPC_Trimestriel!AJ75=""),"",AVERAGE(IPC_Trimestriel!AN75:AQ75)/AVERAGE(IPC_Trimestriel!AJ75:AM75)-1)</f>
        <v/>
      </c>
      <c r="AN98" s="28" t="str">
        <f>IF(OR(IPC_Trimestriel!AR75="",IPC_Trimestriel!AO75="",IPC_Trimestriel!AK75=""),"",AVERAGE(IPC_Trimestriel!AO75:AR75)/AVERAGE(IPC_Trimestriel!AK75:AN75)-1)</f>
        <v/>
      </c>
      <c r="AO98" s="28" t="str">
        <f>IF(OR(IPC_Trimestriel!AS75="",IPC_Trimestriel!AP75="",IPC_Trimestriel!AL75=""),"",AVERAGE(IPC_Trimestriel!AP75:AS75)/AVERAGE(IPC_Trimestriel!AL75:AO75)-1)</f>
        <v/>
      </c>
      <c r="AP98" s="28" t="str">
        <f>IF(OR(IPC_Trimestriel!AT75="",IPC_Trimestriel!AQ75="",IPC_Trimestriel!AM75=""),"",AVERAGE(IPC_Trimestriel!AQ75:AT75)/AVERAGE(IPC_Trimestriel!AM75:AP75)-1)</f>
        <v/>
      </c>
      <c r="AQ98" s="28" t="str">
        <f>IF(OR(IPC_Trimestriel!AU75="",IPC_Trimestriel!AR75="",IPC_Trimestriel!AN75=""),"",AVERAGE(IPC_Trimestriel!AR75:AU75)/AVERAGE(IPC_Trimestriel!AN75:AQ75)-1)</f>
        <v/>
      </c>
      <c r="AR98" s="28" t="str">
        <f>IF(OR(IPC_Trimestriel!AV75="",IPC_Trimestriel!AS75="",IPC_Trimestriel!AO75=""),"",AVERAGE(IPC_Trimestriel!AS75:AV75)/AVERAGE(IPC_Trimestriel!AO75:AR75)-1)</f>
        <v/>
      </c>
      <c r="AS98" s="28" t="str">
        <f>IF(OR(IPC_Trimestriel!AW75="",IPC_Trimestriel!AT75="",IPC_Trimestriel!AP75=""),"",AVERAGE(IPC_Trimestriel!AT75:AW75)/AVERAGE(IPC_Trimestriel!AP75:AS75)-1)</f>
        <v/>
      </c>
      <c r="AT98" s="28" t="str">
        <f>IF(OR(IPC_Trimestriel!AX75="",IPC_Trimestriel!AU75="",IPC_Trimestriel!AQ75=""),"",AVERAGE(IPC_Trimestriel!AU75:AX75)/AVERAGE(IPC_Trimestriel!AQ75:AT75)-1)</f>
        <v/>
      </c>
      <c r="AU98" s="28" t="str">
        <f>IF(OR(IPC_Trimestriel!AY75="",IPC_Trimestriel!AV75="",IPC_Trimestriel!AR75=""),"",AVERAGE(IPC_Trimestriel!AV75:AY75)/AVERAGE(IPC_Trimestriel!AR75:AU75)-1)</f>
        <v/>
      </c>
      <c r="AV98" s="28" t="str">
        <f>IF(OR(IPC_Trimestriel!AZ75="",IPC_Trimestriel!AW75="",IPC_Trimestriel!AS75=""),"",AVERAGE(IPC_Trimestriel!AW75:AZ75)/AVERAGE(IPC_Trimestriel!AS75:AV75)-1)</f>
        <v/>
      </c>
      <c r="AW98" s="28" t="str">
        <f>IF(OR(IPC_Trimestriel!BA75="",IPC_Trimestriel!AX75="",IPC_Trimestriel!AT75=""),"",AVERAGE(IPC_Trimestriel!AX75:BA75)/AVERAGE(IPC_Trimestriel!AT75:AW75)-1)</f>
        <v/>
      </c>
      <c r="AX98" s="28" t="str">
        <f>IF(OR(IPC_Trimestriel!BB75="",IPC_Trimestriel!AY75="",IPC_Trimestriel!AU75=""),"",AVERAGE(IPC_Trimestriel!AY75:BB75)/AVERAGE(IPC_Trimestriel!AU75:AX75)-1)</f>
        <v/>
      </c>
      <c r="AY98" s="28" t="str">
        <f>IF(OR(IPC_Trimestriel!BC75="",IPC_Trimestriel!AZ75="",IPC_Trimestriel!AV75=""),"",AVERAGE(IPC_Trimestriel!AZ75:BC75)/AVERAGE(IPC_Trimestriel!AV75:AY75)-1)</f>
        <v/>
      </c>
      <c r="AZ98" s="28" t="str">
        <f>IF(OR(IPC_Trimestriel!BD75="",IPC_Trimestriel!BA75="",IPC_Trimestriel!AW75=""),"",AVERAGE(IPC_Trimestriel!BA75:BD75)/AVERAGE(IPC_Trimestriel!AW75:AZ75)-1)</f>
        <v/>
      </c>
      <c r="BA98" s="28" t="str">
        <f>IF(OR(IPC_Trimestriel!BE75="",IPC_Trimestriel!BB75="",IPC_Trimestriel!AX75=""),"",AVERAGE(IPC_Trimestriel!BB75:BE75)/AVERAGE(IPC_Trimestriel!AX75:BA75)-1)</f>
        <v/>
      </c>
      <c r="BB98" s="28" t="str">
        <f>IF(OR(IPC_Trimestriel!BF75="",IPC_Trimestriel!BC75="",IPC_Trimestriel!AY75=""),"",AVERAGE(IPC_Trimestriel!BC75:BF75)/AVERAGE(IPC_Trimestriel!AY75:BB75)-1)</f>
        <v/>
      </c>
      <c r="BC98" s="28" t="str">
        <f>IF(OR(IPC_Trimestriel!BG75="",IPC_Trimestriel!BD75="",IPC_Trimestriel!AZ75=""),"",AVERAGE(IPC_Trimestriel!BD75:BG75)/AVERAGE(IPC_Trimestriel!AZ75:BC75)-1)</f>
        <v/>
      </c>
      <c r="BD98" s="28" t="str">
        <f>IF(OR(IPC_Trimestriel!BH75="",IPC_Trimestriel!BE75="",IPC_Trimestriel!BA75=""),"",AVERAGE(IPC_Trimestriel!BE75:BH75)/AVERAGE(IPC_Trimestriel!BA75:BD75)-1)</f>
        <v/>
      </c>
      <c r="BE98" s="28" t="str">
        <f>IF(OR(IPC_Trimestriel!BI75="",IPC_Trimestriel!BF75="",IPC_Trimestriel!BB75=""),"",AVERAGE(IPC_Trimestriel!BF75:BI75)/AVERAGE(IPC_Trimestriel!BB75:BE75)-1)</f>
        <v/>
      </c>
      <c r="BF98" s="28" t="str">
        <f>IF(OR(IPC_Trimestriel!BJ75="",IPC_Trimestriel!BG75="",IPC_Trimestriel!BC75=""),"",AVERAGE(IPC_Trimestriel!BG75:BJ75)/AVERAGE(IPC_Trimestriel!BC75:BF75)-1)</f>
        <v/>
      </c>
      <c r="BG98" s="28" t="str">
        <f>IF(OR(IPC_Trimestriel!BK75="",IPC_Trimestriel!BH75="",IPC_Trimestriel!BD75=""),"",AVERAGE(IPC_Trimestriel!BH75:BK75)/AVERAGE(IPC_Trimestriel!BD75:BG75)-1)</f>
        <v/>
      </c>
      <c r="BH98" s="28" t="str">
        <f>IF(OR(IPC_Trimestriel!BL75="",IPC_Trimestriel!BI75="",IPC_Trimestriel!BE75=""),"",AVERAGE(IPC_Trimestriel!BI75:BL75)/AVERAGE(IPC_Trimestriel!BE75:BH75)-1)</f>
        <v/>
      </c>
      <c r="BI98" s="28" t="str">
        <f>IF(OR(IPC_Trimestriel!BM75="",IPC_Trimestriel!BJ75="",IPC_Trimestriel!BF75=""),"",AVERAGE(IPC_Trimestriel!BJ75:BM75)/AVERAGE(IPC_Trimestriel!BF75:BI75)-1)</f>
        <v/>
      </c>
      <c r="BJ98" s="28" t="str">
        <f>IF(OR(IPC_Trimestriel!BN75="",IPC_Trimestriel!BK75="",IPC_Trimestriel!BG75=""),"",AVERAGE(IPC_Trimestriel!BK75:BN75)/AVERAGE(IPC_Trimestriel!BG75:BJ75)-1)</f>
        <v/>
      </c>
      <c r="BK98" s="28" t="str">
        <f>IF(OR(IPC_Trimestriel!BO75="",IPC_Trimestriel!BL75="",IPC_Trimestriel!BH75=""),"",AVERAGE(IPC_Trimestriel!BL75:BO75)/AVERAGE(IPC_Trimestriel!BH75:BK75)-1)</f>
        <v/>
      </c>
      <c r="BL98" s="28" t="str">
        <f>IF(OR(IPC_Trimestriel!BP75="",IPC_Trimestriel!BM75="",IPC_Trimestriel!BI75=""),"",AVERAGE(IPC_Trimestriel!BM75:BP75)/AVERAGE(IPC_Trimestriel!BI75:BL75)-1)</f>
        <v/>
      </c>
      <c r="BM98" s="28" t="str">
        <f>IF(OR(IPC_Trimestriel!BQ75="",IPC_Trimestriel!BN75="",IPC_Trimestriel!BJ75=""),"",AVERAGE(IPC_Trimestriel!BN75:BQ75)/AVERAGE(IPC_Trimestriel!BJ75:BM75)-1)</f>
        <v/>
      </c>
      <c r="BN98" s="28" t="str">
        <f>IF(OR(IPC_Trimestriel!BR75="",IPC_Trimestriel!BO75="",IPC_Trimestriel!BK75=""),"",AVERAGE(IPC_Trimestriel!BO75:BR75)/AVERAGE(IPC_Trimestriel!BK75:BN75)-1)</f>
        <v/>
      </c>
      <c r="BO98" s="28" t="str">
        <f>IF(OR(IPC_Trimestriel!BS75="",IPC_Trimestriel!BP75="",IPC_Trimestriel!BL75=""),"",AVERAGE(IPC_Trimestriel!BP75:BS75)/AVERAGE(IPC_Trimestriel!BL75:BO75)-1)</f>
        <v/>
      </c>
      <c r="BP98" s="28" t="str">
        <f>IF(OR(IPC_Trimestriel!BT75="",IPC_Trimestriel!BQ75="",IPC_Trimestriel!BM75=""),"",AVERAGE(IPC_Trimestriel!BQ75:BT75)/AVERAGE(IPC_Trimestriel!BM75:BP75)-1)</f>
        <v/>
      </c>
      <c r="BQ98" s="28" t="str">
        <f>IF(OR(IPC_Trimestriel!BU75="",IPC_Trimestriel!BR75="",IPC_Trimestriel!BN75=""),"",AVERAGE(IPC_Trimestriel!BR75:BU75)/AVERAGE(IPC_Trimestriel!BN75:BQ75)-1)</f>
        <v/>
      </c>
      <c r="BR98" s="28" t="str">
        <f>IF(OR(IPC_Trimestriel!BV75="",IPC_Trimestriel!BS75="",IPC_Trimestriel!BO75=""),"",AVERAGE(IPC_Trimestriel!BS75:BV75)/AVERAGE(IPC_Trimestriel!BO75:BR75)-1)</f>
        <v/>
      </c>
      <c r="BS98" s="28" t="str">
        <f>IF(OR(IPC_Trimestriel!BW75="",IPC_Trimestriel!BT75="",IPC_Trimestriel!BP75=""),"",AVERAGE(IPC_Trimestriel!BT75:BW75)/AVERAGE(IPC_Trimestriel!BP75:BS75)-1)</f>
        <v/>
      </c>
      <c r="BT98" s="28" t="str">
        <f>IF(OR(IPC_Trimestriel!BX75="",IPC_Trimestriel!BU75="",IPC_Trimestriel!BQ75=""),"",AVERAGE(IPC_Trimestriel!BU75:BX75)/AVERAGE(IPC_Trimestriel!BQ75:BT75)-1)</f>
        <v/>
      </c>
      <c r="BU98" s="28" t="str">
        <f>IF(OR(IPC_Trimestriel!BY75="",IPC_Trimestriel!BV75="",IPC_Trimestriel!BR75=""),"",AVERAGE(IPC_Trimestriel!BV75:BY75)/AVERAGE(IPC_Trimestriel!BR75:BU75)-1)</f>
        <v/>
      </c>
      <c r="BV98" s="28" t="str">
        <f>IF(OR(IPC_Trimestriel!BZ75="",IPC_Trimestriel!BW75="",IPC_Trimestriel!BS75=""),"",AVERAGE(IPC_Trimestriel!BW75:BZ75)/AVERAGE(IPC_Trimestriel!BS75:BV75)-1)</f>
        <v/>
      </c>
      <c r="BW98" s="28" t="str">
        <f>IF(OR(IPC_Trimestriel!CA75="",IPC_Trimestriel!BX75="",IPC_Trimestriel!BT75=""),"",AVERAGE(IPC_Trimestriel!BX75:CA75)/AVERAGE(IPC_Trimestriel!BT75:BW75)-1)</f>
        <v/>
      </c>
      <c r="BX98" s="28" t="str">
        <f>IF(OR(IPC_Trimestriel!CB75="",IPC_Trimestriel!BY75="",IPC_Trimestriel!BU75=""),"",AVERAGE(IPC_Trimestriel!BY75:CB75)/AVERAGE(IPC_Trimestriel!BU75:BX75)-1)</f>
        <v/>
      </c>
      <c r="BY98" s="28" t="str">
        <f>IF(OR(IPC_Trimestriel!CC75="",IPC_Trimestriel!BZ75="",IPC_Trimestriel!BV75=""),"",AVERAGE(IPC_Trimestriel!BZ75:CC75)/AVERAGE(IPC_Trimestriel!BV75:BY75)-1)</f>
        <v/>
      </c>
      <c r="BZ98" s="28" t="str">
        <f>IF(OR(IPC_Trimestriel!CD75="",IPC_Trimestriel!CA75="",IPC_Trimestriel!BW75=""),"",AVERAGE(IPC_Trimestriel!CA75:CD75)/AVERAGE(IPC_Trimestriel!BW75:BZ75)-1)</f>
        <v/>
      </c>
      <c r="CA98" s="28" t="str">
        <f>IF(OR(IPC_Trimestriel!CE75="",IPC_Trimestriel!CB75="",IPC_Trimestriel!BX75=""),"",AVERAGE(IPC_Trimestriel!CB75:CE75)/AVERAGE(IPC_Trimestriel!BX75:CA75)-1)</f>
        <v/>
      </c>
      <c r="CB98" s="28" t="str">
        <f>IF(OR(IPC_Trimestriel!CF75="",IPC_Trimestriel!CC75="",IPC_Trimestriel!BY75=""),"",AVERAGE(IPC_Trimestriel!CC75:CF75)/AVERAGE(IPC_Trimestriel!BY75:CB75)-1)</f>
        <v/>
      </c>
      <c r="CC98" s="28" t="str">
        <f>IF(OR(IPC_Trimestriel!CG75="",IPC_Trimestriel!CD75="",IPC_Trimestriel!BZ75=""),"",AVERAGE(IPC_Trimestriel!CD75:CG75)/AVERAGE(IPC_Trimestriel!BZ75:CC75)-1)</f>
        <v/>
      </c>
      <c r="CD98" s="28" t="str">
        <f>IF(OR(IPC_Trimestriel!CH75="",IPC_Trimestriel!CE75="",IPC_Trimestriel!CA75=""),"",AVERAGE(IPC_Trimestriel!CE75:CH75)/AVERAGE(IPC_Trimestriel!CA75:CD75)-1)</f>
        <v/>
      </c>
      <c r="CE98" s="28" t="str">
        <f>IF(OR(IPC_Trimestriel!CI75="",IPC_Trimestriel!CF75="",IPC_Trimestriel!CB75=""),"",AVERAGE(IPC_Trimestriel!CF75:CI75)/AVERAGE(IPC_Trimestriel!CB75:CE75)-1)</f>
        <v/>
      </c>
      <c r="CF98" s="28" t="str">
        <f>IF(OR(IPC_Trimestriel!CJ75="",IPC_Trimestriel!CG75="",IPC_Trimestriel!CC75=""),"",AVERAGE(IPC_Trimestriel!CG75:CJ75)/AVERAGE(IPC_Trimestriel!CC75:CF75)-1)</f>
        <v/>
      </c>
      <c r="CG98" s="28" t="str">
        <f>IF(OR(IPC_Trimestriel!CK75="",IPC_Trimestriel!CH75="",IPC_Trimestriel!CD75=""),"",AVERAGE(IPC_Trimestriel!CH75:CK75)/AVERAGE(IPC_Trimestriel!CD75:CG75)-1)</f>
        <v/>
      </c>
      <c r="CH98" s="28" t="str">
        <f>IF(OR(IPC_Trimestriel!CL75="",IPC_Trimestriel!CI75="",IPC_Trimestriel!CE75=""),"",AVERAGE(IPC_Trimestriel!CI75:CL75)/AVERAGE(IPC_Trimestriel!CE75:CH75)-1)</f>
        <v/>
      </c>
      <c r="CI98" s="28" t="str">
        <f>IF(OR(IPC_Trimestriel!CM75="",IPC_Trimestriel!CJ75="",IPC_Trimestriel!CF75=""),"",AVERAGE(IPC_Trimestriel!CJ75:CM75)/AVERAGE(IPC_Trimestriel!CF75:CI75)-1)</f>
        <v/>
      </c>
      <c r="CJ98" s="28" t="str">
        <f>IF(OR(IPC_Trimestriel!CN75="",IPC_Trimestriel!CK75="",IPC_Trimestriel!CG75=""),"",AVERAGE(IPC_Trimestriel!CK75:CN75)/AVERAGE(IPC_Trimestriel!CG75:CJ75)-1)</f>
        <v/>
      </c>
      <c r="CK98" s="28" t="str">
        <f>IF(OR(IPC_Trimestriel!CO75="",IPC_Trimestriel!CL75="",IPC_Trimestriel!CH75=""),"",AVERAGE(IPC_Trimestriel!CL75:CO75)/AVERAGE(IPC_Trimestriel!CH75:CK75)-1)</f>
        <v/>
      </c>
      <c r="CL98" s="28" t="str">
        <f>IF(OR(IPC_Trimestriel!CP75="",IPC_Trimestriel!CM75="",IPC_Trimestriel!CI75=""),"",AVERAGE(IPC_Trimestriel!CM75:CP75)/AVERAGE(IPC_Trimestriel!CI75:CL75)-1)</f>
        <v/>
      </c>
      <c r="CM98" s="28" t="str">
        <f>IF(OR(IPC_Trimestriel!CQ75="",IPC_Trimestriel!CN75="",IPC_Trimestriel!CJ75=""),"",AVERAGE(IPC_Trimestriel!CN75:CQ75)/AVERAGE(IPC_Trimestriel!CJ75:CM75)-1)</f>
        <v/>
      </c>
      <c r="CN98" s="28" t="str">
        <f>IF(OR(IPC_Trimestriel!CR75="",IPC_Trimestriel!CO75="",IPC_Trimestriel!CK75=""),"",AVERAGE(IPC_Trimestriel!CO75:CR75)/AVERAGE(IPC_Trimestriel!CK75:CN75)-1)</f>
        <v/>
      </c>
      <c r="CO98" s="28" t="str">
        <f>IF(OR(IPC_Trimestriel!CS75="",IPC_Trimestriel!CP75="",IPC_Trimestriel!CL75=""),"",AVERAGE(IPC_Trimestriel!CP75:CS75)/AVERAGE(IPC_Trimestriel!CL75:CO75)-1)</f>
        <v/>
      </c>
      <c r="CP98" s="28" t="str">
        <f>IF(OR(IPC_Trimestriel!CT75="",IPC_Trimestriel!CQ75="",IPC_Trimestriel!CM75=""),"",AVERAGE(IPC_Trimestriel!CQ75:CT75)/AVERAGE(IPC_Trimestriel!CM75:CP75)-1)</f>
        <v/>
      </c>
    </row>
    <row r="99" spans="1:94" ht="13.8" thickBot="1" x14ac:dyDescent="0.3"/>
    <row r="100" spans="1:94" s="2" customFormat="1" ht="33" thickTop="1" thickBot="1" x14ac:dyDescent="0.55000000000000004">
      <c r="B100" s="2" t="s">
        <v>102</v>
      </c>
    </row>
    <row r="101" spans="1:94" ht="14.4" thickTop="1" thickBot="1" x14ac:dyDescent="0.3"/>
    <row r="102" spans="1:94" s="24" customFormat="1" ht="13.8" thickBot="1" x14ac:dyDescent="0.3">
      <c r="B102" s="21"/>
      <c r="C102" s="22"/>
      <c r="D102" s="104" t="s">
        <v>115</v>
      </c>
      <c r="E102" s="104" t="s">
        <v>116</v>
      </c>
      <c r="F102" s="104" t="s">
        <v>117</v>
      </c>
      <c r="G102" s="104" t="s">
        <v>118</v>
      </c>
      <c r="H102" s="104" t="s">
        <v>119</v>
      </c>
      <c r="I102" s="104" t="s">
        <v>120</v>
      </c>
      <c r="J102" s="104" t="s">
        <v>121</v>
      </c>
      <c r="K102" s="104" t="s">
        <v>122</v>
      </c>
      <c r="L102" s="104" t="s">
        <v>123</v>
      </c>
      <c r="M102" s="104" t="s">
        <v>124</v>
      </c>
      <c r="N102" s="104" t="s">
        <v>125</v>
      </c>
      <c r="O102" s="104" t="s">
        <v>126</v>
      </c>
      <c r="P102" s="104" t="s">
        <v>127</v>
      </c>
      <c r="Q102" s="104" t="s">
        <v>128</v>
      </c>
      <c r="R102" s="104" t="s">
        <v>129</v>
      </c>
      <c r="S102" s="104" t="s">
        <v>130</v>
      </c>
      <c r="T102" s="105" t="s">
        <v>131</v>
      </c>
      <c r="U102" s="105" t="s">
        <v>132</v>
      </c>
      <c r="V102" s="105" t="s">
        <v>133</v>
      </c>
      <c r="W102" s="105" t="s">
        <v>134</v>
      </c>
      <c r="X102" s="105" t="s">
        <v>135</v>
      </c>
      <c r="Y102" s="105" t="s">
        <v>136</v>
      </c>
      <c r="Z102" s="105" t="s">
        <v>137</v>
      </c>
      <c r="AA102" s="105" t="s">
        <v>138</v>
      </c>
      <c r="AB102" s="105" t="s">
        <v>139</v>
      </c>
      <c r="AC102" s="105" t="s">
        <v>140</v>
      </c>
      <c r="AD102" s="105" t="s">
        <v>141</v>
      </c>
      <c r="AE102" s="105" t="s">
        <v>142</v>
      </c>
      <c r="AF102" s="105" t="s">
        <v>143</v>
      </c>
      <c r="AG102" s="105" t="s">
        <v>144</v>
      </c>
      <c r="AH102" s="105" t="s">
        <v>145</v>
      </c>
      <c r="AI102" s="105" t="s">
        <v>146</v>
      </c>
      <c r="AJ102" s="105" t="s">
        <v>147</v>
      </c>
      <c r="AK102" s="105" t="s">
        <v>148</v>
      </c>
      <c r="AL102" s="105" t="s">
        <v>149</v>
      </c>
      <c r="AM102" s="105" t="s">
        <v>150</v>
      </c>
      <c r="AN102" s="105" t="s">
        <v>151</v>
      </c>
      <c r="AO102" s="105" t="s">
        <v>152</v>
      </c>
      <c r="AP102" s="105" t="s">
        <v>153</v>
      </c>
      <c r="AQ102" s="105" t="s">
        <v>154</v>
      </c>
      <c r="AR102" s="105" t="s">
        <v>155</v>
      </c>
      <c r="AS102" s="105" t="s">
        <v>156</v>
      </c>
      <c r="AT102" s="105" t="s">
        <v>157</v>
      </c>
      <c r="AU102" s="105" t="s">
        <v>158</v>
      </c>
      <c r="AV102" s="105" t="s">
        <v>159</v>
      </c>
      <c r="AW102" s="105" t="s">
        <v>160</v>
      </c>
      <c r="AX102" s="105" t="s">
        <v>161</v>
      </c>
      <c r="AY102" s="105" t="s">
        <v>162</v>
      </c>
      <c r="AZ102" s="105" t="s">
        <v>163</v>
      </c>
      <c r="BA102" s="105" t="s">
        <v>164</v>
      </c>
      <c r="BB102" s="105" t="s">
        <v>165</v>
      </c>
      <c r="BC102" s="105" t="s">
        <v>166</v>
      </c>
      <c r="BD102" s="105" t="s">
        <v>167</v>
      </c>
      <c r="BE102" s="105" t="s">
        <v>168</v>
      </c>
      <c r="BF102" s="105" t="s">
        <v>169</v>
      </c>
      <c r="BG102" s="105" t="s">
        <v>170</v>
      </c>
      <c r="BH102" s="105" t="s">
        <v>171</v>
      </c>
      <c r="BI102" s="105" t="s">
        <v>172</v>
      </c>
      <c r="BJ102" s="105" t="s">
        <v>173</v>
      </c>
      <c r="BK102" s="105" t="s">
        <v>174</v>
      </c>
      <c r="BL102" s="105" t="s">
        <v>175</v>
      </c>
      <c r="BM102" s="105" t="s">
        <v>176</v>
      </c>
      <c r="BN102" s="105" t="s">
        <v>177</v>
      </c>
      <c r="BO102" s="105" t="s">
        <v>178</v>
      </c>
      <c r="BP102" s="105" t="s">
        <v>183</v>
      </c>
      <c r="BQ102" s="105" t="s">
        <v>184</v>
      </c>
      <c r="BR102" s="105" t="s">
        <v>185</v>
      </c>
      <c r="BS102" s="105" t="s">
        <v>187</v>
      </c>
      <c r="BT102" s="105" t="s">
        <v>188</v>
      </c>
      <c r="BU102" s="105" t="s">
        <v>189</v>
      </c>
      <c r="BV102" s="105" t="s">
        <v>190</v>
      </c>
      <c r="BW102" s="105" t="s">
        <v>191</v>
      </c>
      <c r="BX102" s="105" t="s">
        <v>192</v>
      </c>
      <c r="BY102" s="105" t="s">
        <v>193</v>
      </c>
      <c r="BZ102" s="105" t="s">
        <v>194</v>
      </c>
      <c r="CA102" s="105" t="s">
        <v>195</v>
      </c>
      <c r="CB102" s="105" t="s">
        <v>196</v>
      </c>
      <c r="CC102" s="105" t="s">
        <v>197</v>
      </c>
      <c r="CD102" s="105" t="s">
        <v>198</v>
      </c>
      <c r="CE102" s="105" t="s">
        <v>199</v>
      </c>
      <c r="CF102" s="105" t="str">
        <f>CF4</f>
        <v>2021T1</v>
      </c>
      <c r="CG102" s="105" t="str">
        <f t="shared" ref="CG102:CJ102" si="6">CG4</f>
        <v>2021T2</v>
      </c>
      <c r="CH102" s="105" t="str">
        <f t="shared" si="6"/>
        <v>2021T3</v>
      </c>
      <c r="CI102" s="105" t="str">
        <f t="shared" si="6"/>
        <v>2021T4</v>
      </c>
      <c r="CJ102" s="105" t="str">
        <f t="shared" si="6"/>
        <v>2022T1</v>
      </c>
      <c r="CK102" s="105" t="str">
        <f t="shared" ref="CK102:CM102" si="7">CK4</f>
        <v>2022T2</v>
      </c>
      <c r="CL102" s="105" t="str">
        <f t="shared" si="7"/>
        <v>2022T3</v>
      </c>
      <c r="CM102" s="105" t="str">
        <f t="shared" si="7"/>
        <v>2022T4</v>
      </c>
      <c r="CN102" s="105" t="str">
        <f t="shared" ref="CN102:CP102" si="8">CN4</f>
        <v>2023T1</v>
      </c>
      <c r="CO102" s="105" t="str">
        <f t="shared" si="8"/>
        <v>2023T2</v>
      </c>
      <c r="CP102" s="105" t="str">
        <f t="shared" si="8"/>
        <v>2023T3</v>
      </c>
    </row>
    <row r="103" spans="1:94" x14ac:dyDescent="0.25">
      <c r="A103" s="11"/>
      <c r="B103" s="73" t="s">
        <v>41</v>
      </c>
      <c r="C103" s="17"/>
      <c r="D103" s="35" t="str">
        <f>IF(OR(IPC_Trimestriel!H64="",IPC_Trimestriel!D64=""),"",IPC_Trimestriel!H64/IPC_Trimestriel!D64-1)</f>
        <v/>
      </c>
      <c r="E103" s="35" t="str">
        <f>IF(OR(IPC_Trimestriel!I64="",IPC_Trimestriel!E64=""),"",IPC_Trimestriel!I64/IPC_Trimestriel!E64-1)</f>
        <v/>
      </c>
      <c r="F103" s="35" t="str">
        <f>IF(OR(IPC_Trimestriel!J64="",IPC_Trimestriel!F64=""),"",IPC_Trimestriel!J64/IPC_Trimestriel!F64-1)</f>
        <v/>
      </c>
      <c r="G103" s="35" t="str">
        <f>IF(OR(IPC_Trimestriel!K64="",IPC_Trimestriel!G64=""),"",IPC_Trimestriel!K64/IPC_Trimestriel!G64-1)</f>
        <v/>
      </c>
      <c r="H103" s="35" t="str">
        <f>IF(OR(IPC_Trimestriel!L64="",IPC_Trimestriel!H64=""),"",IPC_Trimestriel!L64/IPC_Trimestriel!H64-1)</f>
        <v/>
      </c>
      <c r="I103" s="35" t="str">
        <f>IF(OR(IPC_Trimestriel!M64="",IPC_Trimestriel!I64=""),"",IPC_Trimestriel!M64/IPC_Trimestriel!I64-1)</f>
        <v/>
      </c>
      <c r="J103" s="35" t="str">
        <f>IF(OR(IPC_Trimestriel!N64="",IPC_Trimestriel!J64=""),"",IPC_Trimestriel!N64/IPC_Trimestriel!J64-1)</f>
        <v/>
      </c>
      <c r="K103" s="35" t="str">
        <f>IF(OR(IPC_Trimestriel!O64="",IPC_Trimestriel!K64=""),"",IPC_Trimestriel!O64/IPC_Trimestriel!K64-1)</f>
        <v/>
      </c>
      <c r="L103" s="35" t="str">
        <f>IF(OR(IPC_Trimestriel!P64="",IPC_Trimestriel!L64=""),"",IPC_Trimestriel!P64/IPC_Trimestriel!L64-1)</f>
        <v/>
      </c>
      <c r="M103" s="35" t="str">
        <f>IF(OR(IPC_Trimestriel!Q64="",IPC_Trimestriel!M64=""),"",IPC_Trimestriel!Q64/IPC_Trimestriel!M64-1)</f>
        <v/>
      </c>
      <c r="N103" s="35" t="str">
        <f>IF(OR(IPC_Trimestriel!R64="",IPC_Trimestriel!N64=""),"",IPC_Trimestriel!R64/IPC_Trimestriel!N64-1)</f>
        <v/>
      </c>
      <c r="O103" s="35" t="str">
        <f>IF(OR(IPC_Trimestriel!S64="",IPC_Trimestriel!O64=""),"",IPC_Trimestriel!S64/IPC_Trimestriel!O64-1)</f>
        <v/>
      </c>
      <c r="P103" s="35" t="str">
        <f>IF(OR(IPC_Trimestriel!T64="",IPC_Trimestriel!P64=""),"",IPC_Trimestriel!T64/IPC_Trimestriel!P64-1)</f>
        <v/>
      </c>
      <c r="Q103" s="35" t="str">
        <f>IF(OR(IPC_Trimestriel!U64="",IPC_Trimestriel!Q64=""),"",IPC_Trimestriel!U64/IPC_Trimestriel!Q64-1)</f>
        <v/>
      </c>
      <c r="R103" s="35" t="str">
        <f>IF(OR(IPC_Trimestriel!V64="",IPC_Trimestriel!R64=""),"",IPC_Trimestriel!V64/IPC_Trimestriel!R64-1)</f>
        <v/>
      </c>
      <c r="S103" s="35" t="str">
        <f>IF(OR(IPC_Trimestriel!W64="",IPC_Trimestriel!S64=""),"",IPC_Trimestriel!W64/IPC_Trimestriel!S64-1)</f>
        <v/>
      </c>
      <c r="T103" s="35" t="str">
        <f>IF(OR(IPC_Trimestriel!X64="",IPC_Trimestriel!T64=""),"",IPC_Trimestriel!X64/IPC_Trimestriel!T64-1)</f>
        <v/>
      </c>
      <c r="U103" s="35" t="str">
        <f>IF(OR(IPC_Trimestriel!Y64="",IPC_Trimestriel!U64=""),"",IPC_Trimestriel!Y64/IPC_Trimestriel!U64-1)</f>
        <v/>
      </c>
      <c r="V103" s="35" t="str">
        <f>IF(OR(IPC_Trimestriel!Z64="",IPC_Trimestriel!V64=""),"",IPC_Trimestriel!Z64/IPC_Trimestriel!V64-1)</f>
        <v/>
      </c>
      <c r="W103" s="35" t="str">
        <f>IF(OR(IPC_Trimestriel!AA64="",IPC_Trimestriel!W64=""),"",IPC_Trimestriel!AA64/IPC_Trimestriel!W64-1)</f>
        <v/>
      </c>
      <c r="X103" s="35" t="str">
        <f>IF(OR(IPC_Trimestriel!AB64="",IPC_Trimestriel!X64=""),"",IPC_Trimestriel!AB64/IPC_Trimestriel!X64-1)</f>
        <v/>
      </c>
      <c r="Y103" s="35" t="str">
        <f>IF(OR(IPC_Trimestriel!AC64="",IPC_Trimestriel!Y64=""),"",IPC_Trimestriel!AC64/IPC_Trimestriel!Y64-1)</f>
        <v/>
      </c>
      <c r="Z103" s="35" t="str">
        <f>IF(OR(IPC_Trimestriel!AD64="",IPC_Trimestriel!Z64=""),"",IPC_Trimestriel!AD64/IPC_Trimestriel!Z64-1)</f>
        <v/>
      </c>
      <c r="AA103" s="35" t="str">
        <f>IF(OR(IPC_Trimestriel!AE64="",IPC_Trimestriel!AA64=""),"",IPC_Trimestriel!AE64/IPC_Trimestriel!AA64-1)</f>
        <v/>
      </c>
      <c r="AB103" s="35" t="str">
        <f>IF(OR(IPC_Trimestriel!AF64="",IPC_Trimestriel!AB64=""),"",IPC_Trimestriel!AF64/IPC_Trimestriel!AB64-1)</f>
        <v/>
      </c>
      <c r="AC103" s="35" t="str">
        <f>IF(OR(IPC_Trimestriel!AG64="",IPC_Trimestriel!AC64=""),"",IPC_Trimestriel!AG64/IPC_Trimestriel!AC64-1)</f>
        <v/>
      </c>
      <c r="AD103" s="35" t="str">
        <f>IF(OR(IPC_Trimestriel!AH64="",IPC_Trimestriel!AD64=""),"",IPC_Trimestriel!AH64/IPC_Trimestriel!AD64-1)</f>
        <v/>
      </c>
      <c r="AE103" s="35" t="str">
        <f>IF(OR(IPC_Trimestriel!AI64="",IPC_Trimestriel!AE64=""),"",IPC_Trimestriel!AI64/IPC_Trimestriel!AE64-1)</f>
        <v/>
      </c>
      <c r="AF103" s="35" t="str">
        <f>IF(OR(IPC_Trimestriel!AJ64="",IPC_Trimestriel!AF64=""),"",IPC_Trimestriel!AJ64/IPC_Trimestriel!AF64-1)</f>
        <v/>
      </c>
      <c r="AG103" s="35" t="str">
        <f>IF(OR(IPC_Trimestriel!AK64="",IPC_Trimestriel!AG64=""),"",IPC_Trimestriel!AK64/IPC_Trimestriel!AG64-1)</f>
        <v/>
      </c>
      <c r="AH103" s="35" t="str">
        <f>IF(OR(IPC_Trimestriel!AL64="",IPC_Trimestriel!AH64=""),"",IPC_Trimestriel!AL64/IPC_Trimestriel!AH64-1)</f>
        <v/>
      </c>
      <c r="AI103" s="35" t="str">
        <f>IF(OR(IPC_Trimestriel!AM64="",IPC_Trimestriel!AI64=""),"",IPC_Trimestriel!AM64/IPC_Trimestriel!AI64-1)</f>
        <v/>
      </c>
      <c r="AJ103" s="35" t="str">
        <f>IF(OR(IPC_Trimestriel!AN64="",IPC_Trimestriel!AJ64=""),"",IPC_Trimestriel!AN64/IPC_Trimestriel!AJ64-1)</f>
        <v/>
      </c>
      <c r="AK103" s="35" t="str">
        <f>IF(OR(IPC_Trimestriel!AO64="",IPC_Trimestriel!AK64=""),"",IPC_Trimestriel!AO64/IPC_Trimestriel!AK64-1)</f>
        <v/>
      </c>
      <c r="AL103" s="35" t="str">
        <f>IF(OR(IPC_Trimestriel!AP64="",IPC_Trimestriel!AL64=""),"",IPC_Trimestriel!AP64/IPC_Trimestriel!AL64-1)</f>
        <v/>
      </c>
      <c r="AM103" s="35" t="str">
        <f>IF(OR(IPC_Trimestriel!AQ64="",IPC_Trimestriel!AM64=""),"",IPC_Trimestriel!AQ64/IPC_Trimestriel!AM64-1)</f>
        <v/>
      </c>
      <c r="AN103" s="35" t="str">
        <f>IF(OR(IPC_Trimestriel!AR64="",IPC_Trimestriel!AN64=""),"",IPC_Trimestriel!AR64/IPC_Trimestriel!AN64-1)</f>
        <v/>
      </c>
      <c r="AO103" s="35" t="str">
        <f>IF(OR(IPC_Trimestriel!AS64="",IPC_Trimestriel!AO64=""),"",IPC_Trimestriel!AS64/IPC_Trimestriel!AO64-1)</f>
        <v/>
      </c>
      <c r="AP103" s="35" t="str">
        <f>IF(OR(IPC_Trimestriel!AT64="",IPC_Trimestriel!AP64=""),"",IPC_Trimestriel!AT64/IPC_Trimestriel!AP64-1)</f>
        <v/>
      </c>
      <c r="AQ103" s="35" t="str">
        <f>IF(OR(IPC_Trimestriel!AU64="",IPC_Trimestriel!AQ64=""),"",IPC_Trimestriel!AU64/IPC_Trimestriel!AQ64-1)</f>
        <v/>
      </c>
      <c r="AR103" s="35" t="str">
        <f>IF(OR(IPC_Trimestriel!AV64="",IPC_Trimestriel!AR64=""),"",IPC_Trimestriel!AV64/IPC_Trimestriel!AR64-1)</f>
        <v/>
      </c>
      <c r="AS103" s="35" t="str">
        <f>IF(OR(IPC_Trimestriel!AW64="",IPC_Trimestriel!AS64=""),"",IPC_Trimestriel!AW64/IPC_Trimestriel!AS64-1)</f>
        <v/>
      </c>
      <c r="AT103" s="35" t="str">
        <f>IF(OR(IPC_Trimestriel!AX64="",IPC_Trimestriel!AT64=""),"",IPC_Trimestriel!AX64/IPC_Trimestriel!AT64-1)</f>
        <v/>
      </c>
      <c r="AU103" s="35" t="str">
        <f>IF(OR(IPC_Trimestriel!AY64="",IPC_Trimestriel!AU64=""),"",IPC_Trimestriel!AY64/IPC_Trimestriel!AU64-1)</f>
        <v/>
      </c>
      <c r="AV103" s="35" t="str">
        <f>IF(OR(IPC_Trimestriel!AZ64="",IPC_Trimestriel!AV64=""),"",IPC_Trimestriel!AZ64/IPC_Trimestriel!AV64-1)</f>
        <v/>
      </c>
      <c r="AW103" s="35" t="str">
        <f>IF(OR(IPC_Trimestriel!BA64="",IPC_Trimestriel!AW64=""),"",IPC_Trimestriel!BA64/IPC_Trimestriel!AW64-1)</f>
        <v/>
      </c>
      <c r="AX103" s="35" t="str">
        <f>IF(OR(IPC_Trimestriel!BB64="",IPC_Trimestriel!AX64=""),"",IPC_Trimestriel!BB64/IPC_Trimestriel!AX64-1)</f>
        <v/>
      </c>
      <c r="AY103" s="35" t="str">
        <f>IF(OR(IPC_Trimestriel!BC64="",IPC_Trimestriel!AY64=""),"",IPC_Trimestriel!BC64/IPC_Trimestriel!AY64-1)</f>
        <v/>
      </c>
      <c r="AZ103" s="35" t="str">
        <f>IF(OR(IPC_Trimestriel!BD64="",IPC_Trimestriel!AZ64=""),"",IPC_Trimestriel!BD64/IPC_Trimestriel!AZ64-1)</f>
        <v/>
      </c>
      <c r="BA103" s="35" t="str">
        <f>IF(OR(IPC_Trimestriel!BE64="",IPC_Trimestriel!BA64=""),"",IPC_Trimestriel!BE64/IPC_Trimestriel!BA64-1)</f>
        <v/>
      </c>
      <c r="BB103" s="35" t="str">
        <f>IF(OR(IPC_Trimestriel!BF64="",IPC_Trimestriel!BB64=""),"",IPC_Trimestriel!BF64/IPC_Trimestriel!BB64-1)</f>
        <v/>
      </c>
      <c r="BC103" s="35" t="str">
        <f>IF(OR(IPC_Trimestriel!BG64="",IPC_Trimestriel!BC64=""),"",IPC_Trimestriel!BG64/IPC_Trimestriel!BC64-1)</f>
        <v/>
      </c>
      <c r="BD103" s="35" t="str">
        <f>IF(OR(IPC_Trimestriel!BH64="",IPC_Trimestriel!BD64=""),"",IPC_Trimestriel!BH64/IPC_Trimestriel!BD64-1)</f>
        <v/>
      </c>
      <c r="BE103" s="35" t="str">
        <f>IF(OR(IPC_Trimestriel!BI64="",IPC_Trimestriel!BE64=""),"",IPC_Trimestriel!BI64/IPC_Trimestriel!BE64-1)</f>
        <v/>
      </c>
      <c r="BF103" s="35" t="str">
        <f>IF(OR(IPC_Trimestriel!BJ64="",IPC_Trimestriel!BF64=""),"",IPC_Trimestriel!BJ64/IPC_Trimestriel!BF64-1)</f>
        <v/>
      </c>
      <c r="BG103" s="35" t="str">
        <f>IF(OR(IPC_Trimestriel!BK64="",IPC_Trimestriel!BG64=""),"",IPC_Trimestriel!BK64/IPC_Trimestriel!BG64-1)</f>
        <v/>
      </c>
      <c r="BH103" s="35" t="str">
        <f>IF(OR(IPC_Trimestriel!BL64="",IPC_Trimestriel!BH64=""),"",IPC_Trimestriel!BL64/IPC_Trimestriel!BH64-1)</f>
        <v/>
      </c>
      <c r="BI103" s="35" t="str">
        <f>IF(OR(IPC_Trimestriel!BM64="",IPC_Trimestriel!BI64=""),"",IPC_Trimestriel!BM64/IPC_Trimestriel!BI64-1)</f>
        <v/>
      </c>
      <c r="BJ103" s="35" t="str">
        <f>IF(OR(IPC_Trimestriel!BN64="",IPC_Trimestriel!BJ64=""),"",IPC_Trimestriel!BN64/IPC_Trimestriel!BJ64-1)</f>
        <v/>
      </c>
      <c r="BK103" s="35" t="str">
        <f>IF(OR(IPC_Trimestriel!BO64="",IPC_Trimestriel!BK64=""),"",IPC_Trimestriel!BO64/IPC_Trimestriel!BK64-1)</f>
        <v/>
      </c>
      <c r="BL103" s="35" t="str">
        <f>IF(OR(IPC_Trimestriel!BP64="",IPC_Trimestriel!BL64=""),"",IPC_Trimestriel!BP64/IPC_Trimestriel!BL64-1)</f>
        <v/>
      </c>
      <c r="BM103" s="35" t="str">
        <f>IF(OR(IPC_Trimestriel!BQ64="",IPC_Trimestriel!BM64=""),"",IPC_Trimestriel!BQ64/IPC_Trimestriel!BM64-1)</f>
        <v/>
      </c>
      <c r="BN103" s="35" t="str">
        <f>IF(OR(IPC_Trimestriel!BR64="",IPC_Trimestriel!BN64=""),"",IPC_Trimestriel!BR64/IPC_Trimestriel!BN64-1)</f>
        <v/>
      </c>
      <c r="BO103" s="35" t="str">
        <f>IF(OR(IPC_Trimestriel!BS64="",IPC_Trimestriel!BO64=""),"",IPC_Trimestriel!BS64/IPC_Trimestriel!BO64-1)</f>
        <v/>
      </c>
      <c r="BP103" s="35" t="str">
        <f>IF(OR(IPC_Trimestriel!BT64="",IPC_Trimestriel!BP64=""),"",IPC_Trimestriel!BT64/IPC_Trimestriel!BP64-1)</f>
        <v/>
      </c>
      <c r="BQ103" s="35" t="str">
        <f>IF(OR(IPC_Trimestriel!BU64="",IPC_Trimestriel!BQ64=""),"",IPC_Trimestriel!BU64/IPC_Trimestriel!BQ64-1)</f>
        <v/>
      </c>
      <c r="BR103" s="35" t="str">
        <f>IF(OR(IPC_Trimestriel!BV64="",IPC_Trimestriel!BR64=""),"",IPC_Trimestriel!BV64/IPC_Trimestriel!BR64-1)</f>
        <v/>
      </c>
      <c r="BS103" s="35" t="str">
        <f>IF(OR(IPC_Trimestriel!BW64="",IPC_Trimestriel!BS64=""),"",IPC_Trimestriel!BW64/IPC_Trimestriel!BS64-1)</f>
        <v/>
      </c>
      <c r="BT103" s="35" t="str">
        <f>IF(OR(IPC_Trimestriel!BX64="",IPC_Trimestriel!BT64=""),"",IPC_Trimestriel!BX64/IPC_Trimestriel!BT64-1)</f>
        <v/>
      </c>
      <c r="BU103" s="35" t="str">
        <f>IF(OR(IPC_Trimestriel!BY64="",IPC_Trimestriel!BU64=""),"",IPC_Trimestriel!BY64/IPC_Trimestriel!BU64-1)</f>
        <v/>
      </c>
      <c r="BV103" s="35" t="str">
        <f>IF(OR(IPC_Trimestriel!BZ64="",IPC_Trimestriel!BV64=""),"",IPC_Trimestriel!BZ64/IPC_Trimestriel!BV64-1)</f>
        <v/>
      </c>
      <c r="BW103" s="35" t="str">
        <f>IF(OR(IPC_Trimestriel!CA64="",IPC_Trimestriel!BW64=""),"",IPC_Trimestriel!CA64/IPC_Trimestriel!BW64-1)</f>
        <v/>
      </c>
      <c r="BX103" s="35">
        <f>IF(OR(IPC_Trimestriel!CB64="",IPC_Trimestriel!BX64=""),"",IPC_Trimestriel!CB64/IPC_Trimestriel!BX64-1)</f>
        <v>4.8787716258231306E-2</v>
      </c>
      <c r="BY103" s="35">
        <f>IF(OR(IPC_Trimestriel!CC64="",IPC_Trimestriel!BY64=""),"",IPC_Trimestriel!CC64/IPC_Trimestriel!BY64-1)</f>
        <v>3.7226757104235508E-2</v>
      </c>
      <c r="BZ103" s="35">
        <f>IF(OR(IPC_Trimestriel!CD64="",IPC_Trimestriel!BZ64=""),"",IPC_Trimestriel!CD64/IPC_Trimestriel!BZ64-1)</f>
        <v>2.9266500951515395E-2</v>
      </c>
      <c r="CA103" s="35">
        <f>IF(OR(IPC_Trimestriel!CE64="",IPC_Trimestriel!CA64=""),"",IPC_Trimestriel!CE64/IPC_Trimestriel!CA64-1)</f>
        <v>-6.7396003257098602E-3</v>
      </c>
      <c r="CB103" s="35">
        <f>IF(OR(IPC_Trimestriel!CF64="",IPC_Trimestriel!CB64=""),"",IPC_Trimestriel!CF64/IPC_Trimestriel!CB64-1)</f>
        <v>-4.3066532136236679E-3</v>
      </c>
      <c r="CC103" s="35">
        <f>IF(OR(IPC_Trimestriel!CG64="",IPC_Trimestriel!CC64=""),"",IPC_Trimestriel!CG64/IPC_Trimestriel!CC64-1)</f>
        <v>3.2557091547475769E-2</v>
      </c>
      <c r="CD103" s="35">
        <f>IF(OR(IPC_Trimestriel!CH64="",IPC_Trimestriel!CD64=""),"",IPC_Trimestriel!CH64/IPC_Trimestriel!CD64-1)</f>
        <v>2.6414975452312417E-2</v>
      </c>
      <c r="CE103" s="35">
        <f>IF(OR(IPC_Trimestriel!CI64="",IPC_Trimestriel!CE64=""),"",IPC_Trimestriel!CI64/IPC_Trimestriel!CE64-1)</f>
        <v>3.7862528354235092E-2</v>
      </c>
      <c r="CF103" s="35">
        <f>IF(OR(IPC_Trimestriel!CJ64="",IPC_Trimestriel!CF64=""),"",IPC_Trimestriel!CJ64/IPC_Trimestriel!CF64-1)</f>
        <v>4.5073077499757197E-2</v>
      </c>
      <c r="CG103" s="35">
        <f>IF(OR(IPC_Trimestriel!CK64="",IPC_Trimestriel!CG64=""),"",IPC_Trimestriel!CK64/IPC_Trimestriel!CG64-1)</f>
        <v>3.0709370302983263E-2</v>
      </c>
      <c r="CH103" s="35">
        <f>IF(OR(IPC_Trimestriel!CL64="",IPC_Trimestriel!CH64=""),"",IPC_Trimestriel!CL64/IPC_Trimestriel!CH64-1)</f>
        <v>2.5560150789736724E-2</v>
      </c>
      <c r="CI103" s="35">
        <f>IF(OR(IPC_Trimestriel!CM64="",IPC_Trimestriel!CI64=""),"",IPC_Trimestriel!CM64/IPC_Trimestriel!CI64-1)</f>
        <v>1.1364129270981849E-2</v>
      </c>
      <c r="CJ103" s="35">
        <f>IF(OR(IPC_Trimestriel!CN64="",IPC_Trimestriel!CJ64=""),"",IPC_Trimestriel!CN64/IPC_Trimestriel!CJ64-1)</f>
        <v>1.9865752582892915E-2</v>
      </c>
      <c r="CK103" s="35">
        <f>IF(OR(IPC_Trimestriel!CO64="",IPC_Trimestriel!CK64=""),"",IPC_Trimestriel!CO64/IPC_Trimestriel!CK64-1)</f>
        <v>6.4835336052651904E-2</v>
      </c>
      <c r="CL103" s="35">
        <f>IF(OR(IPC_Trimestriel!CP64="",IPC_Trimestriel!CL64=""),"",IPC_Trimestriel!CP64/IPC_Trimestriel!CL64-1)</f>
        <v>6.2163217619499944E-2</v>
      </c>
      <c r="CM103" s="35">
        <f>IF(OR(IPC_Trimestriel!CQ64="",IPC_Trimestriel!CM64=""),"",IPC_Trimestriel!CQ64/IPC_Trimestriel!CM64-1)</f>
        <v>7.6375496480412863E-2</v>
      </c>
      <c r="CN103" s="35">
        <f>IF(OR(IPC_Trimestriel!CR64="",IPC_Trimestriel!CN64=""),"",IPC_Trimestriel!CR64/IPC_Trimestriel!CN64-1)</f>
        <v>7.8760487302632631E-2</v>
      </c>
      <c r="CO103" s="35">
        <f>IF(OR(IPC_Trimestriel!CS64="",IPC_Trimestriel!CO64=""),"",IPC_Trimestriel!CS64/IPC_Trimestriel!CO64-1)</f>
        <v>5.8710491682463228E-3</v>
      </c>
      <c r="CP103" s="35">
        <f>IF(OR(IPC_Trimestriel!CT64="",IPC_Trimestriel!CP64=""),"",IPC_Trimestriel!CT64/IPC_Trimestriel!CP64-1)</f>
        <v>1.573554643169417E-2</v>
      </c>
    </row>
    <row r="104" spans="1:94" x14ac:dyDescent="0.25">
      <c r="A104" s="11"/>
      <c r="B104" s="73" t="s">
        <v>42</v>
      </c>
      <c r="C104" s="17"/>
      <c r="D104" s="28" t="str">
        <f>IF(OR(IPC_Trimestriel!H65="",IPC_Trimestriel!D65=""),"",IPC_Trimestriel!H65/IPC_Trimestriel!D65-1)</f>
        <v/>
      </c>
      <c r="E104" s="28" t="str">
        <f>IF(OR(IPC_Trimestriel!I65="",IPC_Trimestriel!E65=""),"",IPC_Trimestriel!I65/IPC_Trimestriel!E65-1)</f>
        <v/>
      </c>
      <c r="F104" s="28" t="str">
        <f>IF(OR(IPC_Trimestriel!J65="",IPC_Trimestriel!F65=""),"",IPC_Trimestriel!J65/IPC_Trimestriel!F65-1)</f>
        <v/>
      </c>
      <c r="G104" s="28" t="str">
        <f>IF(OR(IPC_Trimestriel!K65="",IPC_Trimestriel!G65=""),"",IPC_Trimestriel!K65/IPC_Trimestriel!G65-1)</f>
        <v/>
      </c>
      <c r="H104" s="28" t="str">
        <f>IF(OR(IPC_Trimestriel!L65="",IPC_Trimestriel!H65=""),"",IPC_Trimestriel!L65/IPC_Trimestriel!H65-1)</f>
        <v/>
      </c>
      <c r="I104" s="28" t="str">
        <f>IF(OR(IPC_Trimestriel!M65="",IPC_Trimestriel!I65=""),"",IPC_Trimestriel!M65/IPC_Trimestriel!I65-1)</f>
        <v/>
      </c>
      <c r="J104" s="28" t="str">
        <f>IF(OR(IPC_Trimestriel!N65="",IPC_Trimestriel!J65=""),"",IPC_Trimestriel!N65/IPC_Trimestriel!J65-1)</f>
        <v/>
      </c>
      <c r="K104" s="28" t="str">
        <f>IF(OR(IPC_Trimestriel!O65="",IPC_Trimestriel!K65=""),"",IPC_Trimestriel!O65/IPC_Trimestriel!K65-1)</f>
        <v/>
      </c>
      <c r="L104" s="28" t="str">
        <f>IF(OR(IPC_Trimestriel!P65="",IPC_Trimestriel!L65=""),"",IPC_Trimestriel!P65/IPC_Trimestriel!L65-1)</f>
        <v/>
      </c>
      <c r="M104" s="28" t="str">
        <f>IF(OR(IPC_Trimestriel!Q65="",IPC_Trimestriel!M65=""),"",IPC_Trimestriel!Q65/IPC_Trimestriel!M65-1)</f>
        <v/>
      </c>
      <c r="N104" s="28" t="str">
        <f>IF(OR(IPC_Trimestriel!R65="",IPC_Trimestriel!N65=""),"",IPC_Trimestriel!R65/IPC_Trimestriel!N65-1)</f>
        <v/>
      </c>
      <c r="O104" s="28" t="str">
        <f>IF(OR(IPC_Trimestriel!S65="",IPC_Trimestriel!O65=""),"",IPC_Trimestriel!S65/IPC_Trimestriel!O65-1)</f>
        <v/>
      </c>
      <c r="P104" s="28" t="str">
        <f>IF(OR(IPC_Trimestriel!T65="",IPC_Trimestriel!P65=""),"",IPC_Trimestriel!T65/IPC_Trimestriel!P65-1)</f>
        <v/>
      </c>
      <c r="Q104" s="28" t="str">
        <f>IF(OR(IPC_Trimestriel!U65="",IPC_Trimestriel!Q65=""),"",IPC_Trimestriel!U65/IPC_Trimestriel!Q65-1)</f>
        <v/>
      </c>
      <c r="R104" s="28" t="str">
        <f>IF(OR(IPC_Trimestriel!V65="",IPC_Trimestriel!R65=""),"",IPC_Trimestriel!V65/IPC_Trimestriel!R65-1)</f>
        <v/>
      </c>
      <c r="S104" s="28" t="str">
        <f>IF(OR(IPC_Trimestriel!W65="",IPC_Trimestriel!S65=""),"",IPC_Trimestriel!W65/IPC_Trimestriel!S65-1)</f>
        <v/>
      </c>
      <c r="T104" s="28" t="str">
        <f>IF(OR(IPC_Trimestriel!X65="",IPC_Trimestriel!T65=""),"",IPC_Trimestriel!X65/IPC_Trimestriel!T65-1)</f>
        <v/>
      </c>
      <c r="U104" s="28" t="str">
        <f>IF(OR(IPC_Trimestriel!Y65="",IPC_Trimestriel!U65=""),"",IPC_Trimestriel!Y65/IPC_Trimestriel!U65-1)</f>
        <v/>
      </c>
      <c r="V104" s="28" t="str">
        <f>IF(OR(IPC_Trimestriel!Z65="",IPC_Trimestriel!V65=""),"",IPC_Trimestriel!Z65/IPC_Trimestriel!V65-1)</f>
        <v/>
      </c>
      <c r="W104" s="28" t="str">
        <f>IF(OR(IPC_Trimestriel!AA65="",IPC_Trimestriel!W65=""),"",IPC_Trimestriel!AA65/IPC_Trimestriel!W65-1)</f>
        <v/>
      </c>
      <c r="X104" s="28" t="str">
        <f>IF(OR(IPC_Trimestriel!AB65="",IPC_Trimestriel!X65=""),"",IPC_Trimestriel!AB65/IPC_Trimestriel!X65-1)</f>
        <v/>
      </c>
      <c r="Y104" s="28" t="str">
        <f>IF(OR(IPC_Trimestriel!AC65="",IPC_Trimestriel!Y65=""),"",IPC_Trimestriel!AC65/IPC_Trimestriel!Y65-1)</f>
        <v/>
      </c>
      <c r="Z104" s="28" t="str">
        <f>IF(OR(IPC_Trimestriel!AD65="",IPC_Trimestriel!Z65=""),"",IPC_Trimestriel!AD65/IPC_Trimestriel!Z65-1)</f>
        <v/>
      </c>
      <c r="AA104" s="28" t="str">
        <f>IF(OR(IPC_Trimestriel!AE65="",IPC_Trimestriel!AA65=""),"",IPC_Trimestriel!AE65/IPC_Trimestriel!AA65-1)</f>
        <v/>
      </c>
      <c r="AB104" s="28" t="str">
        <f>IF(OR(IPC_Trimestriel!AF65="",IPC_Trimestriel!AB65=""),"",IPC_Trimestriel!AF65/IPC_Trimestriel!AB65-1)</f>
        <v/>
      </c>
      <c r="AC104" s="28" t="str">
        <f>IF(OR(IPC_Trimestriel!AG65="",IPC_Trimestriel!AC65=""),"",IPC_Trimestriel!AG65/IPC_Trimestriel!AC65-1)</f>
        <v/>
      </c>
      <c r="AD104" s="28" t="str">
        <f>IF(OR(IPC_Trimestriel!AH65="",IPC_Trimestriel!AD65=""),"",IPC_Trimestriel!AH65/IPC_Trimestriel!AD65-1)</f>
        <v/>
      </c>
      <c r="AE104" s="28" t="str">
        <f>IF(OR(IPC_Trimestriel!AI65="",IPC_Trimestriel!AE65=""),"",IPC_Trimestriel!AI65/IPC_Trimestriel!AE65-1)</f>
        <v/>
      </c>
      <c r="AF104" s="28" t="str">
        <f>IF(OR(IPC_Trimestriel!AJ65="",IPC_Trimestriel!AF65=""),"",IPC_Trimestriel!AJ65/IPC_Trimestriel!AF65-1)</f>
        <v/>
      </c>
      <c r="AG104" s="28" t="str">
        <f>IF(OR(IPC_Trimestriel!AK65="",IPC_Trimestriel!AG65=""),"",IPC_Trimestriel!AK65/IPC_Trimestriel!AG65-1)</f>
        <v/>
      </c>
      <c r="AH104" s="28" t="str">
        <f>IF(OR(IPC_Trimestriel!AL65="",IPC_Trimestriel!AH65=""),"",IPC_Trimestriel!AL65/IPC_Trimestriel!AH65-1)</f>
        <v/>
      </c>
      <c r="AI104" s="28" t="str">
        <f>IF(OR(IPC_Trimestriel!AM65="",IPC_Trimestriel!AI65=""),"",IPC_Trimestriel!AM65/IPC_Trimestriel!AI65-1)</f>
        <v/>
      </c>
      <c r="AJ104" s="28" t="str">
        <f>IF(OR(IPC_Trimestriel!AN65="",IPC_Trimestriel!AJ65=""),"",IPC_Trimestriel!AN65/IPC_Trimestriel!AJ65-1)</f>
        <v/>
      </c>
      <c r="AK104" s="28" t="str">
        <f>IF(OR(IPC_Trimestriel!AO65="",IPC_Trimestriel!AK65=""),"",IPC_Trimestriel!AO65/IPC_Trimestriel!AK65-1)</f>
        <v/>
      </c>
      <c r="AL104" s="28" t="str">
        <f>IF(OR(IPC_Trimestriel!AP65="",IPC_Trimestriel!AL65=""),"",IPC_Trimestriel!AP65/IPC_Trimestriel!AL65-1)</f>
        <v/>
      </c>
      <c r="AM104" s="28" t="str">
        <f>IF(OR(IPC_Trimestriel!AQ65="",IPC_Trimestriel!AM65=""),"",IPC_Trimestriel!AQ65/IPC_Trimestriel!AM65-1)</f>
        <v/>
      </c>
      <c r="AN104" s="28" t="str">
        <f>IF(OR(IPC_Trimestriel!AR65="",IPC_Trimestriel!AN65=""),"",IPC_Trimestriel!AR65/IPC_Trimestriel!AN65-1)</f>
        <v/>
      </c>
      <c r="AO104" s="28" t="str">
        <f>IF(OR(IPC_Trimestriel!AS65="",IPC_Trimestriel!AO65=""),"",IPC_Trimestriel!AS65/IPC_Trimestriel!AO65-1)</f>
        <v/>
      </c>
      <c r="AP104" s="28" t="str">
        <f>IF(OR(IPC_Trimestriel!AT65="",IPC_Trimestriel!AP65=""),"",IPC_Trimestriel!AT65/IPC_Trimestriel!AP65-1)</f>
        <v/>
      </c>
      <c r="AQ104" s="28" t="str">
        <f>IF(OR(IPC_Trimestriel!AU65="",IPC_Trimestriel!AQ65=""),"",IPC_Trimestriel!AU65/IPC_Trimestriel!AQ65-1)</f>
        <v/>
      </c>
      <c r="AR104" s="28" t="str">
        <f>IF(OR(IPC_Trimestriel!AV65="",IPC_Trimestriel!AR65=""),"",IPC_Trimestriel!AV65/IPC_Trimestriel!AR65-1)</f>
        <v/>
      </c>
      <c r="AS104" s="28" t="str">
        <f>IF(OR(IPC_Trimestriel!AW65="",IPC_Trimestriel!AS65=""),"",IPC_Trimestriel!AW65/IPC_Trimestriel!AS65-1)</f>
        <v/>
      </c>
      <c r="AT104" s="28" t="str">
        <f>IF(OR(IPC_Trimestriel!AX65="",IPC_Trimestriel!AT65=""),"",IPC_Trimestriel!AX65/IPC_Trimestriel!AT65-1)</f>
        <v/>
      </c>
      <c r="AU104" s="28" t="str">
        <f>IF(OR(IPC_Trimestriel!AY65="",IPC_Trimestriel!AU65=""),"",IPC_Trimestriel!AY65/IPC_Trimestriel!AU65-1)</f>
        <v/>
      </c>
      <c r="AV104" s="28" t="str">
        <f>IF(OR(IPC_Trimestriel!AZ65="",IPC_Trimestriel!AV65=""),"",IPC_Trimestriel!AZ65/IPC_Trimestriel!AV65-1)</f>
        <v/>
      </c>
      <c r="AW104" s="28" t="str">
        <f>IF(OR(IPC_Trimestriel!BA65="",IPC_Trimestriel!AW65=""),"",IPC_Trimestriel!BA65/IPC_Trimestriel!AW65-1)</f>
        <v/>
      </c>
      <c r="AX104" s="28" t="str">
        <f>IF(OR(IPC_Trimestriel!BB65="",IPC_Trimestriel!AX65=""),"",IPC_Trimestriel!BB65/IPC_Trimestriel!AX65-1)</f>
        <v/>
      </c>
      <c r="AY104" s="28" t="str">
        <f>IF(OR(IPC_Trimestriel!BC65="",IPC_Trimestriel!AY65=""),"",IPC_Trimestriel!BC65/IPC_Trimestriel!AY65-1)</f>
        <v/>
      </c>
      <c r="AZ104" s="28" t="str">
        <f>IF(OR(IPC_Trimestriel!BD65="",IPC_Trimestriel!AZ65=""),"",IPC_Trimestriel!BD65/IPC_Trimestriel!AZ65-1)</f>
        <v/>
      </c>
      <c r="BA104" s="28" t="str">
        <f>IF(OR(IPC_Trimestriel!BE65="",IPC_Trimestriel!BA65=""),"",IPC_Trimestriel!BE65/IPC_Trimestriel!BA65-1)</f>
        <v/>
      </c>
      <c r="BB104" s="28" t="str">
        <f>IF(OR(IPC_Trimestriel!BF65="",IPC_Trimestriel!BB65=""),"",IPC_Trimestriel!BF65/IPC_Trimestriel!BB65-1)</f>
        <v/>
      </c>
      <c r="BC104" s="28" t="str">
        <f>IF(OR(IPC_Trimestriel!BG65="",IPC_Trimestriel!BC65=""),"",IPC_Trimestriel!BG65/IPC_Trimestriel!BC65-1)</f>
        <v/>
      </c>
      <c r="BD104" s="28" t="str">
        <f>IF(OR(IPC_Trimestriel!BH65="",IPC_Trimestriel!BD65=""),"",IPC_Trimestriel!BH65/IPC_Trimestriel!BD65-1)</f>
        <v/>
      </c>
      <c r="BE104" s="28" t="str">
        <f>IF(OR(IPC_Trimestriel!BI65="",IPC_Trimestriel!BE65=""),"",IPC_Trimestriel!BI65/IPC_Trimestriel!BE65-1)</f>
        <v/>
      </c>
      <c r="BF104" s="28" t="str">
        <f>IF(OR(IPC_Trimestriel!BJ65="",IPC_Trimestriel!BF65=""),"",IPC_Trimestriel!BJ65/IPC_Trimestriel!BF65-1)</f>
        <v/>
      </c>
      <c r="BG104" s="28" t="str">
        <f>IF(OR(IPC_Trimestriel!BK65="",IPC_Trimestriel!BG65=""),"",IPC_Trimestriel!BK65/IPC_Trimestriel!BG65-1)</f>
        <v/>
      </c>
      <c r="BH104" s="28" t="str">
        <f>IF(OR(IPC_Trimestriel!BL65="",IPC_Trimestriel!BH65=""),"",IPC_Trimestriel!BL65/IPC_Trimestriel!BH65-1)</f>
        <v/>
      </c>
      <c r="BI104" s="28" t="str">
        <f>IF(OR(IPC_Trimestriel!BM65="",IPC_Trimestriel!BI65=""),"",IPC_Trimestriel!BM65/IPC_Trimestriel!BI65-1)</f>
        <v/>
      </c>
      <c r="BJ104" s="28" t="str">
        <f>IF(OR(IPC_Trimestriel!BN65="",IPC_Trimestriel!BJ65=""),"",IPC_Trimestriel!BN65/IPC_Trimestriel!BJ65-1)</f>
        <v/>
      </c>
      <c r="BK104" s="28" t="str">
        <f>IF(OR(IPC_Trimestriel!BO65="",IPC_Trimestriel!BK65=""),"",IPC_Trimestriel!BO65/IPC_Trimestriel!BK65-1)</f>
        <v/>
      </c>
      <c r="BL104" s="28" t="str">
        <f>IF(OR(IPC_Trimestriel!BP65="",IPC_Trimestriel!BL65=""),"",IPC_Trimestriel!BP65/IPC_Trimestriel!BL65-1)</f>
        <v/>
      </c>
      <c r="BM104" s="28" t="str">
        <f>IF(OR(IPC_Trimestriel!BQ65="",IPC_Trimestriel!BM65=""),"",IPC_Trimestriel!BQ65/IPC_Trimestriel!BM65-1)</f>
        <v/>
      </c>
      <c r="BN104" s="28" t="str">
        <f>IF(OR(IPC_Trimestriel!BR65="",IPC_Trimestriel!BN65=""),"",IPC_Trimestriel!BR65/IPC_Trimestriel!BN65-1)</f>
        <v/>
      </c>
      <c r="BO104" s="28" t="str">
        <f>IF(OR(IPC_Trimestriel!BS65="",IPC_Trimestriel!BO65=""),"",IPC_Trimestriel!BS65/IPC_Trimestriel!BO65-1)</f>
        <v/>
      </c>
      <c r="BP104" s="28" t="str">
        <f>IF(OR(IPC_Trimestriel!BT65="",IPC_Trimestriel!BP65=""),"",IPC_Trimestriel!BT65/IPC_Trimestriel!BP65-1)</f>
        <v/>
      </c>
      <c r="BQ104" s="28" t="str">
        <f>IF(OR(IPC_Trimestriel!BU65="",IPC_Trimestriel!BQ65=""),"",IPC_Trimestriel!BU65/IPC_Trimestriel!BQ65-1)</f>
        <v/>
      </c>
      <c r="BR104" s="28" t="str">
        <f>IF(OR(IPC_Trimestriel!BV65="",IPC_Trimestriel!BR65=""),"",IPC_Trimestriel!BV65/IPC_Trimestriel!BR65-1)</f>
        <v/>
      </c>
      <c r="BS104" s="28" t="str">
        <f>IF(OR(IPC_Trimestriel!BW65="",IPC_Trimestriel!BS65=""),"",IPC_Trimestriel!BW65/IPC_Trimestriel!BS65-1)</f>
        <v/>
      </c>
      <c r="BT104" s="28" t="str">
        <f>IF(OR(IPC_Trimestriel!BX65="",IPC_Trimestriel!BT65=""),"",IPC_Trimestriel!BX65/IPC_Trimestriel!BT65-1)</f>
        <v/>
      </c>
      <c r="BU104" s="28" t="str">
        <f>IF(OR(IPC_Trimestriel!BY65="",IPC_Trimestriel!BU65=""),"",IPC_Trimestriel!BY65/IPC_Trimestriel!BU65-1)</f>
        <v/>
      </c>
      <c r="BV104" s="28" t="str">
        <f>IF(OR(IPC_Trimestriel!BZ65="",IPC_Trimestriel!BV65=""),"",IPC_Trimestriel!BZ65/IPC_Trimestriel!BV65-1)</f>
        <v/>
      </c>
      <c r="BW104" s="28" t="str">
        <f>IF(OR(IPC_Trimestriel!CA65="",IPC_Trimestriel!BW65=""),"",IPC_Trimestriel!CA65/IPC_Trimestriel!BW65-1)</f>
        <v/>
      </c>
      <c r="BX104" s="28">
        <f>IF(OR(IPC_Trimestriel!CB65="",IPC_Trimestriel!BX65=""),"",IPC_Trimestriel!CB65/IPC_Trimestriel!BX65-1)</f>
        <v>1.0015012266376022E-2</v>
      </c>
      <c r="BY104" s="28">
        <f>IF(OR(IPC_Trimestriel!CC65="",IPC_Trimestriel!BY65=""),"",IPC_Trimestriel!CC65/IPC_Trimestriel!BY65-1)</f>
        <v>1.3734172080078322E-2</v>
      </c>
      <c r="BZ104" s="28">
        <f>IF(OR(IPC_Trimestriel!CD65="",IPC_Trimestriel!BZ65=""),"",IPC_Trimestriel!CD65/IPC_Trimestriel!BZ65-1)</f>
        <v>1.5469312934911716E-2</v>
      </c>
      <c r="CA104" s="28">
        <f>IF(OR(IPC_Trimestriel!CE65="",IPC_Trimestriel!CA65=""),"",IPC_Trimestriel!CE65/IPC_Trimestriel!CA65-1)</f>
        <v>2.2897615754488676E-2</v>
      </c>
      <c r="CB104" s="28">
        <f>IF(OR(IPC_Trimestriel!CF65="",IPC_Trimestriel!CB65=""),"",IPC_Trimestriel!CF65/IPC_Trimestriel!CB65-1)</f>
        <v>5.9711960748345394E-3</v>
      </c>
      <c r="CC104" s="28">
        <f>IF(OR(IPC_Trimestriel!CG65="",IPC_Trimestriel!CC65=""),"",IPC_Trimestriel!CG65/IPC_Trimestriel!CC65-1)</f>
        <v>1.6765484868905611E-2</v>
      </c>
      <c r="CD104" s="28">
        <f>IF(OR(IPC_Trimestriel!CH65="",IPC_Trimestriel!CD65=""),"",IPC_Trimestriel!CH65/IPC_Trimestriel!CD65-1)</f>
        <v>-5.0626739193233572E-3</v>
      </c>
      <c r="CE104" s="28">
        <f>IF(OR(IPC_Trimestriel!CI65="",IPC_Trimestriel!CE65=""),"",IPC_Trimestriel!CI65/IPC_Trimestriel!CE65-1)</f>
        <v>-8.7637784980034716E-3</v>
      </c>
      <c r="CF104" s="28">
        <f>IF(OR(IPC_Trimestriel!CJ65="",IPC_Trimestriel!CF65=""),"",IPC_Trimestriel!CJ65/IPC_Trimestriel!CF65-1)</f>
        <v>2.1381578947368363E-2</v>
      </c>
      <c r="CG104" s="28">
        <f>IF(OR(IPC_Trimestriel!CK65="",IPC_Trimestriel!CG65=""),"",IPC_Trimestriel!CK65/IPC_Trimestriel!CG65-1)</f>
        <v>9.7181729834792119E-3</v>
      </c>
      <c r="CH104" s="28">
        <f>IF(OR(IPC_Trimestriel!CL65="",IPC_Trimestriel!CH65=""),"",IPC_Trimestriel!CL65/IPC_Trimestriel!CH65-1)</f>
        <v>2.6697429136453454E-2</v>
      </c>
      <c r="CI104" s="28">
        <f>IF(OR(IPC_Trimestriel!CM65="",IPC_Trimestriel!CI65=""),"",IPC_Trimestriel!CM65/IPC_Trimestriel!CI65-1)</f>
        <v>2.0969855832241313E-2</v>
      </c>
      <c r="CJ104" s="28">
        <f>IF(OR(IPC_Trimestriel!CN65="",IPC_Trimestriel!CJ65=""),"",IPC_Trimestriel!CN65/IPC_Trimestriel!CJ65-1)</f>
        <v>2.4728071638610238E-2</v>
      </c>
      <c r="CK104" s="28">
        <f>IF(OR(IPC_Trimestriel!CO65="",IPC_Trimestriel!CK65=""),"",IPC_Trimestriel!CO65/IPC_Trimestriel!CK65-1)</f>
        <v>3.2434892179156849E-2</v>
      </c>
      <c r="CL104" s="28">
        <f>IF(OR(IPC_Trimestriel!CP65="",IPC_Trimestriel!CL65=""),"",IPC_Trimestriel!CP65/IPC_Trimestriel!CL65-1)</f>
        <v>3.1682281203724516E-2</v>
      </c>
      <c r="CM104" s="28">
        <f>IF(OR(IPC_Trimestriel!CQ65="",IPC_Trimestriel!CM65=""),"",IPC_Trimestriel!CQ65/IPC_Trimestriel!CM65-1)</f>
        <v>3.2737697697476476E-2</v>
      </c>
      <c r="CN104" s="28">
        <f>IF(OR(IPC_Trimestriel!CR65="",IPC_Trimestriel!CN65=""),"",IPC_Trimestriel!CR65/IPC_Trimestriel!CN65-1)</f>
        <v>3.1776797641273058E-2</v>
      </c>
      <c r="CO104" s="28">
        <f>IF(OR(IPC_Trimestriel!CS65="",IPC_Trimestriel!CO65=""),"",IPC_Trimestriel!CS65/IPC_Trimestriel!CO65-1)</f>
        <v>3.8145268957271439E-2</v>
      </c>
      <c r="CP104" s="28">
        <f>IF(OR(IPC_Trimestriel!CT65="",IPC_Trimestriel!CP65=""),"",IPC_Trimestriel!CT65/IPC_Trimestriel!CP65-1)</f>
        <v>5.0738653424061697E-2</v>
      </c>
    </row>
    <row r="105" spans="1:94" x14ac:dyDescent="0.25">
      <c r="A105" s="11"/>
      <c r="B105" s="73" t="s">
        <v>43</v>
      </c>
      <c r="C105" s="17"/>
      <c r="D105" s="28" t="str">
        <f>IF(OR(IPC_Trimestriel!H66="",IPC_Trimestriel!D66=""),"",IPC_Trimestriel!H66/IPC_Trimestriel!D66-1)</f>
        <v/>
      </c>
      <c r="E105" s="28" t="str">
        <f>IF(OR(IPC_Trimestriel!I66="",IPC_Trimestriel!E66=""),"",IPC_Trimestriel!I66/IPC_Trimestriel!E66-1)</f>
        <v/>
      </c>
      <c r="F105" s="28" t="str">
        <f>IF(OR(IPC_Trimestriel!J66="",IPC_Trimestriel!F66=""),"",IPC_Trimestriel!J66/IPC_Trimestriel!F66-1)</f>
        <v/>
      </c>
      <c r="G105" s="28" t="str">
        <f>IF(OR(IPC_Trimestriel!K66="",IPC_Trimestriel!G66=""),"",IPC_Trimestriel!K66/IPC_Trimestriel!G66-1)</f>
        <v/>
      </c>
      <c r="H105" s="28" t="str">
        <f>IF(OR(IPC_Trimestriel!L66="",IPC_Trimestriel!H66=""),"",IPC_Trimestriel!L66/IPC_Trimestriel!H66-1)</f>
        <v/>
      </c>
      <c r="I105" s="28" t="str">
        <f>IF(OR(IPC_Trimestriel!M66="",IPC_Trimestriel!I66=""),"",IPC_Trimestriel!M66/IPC_Trimestriel!I66-1)</f>
        <v/>
      </c>
      <c r="J105" s="28" t="str">
        <f>IF(OR(IPC_Trimestriel!N66="",IPC_Trimestriel!J66=""),"",IPC_Trimestriel!N66/IPC_Trimestriel!J66-1)</f>
        <v/>
      </c>
      <c r="K105" s="28" t="str">
        <f>IF(OR(IPC_Trimestriel!O66="",IPC_Trimestriel!K66=""),"",IPC_Trimestriel!O66/IPC_Trimestriel!K66-1)</f>
        <v/>
      </c>
      <c r="L105" s="28" t="str">
        <f>IF(OR(IPC_Trimestriel!P66="",IPC_Trimestriel!L66=""),"",IPC_Trimestriel!P66/IPC_Trimestriel!L66-1)</f>
        <v/>
      </c>
      <c r="M105" s="28" t="str">
        <f>IF(OR(IPC_Trimestriel!Q66="",IPC_Trimestriel!M66=""),"",IPC_Trimestriel!Q66/IPC_Trimestriel!M66-1)</f>
        <v/>
      </c>
      <c r="N105" s="28" t="str">
        <f>IF(OR(IPC_Trimestriel!R66="",IPC_Trimestriel!N66=""),"",IPC_Trimestriel!R66/IPC_Trimestriel!N66-1)</f>
        <v/>
      </c>
      <c r="O105" s="28" t="str">
        <f>IF(OR(IPC_Trimestriel!S66="",IPC_Trimestriel!O66=""),"",IPC_Trimestriel!S66/IPC_Trimestriel!O66-1)</f>
        <v/>
      </c>
      <c r="P105" s="28" t="str">
        <f>IF(OR(IPC_Trimestriel!T66="",IPC_Trimestriel!P66=""),"",IPC_Trimestriel!T66/IPC_Trimestriel!P66-1)</f>
        <v/>
      </c>
      <c r="Q105" s="28" t="str">
        <f>IF(OR(IPC_Trimestriel!U66="",IPC_Trimestriel!Q66=""),"",IPC_Trimestriel!U66/IPC_Trimestriel!Q66-1)</f>
        <v/>
      </c>
      <c r="R105" s="28" t="str">
        <f>IF(OR(IPC_Trimestriel!V66="",IPC_Trimestriel!R66=""),"",IPC_Trimestriel!V66/IPC_Trimestriel!R66-1)</f>
        <v/>
      </c>
      <c r="S105" s="28" t="str">
        <f>IF(OR(IPC_Trimestriel!W66="",IPC_Trimestriel!S66=""),"",IPC_Trimestriel!W66/IPC_Trimestriel!S66-1)</f>
        <v/>
      </c>
      <c r="T105" s="28" t="str">
        <f>IF(OR(IPC_Trimestriel!X66="",IPC_Trimestriel!T66=""),"",IPC_Trimestriel!X66/IPC_Trimestriel!T66-1)</f>
        <v/>
      </c>
      <c r="U105" s="28" t="str">
        <f>IF(OR(IPC_Trimestriel!Y66="",IPC_Trimestriel!U66=""),"",IPC_Trimestriel!Y66/IPC_Trimestriel!U66-1)</f>
        <v/>
      </c>
      <c r="V105" s="28" t="str">
        <f>IF(OR(IPC_Trimestriel!Z66="",IPC_Trimestriel!V66=""),"",IPC_Trimestriel!Z66/IPC_Trimestriel!V66-1)</f>
        <v/>
      </c>
      <c r="W105" s="28" t="str">
        <f>IF(OR(IPC_Trimestriel!AA66="",IPC_Trimestriel!W66=""),"",IPC_Trimestriel!AA66/IPC_Trimestriel!W66-1)</f>
        <v/>
      </c>
      <c r="X105" s="28" t="str">
        <f>IF(OR(IPC_Trimestriel!AB66="",IPC_Trimestriel!X66=""),"",IPC_Trimestriel!AB66/IPC_Trimestriel!X66-1)</f>
        <v/>
      </c>
      <c r="Y105" s="28" t="str">
        <f>IF(OR(IPC_Trimestriel!AC66="",IPC_Trimestriel!Y66=""),"",IPC_Trimestriel!AC66/IPC_Trimestriel!Y66-1)</f>
        <v/>
      </c>
      <c r="Z105" s="28" t="str">
        <f>IF(OR(IPC_Trimestriel!AD66="",IPC_Trimestriel!Z66=""),"",IPC_Trimestriel!AD66/IPC_Trimestriel!Z66-1)</f>
        <v/>
      </c>
      <c r="AA105" s="28" t="str">
        <f>IF(OR(IPC_Trimestriel!AE66="",IPC_Trimestriel!AA66=""),"",IPC_Trimestriel!AE66/IPC_Trimestriel!AA66-1)</f>
        <v/>
      </c>
      <c r="AB105" s="28" t="str">
        <f>IF(OR(IPC_Trimestriel!AF66="",IPC_Trimestriel!AB66=""),"",IPC_Trimestriel!AF66/IPC_Trimestriel!AB66-1)</f>
        <v/>
      </c>
      <c r="AC105" s="28" t="str">
        <f>IF(OR(IPC_Trimestriel!AG66="",IPC_Trimestriel!AC66=""),"",IPC_Trimestriel!AG66/IPC_Trimestriel!AC66-1)</f>
        <v/>
      </c>
      <c r="AD105" s="28" t="str">
        <f>IF(OR(IPC_Trimestriel!AH66="",IPC_Trimestriel!AD66=""),"",IPC_Trimestriel!AH66/IPC_Trimestriel!AD66-1)</f>
        <v/>
      </c>
      <c r="AE105" s="28" t="str">
        <f>IF(OR(IPC_Trimestriel!AI66="",IPC_Trimestriel!AE66=""),"",IPC_Trimestriel!AI66/IPC_Trimestriel!AE66-1)</f>
        <v/>
      </c>
      <c r="AF105" s="28" t="str">
        <f>IF(OR(IPC_Trimestriel!AJ66="",IPC_Trimestriel!AF66=""),"",IPC_Trimestriel!AJ66/IPC_Trimestriel!AF66-1)</f>
        <v/>
      </c>
      <c r="AG105" s="28" t="str">
        <f>IF(OR(IPC_Trimestriel!AK66="",IPC_Trimestriel!AG66=""),"",IPC_Trimestriel!AK66/IPC_Trimestriel!AG66-1)</f>
        <v/>
      </c>
      <c r="AH105" s="28" t="str">
        <f>IF(OR(IPC_Trimestriel!AL66="",IPC_Trimestriel!AH66=""),"",IPC_Trimestriel!AL66/IPC_Trimestriel!AH66-1)</f>
        <v/>
      </c>
      <c r="AI105" s="28" t="str">
        <f>IF(OR(IPC_Trimestriel!AM66="",IPC_Trimestriel!AI66=""),"",IPC_Trimestriel!AM66/IPC_Trimestriel!AI66-1)</f>
        <v/>
      </c>
      <c r="AJ105" s="28" t="str">
        <f>IF(OR(IPC_Trimestriel!AN66="",IPC_Trimestriel!AJ66=""),"",IPC_Trimestriel!AN66/IPC_Trimestriel!AJ66-1)</f>
        <v/>
      </c>
      <c r="AK105" s="28" t="str">
        <f>IF(OR(IPC_Trimestriel!AO66="",IPC_Trimestriel!AK66=""),"",IPC_Trimestriel!AO66/IPC_Trimestriel!AK66-1)</f>
        <v/>
      </c>
      <c r="AL105" s="28" t="str">
        <f>IF(OR(IPC_Trimestriel!AP66="",IPC_Trimestriel!AL66=""),"",IPC_Trimestriel!AP66/IPC_Trimestriel!AL66-1)</f>
        <v/>
      </c>
      <c r="AM105" s="28" t="str">
        <f>IF(OR(IPC_Trimestriel!AQ66="",IPC_Trimestriel!AM66=""),"",IPC_Trimestriel!AQ66/IPC_Trimestriel!AM66-1)</f>
        <v/>
      </c>
      <c r="AN105" s="28" t="str">
        <f>IF(OR(IPC_Trimestriel!AR66="",IPC_Trimestriel!AN66=""),"",IPC_Trimestriel!AR66/IPC_Trimestriel!AN66-1)</f>
        <v/>
      </c>
      <c r="AO105" s="28" t="str">
        <f>IF(OR(IPC_Trimestriel!AS66="",IPC_Trimestriel!AO66=""),"",IPC_Trimestriel!AS66/IPC_Trimestriel!AO66-1)</f>
        <v/>
      </c>
      <c r="AP105" s="28" t="str">
        <f>IF(OR(IPC_Trimestriel!AT66="",IPC_Trimestriel!AP66=""),"",IPC_Trimestriel!AT66/IPC_Trimestriel!AP66-1)</f>
        <v/>
      </c>
      <c r="AQ105" s="28" t="str">
        <f>IF(OR(IPC_Trimestriel!AU66="",IPC_Trimestriel!AQ66=""),"",IPC_Trimestriel!AU66/IPC_Trimestriel!AQ66-1)</f>
        <v/>
      </c>
      <c r="AR105" s="28" t="str">
        <f>IF(OR(IPC_Trimestriel!AV66="",IPC_Trimestriel!AR66=""),"",IPC_Trimestriel!AV66/IPC_Trimestriel!AR66-1)</f>
        <v/>
      </c>
      <c r="AS105" s="28" t="str">
        <f>IF(OR(IPC_Trimestriel!AW66="",IPC_Trimestriel!AS66=""),"",IPC_Trimestriel!AW66/IPC_Trimestriel!AS66-1)</f>
        <v/>
      </c>
      <c r="AT105" s="28" t="str">
        <f>IF(OR(IPC_Trimestriel!AX66="",IPC_Trimestriel!AT66=""),"",IPC_Trimestriel!AX66/IPC_Trimestriel!AT66-1)</f>
        <v/>
      </c>
      <c r="AU105" s="28" t="str">
        <f>IF(OR(IPC_Trimestriel!AY66="",IPC_Trimestriel!AU66=""),"",IPC_Trimestriel!AY66/IPC_Trimestriel!AU66-1)</f>
        <v/>
      </c>
      <c r="AV105" s="28" t="str">
        <f>IF(OR(IPC_Trimestriel!AZ66="",IPC_Trimestriel!AV66=""),"",IPC_Trimestriel!AZ66/IPC_Trimestriel!AV66-1)</f>
        <v/>
      </c>
      <c r="AW105" s="28" t="str">
        <f>IF(OR(IPC_Trimestriel!BA66="",IPC_Trimestriel!AW66=""),"",IPC_Trimestriel!BA66/IPC_Trimestriel!AW66-1)</f>
        <v/>
      </c>
      <c r="AX105" s="28" t="str">
        <f>IF(OR(IPC_Trimestriel!BB66="",IPC_Trimestriel!AX66=""),"",IPC_Trimestriel!BB66/IPC_Trimestriel!AX66-1)</f>
        <v/>
      </c>
      <c r="AY105" s="28" t="str">
        <f>IF(OR(IPC_Trimestriel!BC66="",IPC_Trimestriel!AY66=""),"",IPC_Trimestriel!BC66/IPC_Trimestriel!AY66-1)</f>
        <v/>
      </c>
      <c r="AZ105" s="28" t="str">
        <f>IF(OR(IPC_Trimestriel!BD66="",IPC_Trimestriel!AZ66=""),"",IPC_Trimestriel!BD66/IPC_Trimestriel!AZ66-1)</f>
        <v/>
      </c>
      <c r="BA105" s="28" t="str">
        <f>IF(OR(IPC_Trimestriel!BE66="",IPC_Trimestriel!BA66=""),"",IPC_Trimestriel!BE66/IPC_Trimestriel!BA66-1)</f>
        <v/>
      </c>
      <c r="BB105" s="28" t="str">
        <f>IF(OR(IPC_Trimestriel!BF66="",IPC_Trimestriel!BB66=""),"",IPC_Trimestriel!BF66/IPC_Trimestriel!BB66-1)</f>
        <v/>
      </c>
      <c r="BC105" s="28" t="str">
        <f>IF(OR(IPC_Trimestriel!BG66="",IPC_Trimestriel!BC66=""),"",IPC_Trimestriel!BG66/IPC_Trimestriel!BC66-1)</f>
        <v/>
      </c>
      <c r="BD105" s="28" t="str">
        <f>IF(OR(IPC_Trimestriel!BH66="",IPC_Trimestriel!BD66=""),"",IPC_Trimestriel!BH66/IPC_Trimestriel!BD66-1)</f>
        <v/>
      </c>
      <c r="BE105" s="28" t="str">
        <f>IF(OR(IPC_Trimestriel!BI66="",IPC_Trimestriel!BE66=""),"",IPC_Trimestriel!BI66/IPC_Trimestriel!BE66-1)</f>
        <v/>
      </c>
      <c r="BF105" s="28" t="str">
        <f>IF(OR(IPC_Trimestriel!BJ66="",IPC_Trimestriel!BF66=""),"",IPC_Trimestriel!BJ66/IPC_Trimestriel!BF66-1)</f>
        <v/>
      </c>
      <c r="BG105" s="28" t="str">
        <f>IF(OR(IPC_Trimestriel!BK66="",IPC_Trimestriel!BG66=""),"",IPC_Trimestriel!BK66/IPC_Trimestriel!BG66-1)</f>
        <v/>
      </c>
      <c r="BH105" s="28" t="str">
        <f>IF(OR(IPC_Trimestriel!BL66="",IPC_Trimestriel!BH66=""),"",IPC_Trimestriel!BL66/IPC_Trimestriel!BH66-1)</f>
        <v/>
      </c>
      <c r="BI105" s="28" t="str">
        <f>IF(OR(IPC_Trimestriel!BM66="",IPC_Trimestriel!BI66=""),"",IPC_Trimestriel!BM66/IPC_Trimestriel!BI66-1)</f>
        <v/>
      </c>
      <c r="BJ105" s="28" t="str">
        <f>IF(OR(IPC_Trimestriel!BN66="",IPC_Trimestriel!BJ66=""),"",IPC_Trimestriel!BN66/IPC_Trimestriel!BJ66-1)</f>
        <v/>
      </c>
      <c r="BK105" s="28" t="str">
        <f>IF(OR(IPC_Trimestriel!BO66="",IPC_Trimestriel!BK66=""),"",IPC_Trimestriel!BO66/IPC_Trimestriel!BK66-1)</f>
        <v/>
      </c>
      <c r="BL105" s="28" t="str">
        <f>IF(OR(IPC_Trimestriel!BP66="",IPC_Trimestriel!BL66=""),"",IPC_Trimestriel!BP66/IPC_Trimestriel!BL66-1)</f>
        <v/>
      </c>
      <c r="BM105" s="28" t="str">
        <f>IF(OR(IPC_Trimestriel!BQ66="",IPC_Trimestriel!BM66=""),"",IPC_Trimestriel!BQ66/IPC_Trimestriel!BM66-1)</f>
        <v/>
      </c>
      <c r="BN105" s="28" t="str">
        <f>IF(OR(IPC_Trimestriel!BR66="",IPC_Trimestriel!BN66=""),"",IPC_Trimestriel!BR66/IPC_Trimestriel!BN66-1)</f>
        <v/>
      </c>
      <c r="BO105" s="28" t="str">
        <f>IF(OR(IPC_Trimestriel!BS66="",IPC_Trimestriel!BO66=""),"",IPC_Trimestriel!BS66/IPC_Trimestriel!BO66-1)</f>
        <v/>
      </c>
      <c r="BP105" s="28" t="str">
        <f>IF(OR(IPC_Trimestriel!BT66="",IPC_Trimestriel!BP66=""),"",IPC_Trimestriel!BT66/IPC_Trimestriel!BP66-1)</f>
        <v/>
      </c>
      <c r="BQ105" s="28" t="str">
        <f>IF(OR(IPC_Trimestriel!BU66="",IPC_Trimestriel!BQ66=""),"",IPC_Trimestriel!BU66/IPC_Trimestriel!BQ66-1)</f>
        <v/>
      </c>
      <c r="BR105" s="28" t="str">
        <f>IF(OR(IPC_Trimestriel!BV66="",IPC_Trimestriel!BR66=""),"",IPC_Trimestriel!BV66/IPC_Trimestriel!BR66-1)</f>
        <v/>
      </c>
      <c r="BS105" s="28" t="str">
        <f>IF(OR(IPC_Trimestriel!BW66="",IPC_Trimestriel!BS66=""),"",IPC_Trimestriel!BW66/IPC_Trimestriel!BS66-1)</f>
        <v/>
      </c>
      <c r="BT105" s="28" t="str">
        <f>IF(OR(IPC_Trimestriel!BX66="",IPC_Trimestriel!BT66=""),"",IPC_Trimestriel!BX66/IPC_Trimestriel!BT66-1)</f>
        <v/>
      </c>
      <c r="BU105" s="28" t="str">
        <f>IF(OR(IPC_Trimestriel!BY66="",IPC_Trimestriel!BU66=""),"",IPC_Trimestriel!BY66/IPC_Trimestriel!BU66-1)</f>
        <v/>
      </c>
      <c r="BV105" s="28" t="str">
        <f>IF(OR(IPC_Trimestriel!BZ66="",IPC_Trimestriel!BV66=""),"",IPC_Trimestriel!BZ66/IPC_Trimestriel!BV66-1)</f>
        <v/>
      </c>
      <c r="BW105" s="28" t="str">
        <f>IF(OR(IPC_Trimestriel!CA66="",IPC_Trimestriel!BW66=""),"",IPC_Trimestriel!CA66/IPC_Trimestriel!BW66-1)</f>
        <v/>
      </c>
      <c r="BX105" s="28">
        <f>IF(OR(IPC_Trimestriel!CB66="",IPC_Trimestriel!BX66=""),"",IPC_Trimestriel!CB66/IPC_Trimestriel!BX66-1)</f>
        <v>2.8953414682680645E-2</v>
      </c>
      <c r="BY105" s="28">
        <f>IF(OR(IPC_Trimestriel!CC66="",IPC_Trimestriel!BY66=""),"",IPC_Trimestriel!CC66/IPC_Trimestriel!BY66-1)</f>
        <v>1.060823851630821E-2</v>
      </c>
      <c r="BZ105" s="28">
        <f>IF(OR(IPC_Trimestriel!CD66="",IPC_Trimestriel!BZ66=""),"",IPC_Trimestriel!CD66/IPC_Trimestriel!BZ66-1)</f>
        <v>-2.2162150242486245E-3</v>
      </c>
      <c r="CA105" s="28">
        <f>IF(OR(IPC_Trimestriel!CE66="",IPC_Trimestriel!CA66=""),"",IPC_Trimestriel!CE66/IPC_Trimestriel!CA66-1)</f>
        <v>-9.0049775704161839E-3</v>
      </c>
      <c r="CB105" s="28">
        <f>IF(OR(IPC_Trimestriel!CF66="",IPC_Trimestriel!CB66=""),"",IPC_Trimestriel!CF66/IPC_Trimestriel!CB66-1)</f>
        <v>9.4658454941218828E-3</v>
      </c>
      <c r="CC105" s="28">
        <f>IF(OR(IPC_Trimestriel!CG66="",IPC_Trimestriel!CC66=""),"",IPC_Trimestriel!CG66/IPC_Trimestriel!CC66-1)</f>
        <v>1.06728170558128E-2</v>
      </c>
      <c r="CD105" s="28">
        <f>IF(OR(IPC_Trimestriel!CH66="",IPC_Trimestriel!CD66=""),"",IPC_Trimestriel!CH66/IPC_Trimestriel!CD66-1)</f>
        <v>1.8351779894973275E-2</v>
      </c>
      <c r="CE105" s="28">
        <f>IF(OR(IPC_Trimestriel!CI66="",IPC_Trimestriel!CE66=""),"",IPC_Trimestriel!CI66/IPC_Trimestriel!CE66-1)</f>
        <v>1.7638047623617537E-2</v>
      </c>
      <c r="CF105" s="28">
        <f>IF(OR(IPC_Trimestriel!CJ66="",IPC_Trimestriel!CF66=""),"",IPC_Trimestriel!CJ66/IPC_Trimestriel!CF66-1)</f>
        <v>1.6496205872648995E-2</v>
      </c>
      <c r="CG105" s="28">
        <f>IF(OR(IPC_Trimestriel!CK66="",IPC_Trimestriel!CG66=""),"",IPC_Trimestriel!CK66/IPC_Trimestriel!CG66-1)</f>
        <v>9.2927167094185581E-3</v>
      </c>
      <c r="CH105" s="28">
        <f>IF(OR(IPC_Trimestriel!CL66="",IPC_Trimestriel!CH66=""),"",IPC_Trimestriel!CL66/IPC_Trimestriel!CH66-1)</f>
        <v>6.1668289516390029E-3</v>
      </c>
      <c r="CI105" s="28">
        <f>IF(OR(IPC_Trimestriel!CM66="",IPC_Trimestriel!CI66=""),"",IPC_Trimestriel!CM66/IPC_Trimestriel!CI66-1)</f>
        <v>1.2399376785250382E-2</v>
      </c>
      <c r="CJ105" s="28">
        <f>IF(OR(IPC_Trimestriel!CN66="",IPC_Trimestriel!CJ66=""),"",IPC_Trimestriel!CN66/IPC_Trimestriel!CJ66-1)</f>
        <v>2.3901330736773918E-2</v>
      </c>
      <c r="CK105" s="28">
        <f>IF(OR(IPC_Trimestriel!CO66="",IPC_Trimestriel!CK66=""),"",IPC_Trimestriel!CO66/IPC_Trimestriel!CK66-1)</f>
        <v>3.5413426645930501E-2</v>
      </c>
      <c r="CL105" s="28">
        <f>IF(OR(IPC_Trimestriel!CP66="",IPC_Trimestriel!CL66=""),"",IPC_Trimestriel!CP66/IPC_Trimestriel!CL66-1)</f>
        <v>5.4451612903225755E-2</v>
      </c>
      <c r="CM105" s="28">
        <f>IF(OR(IPC_Trimestriel!CQ66="",IPC_Trimestriel!CM66=""),"",IPC_Trimestriel!CQ66/IPC_Trimestriel!CM66-1)</f>
        <v>5.5530618788073083E-2</v>
      </c>
      <c r="CN105" s="28">
        <f>IF(OR(IPC_Trimestriel!CR66="",IPC_Trimestriel!CN66=""),"",IPC_Trimestriel!CR66/IPC_Trimestriel!CN66-1)</f>
        <v>4.8075216189485959E-2</v>
      </c>
      <c r="CO105" s="28">
        <f>IF(OR(IPC_Trimestriel!CS66="",IPC_Trimestriel!CO66=""),"",IPC_Trimestriel!CS66/IPC_Trimestriel!CO66-1)</f>
        <v>4.3859735949598022E-2</v>
      </c>
      <c r="CP105" s="28">
        <f>IF(OR(IPC_Trimestriel!CT66="",IPC_Trimestriel!CP66=""),"",IPC_Trimestriel!CT66/IPC_Trimestriel!CP66-1)</f>
        <v>2.9203182275070461E-2</v>
      </c>
    </row>
    <row r="106" spans="1:94" x14ac:dyDescent="0.25">
      <c r="A106" s="11"/>
      <c r="B106" s="73" t="s">
        <v>44</v>
      </c>
      <c r="C106" s="17"/>
      <c r="D106" s="28" t="str">
        <f>IF(OR(IPC_Trimestriel!H67="",IPC_Trimestriel!D67=""),"",IPC_Trimestriel!H67/IPC_Trimestriel!D67-1)</f>
        <v/>
      </c>
      <c r="E106" s="28" t="str">
        <f>IF(OR(IPC_Trimestriel!I67="",IPC_Trimestriel!E67=""),"",IPC_Trimestriel!I67/IPC_Trimestriel!E67-1)</f>
        <v/>
      </c>
      <c r="F106" s="28" t="str">
        <f>IF(OR(IPC_Trimestriel!J67="",IPC_Trimestriel!F67=""),"",IPC_Trimestriel!J67/IPC_Trimestriel!F67-1)</f>
        <v/>
      </c>
      <c r="G106" s="28" t="str">
        <f>IF(OR(IPC_Trimestriel!K67="",IPC_Trimestriel!G67=""),"",IPC_Trimestriel!K67/IPC_Trimestriel!G67-1)</f>
        <v/>
      </c>
      <c r="H106" s="28" t="str">
        <f>IF(OR(IPC_Trimestriel!L67="",IPC_Trimestriel!H67=""),"",IPC_Trimestriel!L67/IPC_Trimestriel!H67-1)</f>
        <v/>
      </c>
      <c r="I106" s="28" t="str">
        <f>IF(OR(IPC_Trimestriel!M67="",IPC_Trimestriel!I67=""),"",IPC_Trimestriel!M67/IPC_Trimestriel!I67-1)</f>
        <v/>
      </c>
      <c r="J106" s="28" t="str">
        <f>IF(OR(IPC_Trimestriel!N67="",IPC_Trimestriel!J67=""),"",IPC_Trimestriel!N67/IPC_Trimestriel!J67-1)</f>
        <v/>
      </c>
      <c r="K106" s="28" t="str">
        <f>IF(OR(IPC_Trimestriel!O67="",IPC_Trimestriel!K67=""),"",IPC_Trimestriel!O67/IPC_Trimestriel!K67-1)</f>
        <v/>
      </c>
      <c r="L106" s="28" t="str">
        <f>IF(OR(IPC_Trimestriel!P67="",IPC_Trimestriel!L67=""),"",IPC_Trimestriel!P67/IPC_Trimestriel!L67-1)</f>
        <v/>
      </c>
      <c r="M106" s="28" t="str">
        <f>IF(OR(IPC_Trimestriel!Q67="",IPC_Trimestriel!M67=""),"",IPC_Trimestriel!Q67/IPC_Trimestriel!M67-1)</f>
        <v/>
      </c>
      <c r="N106" s="28" t="str">
        <f>IF(OR(IPC_Trimestriel!R67="",IPC_Trimestriel!N67=""),"",IPC_Trimestriel!R67/IPC_Trimestriel!N67-1)</f>
        <v/>
      </c>
      <c r="O106" s="28" t="str">
        <f>IF(OR(IPC_Trimestriel!S67="",IPC_Trimestriel!O67=""),"",IPC_Trimestriel!S67/IPC_Trimestriel!O67-1)</f>
        <v/>
      </c>
      <c r="P106" s="28" t="str">
        <f>IF(OR(IPC_Trimestriel!T67="",IPC_Trimestriel!P67=""),"",IPC_Trimestriel!T67/IPC_Trimestriel!P67-1)</f>
        <v/>
      </c>
      <c r="Q106" s="28" t="str">
        <f>IF(OR(IPC_Trimestriel!U67="",IPC_Trimestriel!Q67=""),"",IPC_Trimestriel!U67/IPC_Trimestriel!Q67-1)</f>
        <v/>
      </c>
      <c r="R106" s="28" t="str">
        <f>IF(OR(IPC_Trimestriel!V67="",IPC_Trimestriel!R67=""),"",IPC_Trimestriel!V67/IPC_Trimestriel!R67-1)</f>
        <v/>
      </c>
      <c r="S106" s="28" t="str">
        <f>IF(OR(IPC_Trimestriel!W67="",IPC_Trimestriel!S67=""),"",IPC_Trimestriel!W67/IPC_Trimestriel!S67-1)</f>
        <v/>
      </c>
      <c r="T106" s="28" t="str">
        <f>IF(OR(IPC_Trimestriel!X67="",IPC_Trimestriel!T67=""),"",IPC_Trimestriel!X67/IPC_Trimestriel!T67-1)</f>
        <v/>
      </c>
      <c r="U106" s="28" t="str">
        <f>IF(OR(IPC_Trimestriel!Y67="",IPC_Trimestriel!U67=""),"",IPC_Trimestriel!Y67/IPC_Trimestriel!U67-1)</f>
        <v/>
      </c>
      <c r="V106" s="28" t="str">
        <f>IF(OR(IPC_Trimestriel!Z67="",IPC_Trimestriel!V67=""),"",IPC_Trimestriel!Z67/IPC_Trimestriel!V67-1)</f>
        <v/>
      </c>
      <c r="W106" s="28" t="str">
        <f>IF(OR(IPC_Trimestriel!AA67="",IPC_Trimestriel!W67=""),"",IPC_Trimestriel!AA67/IPC_Trimestriel!W67-1)</f>
        <v/>
      </c>
      <c r="X106" s="28" t="str">
        <f>IF(OR(IPC_Trimestriel!AB67="",IPC_Trimestriel!X67=""),"",IPC_Trimestriel!AB67/IPC_Trimestriel!X67-1)</f>
        <v/>
      </c>
      <c r="Y106" s="28" t="str">
        <f>IF(OR(IPC_Trimestriel!AC67="",IPC_Trimestriel!Y67=""),"",IPC_Trimestriel!AC67/IPC_Trimestriel!Y67-1)</f>
        <v/>
      </c>
      <c r="Z106" s="28" t="str">
        <f>IF(OR(IPC_Trimestriel!AD67="",IPC_Trimestriel!Z67=""),"",IPC_Trimestriel!AD67/IPC_Trimestriel!Z67-1)</f>
        <v/>
      </c>
      <c r="AA106" s="28" t="str">
        <f>IF(OR(IPC_Trimestriel!AE67="",IPC_Trimestriel!AA67=""),"",IPC_Trimestriel!AE67/IPC_Trimestriel!AA67-1)</f>
        <v/>
      </c>
      <c r="AB106" s="28" t="str">
        <f>IF(OR(IPC_Trimestriel!AF67="",IPC_Trimestriel!AB67=""),"",IPC_Trimestriel!AF67/IPC_Trimestriel!AB67-1)</f>
        <v/>
      </c>
      <c r="AC106" s="28" t="str">
        <f>IF(OR(IPC_Trimestriel!AG67="",IPC_Trimestriel!AC67=""),"",IPC_Trimestriel!AG67/IPC_Trimestriel!AC67-1)</f>
        <v/>
      </c>
      <c r="AD106" s="28" t="str">
        <f>IF(OR(IPC_Trimestriel!AH67="",IPC_Trimestriel!AD67=""),"",IPC_Trimestriel!AH67/IPC_Trimestriel!AD67-1)</f>
        <v/>
      </c>
      <c r="AE106" s="28" t="str">
        <f>IF(OR(IPC_Trimestriel!AI67="",IPC_Trimestriel!AE67=""),"",IPC_Trimestriel!AI67/IPC_Trimestriel!AE67-1)</f>
        <v/>
      </c>
      <c r="AF106" s="28" t="str">
        <f>IF(OR(IPC_Trimestriel!AJ67="",IPC_Trimestriel!AF67=""),"",IPC_Trimestriel!AJ67/IPC_Trimestriel!AF67-1)</f>
        <v/>
      </c>
      <c r="AG106" s="28" t="str">
        <f>IF(OR(IPC_Trimestriel!AK67="",IPC_Trimestriel!AG67=""),"",IPC_Trimestriel!AK67/IPC_Trimestriel!AG67-1)</f>
        <v/>
      </c>
      <c r="AH106" s="28" t="str">
        <f>IF(OR(IPC_Trimestriel!AL67="",IPC_Trimestriel!AH67=""),"",IPC_Trimestriel!AL67/IPC_Trimestriel!AH67-1)</f>
        <v/>
      </c>
      <c r="AI106" s="28" t="str">
        <f>IF(OR(IPC_Trimestriel!AM67="",IPC_Trimestriel!AI67=""),"",IPC_Trimestriel!AM67/IPC_Trimestriel!AI67-1)</f>
        <v/>
      </c>
      <c r="AJ106" s="28" t="str">
        <f>IF(OR(IPC_Trimestriel!AN67="",IPC_Trimestriel!AJ67=""),"",IPC_Trimestriel!AN67/IPC_Trimestriel!AJ67-1)</f>
        <v/>
      </c>
      <c r="AK106" s="28" t="str">
        <f>IF(OR(IPC_Trimestriel!AO67="",IPC_Trimestriel!AK67=""),"",IPC_Trimestriel!AO67/IPC_Trimestriel!AK67-1)</f>
        <v/>
      </c>
      <c r="AL106" s="28" t="str">
        <f>IF(OR(IPC_Trimestriel!AP67="",IPC_Trimestriel!AL67=""),"",IPC_Trimestriel!AP67/IPC_Trimestriel!AL67-1)</f>
        <v/>
      </c>
      <c r="AM106" s="28" t="str">
        <f>IF(OR(IPC_Trimestriel!AQ67="",IPC_Trimestriel!AM67=""),"",IPC_Trimestriel!AQ67/IPC_Trimestriel!AM67-1)</f>
        <v/>
      </c>
      <c r="AN106" s="28" t="str">
        <f>IF(OR(IPC_Trimestriel!AR67="",IPC_Trimestriel!AN67=""),"",IPC_Trimestriel!AR67/IPC_Trimestriel!AN67-1)</f>
        <v/>
      </c>
      <c r="AO106" s="28" t="str">
        <f>IF(OR(IPC_Trimestriel!AS67="",IPC_Trimestriel!AO67=""),"",IPC_Trimestriel!AS67/IPC_Trimestriel!AO67-1)</f>
        <v/>
      </c>
      <c r="AP106" s="28" t="str">
        <f>IF(OR(IPC_Trimestriel!AT67="",IPC_Trimestriel!AP67=""),"",IPC_Trimestriel!AT67/IPC_Trimestriel!AP67-1)</f>
        <v/>
      </c>
      <c r="AQ106" s="28" t="str">
        <f>IF(OR(IPC_Trimestriel!AU67="",IPC_Trimestriel!AQ67=""),"",IPC_Trimestriel!AU67/IPC_Trimestriel!AQ67-1)</f>
        <v/>
      </c>
      <c r="AR106" s="28" t="str">
        <f>IF(OR(IPC_Trimestriel!AV67="",IPC_Trimestriel!AR67=""),"",IPC_Trimestriel!AV67/IPC_Trimestriel!AR67-1)</f>
        <v/>
      </c>
      <c r="AS106" s="28" t="str">
        <f>IF(OR(IPC_Trimestriel!AW67="",IPC_Trimestriel!AS67=""),"",IPC_Trimestriel!AW67/IPC_Trimestriel!AS67-1)</f>
        <v/>
      </c>
      <c r="AT106" s="28" t="str">
        <f>IF(OR(IPC_Trimestriel!AX67="",IPC_Trimestriel!AT67=""),"",IPC_Trimestriel!AX67/IPC_Trimestriel!AT67-1)</f>
        <v/>
      </c>
      <c r="AU106" s="28" t="str">
        <f>IF(OR(IPC_Trimestriel!AY67="",IPC_Trimestriel!AU67=""),"",IPC_Trimestriel!AY67/IPC_Trimestriel!AU67-1)</f>
        <v/>
      </c>
      <c r="AV106" s="28" t="str">
        <f>IF(OR(IPC_Trimestriel!AZ67="",IPC_Trimestriel!AV67=""),"",IPC_Trimestriel!AZ67/IPC_Trimestriel!AV67-1)</f>
        <v/>
      </c>
      <c r="AW106" s="28" t="str">
        <f>IF(OR(IPC_Trimestriel!BA67="",IPC_Trimestriel!AW67=""),"",IPC_Trimestriel!BA67/IPC_Trimestriel!AW67-1)</f>
        <v/>
      </c>
      <c r="AX106" s="28" t="str">
        <f>IF(OR(IPC_Trimestriel!BB67="",IPC_Trimestriel!AX67=""),"",IPC_Trimestriel!BB67/IPC_Trimestriel!AX67-1)</f>
        <v/>
      </c>
      <c r="AY106" s="28" t="str">
        <f>IF(OR(IPC_Trimestriel!BC67="",IPC_Trimestriel!AY67=""),"",IPC_Trimestriel!BC67/IPC_Trimestriel!AY67-1)</f>
        <v/>
      </c>
      <c r="AZ106" s="28" t="str">
        <f>IF(OR(IPC_Trimestriel!BD67="",IPC_Trimestriel!AZ67=""),"",IPC_Trimestriel!BD67/IPC_Trimestriel!AZ67-1)</f>
        <v/>
      </c>
      <c r="BA106" s="28" t="str">
        <f>IF(OR(IPC_Trimestriel!BE67="",IPC_Trimestriel!BA67=""),"",IPC_Trimestriel!BE67/IPC_Trimestriel!BA67-1)</f>
        <v/>
      </c>
      <c r="BB106" s="28" t="str">
        <f>IF(OR(IPC_Trimestriel!BF67="",IPC_Trimestriel!BB67=""),"",IPC_Trimestriel!BF67/IPC_Trimestriel!BB67-1)</f>
        <v/>
      </c>
      <c r="BC106" s="28" t="str">
        <f>IF(OR(IPC_Trimestriel!BG67="",IPC_Trimestriel!BC67=""),"",IPC_Trimestriel!BG67/IPC_Trimestriel!BC67-1)</f>
        <v/>
      </c>
      <c r="BD106" s="28" t="str">
        <f>IF(OR(IPC_Trimestriel!BH67="",IPC_Trimestriel!BD67=""),"",IPC_Trimestriel!BH67/IPC_Trimestriel!BD67-1)</f>
        <v/>
      </c>
      <c r="BE106" s="28" t="str">
        <f>IF(OR(IPC_Trimestriel!BI67="",IPC_Trimestriel!BE67=""),"",IPC_Trimestriel!BI67/IPC_Trimestriel!BE67-1)</f>
        <v/>
      </c>
      <c r="BF106" s="28" t="str">
        <f>IF(OR(IPC_Trimestriel!BJ67="",IPC_Trimestriel!BF67=""),"",IPC_Trimestriel!BJ67/IPC_Trimestriel!BF67-1)</f>
        <v/>
      </c>
      <c r="BG106" s="28" t="str">
        <f>IF(OR(IPC_Trimestriel!BK67="",IPC_Trimestriel!BG67=""),"",IPC_Trimestriel!BK67/IPC_Trimestriel!BG67-1)</f>
        <v/>
      </c>
      <c r="BH106" s="28" t="str">
        <f>IF(OR(IPC_Trimestriel!BL67="",IPC_Trimestriel!BH67=""),"",IPC_Trimestriel!BL67/IPC_Trimestriel!BH67-1)</f>
        <v/>
      </c>
      <c r="BI106" s="28" t="str">
        <f>IF(OR(IPC_Trimestriel!BM67="",IPC_Trimestriel!BI67=""),"",IPC_Trimestriel!BM67/IPC_Trimestriel!BI67-1)</f>
        <v/>
      </c>
      <c r="BJ106" s="28" t="str">
        <f>IF(OR(IPC_Trimestriel!BN67="",IPC_Trimestriel!BJ67=""),"",IPC_Trimestriel!BN67/IPC_Trimestriel!BJ67-1)</f>
        <v/>
      </c>
      <c r="BK106" s="28" t="str">
        <f>IF(OR(IPC_Trimestriel!BO67="",IPC_Trimestriel!BK67=""),"",IPC_Trimestriel!BO67/IPC_Trimestriel!BK67-1)</f>
        <v/>
      </c>
      <c r="BL106" s="28" t="str">
        <f>IF(OR(IPC_Trimestriel!BP67="",IPC_Trimestriel!BL67=""),"",IPC_Trimestriel!BP67/IPC_Trimestriel!BL67-1)</f>
        <v/>
      </c>
      <c r="BM106" s="28" t="str">
        <f>IF(OR(IPC_Trimestriel!BQ67="",IPC_Trimestriel!BM67=""),"",IPC_Trimestriel!BQ67/IPC_Trimestriel!BM67-1)</f>
        <v/>
      </c>
      <c r="BN106" s="28" t="str">
        <f>IF(OR(IPC_Trimestriel!BR67="",IPC_Trimestriel!BN67=""),"",IPC_Trimestriel!BR67/IPC_Trimestriel!BN67-1)</f>
        <v/>
      </c>
      <c r="BO106" s="28" t="str">
        <f>IF(OR(IPC_Trimestriel!BS67="",IPC_Trimestriel!BO67=""),"",IPC_Trimestriel!BS67/IPC_Trimestriel!BO67-1)</f>
        <v/>
      </c>
      <c r="BP106" s="28" t="str">
        <f>IF(OR(IPC_Trimestriel!BT67="",IPC_Trimestriel!BP67=""),"",IPC_Trimestriel!BT67/IPC_Trimestriel!BP67-1)</f>
        <v/>
      </c>
      <c r="BQ106" s="28" t="str">
        <f>IF(OR(IPC_Trimestriel!BU67="",IPC_Trimestriel!BQ67=""),"",IPC_Trimestriel!BU67/IPC_Trimestriel!BQ67-1)</f>
        <v/>
      </c>
      <c r="BR106" s="28" t="str">
        <f>IF(OR(IPC_Trimestriel!BV67="",IPC_Trimestriel!BR67=""),"",IPC_Trimestriel!BV67/IPC_Trimestriel!BR67-1)</f>
        <v/>
      </c>
      <c r="BS106" s="28" t="str">
        <f>IF(OR(IPC_Trimestriel!BW67="",IPC_Trimestriel!BS67=""),"",IPC_Trimestriel!BW67/IPC_Trimestriel!BS67-1)</f>
        <v/>
      </c>
      <c r="BT106" s="28" t="str">
        <f>IF(OR(IPC_Trimestriel!BX67="",IPC_Trimestriel!BT67=""),"",IPC_Trimestriel!BX67/IPC_Trimestriel!BT67-1)</f>
        <v/>
      </c>
      <c r="BU106" s="28" t="str">
        <f>IF(OR(IPC_Trimestriel!BY67="",IPC_Trimestriel!BU67=""),"",IPC_Trimestriel!BY67/IPC_Trimestriel!BU67-1)</f>
        <v/>
      </c>
      <c r="BV106" s="28" t="str">
        <f>IF(OR(IPC_Trimestriel!BZ67="",IPC_Trimestriel!BV67=""),"",IPC_Trimestriel!BZ67/IPC_Trimestriel!BV67-1)</f>
        <v/>
      </c>
      <c r="BW106" s="28" t="str">
        <f>IF(OR(IPC_Trimestriel!CA67="",IPC_Trimestriel!BW67=""),"",IPC_Trimestriel!CA67/IPC_Trimestriel!BW67-1)</f>
        <v/>
      </c>
      <c r="BX106" s="28">
        <f>IF(OR(IPC_Trimestriel!CB67="",IPC_Trimestriel!BX67=""),"",IPC_Trimestriel!CB67/IPC_Trimestriel!BX67-1)</f>
        <v>2.5825498027735927E-2</v>
      </c>
      <c r="BY106" s="28">
        <f>IF(OR(IPC_Trimestriel!CC67="",IPC_Trimestriel!BY67=""),"",IPC_Trimestriel!CC67/IPC_Trimestriel!BY67-1)</f>
        <v>-1.2432656444258949E-3</v>
      </c>
      <c r="BZ106" s="28">
        <f>IF(OR(IPC_Trimestriel!CD67="",IPC_Trimestriel!BZ67=""),"",IPC_Trimestriel!CD67/IPC_Trimestriel!BZ67-1)</f>
        <v>-8.4827920504121357E-3</v>
      </c>
      <c r="CA106" s="28">
        <f>IF(OR(IPC_Trimestriel!CE67="",IPC_Trimestriel!CA67=""),"",IPC_Trimestriel!CE67/IPC_Trimestriel!CA67-1)</f>
        <v>3.2478357520234313E-2</v>
      </c>
      <c r="CB106" s="28">
        <f>IF(OR(IPC_Trimestriel!CF67="",IPC_Trimestriel!CB67=""),"",IPC_Trimestriel!CF67/IPC_Trimestriel!CB67-1)</f>
        <v>5.3083434099153504E-2</v>
      </c>
      <c r="CC106" s="28">
        <f>IF(OR(IPC_Trimestriel!CG67="",IPC_Trimestriel!CC67=""),"",IPC_Trimestriel!CG67/IPC_Trimestriel!CC67-1)</f>
        <v>6.9050524774225019E-2</v>
      </c>
      <c r="CD106" s="28">
        <f>IF(OR(IPC_Trimestriel!CH67="",IPC_Trimestriel!CD67=""),"",IPC_Trimestriel!CH67/IPC_Trimestriel!CD67-1)</f>
        <v>6.509410901979984E-2</v>
      </c>
      <c r="CE106" s="28">
        <f>IF(OR(IPC_Trimestriel!CI67="",IPC_Trimestriel!CE67=""),"",IPC_Trimestriel!CI67/IPC_Trimestriel!CE67-1)</f>
        <v>6.6539815238544353E-3</v>
      </c>
      <c r="CF106" s="28">
        <f>IF(OR(IPC_Trimestriel!CJ67="",IPC_Trimestriel!CF67=""),"",IPC_Trimestriel!CJ67/IPC_Trimestriel!CF67-1)</f>
        <v>-1.1712022046159065E-2</v>
      </c>
      <c r="CG106" s="28">
        <f>IF(OR(IPC_Trimestriel!CK67="",IPC_Trimestriel!CG67=""),"",IPC_Trimestriel!CK67/IPC_Trimestriel!CG67-1)</f>
        <v>-1.5205826617046281E-2</v>
      </c>
      <c r="CH106" s="28">
        <f>IF(OR(IPC_Trimestriel!CL67="",IPC_Trimestriel!CH67=""),"",IPC_Trimestriel!CL67/IPC_Trimestriel!CH67-1)</f>
        <v>6.4259977509006916E-4</v>
      </c>
      <c r="CI106" s="28">
        <f>IF(OR(IPC_Trimestriel!CM67="",IPC_Trimestriel!CI67=""),"",IPC_Trimestriel!CM67/IPC_Trimestriel!CI67-1)</f>
        <v>2.2627161867668111E-2</v>
      </c>
      <c r="CJ106" s="28">
        <f>IF(OR(IPC_Trimestriel!CN67="",IPC_Trimestriel!CJ67=""),"",IPC_Trimestriel!CN67/IPC_Trimestriel!CJ67-1)</f>
        <v>3.4181480190542457E-2</v>
      </c>
      <c r="CK106" s="28">
        <f>IF(OR(IPC_Trimestriel!CO67="",IPC_Trimestriel!CK67=""),"",IPC_Trimestriel!CO67/IPC_Trimestriel!CK67-1)</f>
        <v>5.2604734194236613E-2</v>
      </c>
      <c r="CL106" s="28">
        <f>IF(OR(IPC_Trimestriel!CP67="",IPC_Trimestriel!CL67=""),"",IPC_Trimestriel!CP67/IPC_Trimestriel!CL67-1)</f>
        <v>5.818462676940217E-2</v>
      </c>
      <c r="CM106" s="28">
        <f>IF(OR(IPC_Trimestriel!CQ67="",IPC_Trimestriel!CM67=""),"",IPC_Trimestriel!CQ67/IPC_Trimestriel!CM67-1)</f>
        <v>5.132622987984603E-2</v>
      </c>
      <c r="CN106" s="28">
        <f>IF(OR(IPC_Trimestriel!CR67="",IPC_Trimestriel!CN67=""),"",IPC_Trimestriel!CR67/IPC_Trimestriel!CN67-1)</f>
        <v>4.3162719633307978E-2</v>
      </c>
      <c r="CO106" s="28">
        <f>IF(OR(IPC_Trimestriel!CS67="",IPC_Trimestriel!CO67=""),"",IPC_Trimestriel!CS67/IPC_Trimestriel!CO67-1)</f>
        <v>1.7488216378132915E-2</v>
      </c>
      <c r="CP106" s="28">
        <f>IF(OR(IPC_Trimestriel!CT67="",IPC_Trimestriel!CP67=""),"",IPC_Trimestriel!CT67/IPC_Trimestriel!CP67-1)</f>
        <v>1.5446067420092913E-2</v>
      </c>
    </row>
    <row r="107" spans="1:94" s="95" customFormat="1" x14ac:dyDescent="0.25">
      <c r="A107" s="91"/>
      <c r="B107" s="92" t="s">
        <v>45</v>
      </c>
      <c r="C107" s="93"/>
      <c r="D107" s="94" t="str">
        <f>IF(OR(IPC_Trimestriel!H68="",IPC_Trimestriel!D68=""),"",IPC_Trimestriel!H68/IPC_Trimestriel!D68-1)</f>
        <v/>
      </c>
      <c r="E107" s="94" t="str">
        <f>IF(OR(IPC_Trimestriel!I68="",IPC_Trimestriel!E68=""),"",IPC_Trimestriel!I68/IPC_Trimestriel!E68-1)</f>
        <v/>
      </c>
      <c r="F107" s="94" t="str">
        <f>IF(OR(IPC_Trimestriel!J68="",IPC_Trimestriel!F68=""),"",IPC_Trimestriel!J68/IPC_Trimestriel!F68-1)</f>
        <v/>
      </c>
      <c r="G107" s="94" t="str">
        <f>IF(OR(IPC_Trimestriel!K68="",IPC_Trimestriel!G68=""),"",IPC_Trimestriel!K68/IPC_Trimestriel!G68-1)</f>
        <v/>
      </c>
      <c r="H107" s="94" t="str">
        <f>IF(OR(IPC_Trimestriel!L68="",IPC_Trimestriel!H68=""),"",IPC_Trimestriel!L68/IPC_Trimestriel!H68-1)</f>
        <v/>
      </c>
      <c r="I107" s="94" t="str">
        <f>IF(OR(IPC_Trimestriel!M68="",IPC_Trimestriel!I68=""),"",IPC_Trimestriel!M68/IPC_Trimestriel!I68-1)</f>
        <v/>
      </c>
      <c r="J107" s="94" t="str">
        <f>IF(OR(IPC_Trimestriel!N68="",IPC_Trimestriel!J68=""),"",IPC_Trimestriel!N68/IPC_Trimestriel!J68-1)</f>
        <v/>
      </c>
      <c r="K107" s="94" t="str">
        <f>IF(OR(IPC_Trimestriel!O68="",IPC_Trimestriel!K68=""),"",IPC_Trimestriel!O68/IPC_Trimestriel!K68-1)</f>
        <v/>
      </c>
      <c r="L107" s="94" t="str">
        <f>IF(OR(IPC_Trimestriel!P68="",IPC_Trimestriel!L68=""),"",IPC_Trimestriel!P68/IPC_Trimestriel!L68-1)</f>
        <v/>
      </c>
      <c r="M107" s="94" t="str">
        <f>IF(OR(IPC_Trimestriel!Q68="",IPC_Trimestriel!M68=""),"",IPC_Trimestriel!Q68/IPC_Trimestriel!M68-1)</f>
        <v/>
      </c>
      <c r="N107" s="94" t="str">
        <f>IF(OR(IPC_Trimestriel!R68="",IPC_Trimestriel!N68=""),"",IPC_Trimestriel!R68/IPC_Trimestriel!N68-1)</f>
        <v/>
      </c>
      <c r="O107" s="94" t="str">
        <f>IF(OR(IPC_Trimestriel!S68="",IPC_Trimestriel!O68=""),"",IPC_Trimestriel!S68/IPC_Trimestriel!O68-1)</f>
        <v/>
      </c>
      <c r="P107" s="94" t="str">
        <f>IF(OR(IPC_Trimestriel!T68="",IPC_Trimestriel!P68=""),"",IPC_Trimestriel!T68/IPC_Trimestriel!P68-1)</f>
        <v/>
      </c>
      <c r="Q107" s="94" t="str">
        <f>IF(OR(IPC_Trimestriel!U68="",IPC_Trimestriel!Q68=""),"",IPC_Trimestriel!U68/IPC_Trimestriel!Q68-1)</f>
        <v/>
      </c>
      <c r="R107" s="94" t="str">
        <f>IF(OR(IPC_Trimestriel!V68="",IPC_Trimestriel!R68=""),"",IPC_Trimestriel!V68/IPC_Trimestriel!R68-1)</f>
        <v/>
      </c>
      <c r="S107" s="94" t="str">
        <f>IF(OR(IPC_Trimestriel!W68="",IPC_Trimestriel!S68=""),"",IPC_Trimestriel!W68/IPC_Trimestriel!S68-1)</f>
        <v/>
      </c>
      <c r="T107" s="94" t="str">
        <f>IF(OR(IPC_Trimestriel!X68="",IPC_Trimestriel!T68=""),"",IPC_Trimestriel!X68/IPC_Trimestriel!T68-1)</f>
        <v/>
      </c>
      <c r="U107" s="94" t="str">
        <f>IF(OR(IPC_Trimestriel!Y68="",IPC_Trimestriel!U68=""),"",IPC_Trimestriel!Y68/IPC_Trimestriel!U68-1)</f>
        <v/>
      </c>
      <c r="V107" s="94" t="str">
        <f>IF(OR(IPC_Trimestriel!Z68="",IPC_Trimestriel!V68=""),"",IPC_Trimestriel!Z68/IPC_Trimestriel!V68-1)</f>
        <v/>
      </c>
      <c r="W107" s="94" t="str">
        <f>IF(OR(IPC_Trimestriel!AA68="",IPC_Trimestriel!W68=""),"",IPC_Trimestriel!AA68/IPC_Trimestriel!W68-1)</f>
        <v/>
      </c>
      <c r="X107" s="94" t="str">
        <f>IF(OR(IPC_Trimestriel!AB68="",IPC_Trimestriel!X68=""),"",IPC_Trimestriel!AB68/IPC_Trimestriel!X68-1)</f>
        <v/>
      </c>
      <c r="Y107" s="94" t="str">
        <f>IF(OR(IPC_Trimestriel!AC68="",IPC_Trimestriel!Y68=""),"",IPC_Trimestriel!AC68/IPC_Trimestriel!Y68-1)</f>
        <v/>
      </c>
      <c r="Z107" s="94" t="str">
        <f>IF(OR(IPC_Trimestriel!AD68="",IPC_Trimestriel!Z68=""),"",IPC_Trimestriel!AD68/IPC_Trimestriel!Z68-1)</f>
        <v/>
      </c>
      <c r="AA107" s="94" t="str">
        <f>IF(OR(IPC_Trimestriel!AE68="",IPC_Trimestriel!AA68=""),"",IPC_Trimestriel!AE68/IPC_Trimestriel!AA68-1)</f>
        <v/>
      </c>
      <c r="AB107" s="94" t="str">
        <f>IF(OR(IPC_Trimestriel!AF68="",IPC_Trimestriel!AB68=""),"",IPC_Trimestriel!AF68/IPC_Trimestriel!AB68-1)</f>
        <v/>
      </c>
      <c r="AC107" s="94" t="str">
        <f>IF(OR(IPC_Trimestriel!AG68="",IPC_Trimestriel!AC68=""),"",IPC_Trimestriel!AG68/IPC_Trimestriel!AC68-1)</f>
        <v/>
      </c>
      <c r="AD107" s="94" t="str">
        <f>IF(OR(IPC_Trimestriel!AH68="",IPC_Trimestriel!AD68=""),"",IPC_Trimestriel!AH68/IPC_Trimestriel!AD68-1)</f>
        <v/>
      </c>
      <c r="AE107" s="94" t="str">
        <f>IF(OR(IPC_Trimestriel!AI68="",IPC_Trimestriel!AE68=""),"",IPC_Trimestriel!AI68/IPC_Trimestriel!AE68-1)</f>
        <v/>
      </c>
      <c r="AF107" s="94" t="str">
        <f>IF(OR(IPC_Trimestriel!AJ68="",IPC_Trimestriel!AF68=""),"",IPC_Trimestriel!AJ68/IPC_Trimestriel!AF68-1)</f>
        <v/>
      </c>
      <c r="AG107" s="94" t="str">
        <f>IF(OR(IPC_Trimestriel!AK68="",IPC_Trimestriel!AG68=""),"",IPC_Trimestriel!AK68/IPC_Trimestriel!AG68-1)</f>
        <v/>
      </c>
      <c r="AH107" s="94" t="str">
        <f>IF(OR(IPC_Trimestriel!AL68="",IPC_Trimestriel!AH68=""),"",IPC_Trimestriel!AL68/IPC_Trimestriel!AH68-1)</f>
        <v/>
      </c>
      <c r="AI107" s="94" t="str">
        <f>IF(OR(IPC_Trimestriel!AM68="",IPC_Trimestriel!AI68=""),"",IPC_Trimestriel!AM68/IPC_Trimestriel!AI68-1)</f>
        <v/>
      </c>
      <c r="AJ107" s="94" t="str">
        <f>IF(OR(IPC_Trimestriel!AN68="",IPC_Trimestriel!AJ68=""),"",IPC_Trimestriel!AN68/IPC_Trimestriel!AJ68-1)</f>
        <v/>
      </c>
      <c r="AK107" s="94" t="str">
        <f>IF(OR(IPC_Trimestriel!AO68="",IPC_Trimestriel!AK68=""),"",IPC_Trimestriel!AO68/IPC_Trimestriel!AK68-1)</f>
        <v/>
      </c>
      <c r="AL107" s="94" t="str">
        <f>IF(OR(IPC_Trimestriel!AP68="",IPC_Trimestriel!AL68=""),"",IPC_Trimestriel!AP68/IPC_Trimestriel!AL68-1)</f>
        <v/>
      </c>
      <c r="AM107" s="94" t="str">
        <f>IF(OR(IPC_Trimestriel!AQ68="",IPC_Trimestriel!AM68=""),"",IPC_Trimestriel!AQ68/IPC_Trimestriel!AM68-1)</f>
        <v/>
      </c>
      <c r="AN107" s="94" t="str">
        <f>IF(OR(IPC_Trimestriel!AR68="",IPC_Trimestriel!AN68=""),"",IPC_Trimestriel!AR68/IPC_Trimestriel!AN68-1)</f>
        <v/>
      </c>
      <c r="AO107" s="94" t="str">
        <f>IF(OR(IPC_Trimestriel!AS68="",IPC_Trimestriel!AO68=""),"",IPC_Trimestriel!AS68/IPC_Trimestriel!AO68-1)</f>
        <v/>
      </c>
      <c r="AP107" s="94" t="str">
        <f>IF(OR(IPC_Trimestriel!AT68="",IPC_Trimestriel!AP68=""),"",IPC_Trimestriel!AT68/IPC_Trimestriel!AP68-1)</f>
        <v/>
      </c>
      <c r="AQ107" s="94" t="str">
        <f>IF(OR(IPC_Trimestriel!AU68="",IPC_Trimestriel!AQ68=""),"",IPC_Trimestriel!AU68/IPC_Trimestriel!AQ68-1)</f>
        <v/>
      </c>
      <c r="AR107" s="94" t="str">
        <f>IF(OR(IPC_Trimestriel!AV68="",IPC_Trimestriel!AR68=""),"",IPC_Trimestriel!AV68/IPC_Trimestriel!AR68-1)</f>
        <v/>
      </c>
      <c r="AS107" s="94" t="str">
        <f>IF(OR(IPC_Trimestriel!AW68="",IPC_Trimestriel!AS68=""),"",IPC_Trimestriel!AW68/IPC_Trimestriel!AS68-1)</f>
        <v/>
      </c>
      <c r="AT107" s="94" t="str">
        <f>IF(OR(IPC_Trimestriel!AX68="",IPC_Trimestriel!AT68=""),"",IPC_Trimestriel!AX68/IPC_Trimestriel!AT68-1)</f>
        <v/>
      </c>
      <c r="AU107" s="94" t="str">
        <f>IF(OR(IPC_Trimestriel!AY68="",IPC_Trimestriel!AU68=""),"",IPC_Trimestriel!AY68/IPC_Trimestriel!AU68-1)</f>
        <v/>
      </c>
      <c r="AV107" s="94" t="str">
        <f>IF(OR(IPC_Trimestriel!AZ68="",IPC_Trimestriel!AV68=""),"",IPC_Trimestriel!AZ68/IPC_Trimestriel!AV68-1)</f>
        <v/>
      </c>
      <c r="AW107" s="94" t="str">
        <f>IF(OR(IPC_Trimestriel!BA68="",IPC_Trimestriel!AW68=""),"",IPC_Trimestriel!BA68/IPC_Trimestriel!AW68-1)</f>
        <v/>
      </c>
      <c r="AX107" s="94" t="str">
        <f>IF(OR(IPC_Trimestriel!BB68="",IPC_Trimestriel!AX68=""),"",IPC_Trimestriel!BB68/IPC_Trimestriel!AX68-1)</f>
        <v/>
      </c>
      <c r="AY107" s="94" t="str">
        <f>IF(OR(IPC_Trimestriel!BC68="",IPC_Trimestriel!AY68=""),"",IPC_Trimestriel!BC68/IPC_Trimestriel!AY68-1)</f>
        <v/>
      </c>
      <c r="AZ107" s="94" t="str">
        <f>IF(OR(IPC_Trimestriel!BD68="",IPC_Trimestriel!AZ68=""),"",IPC_Trimestriel!BD68/IPC_Trimestriel!AZ68-1)</f>
        <v/>
      </c>
      <c r="BA107" s="94" t="str">
        <f>IF(OR(IPC_Trimestriel!BE68="",IPC_Trimestriel!BA68=""),"",IPC_Trimestriel!BE68/IPC_Trimestriel!BA68-1)</f>
        <v/>
      </c>
      <c r="BB107" s="94" t="str">
        <f>IF(OR(IPC_Trimestriel!BF68="",IPC_Trimestriel!BB68=""),"",IPC_Trimestriel!BF68/IPC_Trimestriel!BB68-1)</f>
        <v/>
      </c>
      <c r="BC107" s="94" t="str">
        <f>IF(OR(IPC_Trimestriel!BG68="",IPC_Trimestriel!BC68=""),"",IPC_Trimestriel!BG68/IPC_Trimestriel!BC68-1)</f>
        <v/>
      </c>
      <c r="BD107" s="94" t="str">
        <f>IF(OR(IPC_Trimestriel!BH68="",IPC_Trimestriel!BD68=""),"",IPC_Trimestriel!BH68/IPC_Trimestriel!BD68-1)</f>
        <v/>
      </c>
      <c r="BE107" s="94" t="str">
        <f>IF(OR(IPC_Trimestriel!BI68="",IPC_Trimestriel!BE68=""),"",IPC_Trimestriel!BI68/IPC_Trimestriel!BE68-1)</f>
        <v/>
      </c>
      <c r="BF107" s="94" t="str">
        <f>IF(OR(IPC_Trimestriel!BJ68="",IPC_Trimestriel!BF68=""),"",IPC_Trimestriel!BJ68/IPC_Trimestriel!BF68-1)</f>
        <v/>
      </c>
      <c r="BG107" s="94" t="str">
        <f>IF(OR(IPC_Trimestriel!BK68="",IPC_Trimestriel!BG68=""),"",IPC_Trimestriel!BK68/IPC_Trimestriel!BG68-1)</f>
        <v/>
      </c>
      <c r="BH107" s="94" t="str">
        <f>IF(OR(IPC_Trimestriel!BL68="",IPC_Trimestriel!BH68=""),"",IPC_Trimestriel!BL68/IPC_Trimestriel!BH68-1)</f>
        <v/>
      </c>
      <c r="BI107" s="94" t="str">
        <f>IF(OR(IPC_Trimestriel!BM68="",IPC_Trimestriel!BI68=""),"",IPC_Trimestriel!BM68/IPC_Trimestriel!BI68-1)</f>
        <v/>
      </c>
      <c r="BJ107" s="94" t="str">
        <f>IF(OR(IPC_Trimestriel!BN68="",IPC_Trimestriel!BJ68=""),"",IPC_Trimestriel!BN68/IPC_Trimestriel!BJ68-1)</f>
        <v/>
      </c>
      <c r="BK107" s="94" t="str">
        <f>IF(OR(IPC_Trimestriel!BO68="",IPC_Trimestriel!BK68=""),"",IPC_Trimestriel!BO68/IPC_Trimestriel!BK68-1)</f>
        <v/>
      </c>
      <c r="BL107" s="94" t="str">
        <f>IF(OR(IPC_Trimestriel!BP68="",IPC_Trimestriel!BL68=""),"",IPC_Trimestriel!BP68/IPC_Trimestriel!BL68-1)</f>
        <v/>
      </c>
      <c r="BM107" s="94" t="str">
        <f>IF(OR(IPC_Trimestriel!BQ68="",IPC_Trimestriel!BM68=""),"",IPC_Trimestriel!BQ68/IPC_Trimestriel!BM68-1)</f>
        <v/>
      </c>
      <c r="BN107" s="94" t="str">
        <f>IF(OR(IPC_Trimestriel!BR68="",IPC_Trimestriel!BN68=""),"",IPC_Trimestriel!BR68/IPC_Trimestriel!BN68-1)</f>
        <v/>
      </c>
      <c r="BO107" s="94" t="str">
        <f>IF(OR(IPC_Trimestriel!BS68="",IPC_Trimestriel!BO68=""),"",IPC_Trimestriel!BS68/IPC_Trimestriel!BO68-1)</f>
        <v/>
      </c>
      <c r="BP107" s="94" t="str">
        <f>IF(OR(IPC_Trimestriel!BT68="",IPC_Trimestriel!BP68=""),"",IPC_Trimestriel!BT68/IPC_Trimestriel!BP68-1)</f>
        <v/>
      </c>
      <c r="BQ107" s="94" t="str">
        <f>IF(OR(IPC_Trimestriel!BU68="",IPC_Trimestriel!BQ68=""),"",IPC_Trimestriel!BU68/IPC_Trimestriel!BQ68-1)</f>
        <v/>
      </c>
      <c r="BR107" s="94" t="str">
        <f>IF(OR(IPC_Trimestriel!BV68="",IPC_Trimestriel!BR68=""),"",IPC_Trimestriel!BV68/IPC_Trimestriel!BR68-1)</f>
        <v/>
      </c>
      <c r="BS107" s="94" t="str">
        <f>IF(OR(IPC_Trimestriel!BW68="",IPC_Trimestriel!BS68=""),"",IPC_Trimestriel!BW68/IPC_Trimestriel!BS68-1)</f>
        <v/>
      </c>
      <c r="BT107" s="94" t="str">
        <f>IF(OR(IPC_Trimestriel!BX68="",IPC_Trimestriel!BT68=""),"",IPC_Trimestriel!BX68/IPC_Trimestriel!BT68-1)</f>
        <v/>
      </c>
      <c r="BU107" s="94" t="str">
        <f>IF(OR(IPC_Trimestriel!BY68="",IPC_Trimestriel!BU68=""),"",IPC_Trimestriel!BY68/IPC_Trimestriel!BU68-1)</f>
        <v/>
      </c>
      <c r="BV107" s="94" t="str">
        <f>IF(OR(IPC_Trimestriel!BZ68="",IPC_Trimestriel!BV68=""),"",IPC_Trimestriel!BZ68/IPC_Trimestriel!BV68-1)</f>
        <v/>
      </c>
      <c r="BW107" s="94" t="str">
        <f>IF(OR(IPC_Trimestriel!CA68="",IPC_Trimestriel!BW68=""),"",IPC_Trimestriel!CA68/IPC_Trimestriel!BW68-1)</f>
        <v/>
      </c>
      <c r="BX107" s="94">
        <f>IF(OR(IPC_Trimestriel!CB68="",IPC_Trimestriel!BX68=""),"",IPC_Trimestriel!CB68/IPC_Trimestriel!BX68-1)</f>
        <v>2.7945222444135442E-2</v>
      </c>
      <c r="BY107" s="94">
        <f>IF(OR(IPC_Trimestriel!CC68="",IPC_Trimestriel!BY68=""),"",IPC_Trimestriel!CC68/IPC_Trimestriel!BY68-1)</f>
        <v>-1.2951879587752124E-2</v>
      </c>
      <c r="BZ107" s="94">
        <f>IF(OR(IPC_Trimestriel!CD68="",IPC_Trimestriel!BZ68=""),"",IPC_Trimestriel!CD68/IPC_Trimestriel!BZ68-1)</f>
        <v>-2.5807310485073343E-2</v>
      </c>
      <c r="CA107" s="94">
        <f>IF(OR(IPC_Trimestriel!CE68="",IPC_Trimestriel!CA68=""),"",IPC_Trimestriel!CE68/IPC_Trimestriel!CA68-1)</f>
        <v>-2.5622894872490587E-2</v>
      </c>
      <c r="CB107" s="94">
        <f>IF(OR(IPC_Trimestriel!CF68="",IPC_Trimestriel!CB68=""),"",IPC_Trimestriel!CF68/IPC_Trimestriel!CB68-1)</f>
        <v>-4.105535684591588E-2</v>
      </c>
      <c r="CC107" s="94">
        <f>IF(OR(IPC_Trimestriel!CG68="",IPC_Trimestriel!CC68=""),"",IPC_Trimestriel!CG68/IPC_Trimestriel!CC68-1)</f>
        <v>-2.9046207137597646E-2</v>
      </c>
      <c r="CD107" s="94">
        <f>IF(OR(IPC_Trimestriel!CH68="",IPC_Trimestriel!CD68=""),"",IPC_Trimestriel!CH68/IPC_Trimestriel!CD68-1)</f>
        <v>-9.2584537266849898E-3</v>
      </c>
      <c r="CE107" s="94">
        <f>IF(OR(IPC_Trimestriel!CI68="",IPC_Trimestriel!CE68=""),"",IPC_Trimestriel!CI68/IPC_Trimestriel!CE68-1)</f>
        <v>-2.729027888466673E-2</v>
      </c>
      <c r="CF107" s="94">
        <f>IF(OR(IPC_Trimestriel!CJ68="",IPC_Trimestriel!CF68=""),"",IPC_Trimestriel!CJ68/IPC_Trimestriel!CF68-1)</f>
        <v>2.3346255088867451E-3</v>
      </c>
      <c r="CG107" s="94">
        <f>IF(OR(IPC_Trimestriel!CK68="",IPC_Trimestriel!CG68=""),"",IPC_Trimestriel!CK68/IPC_Trimestriel!CG68-1)</f>
        <v>-9.9412069528688196E-3</v>
      </c>
      <c r="CH107" s="94">
        <f>IF(OR(IPC_Trimestriel!CL68="",IPC_Trimestriel!CH68=""),"",IPC_Trimestriel!CL68/IPC_Trimestriel!CH68-1)</f>
        <v>-1.5752701358409116E-2</v>
      </c>
      <c r="CI107" s="94">
        <f>IF(OR(IPC_Trimestriel!CM68="",IPC_Trimestriel!CI68=""),"",IPC_Trimestriel!CM68/IPC_Trimestriel!CI68-1)</f>
        <v>-7.9847671064599002E-3</v>
      </c>
      <c r="CJ107" s="94">
        <f>IF(OR(IPC_Trimestriel!CN68="",IPC_Trimestriel!CJ68=""),"",IPC_Trimestriel!CN68/IPC_Trimestriel!CJ68-1)</f>
        <v>2.5536441216050587E-2</v>
      </c>
      <c r="CK107" s="94">
        <f>IF(OR(IPC_Trimestriel!CO68="",IPC_Trimestriel!CK68=""),"",IPC_Trimestriel!CO68/IPC_Trimestriel!CK68-1)</f>
        <v>4.7538944927843385E-2</v>
      </c>
      <c r="CL107" s="94">
        <f>IF(OR(IPC_Trimestriel!CP68="",IPC_Trimestriel!CL68=""),"",IPC_Trimestriel!CP68/IPC_Trimestriel!CL68-1)</f>
        <v>6.9947554511060384E-2</v>
      </c>
      <c r="CM107" s="94">
        <f>IF(OR(IPC_Trimestriel!CQ68="",IPC_Trimestriel!CM68=""),"",IPC_Trimestriel!CQ68/IPC_Trimestriel!CM68-1)</f>
        <v>8.9656665749821451E-2</v>
      </c>
      <c r="CN107" s="94">
        <f>IF(OR(IPC_Trimestriel!CR68="",IPC_Trimestriel!CN68=""),"",IPC_Trimestriel!CR68/IPC_Trimestriel!CN68-1)</f>
        <v>7.0140738899230559E-2</v>
      </c>
      <c r="CO107" s="94">
        <f>IF(OR(IPC_Trimestriel!CS68="",IPC_Trimestriel!CO68=""),"",IPC_Trimestriel!CS68/IPC_Trimestriel!CO68-1)</f>
        <v>3.4876414978610049E-2</v>
      </c>
      <c r="CP107" s="94">
        <f>IF(OR(IPC_Trimestriel!CT68="",IPC_Trimestriel!CP68=""),"",IPC_Trimestriel!CT68/IPC_Trimestriel!CP68-1)</f>
        <v>2.42479327308045E-2</v>
      </c>
    </row>
    <row r="108" spans="1:94" s="100" customFormat="1" x14ac:dyDescent="0.25">
      <c r="A108" s="96"/>
      <c r="B108" s="97" t="s">
        <v>46</v>
      </c>
      <c r="C108" s="98"/>
      <c r="D108" s="99" t="str">
        <f>IF(OR(IPC_Trimestriel!H69="",IPC_Trimestriel!D69=""),"",IPC_Trimestriel!H69/IPC_Trimestriel!D69-1)</f>
        <v/>
      </c>
      <c r="E108" s="99" t="str">
        <f>IF(OR(IPC_Trimestriel!I69="",IPC_Trimestriel!E69=""),"",IPC_Trimestriel!I69/IPC_Trimestriel!E69-1)</f>
        <v/>
      </c>
      <c r="F108" s="99" t="str">
        <f>IF(OR(IPC_Trimestriel!J69="",IPC_Trimestriel!F69=""),"",IPC_Trimestriel!J69/IPC_Trimestriel!F69-1)</f>
        <v/>
      </c>
      <c r="G108" s="99" t="str">
        <f>IF(OR(IPC_Trimestriel!K69="",IPC_Trimestriel!G69=""),"",IPC_Trimestriel!K69/IPC_Trimestriel!G69-1)</f>
        <v/>
      </c>
      <c r="H108" s="99" t="str">
        <f>IF(OR(IPC_Trimestriel!L69="",IPC_Trimestriel!H69=""),"",IPC_Trimestriel!L69/IPC_Trimestriel!H69-1)</f>
        <v/>
      </c>
      <c r="I108" s="99" t="str">
        <f>IF(OR(IPC_Trimestriel!M69="",IPC_Trimestriel!I69=""),"",IPC_Trimestriel!M69/IPC_Trimestriel!I69-1)</f>
        <v/>
      </c>
      <c r="J108" s="99" t="str">
        <f>IF(OR(IPC_Trimestriel!N69="",IPC_Trimestriel!J69=""),"",IPC_Trimestriel!N69/IPC_Trimestriel!J69-1)</f>
        <v/>
      </c>
      <c r="K108" s="99" t="str">
        <f>IF(OR(IPC_Trimestriel!O69="",IPC_Trimestriel!K69=""),"",IPC_Trimestriel!O69/IPC_Trimestriel!K69-1)</f>
        <v/>
      </c>
      <c r="L108" s="99" t="str">
        <f>IF(OR(IPC_Trimestriel!P69="",IPC_Trimestriel!L69=""),"",IPC_Trimestriel!P69/IPC_Trimestriel!L69-1)</f>
        <v/>
      </c>
      <c r="M108" s="99" t="str">
        <f>IF(OR(IPC_Trimestriel!Q69="",IPC_Trimestriel!M69=""),"",IPC_Trimestriel!Q69/IPC_Trimestriel!M69-1)</f>
        <v/>
      </c>
      <c r="N108" s="99" t="str">
        <f>IF(OR(IPC_Trimestriel!R69="",IPC_Trimestriel!N69=""),"",IPC_Trimestriel!R69/IPC_Trimestriel!N69-1)</f>
        <v/>
      </c>
      <c r="O108" s="99" t="str">
        <f>IF(OR(IPC_Trimestriel!S69="",IPC_Trimestriel!O69=""),"",IPC_Trimestriel!S69/IPC_Trimestriel!O69-1)</f>
        <v/>
      </c>
      <c r="P108" s="99" t="str">
        <f>IF(OR(IPC_Trimestriel!T69="",IPC_Trimestriel!P69=""),"",IPC_Trimestriel!T69/IPC_Trimestriel!P69-1)</f>
        <v/>
      </c>
      <c r="Q108" s="99" t="str">
        <f>IF(OR(IPC_Trimestriel!U69="",IPC_Trimestriel!Q69=""),"",IPC_Trimestriel!U69/IPC_Trimestriel!Q69-1)</f>
        <v/>
      </c>
      <c r="R108" s="99" t="str">
        <f>IF(OR(IPC_Trimestriel!V69="",IPC_Trimestriel!R69=""),"",IPC_Trimestriel!V69/IPC_Trimestriel!R69-1)</f>
        <v/>
      </c>
      <c r="S108" s="99" t="str">
        <f>IF(OR(IPC_Trimestriel!W69="",IPC_Trimestriel!S69=""),"",IPC_Trimestriel!W69/IPC_Trimestriel!S69-1)</f>
        <v/>
      </c>
      <c r="T108" s="99" t="str">
        <f>IF(OR(IPC_Trimestriel!X69="",IPC_Trimestriel!T69=""),"",IPC_Trimestriel!X69/IPC_Trimestriel!T69-1)</f>
        <v/>
      </c>
      <c r="U108" s="99" t="str">
        <f>IF(OR(IPC_Trimestriel!Y69="",IPC_Trimestriel!U69=""),"",IPC_Trimestriel!Y69/IPC_Trimestriel!U69-1)</f>
        <v/>
      </c>
      <c r="V108" s="99" t="str">
        <f>IF(OR(IPC_Trimestriel!Z69="",IPC_Trimestriel!V69=""),"",IPC_Trimestriel!Z69/IPC_Trimestriel!V69-1)</f>
        <v/>
      </c>
      <c r="W108" s="99" t="str">
        <f>IF(OR(IPC_Trimestriel!AA69="",IPC_Trimestriel!W69=""),"",IPC_Trimestriel!AA69/IPC_Trimestriel!W69-1)</f>
        <v/>
      </c>
      <c r="X108" s="99" t="str">
        <f>IF(OR(IPC_Trimestriel!AB69="",IPC_Trimestriel!X69=""),"",IPC_Trimestriel!AB69/IPC_Trimestriel!X69-1)</f>
        <v/>
      </c>
      <c r="Y108" s="99" t="str">
        <f>IF(OR(IPC_Trimestriel!AC69="",IPC_Trimestriel!Y69=""),"",IPC_Trimestriel!AC69/IPC_Trimestriel!Y69-1)</f>
        <v/>
      </c>
      <c r="Z108" s="99" t="str">
        <f>IF(OR(IPC_Trimestriel!AD69="",IPC_Trimestriel!Z69=""),"",IPC_Trimestriel!AD69/IPC_Trimestriel!Z69-1)</f>
        <v/>
      </c>
      <c r="AA108" s="99" t="str">
        <f>IF(OR(IPC_Trimestriel!AE69="",IPC_Trimestriel!AA69=""),"",IPC_Trimestriel!AE69/IPC_Trimestriel!AA69-1)</f>
        <v/>
      </c>
      <c r="AB108" s="99" t="str">
        <f>IF(OR(IPC_Trimestriel!AF69="",IPC_Trimestriel!AB69=""),"",IPC_Trimestriel!AF69/IPC_Trimestriel!AB69-1)</f>
        <v/>
      </c>
      <c r="AC108" s="99" t="str">
        <f>IF(OR(IPC_Trimestriel!AG69="",IPC_Trimestriel!AC69=""),"",IPC_Trimestriel!AG69/IPC_Trimestriel!AC69-1)</f>
        <v/>
      </c>
      <c r="AD108" s="99" t="str">
        <f>IF(OR(IPC_Trimestriel!AH69="",IPC_Trimestriel!AD69=""),"",IPC_Trimestriel!AH69/IPC_Trimestriel!AD69-1)</f>
        <v/>
      </c>
      <c r="AE108" s="99" t="str">
        <f>IF(OR(IPC_Trimestriel!AI69="",IPC_Trimestriel!AE69=""),"",IPC_Trimestriel!AI69/IPC_Trimestriel!AE69-1)</f>
        <v/>
      </c>
      <c r="AF108" s="99" t="str">
        <f>IF(OR(IPC_Trimestriel!AJ69="",IPC_Trimestriel!AF69=""),"",IPC_Trimestriel!AJ69/IPC_Trimestriel!AF69-1)</f>
        <v/>
      </c>
      <c r="AG108" s="99" t="str">
        <f>IF(OR(IPC_Trimestriel!AK69="",IPC_Trimestriel!AG69=""),"",IPC_Trimestriel!AK69/IPC_Trimestriel!AG69-1)</f>
        <v/>
      </c>
      <c r="AH108" s="99" t="str">
        <f>IF(OR(IPC_Trimestriel!AL69="",IPC_Trimestriel!AH69=""),"",IPC_Trimestriel!AL69/IPC_Trimestriel!AH69-1)</f>
        <v/>
      </c>
      <c r="AI108" s="99" t="str">
        <f>IF(OR(IPC_Trimestriel!AM69="",IPC_Trimestriel!AI69=""),"",IPC_Trimestriel!AM69/IPC_Trimestriel!AI69-1)</f>
        <v/>
      </c>
      <c r="AJ108" s="99" t="str">
        <f>IF(OR(IPC_Trimestriel!AN69="",IPC_Trimestriel!AJ69=""),"",IPC_Trimestriel!AN69/IPC_Trimestriel!AJ69-1)</f>
        <v/>
      </c>
      <c r="AK108" s="99" t="str">
        <f>IF(OR(IPC_Trimestriel!AO69="",IPC_Trimestriel!AK69=""),"",IPC_Trimestriel!AO69/IPC_Trimestriel!AK69-1)</f>
        <v/>
      </c>
      <c r="AL108" s="99" t="str">
        <f>IF(OR(IPC_Trimestriel!AP69="",IPC_Trimestriel!AL69=""),"",IPC_Trimestriel!AP69/IPC_Trimestriel!AL69-1)</f>
        <v/>
      </c>
      <c r="AM108" s="99" t="str">
        <f>IF(OR(IPC_Trimestriel!AQ69="",IPC_Trimestriel!AM69=""),"",IPC_Trimestriel!AQ69/IPC_Trimestriel!AM69-1)</f>
        <v/>
      </c>
      <c r="AN108" s="99" t="str">
        <f>IF(OR(IPC_Trimestriel!AR69="",IPC_Trimestriel!AN69=""),"",IPC_Trimestriel!AR69/IPC_Trimestriel!AN69-1)</f>
        <v/>
      </c>
      <c r="AO108" s="99" t="str">
        <f>IF(OR(IPC_Trimestriel!AS69="",IPC_Trimestriel!AO69=""),"",IPC_Trimestriel!AS69/IPC_Trimestriel!AO69-1)</f>
        <v/>
      </c>
      <c r="AP108" s="99" t="str">
        <f>IF(OR(IPC_Trimestriel!AT69="",IPC_Trimestriel!AP69=""),"",IPC_Trimestriel!AT69/IPC_Trimestriel!AP69-1)</f>
        <v/>
      </c>
      <c r="AQ108" s="99" t="str">
        <f>IF(OR(IPC_Trimestriel!AU69="",IPC_Trimestriel!AQ69=""),"",IPC_Trimestriel!AU69/IPC_Trimestriel!AQ69-1)</f>
        <v/>
      </c>
      <c r="AR108" s="99" t="str">
        <f>IF(OR(IPC_Trimestriel!AV69="",IPC_Trimestriel!AR69=""),"",IPC_Trimestriel!AV69/IPC_Trimestriel!AR69-1)</f>
        <v/>
      </c>
      <c r="AS108" s="99" t="str">
        <f>IF(OR(IPC_Trimestriel!AW69="",IPC_Trimestriel!AS69=""),"",IPC_Trimestriel!AW69/IPC_Trimestriel!AS69-1)</f>
        <v/>
      </c>
      <c r="AT108" s="99" t="str">
        <f>IF(OR(IPC_Trimestriel!AX69="",IPC_Trimestriel!AT69=""),"",IPC_Trimestriel!AX69/IPC_Trimestriel!AT69-1)</f>
        <v/>
      </c>
      <c r="AU108" s="99" t="str">
        <f>IF(OR(IPC_Trimestriel!AY69="",IPC_Trimestriel!AU69=""),"",IPC_Trimestriel!AY69/IPC_Trimestriel!AU69-1)</f>
        <v/>
      </c>
      <c r="AV108" s="99" t="str">
        <f>IF(OR(IPC_Trimestriel!AZ69="",IPC_Trimestriel!AV69=""),"",IPC_Trimestriel!AZ69/IPC_Trimestriel!AV69-1)</f>
        <v/>
      </c>
      <c r="AW108" s="99" t="str">
        <f>IF(OR(IPC_Trimestriel!BA69="",IPC_Trimestriel!AW69=""),"",IPC_Trimestriel!BA69/IPC_Trimestriel!AW69-1)</f>
        <v/>
      </c>
      <c r="AX108" s="99" t="str">
        <f>IF(OR(IPC_Trimestriel!BB69="",IPC_Trimestriel!AX69=""),"",IPC_Trimestriel!BB69/IPC_Trimestriel!AX69-1)</f>
        <v/>
      </c>
      <c r="AY108" s="99" t="str">
        <f>IF(OR(IPC_Trimestriel!BC69="",IPC_Trimestriel!AY69=""),"",IPC_Trimestriel!BC69/IPC_Trimestriel!AY69-1)</f>
        <v/>
      </c>
      <c r="AZ108" s="99" t="str">
        <f>IF(OR(IPC_Trimestriel!BD69="",IPC_Trimestriel!AZ69=""),"",IPC_Trimestriel!BD69/IPC_Trimestriel!AZ69-1)</f>
        <v/>
      </c>
      <c r="BA108" s="99" t="str">
        <f>IF(OR(IPC_Trimestriel!BE69="",IPC_Trimestriel!BA69=""),"",IPC_Trimestriel!BE69/IPC_Trimestriel!BA69-1)</f>
        <v/>
      </c>
      <c r="BB108" s="99" t="str">
        <f>IF(OR(IPC_Trimestriel!BF69="",IPC_Trimestriel!BB69=""),"",IPC_Trimestriel!BF69/IPC_Trimestriel!BB69-1)</f>
        <v/>
      </c>
      <c r="BC108" s="99" t="str">
        <f>IF(OR(IPC_Trimestriel!BG69="",IPC_Trimestriel!BC69=""),"",IPC_Trimestriel!BG69/IPC_Trimestriel!BC69-1)</f>
        <v/>
      </c>
      <c r="BD108" s="99" t="str">
        <f>IF(OR(IPC_Trimestriel!BH69="",IPC_Trimestriel!BD69=""),"",IPC_Trimestriel!BH69/IPC_Trimestriel!BD69-1)</f>
        <v/>
      </c>
      <c r="BE108" s="99" t="str">
        <f>IF(OR(IPC_Trimestriel!BI69="",IPC_Trimestriel!BE69=""),"",IPC_Trimestriel!BI69/IPC_Trimestriel!BE69-1)</f>
        <v/>
      </c>
      <c r="BF108" s="99" t="str">
        <f>IF(OR(IPC_Trimestriel!BJ69="",IPC_Trimestriel!BF69=""),"",IPC_Trimestriel!BJ69/IPC_Trimestriel!BF69-1)</f>
        <v/>
      </c>
      <c r="BG108" s="99" t="str">
        <f>IF(OR(IPC_Trimestriel!BK69="",IPC_Trimestriel!BG69=""),"",IPC_Trimestriel!BK69/IPC_Trimestriel!BG69-1)</f>
        <v/>
      </c>
      <c r="BH108" s="99" t="str">
        <f>IF(OR(IPC_Trimestriel!BL69="",IPC_Trimestriel!BH69=""),"",IPC_Trimestriel!BL69/IPC_Trimestriel!BH69-1)</f>
        <v/>
      </c>
      <c r="BI108" s="99" t="str">
        <f>IF(OR(IPC_Trimestriel!BM69="",IPC_Trimestriel!BI69=""),"",IPC_Trimestriel!BM69/IPC_Trimestriel!BI69-1)</f>
        <v/>
      </c>
      <c r="BJ108" s="99" t="str">
        <f>IF(OR(IPC_Trimestriel!BN69="",IPC_Trimestriel!BJ69=""),"",IPC_Trimestriel!BN69/IPC_Trimestriel!BJ69-1)</f>
        <v/>
      </c>
      <c r="BK108" s="99" t="str">
        <f>IF(OR(IPC_Trimestriel!BO69="",IPC_Trimestriel!BK69=""),"",IPC_Trimestriel!BO69/IPC_Trimestriel!BK69-1)</f>
        <v/>
      </c>
      <c r="BL108" s="99" t="str">
        <f>IF(OR(IPC_Trimestriel!BP69="",IPC_Trimestriel!BL69=""),"",IPC_Trimestriel!BP69/IPC_Trimestriel!BL69-1)</f>
        <v/>
      </c>
      <c r="BM108" s="99" t="str">
        <f>IF(OR(IPC_Trimestriel!BQ69="",IPC_Trimestriel!BM69=""),"",IPC_Trimestriel!BQ69/IPC_Trimestriel!BM69-1)</f>
        <v/>
      </c>
      <c r="BN108" s="99" t="str">
        <f>IF(OR(IPC_Trimestriel!BR69="",IPC_Trimestriel!BN69=""),"",IPC_Trimestriel!BR69/IPC_Trimestriel!BN69-1)</f>
        <v/>
      </c>
      <c r="BO108" s="99" t="str">
        <f>IF(OR(IPC_Trimestriel!BS69="",IPC_Trimestriel!BO69=""),"",IPC_Trimestriel!BS69/IPC_Trimestriel!BO69-1)</f>
        <v/>
      </c>
      <c r="BP108" s="99" t="str">
        <f>IF(OR(IPC_Trimestriel!BT69="",IPC_Trimestriel!BP69=""),"",IPC_Trimestriel!BT69/IPC_Trimestriel!BP69-1)</f>
        <v/>
      </c>
      <c r="BQ108" s="99" t="str">
        <f>IF(OR(IPC_Trimestriel!BU69="",IPC_Trimestriel!BQ69=""),"",IPC_Trimestriel!BU69/IPC_Trimestriel!BQ69-1)</f>
        <v/>
      </c>
      <c r="BR108" s="99" t="str">
        <f>IF(OR(IPC_Trimestriel!BV69="",IPC_Trimestriel!BR69=""),"",IPC_Trimestriel!BV69/IPC_Trimestriel!BR69-1)</f>
        <v/>
      </c>
      <c r="BS108" s="99" t="str">
        <f>IF(OR(IPC_Trimestriel!BW69="",IPC_Trimestriel!BS69=""),"",IPC_Trimestriel!BW69/IPC_Trimestriel!BS69-1)</f>
        <v/>
      </c>
      <c r="BT108" s="99" t="str">
        <f>IF(OR(IPC_Trimestriel!BX69="",IPC_Trimestriel!BT69=""),"",IPC_Trimestriel!BX69/IPC_Trimestriel!BT69-1)</f>
        <v/>
      </c>
      <c r="BU108" s="99" t="str">
        <f>IF(OR(IPC_Trimestriel!BY69="",IPC_Trimestriel!BU69=""),"",IPC_Trimestriel!BY69/IPC_Trimestriel!BU69-1)</f>
        <v/>
      </c>
      <c r="BV108" s="99" t="str">
        <f>IF(OR(IPC_Trimestriel!BZ69="",IPC_Trimestriel!BV69=""),"",IPC_Trimestriel!BZ69/IPC_Trimestriel!BV69-1)</f>
        <v/>
      </c>
      <c r="BW108" s="99" t="str">
        <f>IF(OR(IPC_Trimestriel!CA69="",IPC_Trimestriel!BW69=""),"",IPC_Trimestriel!CA69/IPC_Trimestriel!BW69-1)</f>
        <v/>
      </c>
      <c r="BX108" s="99">
        <f>IF(OR(IPC_Trimestriel!CB69="",IPC_Trimestriel!BX69=""),"",IPC_Trimestriel!CB69/IPC_Trimestriel!BX69-1)</f>
        <v>4.8787716258230862E-2</v>
      </c>
      <c r="BY108" s="99">
        <f>IF(OR(IPC_Trimestriel!CC69="",IPC_Trimestriel!BY69=""),"",IPC_Trimestriel!CC69/IPC_Trimestriel!BY69-1)</f>
        <v>3.7226757104235286E-2</v>
      </c>
      <c r="BZ108" s="99">
        <f>IF(OR(IPC_Trimestriel!CD69="",IPC_Trimestriel!BZ69=""),"",IPC_Trimestriel!CD69/IPC_Trimestriel!BZ69-1)</f>
        <v>2.9266500951515173E-2</v>
      </c>
      <c r="CA108" s="99">
        <f>IF(OR(IPC_Trimestriel!CE69="",IPC_Trimestriel!CA69=""),"",IPC_Trimestriel!CE69/IPC_Trimestriel!CA69-1)</f>
        <v>-6.7396003257097492E-3</v>
      </c>
      <c r="CB108" s="99">
        <f>IF(OR(IPC_Trimestriel!CF69="",IPC_Trimestriel!CB69=""),"",IPC_Trimestriel!CF69/IPC_Trimestriel!CB69-1)</f>
        <v>-4.3066532136232238E-3</v>
      </c>
      <c r="CC108" s="99">
        <f>IF(OR(IPC_Trimestriel!CG69="",IPC_Trimestriel!CC69=""),"",IPC_Trimestriel!CG69/IPC_Trimestriel!CC69-1)</f>
        <v>3.2557091547475769E-2</v>
      </c>
      <c r="CD108" s="99">
        <f>IF(OR(IPC_Trimestriel!CH69="",IPC_Trimestriel!CD69=""),"",IPC_Trimestriel!CH69/IPC_Trimestriel!CD69-1)</f>
        <v>2.6414975452312417E-2</v>
      </c>
      <c r="CE108" s="99">
        <f>IF(OR(IPC_Trimestriel!CI69="",IPC_Trimestriel!CE69=""),"",IPC_Trimestriel!CI69/IPC_Trimestriel!CE69-1)</f>
        <v>3.7862528354234648E-2</v>
      </c>
      <c r="CF108" s="99">
        <f>IF(OR(IPC_Trimestriel!CJ69="",IPC_Trimestriel!CF69=""),"",IPC_Trimestriel!CJ69/IPC_Trimestriel!CF69-1)</f>
        <v>4.5073077499756975E-2</v>
      </c>
      <c r="CG108" s="99">
        <f>IF(OR(IPC_Trimestriel!CK69="",IPC_Trimestriel!CG69=""),"",IPC_Trimestriel!CK69/IPC_Trimestriel!CG69-1)</f>
        <v>3.0709370302983263E-2</v>
      </c>
      <c r="CH108" s="99">
        <f>IF(OR(IPC_Trimestriel!CL69="",IPC_Trimestriel!CH69=""),"",IPC_Trimestriel!CL69/IPC_Trimestriel!CH69-1)</f>
        <v>2.5560150789736502E-2</v>
      </c>
      <c r="CI108" s="99">
        <f>IF(OR(IPC_Trimestriel!CM69="",IPC_Trimestriel!CI69=""),"",IPC_Trimestriel!CM69/IPC_Trimestriel!CI69-1)</f>
        <v>1.1364129270982071E-2</v>
      </c>
      <c r="CJ108" s="99">
        <f>IF(OR(IPC_Trimestriel!CN69="",IPC_Trimestriel!CJ69=""),"",IPC_Trimestriel!CN69/IPC_Trimestriel!CJ69-1)</f>
        <v>1.9865752582892693E-2</v>
      </c>
      <c r="CK108" s="99">
        <f>IF(OR(IPC_Trimestriel!CO69="",IPC_Trimestriel!CK69=""),"",IPC_Trimestriel!CO69/IPC_Trimestriel!CK69-1)</f>
        <v>6.4835336052651904E-2</v>
      </c>
      <c r="CL108" s="99">
        <f>IF(OR(IPC_Trimestriel!CP69="",IPC_Trimestriel!CL69=""),"",IPC_Trimestriel!CP69/IPC_Trimestriel!CL69-1)</f>
        <v>6.2163217619500166E-2</v>
      </c>
      <c r="CM108" s="99">
        <f>IF(OR(IPC_Trimestriel!CQ69="",IPC_Trimestriel!CM69=""),"",IPC_Trimestriel!CQ69/IPC_Trimestriel!CM69-1)</f>
        <v>7.6375496480412641E-2</v>
      </c>
      <c r="CN108" s="99">
        <f>IF(OR(IPC_Trimestriel!CR69="",IPC_Trimestriel!CN69=""),"",IPC_Trimestriel!CR69/IPC_Trimestriel!CN69-1)</f>
        <v>7.8760487302632631E-2</v>
      </c>
      <c r="CO108" s="99">
        <f>IF(OR(IPC_Trimestriel!CS69="",IPC_Trimestriel!CO69=""),"",IPC_Trimestriel!CS69/IPC_Trimestriel!CO69-1)</f>
        <v>5.8710491682463228E-3</v>
      </c>
      <c r="CP108" s="99">
        <f>IF(OR(IPC_Trimestriel!CT69="",IPC_Trimestriel!CP69=""),"",IPC_Trimestriel!CT69/IPC_Trimestriel!CP69-1)</f>
        <v>1.5735546431693948E-2</v>
      </c>
    </row>
    <row r="109" spans="1:94" x14ac:dyDescent="0.25">
      <c r="A109" s="11"/>
      <c r="B109" s="30" t="s">
        <v>50</v>
      </c>
      <c r="C109" s="17"/>
      <c r="D109" s="28" t="str">
        <f>IF(OR(IPC_Trimestriel!H70="",IPC_Trimestriel!D70=""),"",IPC_Trimestriel!H70/IPC_Trimestriel!D70-1)</f>
        <v/>
      </c>
      <c r="E109" s="28" t="str">
        <f>IF(OR(IPC_Trimestriel!I70="",IPC_Trimestriel!E70=""),"",IPC_Trimestriel!I70/IPC_Trimestriel!E70-1)</f>
        <v/>
      </c>
      <c r="F109" s="28" t="str">
        <f>IF(OR(IPC_Trimestriel!J70="",IPC_Trimestriel!F70=""),"",IPC_Trimestriel!J70/IPC_Trimestriel!F70-1)</f>
        <v/>
      </c>
      <c r="G109" s="28" t="str">
        <f>IF(OR(IPC_Trimestriel!K70="",IPC_Trimestriel!G70=""),"",IPC_Trimestriel!K70/IPC_Trimestriel!G70-1)</f>
        <v/>
      </c>
      <c r="H109" s="28" t="str">
        <f>IF(OR(IPC_Trimestriel!L70="",IPC_Trimestriel!H70=""),"",IPC_Trimestriel!L70/IPC_Trimestriel!H70-1)</f>
        <v/>
      </c>
      <c r="I109" s="28" t="str">
        <f>IF(OR(IPC_Trimestriel!M70="",IPC_Trimestriel!I70=""),"",IPC_Trimestriel!M70/IPC_Trimestriel!I70-1)</f>
        <v/>
      </c>
      <c r="J109" s="28" t="str">
        <f>IF(OR(IPC_Trimestriel!N70="",IPC_Trimestriel!J70=""),"",IPC_Trimestriel!N70/IPC_Trimestriel!J70-1)</f>
        <v/>
      </c>
      <c r="K109" s="28" t="str">
        <f>IF(OR(IPC_Trimestriel!O70="",IPC_Trimestriel!K70=""),"",IPC_Trimestriel!O70/IPC_Trimestriel!K70-1)</f>
        <v/>
      </c>
      <c r="L109" s="28" t="str">
        <f>IF(OR(IPC_Trimestriel!P70="",IPC_Trimestriel!L70=""),"",IPC_Trimestriel!P70/IPC_Trimestriel!L70-1)</f>
        <v/>
      </c>
      <c r="M109" s="28" t="str">
        <f>IF(OR(IPC_Trimestriel!Q70="",IPC_Trimestriel!M70=""),"",IPC_Trimestriel!Q70/IPC_Trimestriel!M70-1)</f>
        <v/>
      </c>
      <c r="N109" s="28" t="str">
        <f>IF(OR(IPC_Trimestriel!R70="",IPC_Trimestriel!N70=""),"",IPC_Trimestriel!R70/IPC_Trimestriel!N70-1)</f>
        <v/>
      </c>
      <c r="O109" s="28" t="str">
        <f>IF(OR(IPC_Trimestriel!S70="",IPC_Trimestriel!O70=""),"",IPC_Trimestriel!S70/IPC_Trimestriel!O70-1)</f>
        <v/>
      </c>
      <c r="P109" s="28" t="str">
        <f>IF(OR(IPC_Trimestriel!T70="",IPC_Trimestriel!P70=""),"",IPC_Trimestriel!T70/IPC_Trimestriel!P70-1)</f>
        <v/>
      </c>
      <c r="Q109" s="28" t="str">
        <f>IF(OR(IPC_Trimestriel!U70="",IPC_Trimestriel!Q70=""),"",IPC_Trimestriel!U70/IPC_Trimestriel!Q70-1)</f>
        <v/>
      </c>
      <c r="R109" s="28" t="str">
        <f>IF(OR(IPC_Trimestriel!V70="",IPC_Trimestriel!R70=""),"",IPC_Trimestriel!V70/IPC_Trimestriel!R70-1)</f>
        <v/>
      </c>
      <c r="S109" s="28" t="str">
        <f>IF(OR(IPC_Trimestriel!W70="",IPC_Trimestriel!S70=""),"",IPC_Trimestriel!W70/IPC_Trimestriel!S70-1)</f>
        <v/>
      </c>
      <c r="T109" s="28" t="str">
        <f>IF(OR(IPC_Trimestriel!X70="",IPC_Trimestriel!T70=""),"",IPC_Trimestriel!X70/IPC_Trimestriel!T70-1)</f>
        <v/>
      </c>
      <c r="U109" s="28" t="str">
        <f>IF(OR(IPC_Trimestriel!Y70="",IPC_Trimestriel!U70=""),"",IPC_Trimestriel!Y70/IPC_Trimestriel!U70-1)</f>
        <v/>
      </c>
      <c r="V109" s="28" t="str">
        <f>IF(OR(IPC_Trimestriel!Z70="",IPC_Trimestriel!V70=""),"",IPC_Trimestriel!Z70/IPC_Trimestriel!V70-1)</f>
        <v/>
      </c>
      <c r="W109" s="28" t="str">
        <f>IF(OR(IPC_Trimestriel!AA70="",IPC_Trimestriel!W70=""),"",IPC_Trimestriel!AA70/IPC_Trimestriel!W70-1)</f>
        <v/>
      </c>
      <c r="X109" s="28" t="str">
        <f>IF(OR(IPC_Trimestriel!AB70="",IPC_Trimestriel!X70=""),"",IPC_Trimestriel!AB70/IPC_Trimestriel!X70-1)</f>
        <v/>
      </c>
      <c r="Y109" s="28" t="str">
        <f>IF(OR(IPC_Trimestriel!AC70="",IPC_Trimestriel!Y70=""),"",IPC_Trimestriel!AC70/IPC_Trimestriel!Y70-1)</f>
        <v/>
      </c>
      <c r="Z109" s="28" t="str">
        <f>IF(OR(IPC_Trimestriel!AD70="",IPC_Trimestriel!Z70=""),"",IPC_Trimestriel!AD70/IPC_Trimestriel!Z70-1)</f>
        <v/>
      </c>
      <c r="AA109" s="28" t="str">
        <f>IF(OR(IPC_Trimestriel!AE70="",IPC_Trimestriel!AA70=""),"",IPC_Trimestriel!AE70/IPC_Trimestriel!AA70-1)</f>
        <v/>
      </c>
      <c r="AB109" s="28" t="str">
        <f>IF(OR(IPC_Trimestriel!AF70="",IPC_Trimestriel!AB70=""),"",IPC_Trimestriel!AF70/IPC_Trimestriel!AB70-1)</f>
        <v/>
      </c>
      <c r="AC109" s="28" t="str">
        <f>IF(OR(IPC_Trimestriel!AG70="",IPC_Trimestriel!AC70=""),"",IPC_Trimestriel!AG70/IPC_Trimestriel!AC70-1)</f>
        <v/>
      </c>
      <c r="AD109" s="28" t="str">
        <f>IF(OR(IPC_Trimestriel!AH70="",IPC_Trimestriel!AD70=""),"",IPC_Trimestriel!AH70/IPC_Trimestriel!AD70-1)</f>
        <v/>
      </c>
      <c r="AE109" s="28" t="str">
        <f>IF(OR(IPC_Trimestriel!AI70="",IPC_Trimestriel!AE70=""),"",IPC_Trimestriel!AI70/IPC_Trimestriel!AE70-1)</f>
        <v/>
      </c>
      <c r="AF109" s="28" t="str">
        <f>IF(OR(IPC_Trimestriel!AJ70="",IPC_Trimestriel!AF70=""),"",IPC_Trimestriel!AJ70/IPC_Trimestriel!AF70-1)</f>
        <v/>
      </c>
      <c r="AG109" s="28" t="str">
        <f>IF(OR(IPC_Trimestriel!AK70="",IPC_Trimestriel!AG70=""),"",IPC_Trimestriel!AK70/IPC_Trimestriel!AG70-1)</f>
        <v/>
      </c>
      <c r="AH109" s="28" t="str">
        <f>IF(OR(IPC_Trimestriel!AL70="",IPC_Trimestriel!AH70=""),"",IPC_Trimestriel!AL70/IPC_Trimestriel!AH70-1)</f>
        <v/>
      </c>
      <c r="AI109" s="28" t="str">
        <f>IF(OR(IPC_Trimestriel!AM70="",IPC_Trimestriel!AI70=""),"",IPC_Trimestriel!AM70/IPC_Trimestriel!AI70-1)</f>
        <v/>
      </c>
      <c r="AJ109" s="28" t="str">
        <f>IF(OR(IPC_Trimestriel!AN70="",IPC_Trimestriel!AJ70=""),"",IPC_Trimestriel!AN70/IPC_Trimestriel!AJ70-1)</f>
        <v/>
      </c>
      <c r="AK109" s="28" t="str">
        <f>IF(OR(IPC_Trimestriel!AO70="",IPC_Trimestriel!AK70=""),"",IPC_Trimestriel!AO70/IPC_Trimestriel!AK70-1)</f>
        <v/>
      </c>
      <c r="AL109" s="28" t="str">
        <f>IF(OR(IPC_Trimestriel!AP70="",IPC_Trimestriel!AL70=""),"",IPC_Trimestriel!AP70/IPC_Trimestriel!AL70-1)</f>
        <v/>
      </c>
      <c r="AM109" s="28" t="str">
        <f>IF(OR(IPC_Trimestriel!AQ70="",IPC_Trimestriel!AM70=""),"",IPC_Trimestriel!AQ70/IPC_Trimestriel!AM70-1)</f>
        <v/>
      </c>
      <c r="AN109" s="28" t="str">
        <f>IF(OR(IPC_Trimestriel!AR70="",IPC_Trimestriel!AN70=""),"",IPC_Trimestriel!AR70/IPC_Trimestriel!AN70-1)</f>
        <v/>
      </c>
      <c r="AO109" s="28" t="str">
        <f>IF(OR(IPC_Trimestriel!AS70="",IPC_Trimestriel!AO70=""),"",IPC_Trimestriel!AS70/IPC_Trimestriel!AO70-1)</f>
        <v/>
      </c>
      <c r="AP109" s="28" t="str">
        <f>IF(OR(IPC_Trimestriel!AT70="",IPC_Trimestriel!AP70=""),"",IPC_Trimestriel!AT70/IPC_Trimestriel!AP70-1)</f>
        <v/>
      </c>
      <c r="AQ109" s="28" t="str">
        <f>IF(OR(IPC_Trimestriel!AU70="",IPC_Trimestriel!AQ70=""),"",IPC_Trimestriel!AU70/IPC_Trimestriel!AQ70-1)</f>
        <v/>
      </c>
      <c r="AR109" s="28" t="str">
        <f>IF(OR(IPC_Trimestriel!AV70="",IPC_Trimestriel!AR70=""),"",IPC_Trimestriel!AV70/IPC_Trimestriel!AR70-1)</f>
        <v/>
      </c>
      <c r="AS109" s="28" t="str">
        <f>IF(OR(IPC_Trimestriel!AW70="",IPC_Trimestriel!AS70=""),"",IPC_Trimestriel!AW70/IPC_Trimestriel!AS70-1)</f>
        <v/>
      </c>
      <c r="AT109" s="28" t="str">
        <f>IF(OR(IPC_Trimestriel!AX70="",IPC_Trimestriel!AT70=""),"",IPC_Trimestriel!AX70/IPC_Trimestriel!AT70-1)</f>
        <v/>
      </c>
      <c r="AU109" s="28" t="str">
        <f>IF(OR(IPC_Trimestriel!AY70="",IPC_Trimestriel!AU70=""),"",IPC_Trimestriel!AY70/IPC_Trimestriel!AU70-1)</f>
        <v/>
      </c>
      <c r="AV109" s="28">
        <f>IF(OR(IPC_Trimestriel!AZ70="",IPC_Trimestriel!AV70=""),"",IPC_Trimestriel!AZ70/IPC_Trimestriel!AV70-1)</f>
        <v>2.589514066496168E-2</v>
      </c>
      <c r="AW109" s="28">
        <f>IF(OR(IPC_Trimestriel!BA70="",IPC_Trimestriel!AW70=""),"",IPC_Trimestriel!BA70/IPC_Trimestriel!AW70-1)</f>
        <v>1.8933417481855397E-2</v>
      </c>
      <c r="AX109" s="28">
        <f>IF(OR(IPC_Trimestriel!BB70="",IPC_Trimestriel!AX70=""),"",IPC_Trimestriel!BB70/IPC_Trimestriel!AX70-1)</f>
        <v>2.4834957560515569E-2</v>
      </c>
      <c r="AY109" s="28">
        <f>IF(OR(IPC_Trimestriel!BC70="",IPC_Trimestriel!AY70=""),"",IPC_Trimestriel!BC70/IPC_Trimestriel!AY70-1)</f>
        <v>3.1073446327683829E-2</v>
      </c>
      <c r="AZ109" s="28">
        <f>IF(OR(IPC_Trimestriel!BD70="",IPC_Trimestriel!AZ70=""),"",IPC_Trimestriel!BD70/IPC_Trimestriel!AZ70-1)</f>
        <v>2.3060143346837148E-2</v>
      </c>
      <c r="BA109" s="28">
        <f>IF(OR(IPC_Trimestriel!BE70="",IPC_Trimestriel!BA70=""),"",IPC_Trimestriel!BE70/IPC_Trimestriel!BA70-1)</f>
        <v>2.013007122948296E-2</v>
      </c>
      <c r="BB109" s="28">
        <f>IF(OR(IPC_Trimestriel!BF70="",IPC_Trimestriel!BB70=""),"",IPC_Trimestriel!BF70/IPC_Trimestriel!BB70-1)</f>
        <v>1.4723926380368013E-2</v>
      </c>
      <c r="BC109" s="28">
        <f>IF(OR(IPC_Trimestriel!BG70="",IPC_Trimestriel!BC70=""),"",IPC_Trimestriel!BG70/IPC_Trimestriel!BC70-1)</f>
        <v>4.101978691019692E-3</v>
      </c>
      <c r="BD109" s="28">
        <f>IF(OR(IPC_Trimestriel!BH70="",IPC_Trimestriel!BD70=""),"",IPC_Trimestriel!BH70/IPC_Trimestriel!BD70-1)</f>
        <v>-1.9993908010965677E-3</v>
      </c>
      <c r="BE109" s="28">
        <f>IF(OR(IPC_Trimestriel!BI70="",IPC_Trimestriel!BE70=""),"",IPC_Trimestriel!BI70/IPC_Trimestriel!BE70-1)</f>
        <v>-2.4286581663629514E-3</v>
      </c>
      <c r="BF109" s="28">
        <f>IF(OR(IPC_Trimestriel!BJ70="",IPC_Trimestriel!BF70=""),"",IPC_Trimestriel!BJ70/IPC_Trimestriel!BF70-1)</f>
        <v>-2.3276904474002214E-3</v>
      </c>
      <c r="BG109" s="28">
        <f>IF(OR(IPC_Trimestriel!BK70="",IPC_Trimestriel!BG70=""),"",IPC_Trimestriel!BK70/IPC_Trimestriel!BG70-1)</f>
        <v>4.0170078596934999E-4</v>
      </c>
      <c r="BH109" s="28" t="str">
        <f>IF(OR(IPC_Trimestriel!BL70="",IPC_Trimestriel!BH70=""),"",IPC_Trimestriel!BL70/IPC_Trimestriel!BH70-1)</f>
        <v/>
      </c>
      <c r="BI109" s="28" t="str">
        <f>IF(OR(IPC_Trimestriel!BM70="",IPC_Trimestriel!BI70=""),"",IPC_Trimestriel!BM70/IPC_Trimestriel!BI70-1)</f>
        <v/>
      </c>
      <c r="BJ109" s="28" t="str">
        <f>IF(OR(IPC_Trimestriel!BN70="",IPC_Trimestriel!BJ70=""),"",IPC_Trimestriel!BN70/IPC_Trimestriel!BJ70-1)</f>
        <v/>
      </c>
      <c r="BK109" s="28" t="str">
        <f>IF(OR(IPC_Trimestriel!BO70="",IPC_Trimestriel!BK70=""),"",IPC_Trimestriel!BO70/IPC_Trimestriel!BK70-1)</f>
        <v/>
      </c>
      <c r="BL109" s="28" t="str">
        <f>IF(OR(IPC_Trimestriel!BP70="",IPC_Trimestriel!BL70=""),"",IPC_Trimestriel!BP70/IPC_Trimestriel!BL70-1)</f>
        <v/>
      </c>
      <c r="BM109" s="28" t="str">
        <f>IF(OR(IPC_Trimestriel!BQ70="",IPC_Trimestriel!BM70=""),"",IPC_Trimestriel!BQ70/IPC_Trimestriel!BM70-1)</f>
        <v/>
      </c>
      <c r="BN109" s="28" t="str">
        <f>IF(OR(IPC_Trimestriel!BR70="",IPC_Trimestriel!BN70=""),"",IPC_Trimestriel!BR70/IPC_Trimestriel!BN70-1)</f>
        <v/>
      </c>
      <c r="BO109" s="28" t="str">
        <f>IF(OR(IPC_Trimestriel!BS70="",IPC_Trimestriel!BO70=""),"",IPC_Trimestriel!BS70/IPC_Trimestriel!BO70-1)</f>
        <v/>
      </c>
      <c r="BP109" s="28">
        <f>IF(OR(IPC_Trimestriel!BT70="",IPC_Trimestriel!BP70=""),"",IPC_Trimestriel!BT70/IPC_Trimestriel!BP70-1)</f>
        <v>8.972321546814932E-3</v>
      </c>
      <c r="BQ109" s="28">
        <f>IF(OR(IPC_Trimestriel!BU70="",IPC_Trimestriel!BQ70=""),"",IPC_Trimestriel!BU70/IPC_Trimestriel!BQ70-1)</f>
        <v>3.2038707990063031E-3</v>
      </c>
      <c r="BR109" s="28">
        <f>IF(OR(IPC_Trimestriel!BV70="",IPC_Trimestriel!BR70=""),"",IPC_Trimestriel!BV70/IPC_Trimestriel!BR70-1)</f>
        <v>1.4727153188691444E-2</v>
      </c>
      <c r="BS109" s="28">
        <f>IF(OR(IPC_Trimestriel!BW70="",IPC_Trimestriel!BS70=""),"",IPC_Trimestriel!BW70/IPC_Trimestriel!BS70-1)</f>
        <v>1.5656864679955307E-2</v>
      </c>
      <c r="BT109" s="28">
        <f>IF(OR(IPC_Trimestriel!BX70="",IPC_Trimestriel!BT70=""),"",IPC_Trimestriel!BX70/IPC_Trimestriel!BT70-1)</f>
        <v>1.4503691550451059E-2</v>
      </c>
      <c r="BU109" s="28">
        <f>IF(OR(IPC_Trimestriel!BY70="",IPC_Trimestriel!BU70=""),"",IPC_Trimestriel!BY70/IPC_Trimestriel!BU70-1)</f>
        <v>1.4143257511568752E-2</v>
      </c>
      <c r="BV109" s="28">
        <f>IF(OR(IPC_Trimestriel!BZ70="",IPC_Trimestriel!BV70=""),"",IPC_Trimestriel!BZ70/IPC_Trimestriel!BV70-1)</f>
        <v>1.1662563172217144E-2</v>
      </c>
      <c r="BW109" s="28">
        <f>IF(OR(IPC_Trimestriel!CA70="",IPC_Trimestriel!BW70=""),"",IPC_Trimestriel!CA70/IPC_Trimestriel!BW70-1)</f>
        <v>8.2906924023575801E-3</v>
      </c>
      <c r="BX109" s="28">
        <f>IF(OR(IPC_Trimestriel!CB70="",IPC_Trimestriel!BX70=""),"",IPC_Trimestriel!CB70/IPC_Trimestriel!BX70-1)</f>
        <v>-5.4662483423357777E-3</v>
      </c>
      <c r="BY109" s="28">
        <f>IF(OR(IPC_Trimestriel!CC70="",IPC_Trimestriel!BY70=""),"",IPC_Trimestriel!CC70/IPC_Trimestriel!BY70-1)</f>
        <v>-7.4550128534704996E-3</v>
      </c>
      <c r="BZ109" s="28">
        <f>IF(OR(IPC_Trimestriel!CD70="",IPC_Trimestriel!BZ70=""),"",IPC_Trimestriel!CD70/IPC_Trimestriel!BZ70-1)</f>
        <v>-1.0279236582553808E-2</v>
      </c>
      <c r="CA109" s="28">
        <f>IF(OR(IPC_Trimestriel!CE70="",IPC_Trimestriel!CA70=""),"",IPC_Trimestriel!CE70/IPC_Trimestriel!CA70-1)</f>
        <v>-6.2311299543906795E-3</v>
      </c>
      <c r="CB109" s="28">
        <f>IF(OR(IPC_Trimestriel!CF70="",IPC_Trimestriel!CB70=""),"",IPC_Trimestriel!CF70/IPC_Trimestriel!CB70-1)</f>
        <v>1.2130870300507191E-2</v>
      </c>
      <c r="CC109" s="28">
        <f>IF(OR(IPC_Trimestriel!CG70="",IPC_Trimestriel!CC70=""),"",IPC_Trimestriel!CG70/IPC_Trimestriel!CC70-1)</f>
        <v>1.7385392385392384E-2</v>
      </c>
      <c r="CD109" s="28">
        <f>IF(OR(IPC_Trimestriel!CH70="",IPC_Trimestriel!CD70=""),"",IPC_Trimestriel!CH70/IPC_Trimestriel!CD70-1)</f>
        <v>2.9054906655449964E-2</v>
      </c>
      <c r="CE109" s="28">
        <f>IF(OR(IPC_Trimestriel!CI70="",IPC_Trimestriel!CE70=""),"",IPC_Trimestriel!CI70/IPC_Trimestriel!CE70-1)</f>
        <v>2.6987718164188879E-2</v>
      </c>
      <c r="CF109" s="28">
        <f>IF(OR(IPC_Trimestriel!CJ70="",IPC_Trimestriel!CF70=""),"",IPC_Trimestriel!CJ70/IPC_Trimestriel!CF70-1)</f>
        <v>2.1785932328652668E-2</v>
      </c>
      <c r="CG109" s="28">
        <f>IF(OR(IPC_Trimestriel!CK70="",IPC_Trimestriel!CG70=""),"",IPC_Trimestriel!CK70/IPC_Trimestriel!CG70-1)</f>
        <v>3.3412887828162319E-2</v>
      </c>
      <c r="CH109" s="28">
        <f>IF(OR(IPC_Trimestriel!CL70="",IPC_Trimestriel!CH70=""),"",IPC_Trimestriel!CL70/IPC_Trimestriel!CH70-1)</f>
        <v>3.7950007860399371E-2</v>
      </c>
      <c r="CI109" s="28">
        <f>IF(OR(IPC_Trimestriel!CM70="",IPC_Trimestriel!CI70=""),"",IPC_Trimestriel!CM70/IPC_Trimestriel!CI70-1)</f>
        <v>4.9252557041699285E-2</v>
      </c>
      <c r="CJ109" s="28">
        <f>IF(OR(IPC_Trimestriel!CN70="",IPC_Trimestriel!CJ70=""),"",IPC_Trimestriel!CN70/IPC_Trimestriel!CJ70-1)</f>
        <v>6.3869933016761582E-2</v>
      </c>
      <c r="CK109" s="28">
        <f>IF(OR(IPC_Trimestriel!CO70="",IPC_Trimestriel!CK70=""),"",IPC_Trimestriel!CO70/IPC_Trimestriel!CK70-1)</f>
        <v>7.0361816782140263E-2</v>
      </c>
      <c r="CL109" s="28">
        <f>IF(OR(IPC_Trimestriel!CP70="",IPC_Trimestriel!CL70=""),"",IPC_Trimestriel!CP70/IPC_Trimestriel!CL70-1)</f>
        <v>8.4151217739003803E-2</v>
      </c>
      <c r="CM109" s="28">
        <f>IF(OR(IPC_Trimestriel!CQ70="",IPC_Trimestriel!CM70=""),"",IPC_Trimestriel!CQ70/IPC_Trimestriel!CM70-1)</f>
        <v>7.8284343131373779E-2</v>
      </c>
      <c r="CN109" s="28">
        <f>IF(OR(IPC_Trimestriel!CR70="",IPC_Trimestriel!CN70=""),"",IPC_Trimestriel!CR70/IPC_Trimestriel!CN70-1)</f>
        <v>5.7936742536210506E-2</v>
      </c>
      <c r="CO109" s="28">
        <f>IF(OR(IPC_Trimestriel!CS70="",IPC_Trimestriel!CO70=""),"",IPC_Trimestriel!CS70/IPC_Trimestriel!CO70-1)</f>
        <v>3.9988492520137919E-2</v>
      </c>
      <c r="CP109" s="28">
        <f>IF(OR(IPC_Trimestriel!CT70="",IPC_Trimestriel!CP70=""),"",IPC_Trimestriel!CT70/IPC_Trimestriel!CP70-1)</f>
        <v>2.9002514668901913E-2</v>
      </c>
    </row>
    <row r="110" spans="1:94" x14ac:dyDescent="0.25">
      <c r="A110" s="11"/>
      <c r="B110" s="30" t="s">
        <v>51</v>
      </c>
      <c r="C110" s="17"/>
      <c r="D110" s="28" t="str">
        <f>IF(OR(IPC_Trimestriel!H71="",IPC_Trimestriel!D71=""),"",IPC_Trimestriel!H71/IPC_Trimestriel!D71-1)</f>
        <v/>
      </c>
      <c r="E110" s="28" t="str">
        <f>IF(OR(IPC_Trimestriel!I71="",IPC_Trimestriel!E71=""),"",IPC_Trimestriel!I71/IPC_Trimestriel!E71-1)</f>
        <v/>
      </c>
      <c r="F110" s="28" t="str">
        <f>IF(OR(IPC_Trimestriel!J71="",IPC_Trimestriel!F71=""),"",IPC_Trimestriel!J71/IPC_Trimestriel!F71-1)</f>
        <v/>
      </c>
      <c r="G110" s="28" t="str">
        <f>IF(OR(IPC_Trimestriel!K71="",IPC_Trimestriel!G71=""),"",IPC_Trimestriel!K71/IPC_Trimestriel!G71-1)</f>
        <v/>
      </c>
      <c r="H110" s="28" t="str">
        <f>IF(OR(IPC_Trimestriel!L71="",IPC_Trimestriel!H71=""),"",IPC_Trimestriel!L71/IPC_Trimestriel!H71-1)</f>
        <v/>
      </c>
      <c r="I110" s="28" t="str">
        <f>IF(OR(IPC_Trimestriel!M71="",IPC_Trimestriel!I71=""),"",IPC_Trimestriel!M71/IPC_Trimestriel!I71-1)</f>
        <v/>
      </c>
      <c r="J110" s="28" t="str">
        <f>IF(OR(IPC_Trimestriel!N71="",IPC_Trimestriel!J71=""),"",IPC_Trimestriel!N71/IPC_Trimestriel!J71-1)</f>
        <v/>
      </c>
      <c r="K110" s="28" t="str">
        <f>IF(OR(IPC_Trimestriel!O71="",IPC_Trimestriel!K71=""),"",IPC_Trimestriel!O71/IPC_Trimestriel!K71-1)</f>
        <v/>
      </c>
      <c r="L110" s="28" t="str">
        <f>IF(OR(IPC_Trimestriel!P71="",IPC_Trimestriel!L71=""),"",IPC_Trimestriel!P71/IPC_Trimestriel!L71-1)</f>
        <v/>
      </c>
      <c r="M110" s="28" t="str">
        <f>IF(OR(IPC_Trimestriel!Q71="",IPC_Trimestriel!M71=""),"",IPC_Trimestriel!Q71/IPC_Trimestriel!M71-1)</f>
        <v/>
      </c>
      <c r="N110" s="28" t="str">
        <f>IF(OR(IPC_Trimestriel!R71="",IPC_Trimestriel!N71=""),"",IPC_Trimestriel!R71/IPC_Trimestriel!N71-1)</f>
        <v/>
      </c>
      <c r="O110" s="28" t="str">
        <f>IF(OR(IPC_Trimestriel!S71="",IPC_Trimestriel!O71=""),"",IPC_Trimestriel!S71/IPC_Trimestriel!O71-1)</f>
        <v/>
      </c>
      <c r="P110" s="28" t="str">
        <f>IF(OR(IPC_Trimestriel!T71="",IPC_Trimestriel!P71=""),"",IPC_Trimestriel!T71/IPC_Trimestriel!P71-1)</f>
        <v/>
      </c>
      <c r="Q110" s="28" t="str">
        <f>IF(OR(IPC_Trimestriel!U71="",IPC_Trimestriel!Q71=""),"",IPC_Trimestriel!U71/IPC_Trimestriel!Q71-1)</f>
        <v/>
      </c>
      <c r="R110" s="28" t="str">
        <f>IF(OR(IPC_Trimestriel!V71="",IPC_Trimestriel!R71=""),"",IPC_Trimestriel!V71/IPC_Trimestriel!R71-1)</f>
        <v/>
      </c>
      <c r="S110" s="28" t="str">
        <f>IF(OR(IPC_Trimestriel!W71="",IPC_Trimestriel!S71=""),"",IPC_Trimestriel!W71/IPC_Trimestriel!S71-1)</f>
        <v/>
      </c>
      <c r="T110" s="28" t="str">
        <f>IF(OR(IPC_Trimestriel!X71="",IPC_Trimestriel!T71=""),"",IPC_Trimestriel!X71/IPC_Trimestriel!T71-1)</f>
        <v/>
      </c>
      <c r="U110" s="28" t="str">
        <f>IF(OR(IPC_Trimestriel!Y71="",IPC_Trimestriel!U71=""),"",IPC_Trimestriel!Y71/IPC_Trimestriel!U71-1)</f>
        <v/>
      </c>
      <c r="V110" s="28" t="str">
        <f>IF(OR(IPC_Trimestriel!Z71="",IPC_Trimestriel!V71=""),"",IPC_Trimestriel!Z71/IPC_Trimestriel!V71-1)</f>
        <v/>
      </c>
      <c r="W110" s="28" t="str">
        <f>IF(OR(IPC_Trimestriel!AA71="",IPC_Trimestriel!W71=""),"",IPC_Trimestriel!AA71/IPC_Trimestriel!W71-1)</f>
        <v/>
      </c>
      <c r="X110" s="28" t="str">
        <f>IF(OR(IPC_Trimestriel!AB71="",IPC_Trimestriel!X71=""),"",IPC_Trimestriel!AB71/IPC_Trimestriel!X71-1)</f>
        <v/>
      </c>
      <c r="Y110" s="28" t="str">
        <f>IF(OR(IPC_Trimestriel!AC71="",IPC_Trimestriel!Y71=""),"",IPC_Trimestriel!AC71/IPC_Trimestriel!Y71-1)</f>
        <v/>
      </c>
      <c r="Z110" s="28" t="str">
        <f>IF(OR(IPC_Trimestriel!AD71="",IPC_Trimestriel!Z71=""),"",IPC_Trimestriel!AD71/IPC_Trimestriel!Z71-1)</f>
        <v/>
      </c>
      <c r="AA110" s="28" t="str">
        <f>IF(OR(IPC_Trimestriel!AE71="",IPC_Trimestriel!AA71=""),"",IPC_Trimestriel!AE71/IPC_Trimestriel!AA71-1)</f>
        <v/>
      </c>
      <c r="AB110" s="28" t="str">
        <f>IF(OR(IPC_Trimestriel!AF71="",IPC_Trimestriel!AB71=""),"",IPC_Trimestriel!AF71/IPC_Trimestriel!AB71-1)</f>
        <v/>
      </c>
      <c r="AC110" s="28" t="str">
        <f>IF(OR(IPC_Trimestriel!AG71="",IPC_Trimestriel!AC71=""),"",IPC_Trimestriel!AG71/IPC_Trimestriel!AC71-1)</f>
        <v/>
      </c>
      <c r="AD110" s="28" t="str">
        <f>IF(OR(IPC_Trimestriel!AH71="",IPC_Trimestriel!AD71=""),"",IPC_Trimestriel!AH71/IPC_Trimestriel!AD71-1)</f>
        <v/>
      </c>
      <c r="AE110" s="28" t="str">
        <f>IF(OR(IPC_Trimestriel!AI71="",IPC_Trimestriel!AE71=""),"",IPC_Trimestriel!AI71/IPC_Trimestriel!AE71-1)</f>
        <v/>
      </c>
      <c r="AF110" s="28" t="str">
        <f>IF(OR(IPC_Trimestriel!AJ71="",IPC_Trimestriel!AF71=""),"",IPC_Trimestriel!AJ71/IPC_Trimestriel!AF71-1)</f>
        <v/>
      </c>
      <c r="AG110" s="28" t="str">
        <f>IF(OR(IPC_Trimestriel!AK71="",IPC_Trimestriel!AG71=""),"",IPC_Trimestriel!AK71/IPC_Trimestriel!AG71-1)</f>
        <v/>
      </c>
      <c r="AH110" s="28" t="str">
        <f>IF(OR(IPC_Trimestriel!AL71="",IPC_Trimestriel!AH71=""),"",IPC_Trimestriel!AL71/IPC_Trimestriel!AH71-1)</f>
        <v/>
      </c>
      <c r="AI110" s="28" t="str">
        <f>IF(OR(IPC_Trimestriel!AM71="",IPC_Trimestriel!AI71=""),"",IPC_Trimestriel!AM71/IPC_Trimestriel!AI71-1)</f>
        <v/>
      </c>
      <c r="AJ110" s="28" t="str">
        <f>IF(OR(IPC_Trimestriel!AN71="",IPC_Trimestriel!AJ71=""),"",IPC_Trimestriel!AN71/IPC_Trimestriel!AJ71-1)</f>
        <v/>
      </c>
      <c r="AK110" s="28" t="str">
        <f>IF(OR(IPC_Trimestriel!AO71="",IPC_Trimestriel!AK71=""),"",IPC_Trimestriel!AO71/IPC_Trimestriel!AK71-1)</f>
        <v/>
      </c>
      <c r="AL110" s="28" t="str">
        <f>IF(OR(IPC_Trimestriel!AP71="",IPC_Trimestriel!AL71=""),"",IPC_Trimestriel!AP71/IPC_Trimestriel!AL71-1)</f>
        <v/>
      </c>
      <c r="AM110" s="28" t="str">
        <f>IF(OR(IPC_Trimestriel!AQ71="",IPC_Trimestriel!AM71=""),"",IPC_Trimestriel!AQ71/IPC_Trimestriel!AM71-1)</f>
        <v/>
      </c>
      <c r="AN110" s="28" t="str">
        <f>IF(OR(IPC_Trimestriel!AR71="",IPC_Trimestriel!AN71=""),"",IPC_Trimestriel!AR71/IPC_Trimestriel!AN71-1)</f>
        <v/>
      </c>
      <c r="AO110" s="28" t="str">
        <f>IF(OR(IPC_Trimestriel!AS71="",IPC_Trimestriel!AO71=""),"",IPC_Trimestriel!AS71/IPC_Trimestriel!AO71-1)</f>
        <v/>
      </c>
      <c r="AP110" s="28" t="str">
        <f>IF(OR(IPC_Trimestriel!AT71="",IPC_Trimestriel!AP71=""),"",IPC_Trimestriel!AT71/IPC_Trimestriel!AP71-1)</f>
        <v/>
      </c>
      <c r="AQ110" s="28" t="str">
        <f>IF(OR(IPC_Trimestriel!AU71="",IPC_Trimestriel!AQ71=""),"",IPC_Trimestriel!AU71/IPC_Trimestriel!AQ71-1)</f>
        <v/>
      </c>
      <c r="AR110" s="28" t="str">
        <f>IF(OR(IPC_Trimestriel!AV71="",IPC_Trimestriel!AR71=""),"",IPC_Trimestriel!AV71/IPC_Trimestriel!AR71-1)</f>
        <v/>
      </c>
      <c r="AS110" s="28" t="str">
        <f>IF(OR(IPC_Trimestriel!AW71="",IPC_Trimestriel!AS71=""),"",IPC_Trimestriel!AW71/IPC_Trimestriel!AS71-1)</f>
        <v/>
      </c>
      <c r="AT110" s="28" t="str">
        <f>IF(OR(IPC_Trimestriel!AX71="",IPC_Trimestriel!AT71=""),"",IPC_Trimestriel!AX71/IPC_Trimestriel!AT71-1)</f>
        <v/>
      </c>
      <c r="AU110" s="28" t="str">
        <f>IF(OR(IPC_Trimestriel!AY71="",IPC_Trimestriel!AU71=""),"",IPC_Trimestriel!AY71/IPC_Trimestriel!AU71-1)</f>
        <v/>
      </c>
      <c r="AV110" s="28">
        <f>IF(OR(IPC_Trimestriel!AZ71="",IPC_Trimestriel!AV71=""),"",IPC_Trimestriel!AZ71/IPC_Trimestriel!AV71-1)</f>
        <v>2.700194581649451E-2</v>
      </c>
      <c r="AW110" s="28">
        <f>IF(OR(IPC_Trimestriel!BA71="",IPC_Trimestriel!AW71=""),"",IPC_Trimestriel!BA71/IPC_Trimestriel!AW71-1)</f>
        <v>2.4960952465151731E-2</v>
      </c>
      <c r="AX110" s="28">
        <f>IF(OR(IPC_Trimestriel!BB71="",IPC_Trimestriel!AX71=""),"",IPC_Trimestriel!BB71/IPC_Trimestriel!AX71-1)</f>
        <v>2.6110586011341974E-2</v>
      </c>
      <c r="AY110" s="28">
        <f>IF(OR(IPC_Trimestriel!BC71="",IPC_Trimestriel!AY71=""),"",IPC_Trimestriel!BC71/IPC_Trimestriel!AY71-1)</f>
        <v>2.3553477498538644E-2</v>
      </c>
      <c r="AZ110" s="28">
        <f>IF(OR(IPC_Trimestriel!BD71="",IPC_Trimestriel!AZ71=""),"",IPC_Trimestriel!BD71/IPC_Trimestriel!AZ71-1)</f>
        <v>1.8509342116769023E-2</v>
      </c>
      <c r="BA110" s="28">
        <f>IF(OR(IPC_Trimestriel!BE71="",IPC_Trimestriel!BA71=""),"",IPC_Trimestriel!BE71/IPC_Trimestriel!BA71-1)</f>
        <v>1.4376078205865506E-2</v>
      </c>
      <c r="BB110" s="28">
        <f>IF(OR(IPC_Trimestriel!BF71="",IPC_Trimestriel!BB71=""),"",IPC_Trimestriel!BF71/IPC_Trimestriel!BB71-1)</f>
        <v>1.3730569948186444E-2</v>
      </c>
      <c r="BC110" s="28">
        <f>IF(OR(IPC_Trimestriel!BG71="",IPC_Trimestriel!BC71=""),"",IPC_Trimestriel!BG71/IPC_Trimestriel!BC71-1)</f>
        <v>8.4794152914977605E-3</v>
      </c>
      <c r="BD110" s="28">
        <f>IF(OR(IPC_Trimestriel!BH71="",IPC_Trimestriel!BD71=""),"",IPC_Trimestriel!BH71/IPC_Trimestriel!BD71-1)</f>
        <v>6.8971438383607087E-3</v>
      </c>
      <c r="BE110" s="28">
        <f>IF(OR(IPC_Trimestriel!BI71="",IPC_Trimestriel!BE71=""),"",IPC_Trimestriel!BI71/IPC_Trimestriel!BE71-1)</f>
        <v>5.668934240362633E-3</v>
      </c>
      <c r="BF110" s="28">
        <f>IF(OR(IPC_Trimestriel!BJ71="",IPC_Trimestriel!BF71=""),"",IPC_Trimestriel!BJ71/IPC_Trimestriel!BF71-1)</f>
        <v>3.5210267768408521E-3</v>
      </c>
      <c r="BG110" s="28">
        <f>IF(OR(IPC_Trimestriel!BK71="",IPC_Trimestriel!BG71=""),"",IPC_Trimestriel!BK71/IPC_Trimestriel!BG71-1)</f>
        <v>1.670299804659825E-3</v>
      </c>
      <c r="BH110" s="28" t="str">
        <f>IF(OR(IPC_Trimestriel!BL71="",IPC_Trimestriel!BH71=""),"",IPC_Trimestriel!BL71/IPC_Trimestriel!BH71-1)</f>
        <v/>
      </c>
      <c r="BI110" s="28" t="str">
        <f>IF(OR(IPC_Trimestriel!BM71="",IPC_Trimestriel!BI71=""),"",IPC_Trimestriel!BM71/IPC_Trimestriel!BI71-1)</f>
        <v/>
      </c>
      <c r="BJ110" s="28" t="str">
        <f>IF(OR(IPC_Trimestriel!BN71="",IPC_Trimestriel!BJ71=""),"",IPC_Trimestriel!BN71/IPC_Trimestriel!BJ71-1)</f>
        <v/>
      </c>
      <c r="BK110" s="28" t="str">
        <f>IF(OR(IPC_Trimestriel!BO71="",IPC_Trimestriel!BK71=""),"",IPC_Trimestriel!BO71/IPC_Trimestriel!BK71-1)</f>
        <v/>
      </c>
      <c r="BL110" s="28" t="str">
        <f>IF(OR(IPC_Trimestriel!BP71="",IPC_Trimestriel!BL71=""),"",IPC_Trimestriel!BP71/IPC_Trimestriel!BL71-1)</f>
        <v/>
      </c>
      <c r="BM110" s="28" t="str">
        <f>IF(OR(IPC_Trimestriel!BQ71="",IPC_Trimestriel!BM71=""),"",IPC_Trimestriel!BQ71/IPC_Trimestriel!BM71-1)</f>
        <v/>
      </c>
      <c r="BN110" s="28" t="str">
        <f>IF(OR(IPC_Trimestriel!BR71="",IPC_Trimestriel!BN71=""),"",IPC_Trimestriel!BR71/IPC_Trimestriel!BN71-1)</f>
        <v/>
      </c>
      <c r="BO110" s="28" t="str">
        <f>IF(OR(IPC_Trimestriel!BS71="",IPC_Trimestriel!BO71=""),"",IPC_Trimestriel!BS71/IPC_Trimestriel!BO71-1)</f>
        <v/>
      </c>
      <c r="BP110" s="28" t="str">
        <f>IF(OR(IPC_Trimestriel!BT71="",IPC_Trimestriel!BP71=""),"",IPC_Trimestriel!BT71/IPC_Trimestriel!BP71-1)</f>
        <v/>
      </c>
      <c r="BQ110" s="28" t="str">
        <f>IF(OR(IPC_Trimestriel!BU71="",IPC_Trimestriel!BQ71=""),"",IPC_Trimestriel!BU71/IPC_Trimestriel!BQ71-1)</f>
        <v/>
      </c>
      <c r="BR110" s="28" t="str">
        <f>IF(OR(IPC_Trimestriel!BV71="",IPC_Trimestriel!BR71=""),"",IPC_Trimestriel!BV71/IPC_Trimestriel!BR71-1)</f>
        <v/>
      </c>
      <c r="BS110" s="28" t="str">
        <f>IF(OR(IPC_Trimestriel!BW71="",IPC_Trimestriel!BS71=""),"",IPC_Trimestriel!BW71/IPC_Trimestriel!BS71-1)</f>
        <v/>
      </c>
      <c r="BT110" s="28" t="str">
        <f>IF(OR(IPC_Trimestriel!BX71="",IPC_Trimestriel!BT71=""),"",IPC_Trimestriel!BX71/IPC_Trimestriel!BT71-1)</f>
        <v/>
      </c>
      <c r="BU110" s="28" t="str">
        <f>IF(OR(IPC_Trimestriel!BY71="",IPC_Trimestriel!BU71=""),"",IPC_Trimestriel!BY71/IPC_Trimestriel!BU71-1)</f>
        <v/>
      </c>
      <c r="BV110" s="28" t="str">
        <f>IF(OR(IPC_Trimestriel!BZ71="",IPC_Trimestriel!BV71=""),"",IPC_Trimestriel!BZ71/IPC_Trimestriel!BV71-1)</f>
        <v/>
      </c>
      <c r="BW110" s="28" t="str">
        <f>IF(OR(IPC_Trimestriel!CA71="",IPC_Trimestriel!BW71=""),"",IPC_Trimestriel!CA71/IPC_Trimestriel!BW71-1)</f>
        <v/>
      </c>
      <c r="BX110" s="28" t="str">
        <f>IF(OR(IPC_Trimestriel!CB71="",IPC_Trimestriel!BX71=""),"",IPC_Trimestriel!CB71/IPC_Trimestriel!BX71-1)</f>
        <v/>
      </c>
      <c r="BY110" s="28" t="str">
        <f>IF(OR(IPC_Trimestriel!CC71="",IPC_Trimestriel!BY71=""),"",IPC_Trimestriel!CC71/IPC_Trimestriel!BY71-1)</f>
        <v/>
      </c>
      <c r="BZ110" s="28" t="str">
        <f>IF(OR(IPC_Trimestriel!CD71="",IPC_Trimestriel!BZ71=""),"",IPC_Trimestriel!CD71/IPC_Trimestriel!BZ71-1)</f>
        <v/>
      </c>
      <c r="CA110" s="28" t="str">
        <f>IF(OR(IPC_Trimestriel!CE71="",IPC_Trimestriel!CA71=""),"",IPC_Trimestriel!CE71/IPC_Trimestriel!CA71-1)</f>
        <v/>
      </c>
      <c r="CB110" s="28" t="str">
        <f>IF(OR(IPC_Trimestriel!CF71="",IPC_Trimestriel!CB71=""),"",IPC_Trimestriel!CF71/IPC_Trimestriel!CB71-1)</f>
        <v/>
      </c>
      <c r="CC110" s="28" t="str">
        <f>IF(OR(IPC_Trimestriel!CG71="",IPC_Trimestriel!CC71=""),"",IPC_Trimestriel!CG71/IPC_Trimestriel!CC71-1)</f>
        <v/>
      </c>
      <c r="CD110" s="28" t="str">
        <f>IF(OR(IPC_Trimestriel!CH71="",IPC_Trimestriel!CD71=""),"",IPC_Trimestriel!CH71/IPC_Trimestriel!CD71-1)</f>
        <v/>
      </c>
      <c r="CE110" s="28" t="str">
        <f>IF(OR(IPC_Trimestriel!CI71="",IPC_Trimestriel!CE71=""),"",IPC_Trimestriel!CI71/IPC_Trimestriel!CE71-1)</f>
        <v/>
      </c>
      <c r="CF110" s="28" t="str">
        <f>IF(OR(IPC_Trimestriel!CJ71="",IPC_Trimestriel!CF71=""),"",IPC_Trimestriel!CJ71/IPC_Trimestriel!CF71-1)</f>
        <v/>
      </c>
      <c r="CG110" s="28" t="str">
        <f>IF(OR(IPC_Trimestriel!CK71="",IPC_Trimestriel!CG71=""),"",IPC_Trimestriel!CK71/IPC_Trimestriel!CG71-1)</f>
        <v/>
      </c>
      <c r="CH110" s="28" t="str">
        <f>IF(OR(IPC_Trimestriel!CL71="",IPC_Trimestriel!CH71=""),"",IPC_Trimestriel!CL71/IPC_Trimestriel!CH71-1)</f>
        <v/>
      </c>
      <c r="CI110" s="28" t="str">
        <f>IF(OR(IPC_Trimestriel!CM71="",IPC_Trimestriel!CI71=""),"",IPC_Trimestriel!CM71/IPC_Trimestriel!CI71-1)</f>
        <v/>
      </c>
      <c r="CJ110" s="28" t="str">
        <f>IF(OR(IPC_Trimestriel!CN71="",IPC_Trimestriel!CJ71=""),"",IPC_Trimestriel!CN71/IPC_Trimestriel!CJ71-1)</f>
        <v/>
      </c>
      <c r="CK110" s="28" t="str">
        <f>IF(OR(IPC_Trimestriel!CO71="",IPC_Trimestriel!CK71=""),"",IPC_Trimestriel!CO71/IPC_Trimestriel!CK71-1)</f>
        <v/>
      </c>
      <c r="CL110" s="28" t="str">
        <f>IF(OR(IPC_Trimestriel!CP71="",IPC_Trimestriel!CL71=""),"",IPC_Trimestriel!CP71/IPC_Trimestriel!CL71-1)</f>
        <v/>
      </c>
      <c r="CM110" s="28" t="str">
        <f>IF(OR(IPC_Trimestriel!CQ71="",IPC_Trimestriel!CM71=""),"",IPC_Trimestriel!CQ71/IPC_Trimestriel!CM71-1)</f>
        <v/>
      </c>
      <c r="CN110" s="28" t="str">
        <f>IF(OR(IPC_Trimestriel!CR71="",IPC_Trimestriel!CN71=""),"",IPC_Trimestriel!CR71/IPC_Trimestriel!CN71-1)</f>
        <v/>
      </c>
      <c r="CO110" s="28" t="str">
        <f>IF(OR(IPC_Trimestriel!CS71="",IPC_Trimestriel!CO71=""),"",IPC_Trimestriel!CS71/IPC_Trimestriel!CO71-1)</f>
        <v/>
      </c>
      <c r="CP110" s="28">
        <f>IF(OR(IPC_Trimestriel!CT71="",IPC_Trimestriel!CP71=""),"",IPC_Trimestriel!CT71/IPC_Trimestriel!CP71-1)</f>
        <v>4.8520592801693629E-2</v>
      </c>
    </row>
    <row r="111" spans="1:94" x14ac:dyDescent="0.25">
      <c r="A111" s="11"/>
      <c r="B111" s="73" t="s">
        <v>52</v>
      </c>
      <c r="C111" s="17"/>
      <c r="D111" s="28" t="str">
        <f>IF(OR(IPC_Trimestriel!H72="",IPC_Trimestriel!D72=""),"",IPC_Trimestriel!H72/IPC_Trimestriel!D72-1)</f>
        <v/>
      </c>
      <c r="E111" s="28" t="str">
        <f>IF(OR(IPC_Trimestriel!I72="",IPC_Trimestriel!E72=""),"",IPC_Trimestriel!I72/IPC_Trimestriel!E72-1)</f>
        <v/>
      </c>
      <c r="F111" s="28" t="str">
        <f>IF(OR(IPC_Trimestriel!J72="",IPC_Trimestriel!F72=""),"",IPC_Trimestriel!J72/IPC_Trimestriel!F72-1)</f>
        <v/>
      </c>
      <c r="G111" s="28" t="str">
        <f>IF(OR(IPC_Trimestriel!K72="",IPC_Trimestriel!G72=""),"",IPC_Trimestriel!K72/IPC_Trimestriel!G72-1)</f>
        <v/>
      </c>
      <c r="H111" s="28" t="str">
        <f>IF(OR(IPC_Trimestriel!L72="",IPC_Trimestriel!H72=""),"",IPC_Trimestriel!L72/IPC_Trimestriel!H72-1)</f>
        <v/>
      </c>
      <c r="I111" s="28" t="str">
        <f>IF(OR(IPC_Trimestriel!M72="",IPC_Trimestriel!I72=""),"",IPC_Trimestriel!M72/IPC_Trimestriel!I72-1)</f>
        <v/>
      </c>
      <c r="J111" s="28" t="str">
        <f>IF(OR(IPC_Trimestriel!N72="",IPC_Trimestriel!J72=""),"",IPC_Trimestriel!N72/IPC_Trimestriel!J72-1)</f>
        <v/>
      </c>
      <c r="K111" s="28" t="str">
        <f>IF(OR(IPC_Trimestriel!O72="",IPC_Trimestriel!K72=""),"",IPC_Trimestriel!O72/IPC_Trimestriel!K72-1)</f>
        <v/>
      </c>
      <c r="L111" s="28" t="str">
        <f>IF(OR(IPC_Trimestriel!P72="",IPC_Trimestriel!L72=""),"",IPC_Trimestriel!P72/IPC_Trimestriel!L72-1)</f>
        <v/>
      </c>
      <c r="M111" s="28" t="str">
        <f>IF(OR(IPC_Trimestriel!Q72="",IPC_Trimestriel!M72=""),"",IPC_Trimestriel!Q72/IPC_Trimestriel!M72-1)</f>
        <v/>
      </c>
      <c r="N111" s="28" t="str">
        <f>IF(OR(IPC_Trimestriel!R72="",IPC_Trimestriel!N72=""),"",IPC_Trimestriel!R72/IPC_Trimestriel!N72-1)</f>
        <v/>
      </c>
      <c r="O111" s="28" t="str">
        <f>IF(OR(IPC_Trimestriel!S72="",IPC_Trimestriel!O72=""),"",IPC_Trimestriel!S72/IPC_Trimestriel!O72-1)</f>
        <v/>
      </c>
      <c r="P111" s="28" t="str">
        <f>IF(OR(IPC_Trimestriel!T72="",IPC_Trimestriel!P72=""),"",IPC_Trimestriel!T72/IPC_Trimestriel!P72-1)</f>
        <v/>
      </c>
      <c r="Q111" s="28" t="str">
        <f>IF(OR(IPC_Trimestriel!U72="",IPC_Trimestriel!Q72=""),"",IPC_Trimestriel!U72/IPC_Trimestriel!Q72-1)</f>
        <v/>
      </c>
      <c r="R111" s="28" t="str">
        <f>IF(OR(IPC_Trimestriel!V72="",IPC_Trimestriel!R72=""),"",IPC_Trimestriel!V72/IPC_Trimestriel!R72-1)</f>
        <v/>
      </c>
      <c r="S111" s="28" t="str">
        <f>IF(OR(IPC_Trimestriel!W72="",IPC_Trimestriel!S72=""),"",IPC_Trimestriel!W72/IPC_Trimestriel!S72-1)</f>
        <v/>
      </c>
      <c r="T111" s="28" t="str">
        <f>IF(OR(IPC_Trimestriel!X72="",IPC_Trimestriel!T72=""),"",IPC_Trimestriel!X72/IPC_Trimestriel!T72-1)</f>
        <v/>
      </c>
      <c r="U111" s="28" t="str">
        <f>IF(OR(IPC_Trimestriel!Y72="",IPC_Trimestriel!U72=""),"",IPC_Trimestriel!Y72/IPC_Trimestriel!U72-1)</f>
        <v/>
      </c>
      <c r="V111" s="28" t="str">
        <f>IF(OR(IPC_Trimestriel!Z72="",IPC_Trimestriel!V72=""),"",IPC_Trimestriel!Z72/IPC_Trimestriel!V72-1)</f>
        <v/>
      </c>
      <c r="W111" s="28" t="str">
        <f>IF(OR(IPC_Trimestriel!AA72="",IPC_Trimestriel!W72=""),"",IPC_Trimestriel!AA72/IPC_Trimestriel!W72-1)</f>
        <v/>
      </c>
      <c r="X111" s="28" t="str">
        <f>IF(OR(IPC_Trimestriel!AB72="",IPC_Trimestriel!X72=""),"",IPC_Trimestriel!AB72/IPC_Trimestriel!X72-1)</f>
        <v/>
      </c>
      <c r="Y111" s="28" t="str">
        <f>IF(OR(IPC_Trimestriel!AC72="",IPC_Trimestriel!Y72=""),"",IPC_Trimestriel!AC72/IPC_Trimestriel!Y72-1)</f>
        <v/>
      </c>
      <c r="Z111" s="28" t="str">
        <f>IF(OR(IPC_Trimestriel!AD72="",IPC_Trimestriel!Z72=""),"",IPC_Trimestriel!AD72/IPC_Trimestriel!Z72-1)</f>
        <v/>
      </c>
      <c r="AA111" s="28" t="str">
        <f>IF(OR(IPC_Trimestriel!AE72="",IPC_Trimestriel!AA72=""),"",IPC_Trimestriel!AE72/IPC_Trimestriel!AA72-1)</f>
        <v/>
      </c>
      <c r="AB111" s="28" t="str">
        <f>IF(OR(IPC_Trimestriel!AF72="",IPC_Trimestriel!AB72=""),"",IPC_Trimestriel!AF72/IPC_Trimestriel!AB72-1)</f>
        <v/>
      </c>
      <c r="AC111" s="28" t="str">
        <f>IF(OR(IPC_Trimestriel!AG72="",IPC_Trimestriel!AC72=""),"",IPC_Trimestriel!AG72/IPC_Trimestriel!AC72-1)</f>
        <v/>
      </c>
      <c r="AD111" s="28" t="str">
        <f>IF(OR(IPC_Trimestriel!AH72="",IPC_Trimestriel!AD72=""),"",IPC_Trimestriel!AH72/IPC_Trimestriel!AD72-1)</f>
        <v/>
      </c>
      <c r="AE111" s="28" t="str">
        <f>IF(OR(IPC_Trimestriel!AI72="",IPC_Trimestriel!AE72=""),"",IPC_Trimestriel!AI72/IPC_Trimestriel!AE72-1)</f>
        <v/>
      </c>
      <c r="AF111" s="28" t="str">
        <f>IF(OR(IPC_Trimestriel!AJ72="",IPC_Trimestriel!AF72=""),"",IPC_Trimestriel!AJ72/IPC_Trimestriel!AF72-1)</f>
        <v/>
      </c>
      <c r="AG111" s="28" t="str">
        <f>IF(OR(IPC_Trimestriel!AK72="",IPC_Trimestriel!AG72=""),"",IPC_Trimestriel!AK72/IPC_Trimestriel!AG72-1)</f>
        <v/>
      </c>
      <c r="AH111" s="28" t="str">
        <f>IF(OR(IPC_Trimestriel!AL72="",IPC_Trimestriel!AH72=""),"",IPC_Trimestriel!AL72/IPC_Trimestriel!AH72-1)</f>
        <v/>
      </c>
      <c r="AI111" s="28" t="str">
        <f>IF(OR(IPC_Trimestriel!AM72="",IPC_Trimestriel!AI72=""),"",IPC_Trimestriel!AM72/IPC_Trimestriel!AI72-1)</f>
        <v/>
      </c>
      <c r="AJ111" s="28" t="str">
        <f>IF(OR(IPC_Trimestriel!AN72="",IPC_Trimestriel!AJ72=""),"",IPC_Trimestriel!AN72/IPC_Trimestriel!AJ72-1)</f>
        <v/>
      </c>
      <c r="AK111" s="28" t="str">
        <f>IF(OR(IPC_Trimestriel!AO72="",IPC_Trimestriel!AK72=""),"",IPC_Trimestriel!AO72/IPC_Trimestriel!AK72-1)</f>
        <v/>
      </c>
      <c r="AL111" s="28" t="str">
        <f>IF(OR(IPC_Trimestriel!AP72="",IPC_Trimestriel!AL72=""),"",IPC_Trimestriel!AP72/IPC_Trimestriel!AL72-1)</f>
        <v/>
      </c>
      <c r="AM111" s="28" t="str">
        <f>IF(OR(IPC_Trimestriel!AQ72="",IPC_Trimestriel!AM72=""),"",IPC_Trimestriel!AQ72/IPC_Trimestriel!AM72-1)</f>
        <v/>
      </c>
      <c r="AN111" s="28" t="str">
        <f>IF(OR(IPC_Trimestriel!AR72="",IPC_Trimestriel!AN72=""),"",IPC_Trimestriel!AR72/IPC_Trimestriel!AN72-1)</f>
        <v/>
      </c>
      <c r="AO111" s="28" t="str">
        <f>IF(OR(IPC_Trimestriel!AS72="",IPC_Trimestriel!AO72=""),"",IPC_Trimestriel!AS72/IPC_Trimestriel!AO72-1)</f>
        <v/>
      </c>
      <c r="AP111" s="28" t="str">
        <f>IF(OR(IPC_Trimestriel!AT72="",IPC_Trimestriel!AP72=""),"",IPC_Trimestriel!AT72/IPC_Trimestriel!AP72-1)</f>
        <v/>
      </c>
      <c r="AQ111" s="28" t="str">
        <f>IF(OR(IPC_Trimestriel!AU72="",IPC_Trimestriel!AQ72=""),"",IPC_Trimestriel!AU72/IPC_Trimestriel!AQ72-1)</f>
        <v/>
      </c>
      <c r="AR111" s="28" t="str">
        <f>IF(OR(IPC_Trimestriel!AV72="",IPC_Trimestriel!AR72=""),"",IPC_Trimestriel!AV72/IPC_Trimestriel!AR72-1)</f>
        <v/>
      </c>
      <c r="AS111" s="28" t="str">
        <f>IF(OR(IPC_Trimestriel!AW72="",IPC_Trimestriel!AS72=""),"",IPC_Trimestriel!AW72/IPC_Trimestriel!AS72-1)</f>
        <v/>
      </c>
      <c r="AT111" s="28" t="str">
        <f>IF(OR(IPC_Trimestriel!AX72="",IPC_Trimestriel!AT72=""),"",IPC_Trimestriel!AX72/IPC_Trimestriel!AT72-1)</f>
        <v/>
      </c>
      <c r="AU111" s="28" t="str">
        <f>IF(OR(IPC_Trimestriel!AY72="",IPC_Trimestriel!AU72=""),"",IPC_Trimestriel!AY72/IPC_Trimestriel!AU72-1)</f>
        <v/>
      </c>
      <c r="AV111" s="28">
        <f>IF(OR(IPC_Trimestriel!AZ72="",IPC_Trimestriel!AV72=""),"",IPC_Trimestriel!AZ72/IPC_Trimestriel!AV72-1)</f>
        <v>2.5702980004902454E-2</v>
      </c>
      <c r="AW111" s="28">
        <f>IF(OR(IPC_Trimestriel!BA72="",IPC_Trimestriel!AW72=""),"",IPC_Trimestriel!BA72/IPC_Trimestriel!AW72-1)</f>
        <v>2.3153595902263513E-2</v>
      </c>
      <c r="AX111" s="28">
        <f>IF(OR(IPC_Trimestriel!BB72="",IPC_Trimestriel!AX72=""),"",IPC_Trimestriel!BB72/IPC_Trimestriel!AX72-1)</f>
        <v>2.2576177285318577E-2</v>
      </c>
      <c r="AY111" s="28">
        <f>IF(OR(IPC_Trimestriel!BC72="",IPC_Trimestriel!AY72=""),"",IPC_Trimestriel!BC72/IPC_Trimestriel!AY72-1)</f>
        <v>1.7382939984196932E-2</v>
      </c>
      <c r="AZ111" s="28">
        <f>IF(OR(IPC_Trimestriel!BD72="",IPC_Trimestriel!AZ72=""),"",IPC_Trimestriel!BD72/IPC_Trimestriel!AZ72-1)</f>
        <v>1.2085623570380122E-2</v>
      </c>
      <c r="BA111" s="28">
        <f>IF(OR(IPC_Trimestriel!BE72="",IPC_Trimestriel!BA72=""),"",IPC_Trimestriel!BE72/IPC_Trimestriel!BA72-1)</f>
        <v>9.0653857862867948E-3</v>
      </c>
      <c r="BB111" s="28">
        <f>IF(OR(IPC_Trimestriel!BF72="",IPC_Trimestriel!BB72=""),"",IPC_Trimestriel!BF72/IPC_Trimestriel!BB72-1)</f>
        <v>1.0632534200189614E-2</v>
      </c>
      <c r="BC111" s="28">
        <f>IF(OR(IPC_Trimestriel!BG72="",IPC_Trimestriel!BC72=""),"",IPC_Trimestriel!BG72/IPC_Trimestriel!BC72-1)</f>
        <v>7.833867972311559E-3</v>
      </c>
      <c r="BD111" s="28">
        <f>IF(OR(IPC_Trimestriel!BH72="",IPC_Trimestriel!BD72=""),"",IPC_Trimestriel!BH72/IPC_Trimestriel!BD72-1)</f>
        <v>8.6017878225670419E-3</v>
      </c>
      <c r="BE111" s="28">
        <f>IF(OR(IPC_Trimestriel!BI72="",IPC_Trimestriel!BE72=""),"",IPC_Trimestriel!BI72/IPC_Trimestriel!BE72-1)</f>
        <v>7.5089671817907266E-3</v>
      </c>
      <c r="BF111" s="28">
        <f>IF(OR(IPC_Trimestriel!BJ72="",IPC_Trimestriel!BF72=""),"",IPC_Trimestriel!BJ72/IPC_Trimestriel!BF72-1)</f>
        <v>4.9252831200161662E-3</v>
      </c>
      <c r="BG111" s="28">
        <f>IF(OR(IPC_Trimestriel!BK72="",IPC_Trimestriel!BG72=""),"",IPC_Trimestriel!BK72/IPC_Trimestriel!BG72-1)</f>
        <v>3.4174288873252134E-3</v>
      </c>
      <c r="BH111" s="28">
        <f>IF(OR(IPC_Trimestriel!BL72="",IPC_Trimestriel!BH72=""),"",IPC_Trimestriel!BL72/IPC_Trimestriel!BH72-1)</f>
        <v>-2.3745819397993362E-3</v>
      </c>
      <c r="BI111" s="28">
        <f>IF(OR(IPC_Trimestriel!BM72="",IPC_Trimestriel!BI72=""),"",IPC_Trimestriel!BM72/IPC_Trimestriel!BI72-1)</f>
        <v>2.6617867243388105E-3</v>
      </c>
      <c r="BJ111" s="28">
        <f>IF(OR(IPC_Trimestriel!BN72="",IPC_Trimestriel!BJ72=""),"",IPC_Trimestriel!BN72/IPC_Trimestriel!BJ72-1)</f>
        <v>1.4003267429065769E-3</v>
      </c>
      <c r="BK111" s="28">
        <f>IF(OR(IPC_Trimestriel!BO72="",IPC_Trimestriel!BK72=""),"",IPC_Trimestriel!BO72/IPC_Trimestriel!BK72-1)</f>
        <v>1.7696751143609912E-3</v>
      </c>
      <c r="BL111" s="28">
        <f>IF(OR(IPC_Trimestriel!BP72="",IPC_Trimestriel!BL72=""),"",IPC_Trimestriel!BP72/IPC_Trimestriel!BL72-1)</f>
        <v>4.3581749304344441E-4</v>
      </c>
      <c r="BM111" s="28">
        <f>IF(OR(IPC_Trimestriel!BQ72="",IPC_Trimestriel!BM72=""),"",IPC_Trimestriel!BQ72/IPC_Trimestriel!BM72-1)</f>
        <v>9.2915214866429174E-4</v>
      </c>
      <c r="BN111" s="28">
        <f>IF(OR(IPC_Trimestriel!BR72="",IPC_Trimestriel!BN72=""),"",IPC_Trimestriel!BR72/IPC_Trimestriel!BN72-1)</f>
        <v>4.261694689528861E-3</v>
      </c>
      <c r="BO111" s="28">
        <f>IF(OR(IPC_Trimestriel!BS72="",IPC_Trimestriel!BO72=""),"",IPC_Trimestriel!BS72/IPC_Trimestriel!BO72-1)</f>
        <v>6.5662289180723477E-3</v>
      </c>
      <c r="BP111" s="28">
        <f>IF(OR(IPC_Trimestriel!BT72="",IPC_Trimestriel!BP72=""),"",IPC_Trimestriel!BT72/IPC_Trimestriel!BP72-1)</f>
        <v>1.4576770993901311E-2</v>
      </c>
      <c r="BQ111" s="28">
        <f>IF(OR(IPC_Trimestriel!BU72="",IPC_Trimestriel!BQ72=""),"",IPC_Trimestriel!BU72/IPC_Trimestriel!BQ72-1)</f>
        <v>1.0310645492822346E-2</v>
      </c>
      <c r="BR111" s="28">
        <f>IF(OR(IPC_Trimestriel!BV72="",IPC_Trimestriel!BR72=""),"",IPC_Trimestriel!BV72/IPC_Trimestriel!BR72-1)</f>
        <v>9.4818154692835055E-3</v>
      </c>
      <c r="BS111" s="28">
        <f>IF(OR(IPC_Trimestriel!BW72="",IPC_Trimestriel!BS72=""),"",IPC_Trimestriel!BW72/IPC_Trimestriel!BS72-1)</f>
        <v>1.2152720288751029E-2</v>
      </c>
      <c r="BT111" s="28">
        <f>IF(OR(IPC_Trimestriel!BX72="",IPC_Trimestriel!BT72=""),"",IPC_Trimestriel!BX72/IPC_Trimestriel!BT72-1)</f>
        <v>1.5060937345179548E-2</v>
      </c>
      <c r="BU111" s="28">
        <f>IF(OR(IPC_Trimestriel!BY72="",IPC_Trimestriel!BU72=""),"",IPC_Trimestriel!BY72/IPC_Trimestriel!BU72-1)</f>
        <v>2.1460917503445698E-2</v>
      </c>
      <c r="BV111" s="28">
        <f>IF(OR(IPC_Trimestriel!BZ72="",IPC_Trimestriel!BV72=""),"",IPC_Trimestriel!BZ72/IPC_Trimestriel!BV72-1)</f>
        <v>2.5550921212519118E-2</v>
      </c>
      <c r="BW111" s="28">
        <f>IF(OR(IPC_Trimestriel!CA72="",IPC_Trimestriel!BW72=""),"",IPC_Trimestriel!CA72/IPC_Trimestriel!BW72-1)</f>
        <v>2.1854347968331078E-2</v>
      </c>
      <c r="BX111" s="28">
        <f>IF(OR(IPC_Trimestriel!CB72="",IPC_Trimestriel!BX72=""),"",IPC_Trimestriel!CB72/IPC_Trimestriel!BX72-1)</f>
        <v>1.4251781472683911E-2</v>
      </c>
      <c r="BY111" s="28">
        <f>IF(OR(IPC_Trimestriel!CC72="",IPC_Trimestriel!BY72=""),"",IPC_Trimestriel!CC72/IPC_Trimestriel!BY72-1)</f>
        <v>1.3042919557954225E-2</v>
      </c>
      <c r="BZ111" s="28">
        <f>IF(OR(IPC_Trimestriel!CD72="",IPC_Trimestriel!BZ72=""),"",IPC_Trimestriel!CD72/IPC_Trimestriel!BZ72-1)</f>
        <v>9.5750472347648774E-3</v>
      </c>
      <c r="CA111" s="28">
        <f>IF(OR(IPC_Trimestriel!CE72="",IPC_Trimestriel!CA72=""),"",IPC_Trimestriel!CE72/IPC_Trimestriel!CA72-1)</f>
        <v>5.1866555676505222E-3</v>
      </c>
      <c r="CB111" s="28">
        <f>IF(OR(IPC_Trimestriel!CF72="",IPC_Trimestriel!CB72=""),"",IPC_Trimestriel!CF72/IPC_Trimestriel!CB72-1)</f>
        <v>6.2558146995606023E-3</v>
      </c>
      <c r="CC111" s="28">
        <f>IF(OR(IPC_Trimestriel!CG72="",IPC_Trimestriel!CC72=""),"",IPC_Trimestriel!CG72/IPC_Trimestriel!CC72-1)</f>
        <v>-4.0591108010402666E-3</v>
      </c>
      <c r="CD111" s="28">
        <f>IF(OR(IPC_Trimestriel!CH72="",IPC_Trimestriel!CD72=""),"",IPC_Trimestriel!CH72/IPC_Trimestriel!CD72-1)</f>
        <v>-1.3639535621391419E-3</v>
      </c>
      <c r="CE111" s="28">
        <f>IF(OR(IPC_Trimestriel!CI72="",IPC_Trimestriel!CE72=""),"",IPC_Trimestriel!CI72/IPC_Trimestriel!CE72-1)</f>
        <v>7.6442858962932903E-4</v>
      </c>
      <c r="CF111" s="28">
        <f>IF(OR(IPC_Trimestriel!CJ72="",IPC_Trimestriel!CF72=""),"",IPC_Trimestriel!CJ72/IPC_Trimestriel!CF72-1)</f>
        <v>7.4284256838614837E-3</v>
      </c>
      <c r="CG111" s="28">
        <f>IF(OR(IPC_Trimestriel!CK72="",IPC_Trimestriel!CG72=""),"",IPC_Trimestriel!CK72/IPC_Trimestriel!CG72-1)</f>
        <v>1.3819015474749952E-2</v>
      </c>
      <c r="CH111" s="28">
        <f>IF(OR(IPC_Trimestriel!CL72="",IPC_Trimestriel!CH72=""),"",IPC_Trimestriel!CL72/IPC_Trimestriel!CH72-1)</f>
        <v>1.7247403360543867E-2</v>
      </c>
      <c r="CI111" s="28">
        <f>IF(OR(IPC_Trimestriel!CM72="",IPC_Trimestriel!CI72=""),"",IPC_Trimestriel!CM72/IPC_Trimestriel!CI72-1)</f>
        <v>2.7180140038192135E-2</v>
      </c>
      <c r="CJ111" s="28">
        <f>IF(OR(IPC_Trimestriel!CN72="",IPC_Trimestriel!CJ72=""),"",IPC_Trimestriel!CN72/IPC_Trimestriel!CJ72-1)</f>
        <v>3.6583436184689511E-2</v>
      </c>
      <c r="CK111" s="28">
        <f>IF(OR(IPC_Trimestriel!CO72="",IPC_Trimestriel!CK72=""),"",IPC_Trimestriel!CO72/IPC_Trimestriel!CK72-1)</f>
        <v>5.3109296482412027E-2</v>
      </c>
      <c r="CL111" s="28">
        <f>IF(OR(IPC_Trimestriel!CP72="",IPC_Trimestriel!CL72=""),"",IPC_Trimestriel!CP72/IPC_Trimestriel!CL72-1)</f>
        <v>5.8483731967776231E-2</v>
      </c>
      <c r="CM111" s="28">
        <f>IF(OR(IPC_Trimestriel!CQ72="",IPC_Trimestriel!CM72=""),"",IPC_Trimestriel!CQ72/IPC_Trimestriel!CM72-1)</f>
        <v>6.0668029993183437E-2</v>
      </c>
      <c r="CN111" s="28">
        <f>IF(OR(IPC_Trimestriel!CR72="",IPC_Trimestriel!CN72=""),"",IPC_Trimestriel!CR72/IPC_Trimestriel!CN72-1)</f>
        <v>5.9899252022592053E-2</v>
      </c>
      <c r="CO111" s="28">
        <f>IF(OR(IPC_Trimestriel!CS72="",IPC_Trimestriel!CO72=""),"",IPC_Trimestriel!CS72/IPC_Trimestriel!CO72-1)</f>
        <v>5.1534401002057972E-2</v>
      </c>
      <c r="CP111" s="28">
        <f>IF(OR(IPC_Trimestriel!CT72="",IPC_Trimestriel!CP72=""),"",IPC_Trimestriel!CT72/IPC_Trimestriel!CP72-1)</f>
        <v>4.5635564470928314E-2</v>
      </c>
    </row>
    <row r="112" spans="1:94" x14ac:dyDescent="0.25">
      <c r="A112" s="11"/>
      <c r="B112" s="31" t="s">
        <v>53</v>
      </c>
      <c r="C112" s="17"/>
      <c r="D112" s="28" t="str">
        <f>IF(OR(IPC_Trimestriel!H73="",IPC_Trimestriel!D73=""),"",IPC_Trimestriel!H73/IPC_Trimestriel!D73-1)</f>
        <v/>
      </c>
      <c r="E112" s="28" t="str">
        <f>IF(OR(IPC_Trimestriel!I73="",IPC_Trimestriel!E73=""),"",IPC_Trimestriel!I73/IPC_Trimestriel!E73-1)</f>
        <v/>
      </c>
      <c r="F112" s="28" t="str">
        <f>IF(OR(IPC_Trimestriel!J73="",IPC_Trimestriel!F73=""),"",IPC_Trimestriel!J73/IPC_Trimestriel!F73-1)</f>
        <v/>
      </c>
      <c r="G112" s="28" t="str">
        <f>IF(OR(IPC_Trimestriel!K73="",IPC_Trimestriel!G73=""),"",IPC_Trimestriel!K73/IPC_Trimestriel!G73-1)</f>
        <v/>
      </c>
      <c r="H112" s="28" t="str">
        <f>IF(OR(IPC_Trimestriel!L73="",IPC_Trimestriel!H73=""),"",IPC_Trimestriel!L73/IPC_Trimestriel!H73-1)</f>
        <v/>
      </c>
      <c r="I112" s="28" t="str">
        <f>IF(OR(IPC_Trimestriel!M73="",IPC_Trimestriel!I73=""),"",IPC_Trimestriel!M73/IPC_Trimestriel!I73-1)</f>
        <v/>
      </c>
      <c r="J112" s="28" t="str">
        <f>IF(OR(IPC_Trimestriel!N73="",IPC_Trimestriel!J73=""),"",IPC_Trimestriel!N73/IPC_Trimestriel!J73-1)</f>
        <v/>
      </c>
      <c r="K112" s="28" t="str">
        <f>IF(OR(IPC_Trimestriel!O73="",IPC_Trimestriel!K73=""),"",IPC_Trimestriel!O73/IPC_Trimestriel!K73-1)</f>
        <v/>
      </c>
      <c r="L112" s="28" t="str">
        <f>IF(OR(IPC_Trimestriel!P73="",IPC_Trimestriel!L73=""),"",IPC_Trimestriel!P73/IPC_Trimestriel!L73-1)</f>
        <v/>
      </c>
      <c r="M112" s="28" t="str">
        <f>IF(OR(IPC_Trimestriel!Q73="",IPC_Trimestriel!M73=""),"",IPC_Trimestriel!Q73/IPC_Trimestriel!M73-1)</f>
        <v/>
      </c>
      <c r="N112" s="28" t="str">
        <f>IF(OR(IPC_Trimestriel!R73="",IPC_Trimestriel!N73=""),"",IPC_Trimestriel!R73/IPC_Trimestriel!N73-1)</f>
        <v/>
      </c>
      <c r="O112" s="28" t="str">
        <f>IF(OR(IPC_Trimestriel!S73="",IPC_Trimestriel!O73=""),"",IPC_Trimestriel!S73/IPC_Trimestriel!O73-1)</f>
        <v/>
      </c>
      <c r="P112" s="28" t="str">
        <f>IF(OR(IPC_Trimestriel!T73="",IPC_Trimestriel!P73=""),"",IPC_Trimestriel!T73/IPC_Trimestriel!P73-1)</f>
        <v/>
      </c>
      <c r="Q112" s="28" t="str">
        <f>IF(OR(IPC_Trimestriel!U73="",IPC_Trimestriel!Q73=""),"",IPC_Trimestriel!U73/IPC_Trimestriel!Q73-1)</f>
        <v/>
      </c>
      <c r="R112" s="28" t="str">
        <f>IF(OR(IPC_Trimestriel!V73="",IPC_Trimestriel!R73=""),"",IPC_Trimestriel!V73/IPC_Trimestriel!R73-1)</f>
        <v/>
      </c>
      <c r="S112" s="28" t="str">
        <f>IF(OR(IPC_Trimestriel!W73="",IPC_Trimestriel!S73=""),"",IPC_Trimestriel!W73/IPC_Trimestriel!S73-1)</f>
        <v/>
      </c>
      <c r="T112" s="28" t="str">
        <f>IF(OR(IPC_Trimestriel!X73="",IPC_Trimestriel!T73=""),"",IPC_Trimestriel!X73/IPC_Trimestriel!T73-1)</f>
        <v/>
      </c>
      <c r="U112" s="28" t="str">
        <f>IF(OR(IPC_Trimestriel!Y73="",IPC_Trimestriel!U73=""),"",IPC_Trimestriel!Y73/IPC_Trimestriel!U73-1)</f>
        <v/>
      </c>
      <c r="V112" s="28" t="str">
        <f>IF(OR(IPC_Trimestriel!Z73="",IPC_Trimestriel!V73=""),"",IPC_Trimestriel!Z73/IPC_Trimestriel!V73-1)</f>
        <v/>
      </c>
      <c r="W112" s="28" t="str">
        <f>IF(OR(IPC_Trimestriel!AA73="",IPC_Trimestriel!W73=""),"",IPC_Trimestriel!AA73/IPC_Trimestriel!W73-1)</f>
        <v/>
      </c>
      <c r="X112" s="28" t="str">
        <f>IF(OR(IPC_Trimestriel!AB73="",IPC_Trimestriel!X73=""),"",IPC_Trimestriel!AB73/IPC_Trimestriel!X73-1)</f>
        <v/>
      </c>
      <c r="Y112" s="28" t="str">
        <f>IF(OR(IPC_Trimestriel!AC73="",IPC_Trimestriel!Y73=""),"",IPC_Trimestriel!AC73/IPC_Trimestriel!Y73-1)</f>
        <v/>
      </c>
      <c r="Z112" s="28" t="str">
        <f>IF(OR(IPC_Trimestriel!AD73="",IPC_Trimestriel!Z73=""),"",IPC_Trimestriel!AD73/IPC_Trimestriel!Z73-1)</f>
        <v/>
      </c>
      <c r="AA112" s="28" t="str">
        <f>IF(OR(IPC_Trimestriel!AE73="",IPC_Trimestriel!AA73=""),"",IPC_Trimestriel!AE73/IPC_Trimestriel!AA73-1)</f>
        <v/>
      </c>
      <c r="AB112" s="28" t="str">
        <f>IF(OR(IPC_Trimestriel!AF73="",IPC_Trimestriel!AB73=""),"",IPC_Trimestriel!AF73/IPC_Trimestriel!AB73-1)</f>
        <v/>
      </c>
      <c r="AC112" s="28" t="str">
        <f>IF(OR(IPC_Trimestriel!AG73="",IPC_Trimestriel!AC73=""),"",IPC_Trimestriel!AG73/IPC_Trimestriel!AC73-1)</f>
        <v/>
      </c>
      <c r="AD112" s="28" t="str">
        <f>IF(OR(IPC_Trimestriel!AH73="",IPC_Trimestriel!AD73=""),"",IPC_Trimestriel!AH73/IPC_Trimestriel!AD73-1)</f>
        <v/>
      </c>
      <c r="AE112" s="28" t="str">
        <f>IF(OR(IPC_Trimestriel!AI73="",IPC_Trimestriel!AE73=""),"",IPC_Trimestriel!AI73/IPC_Trimestriel!AE73-1)</f>
        <v/>
      </c>
      <c r="AF112" s="28" t="str">
        <f>IF(OR(IPC_Trimestriel!AJ73="",IPC_Trimestriel!AF73=""),"",IPC_Trimestriel!AJ73/IPC_Trimestriel!AF73-1)</f>
        <v/>
      </c>
      <c r="AG112" s="28" t="str">
        <f>IF(OR(IPC_Trimestriel!AK73="",IPC_Trimestriel!AG73=""),"",IPC_Trimestriel!AK73/IPC_Trimestriel!AG73-1)</f>
        <v/>
      </c>
      <c r="AH112" s="28" t="str">
        <f>IF(OR(IPC_Trimestriel!AL73="",IPC_Trimestriel!AH73=""),"",IPC_Trimestriel!AL73/IPC_Trimestriel!AH73-1)</f>
        <v/>
      </c>
      <c r="AI112" s="28" t="str">
        <f>IF(OR(IPC_Trimestriel!AM73="",IPC_Trimestriel!AI73=""),"",IPC_Trimestriel!AM73/IPC_Trimestriel!AI73-1)</f>
        <v/>
      </c>
      <c r="AJ112" s="28" t="str">
        <f>IF(OR(IPC_Trimestriel!AN73="",IPC_Trimestriel!AJ73=""),"",IPC_Trimestriel!AN73/IPC_Trimestriel!AJ73-1)</f>
        <v/>
      </c>
      <c r="AK112" s="28" t="str">
        <f>IF(OR(IPC_Trimestriel!AO73="",IPC_Trimestriel!AK73=""),"",IPC_Trimestriel!AO73/IPC_Trimestriel!AK73-1)</f>
        <v/>
      </c>
      <c r="AL112" s="28" t="str">
        <f>IF(OR(IPC_Trimestriel!AP73="",IPC_Trimestriel!AL73=""),"",IPC_Trimestriel!AP73/IPC_Trimestriel!AL73-1)</f>
        <v/>
      </c>
      <c r="AM112" s="28" t="str">
        <f>IF(OR(IPC_Trimestriel!AQ73="",IPC_Trimestriel!AM73=""),"",IPC_Trimestriel!AQ73/IPC_Trimestriel!AM73-1)</f>
        <v/>
      </c>
      <c r="AN112" s="28" t="str">
        <f>IF(OR(IPC_Trimestriel!AR73="",IPC_Trimestriel!AN73=""),"",IPC_Trimestriel!AR73/IPC_Trimestriel!AN73-1)</f>
        <v/>
      </c>
      <c r="AO112" s="28" t="str">
        <f>IF(OR(IPC_Trimestriel!AS73="",IPC_Trimestriel!AO73=""),"",IPC_Trimestriel!AS73/IPC_Trimestriel!AO73-1)</f>
        <v/>
      </c>
      <c r="AP112" s="28" t="str">
        <f>IF(OR(IPC_Trimestriel!AT73="",IPC_Trimestriel!AP73=""),"",IPC_Trimestriel!AT73/IPC_Trimestriel!AP73-1)</f>
        <v/>
      </c>
      <c r="AQ112" s="28" t="str">
        <f>IF(OR(IPC_Trimestriel!AU73="",IPC_Trimestriel!AQ73=""),"",IPC_Trimestriel!AU73/IPC_Trimestriel!AQ73-1)</f>
        <v/>
      </c>
      <c r="AR112" s="28" t="str">
        <f>IF(OR(IPC_Trimestriel!AV73="",IPC_Trimestriel!AR73=""),"",IPC_Trimestriel!AV73/IPC_Trimestriel!AR73-1)</f>
        <v/>
      </c>
      <c r="AS112" s="28" t="str">
        <f>IF(OR(IPC_Trimestriel!AW73="",IPC_Trimestriel!AS73=""),"",IPC_Trimestriel!AW73/IPC_Trimestriel!AS73-1)</f>
        <v/>
      </c>
      <c r="AT112" s="28" t="str">
        <f>IF(OR(IPC_Trimestriel!AX73="",IPC_Trimestriel!AT73=""),"",IPC_Trimestriel!AX73/IPC_Trimestriel!AT73-1)</f>
        <v/>
      </c>
      <c r="AU112" s="28" t="str">
        <f>IF(OR(IPC_Trimestriel!AY73="",IPC_Trimestriel!AU73=""),"",IPC_Trimestriel!AY73/IPC_Trimestriel!AU73-1)</f>
        <v/>
      </c>
      <c r="AV112" s="28">
        <f>IF(OR(IPC_Trimestriel!AZ73="",IPC_Trimestriel!AV73=""),"",IPC_Trimestriel!AZ73/IPC_Trimestriel!AV73-1)</f>
        <v>2.8151922032965349E-2</v>
      </c>
      <c r="AW112" s="28">
        <f>IF(OR(IPC_Trimestriel!BA73="",IPC_Trimestriel!AW73=""),"",IPC_Trimestriel!BA73/IPC_Trimestriel!AW73-1)</f>
        <v>1.889765176058833E-2</v>
      </c>
      <c r="AX112" s="28">
        <f>IF(OR(IPC_Trimestriel!BB73="",IPC_Trimestriel!AX73=""),"",IPC_Trimestriel!BB73/IPC_Trimestriel!AX73-1)</f>
        <v>1.6977843722584263E-2</v>
      </c>
      <c r="AY112" s="28">
        <f>IF(OR(IPC_Trimestriel!BC73="",IPC_Trimestriel!AY73=""),"",IPC_Trimestriel!BC73/IPC_Trimestriel!AY73-1)</f>
        <v>1.7769838838886054E-2</v>
      </c>
      <c r="AZ112" s="28">
        <f>IF(OR(IPC_Trimestriel!BD73="",IPC_Trimestriel!AZ73=""),"",IPC_Trimestriel!BD73/IPC_Trimestriel!AZ73-1)</f>
        <v>1.6818288188147346E-2</v>
      </c>
      <c r="BA112" s="28">
        <f>IF(OR(IPC_Trimestriel!BE73="",IPC_Trimestriel!BA73=""),"",IPC_Trimestriel!BE73/IPC_Trimestriel!BA73-1)</f>
        <v>1.3928497863291422E-2</v>
      </c>
      <c r="BB112" s="28">
        <f>IF(OR(IPC_Trimestriel!BF73="",IPC_Trimestriel!BB73=""),"",IPC_Trimestriel!BF73/IPC_Trimestriel!BB73-1)</f>
        <v>1.5533587112275704E-2</v>
      </c>
      <c r="BC112" s="28">
        <f>IF(OR(IPC_Trimestriel!BG73="",IPC_Trimestriel!BC73=""),"",IPC_Trimestriel!BG73/IPC_Trimestriel!BC73-1)</f>
        <v>1.2334711252005581E-2</v>
      </c>
      <c r="BD112" s="28">
        <f>IF(OR(IPC_Trimestriel!BH73="",IPC_Trimestriel!BD73=""),"",IPC_Trimestriel!BH73/IPC_Trimestriel!BD73-1)</f>
        <v>1.4054564101383837E-2</v>
      </c>
      <c r="BE112" s="28">
        <f>IF(OR(IPC_Trimestriel!BI73="",IPC_Trimestriel!BE73=""),"",IPC_Trimestriel!BI73/IPC_Trimestriel!BE73-1)</f>
        <v>2.0508455177544294E-2</v>
      </c>
      <c r="BF112" s="28">
        <f>IF(OR(IPC_Trimestriel!BJ73="",IPC_Trimestriel!BF73=""),"",IPC_Trimestriel!BJ73/IPC_Trimestriel!BF73-1)</f>
        <v>1.7831538919817147E-2</v>
      </c>
      <c r="BG112" s="28">
        <f>IF(OR(IPC_Trimestriel!BK73="",IPC_Trimestriel!BG73=""),"",IPC_Trimestriel!BK73/IPC_Trimestriel!BG73-1)</f>
        <v>1.2480276246884081E-2</v>
      </c>
      <c r="BH112" s="28">
        <f>IF(OR(IPC_Trimestriel!BL73="",IPC_Trimestriel!BH73=""),"",IPC_Trimestriel!BL73/IPC_Trimestriel!BH73-1)</f>
        <v>-6.2695924764888389E-4</v>
      </c>
      <c r="BI112" s="28">
        <f>IF(OR(IPC_Trimestriel!BM73="",IPC_Trimestriel!BI73=""),"",IPC_Trimestriel!BM73/IPC_Trimestriel!BI73-1)</f>
        <v>-3.827201166384242E-4</v>
      </c>
      <c r="BJ112" s="28">
        <f>IF(OR(IPC_Trimestriel!BN73="",IPC_Trimestriel!BJ73=""),"",IPC_Trimestriel!BN73/IPC_Trimestriel!BJ73-1)</f>
        <v>1.095034118294258E-3</v>
      </c>
      <c r="BK112" s="28">
        <f>IF(OR(IPC_Trimestriel!BO73="",IPC_Trimestriel!BK73=""),"",IPC_Trimestriel!BO73/IPC_Trimestriel!BK73-1)</f>
        <v>4.6626463164669563E-3</v>
      </c>
      <c r="BL112" s="28">
        <f>IF(OR(IPC_Trimestriel!BP73="",IPC_Trimestriel!BL73=""),"",IPC_Trimestriel!BP73/IPC_Trimestriel!BL73-1)</f>
        <v>1.0802670648415669E-2</v>
      </c>
      <c r="BM112" s="28">
        <f>IF(OR(IPC_Trimestriel!BQ73="",IPC_Trimestriel!BM73=""),"",IPC_Trimestriel!BQ73/IPC_Trimestriel!BM73-1)</f>
        <v>1.0508497395665284E-2</v>
      </c>
      <c r="BN112" s="28">
        <f>IF(OR(IPC_Trimestriel!BR73="",IPC_Trimestriel!BN73=""),"",IPC_Trimestriel!BR73/IPC_Trimestriel!BN73-1)</f>
        <v>1.120832546526529E-2</v>
      </c>
      <c r="BO112" s="28">
        <f>IF(OR(IPC_Trimestriel!BS73="",IPC_Trimestriel!BO73=""),"",IPC_Trimestriel!BS73/IPC_Trimestriel!BO73-1)</f>
        <v>1.8006207680494324E-2</v>
      </c>
      <c r="BP112" s="28">
        <f>IF(OR(IPC_Trimestriel!BT73="",IPC_Trimestriel!BP73=""),"",IPC_Trimestriel!BT73/IPC_Trimestriel!BP73-1)</f>
        <v>2.5393205730742663E-2</v>
      </c>
      <c r="BQ112" s="28">
        <f>IF(OR(IPC_Trimestriel!BU73="",IPC_Trimestriel!BQ73=""),"",IPC_Trimestriel!BU73/IPC_Trimestriel!BQ73-1)</f>
        <v>1.8981728854254198E-2</v>
      </c>
      <c r="BR112" s="28">
        <f>IF(OR(IPC_Trimestriel!BV73="",IPC_Trimestriel!BR73=""),"",IPC_Trimestriel!BV73/IPC_Trimestriel!BR73-1)</f>
        <v>1.963681030476061E-2</v>
      </c>
      <c r="BS112" s="28">
        <f>IF(OR(IPC_Trimestriel!BW73="",IPC_Trimestriel!BS73=""),"",IPC_Trimestriel!BW73/IPC_Trimestriel!BS73-1)</f>
        <v>2.117557424701233E-2</v>
      </c>
      <c r="BT112" s="28">
        <f>IF(OR(IPC_Trimestriel!BX73="",IPC_Trimestriel!BT73=""),"",IPC_Trimestriel!BX73/IPC_Trimestriel!BT73-1)</f>
        <v>2.2141944530793323E-2</v>
      </c>
      <c r="BU112" s="28">
        <f>IF(OR(IPC_Trimestriel!BY73="",IPC_Trimestriel!BU73=""),"",IPC_Trimestriel!BY73/IPC_Trimestriel!BU73-1)</f>
        <v>2.7118870299041697E-2</v>
      </c>
      <c r="BV112" s="28">
        <f>IF(OR(IPC_Trimestriel!BZ73="",IPC_Trimestriel!BV73=""),"",IPC_Trimestriel!BZ73/IPC_Trimestriel!BV73-1)</f>
        <v>2.6409396519445849E-2</v>
      </c>
      <c r="BW112" s="28">
        <f>IF(OR(IPC_Trimestriel!CA73="",IPC_Trimestriel!BW73=""),"",IPC_Trimestriel!CA73/IPC_Trimestriel!BW73-1)</f>
        <v>2.2031314201682584E-2</v>
      </c>
      <c r="BX112" s="28">
        <f>IF(OR(IPC_Trimestriel!CB73="",IPC_Trimestriel!BX73=""),"",IPC_Trimestriel!CB73/IPC_Trimestriel!BX73-1)</f>
        <v>1.6449360406853186E-2</v>
      </c>
      <c r="BY112" s="28">
        <f>IF(OR(IPC_Trimestriel!CC73="",IPC_Trimestriel!BY73=""),"",IPC_Trimestriel!CC73/IPC_Trimestriel!BY73-1)</f>
        <v>1.811375597879894E-2</v>
      </c>
      <c r="BZ112" s="28" t="str">
        <f>IF(OR(IPC_Trimestriel!CD73="",IPC_Trimestriel!BZ73=""),"",IPC_Trimestriel!CD73/IPC_Trimestriel!BZ73-1)</f>
        <v/>
      </c>
      <c r="CA112" s="28" t="str">
        <f>IF(OR(IPC_Trimestriel!CE73="",IPC_Trimestriel!CA73=""),"",IPC_Trimestriel!CE73/IPC_Trimestriel!CA73-1)</f>
        <v/>
      </c>
      <c r="CB112" s="28" t="str">
        <f>IF(OR(IPC_Trimestriel!CF73="",IPC_Trimestriel!CB73=""),"",IPC_Trimestriel!CF73/IPC_Trimestriel!CB73-1)</f>
        <v/>
      </c>
      <c r="CC112" s="28" t="str">
        <f>IF(OR(IPC_Trimestriel!CG73="",IPC_Trimestriel!CC73=""),"",IPC_Trimestriel!CG73/IPC_Trimestriel!CC73-1)</f>
        <v/>
      </c>
      <c r="CD112" s="28" t="str">
        <f>IF(OR(IPC_Trimestriel!CH73="",IPC_Trimestriel!CD73=""),"",IPC_Trimestriel!CH73/IPC_Trimestriel!CD73-1)</f>
        <v/>
      </c>
      <c r="CE112" s="28" t="str">
        <f>IF(OR(IPC_Trimestriel!CI73="",IPC_Trimestriel!CE73=""),"",IPC_Trimestriel!CI73/IPC_Trimestriel!CE73-1)</f>
        <v/>
      </c>
      <c r="CF112" s="28" t="str">
        <f>IF(OR(IPC_Trimestriel!CJ73="",IPC_Trimestriel!CF73=""),"",IPC_Trimestriel!CJ73/IPC_Trimestriel!CF73-1)</f>
        <v/>
      </c>
      <c r="CG112" s="28" t="str">
        <f>IF(OR(IPC_Trimestriel!CK73="",IPC_Trimestriel!CG73=""),"",IPC_Trimestriel!CK73/IPC_Trimestriel!CG73-1)</f>
        <v/>
      </c>
      <c r="CH112" s="28" t="str">
        <f>IF(OR(IPC_Trimestriel!CL73="",IPC_Trimestriel!CH73=""),"",IPC_Trimestriel!CL73/IPC_Trimestriel!CH73-1)</f>
        <v/>
      </c>
      <c r="CI112" s="28" t="str">
        <f>IF(OR(IPC_Trimestriel!CM73="",IPC_Trimestriel!CI73=""),"",IPC_Trimestriel!CM73/IPC_Trimestriel!CI73-1)</f>
        <v/>
      </c>
      <c r="CJ112" s="28" t="str">
        <f>IF(OR(IPC_Trimestriel!CN73="",IPC_Trimestriel!CJ73=""),"",IPC_Trimestriel!CN73/IPC_Trimestriel!CJ73-1)</f>
        <v/>
      </c>
      <c r="CK112" s="28">
        <f>IF(OR(IPC_Trimestriel!CO73="",IPC_Trimestriel!CK73=""),"",IPC_Trimestriel!CO73/IPC_Trimestriel!CK73-1)</f>
        <v>8.6354353610990753E-2</v>
      </c>
      <c r="CL112" s="28">
        <f>IF(OR(IPC_Trimestriel!CP73="",IPC_Trimestriel!CL73=""),"",IPC_Trimestriel!CP73/IPC_Trimestriel!CL73-1)</f>
        <v>8.3300847870578121E-2</v>
      </c>
      <c r="CM112" s="28">
        <f>IF(OR(IPC_Trimestriel!CQ73="",IPC_Trimestriel!CM73=""),"",IPC_Trimestriel!CQ73/IPC_Trimestriel!CM73-1)</f>
        <v>7.1015431876545021E-2</v>
      </c>
      <c r="CN112" s="28">
        <f>IF(OR(IPC_Trimestriel!CR73="",IPC_Trimestriel!CN73=""),"",IPC_Trimestriel!CR73/IPC_Trimestriel!CN73-1)</f>
        <v>5.8049907903844344E-2</v>
      </c>
      <c r="CO112" s="28">
        <f>IF(OR(IPC_Trimestriel!CS73="",IPC_Trimestriel!CO73=""),"",IPC_Trimestriel!CS73/IPC_Trimestriel!CO73-1)</f>
        <v>3.9807683543727101E-2</v>
      </c>
      <c r="CP112" s="28">
        <f>IF(OR(IPC_Trimestriel!CT73="",IPC_Trimestriel!CP73=""),"",IPC_Trimestriel!CT73/IPC_Trimestriel!CP73-1)</f>
        <v>3.5130333085936494E-2</v>
      </c>
    </row>
    <row r="113" spans="1:94" x14ac:dyDescent="0.25">
      <c r="A113" s="11"/>
      <c r="B113" s="31" t="s">
        <v>72</v>
      </c>
      <c r="C113" s="17"/>
      <c r="D113" s="28" t="str">
        <f>IF(OR(IPC_Trimestriel!H74="",IPC_Trimestriel!D74=""),"",IPC_Trimestriel!H74/IPC_Trimestriel!D74-1)</f>
        <v/>
      </c>
      <c r="E113" s="28" t="str">
        <f>IF(OR(IPC_Trimestriel!I74="",IPC_Trimestriel!E74=""),"",IPC_Trimestriel!I74/IPC_Trimestriel!E74-1)</f>
        <v/>
      </c>
      <c r="F113" s="28" t="str">
        <f>IF(OR(IPC_Trimestriel!J74="",IPC_Trimestriel!F74=""),"",IPC_Trimestriel!J74/IPC_Trimestriel!F74-1)</f>
        <v/>
      </c>
      <c r="G113" s="28" t="str">
        <f>IF(OR(IPC_Trimestriel!K74="",IPC_Trimestriel!G74=""),"",IPC_Trimestriel!K74/IPC_Trimestriel!G74-1)</f>
        <v/>
      </c>
      <c r="H113" s="28" t="str">
        <f>IF(OR(IPC_Trimestriel!L74="",IPC_Trimestriel!H74=""),"",IPC_Trimestriel!L74/IPC_Trimestriel!H74-1)</f>
        <v/>
      </c>
      <c r="I113" s="28" t="str">
        <f>IF(OR(IPC_Trimestriel!M74="",IPC_Trimestriel!I74=""),"",IPC_Trimestriel!M74/IPC_Trimestriel!I74-1)</f>
        <v/>
      </c>
      <c r="J113" s="28" t="str">
        <f>IF(OR(IPC_Trimestriel!N74="",IPC_Trimestriel!J74=""),"",IPC_Trimestriel!N74/IPC_Trimestriel!J74-1)</f>
        <v/>
      </c>
      <c r="K113" s="28" t="str">
        <f>IF(OR(IPC_Trimestriel!O74="",IPC_Trimestriel!K74=""),"",IPC_Trimestriel!O74/IPC_Trimestriel!K74-1)</f>
        <v/>
      </c>
      <c r="L113" s="28" t="str">
        <f>IF(OR(IPC_Trimestriel!P74="",IPC_Trimestriel!L74=""),"",IPC_Trimestriel!P74/IPC_Trimestriel!L74-1)</f>
        <v/>
      </c>
      <c r="M113" s="28" t="str">
        <f>IF(OR(IPC_Trimestriel!Q74="",IPC_Trimestriel!M74=""),"",IPC_Trimestriel!Q74/IPC_Trimestriel!M74-1)</f>
        <v/>
      </c>
      <c r="N113" s="28" t="str">
        <f>IF(OR(IPC_Trimestriel!R74="",IPC_Trimestriel!N74=""),"",IPC_Trimestriel!R74/IPC_Trimestriel!N74-1)</f>
        <v/>
      </c>
      <c r="O113" s="28" t="str">
        <f>IF(OR(IPC_Trimestriel!S74="",IPC_Trimestriel!O74=""),"",IPC_Trimestriel!S74/IPC_Trimestriel!O74-1)</f>
        <v/>
      </c>
      <c r="P113" s="28" t="str">
        <f>IF(OR(IPC_Trimestriel!T74="",IPC_Trimestriel!P74=""),"",IPC_Trimestriel!T74/IPC_Trimestriel!P74-1)</f>
        <v/>
      </c>
      <c r="Q113" s="28" t="str">
        <f>IF(OR(IPC_Trimestriel!U74="",IPC_Trimestriel!Q74=""),"",IPC_Trimestriel!U74/IPC_Trimestriel!Q74-1)</f>
        <v/>
      </c>
      <c r="R113" s="28" t="str">
        <f>IF(OR(IPC_Trimestriel!V74="",IPC_Trimestriel!R74=""),"",IPC_Trimestriel!V74/IPC_Trimestriel!R74-1)</f>
        <v/>
      </c>
      <c r="S113" s="28" t="str">
        <f>IF(OR(IPC_Trimestriel!W74="",IPC_Trimestriel!S74=""),"",IPC_Trimestriel!W74/IPC_Trimestriel!S74-1)</f>
        <v/>
      </c>
      <c r="T113" s="28" t="str">
        <f>IF(OR(IPC_Trimestriel!X74="",IPC_Trimestriel!T74=""),"",IPC_Trimestriel!X74/IPC_Trimestriel!T74-1)</f>
        <v/>
      </c>
      <c r="U113" s="28" t="str">
        <f>IF(OR(IPC_Trimestriel!Y74="",IPC_Trimestriel!U74=""),"",IPC_Trimestriel!Y74/IPC_Trimestriel!U74-1)</f>
        <v/>
      </c>
      <c r="V113" s="28" t="str">
        <f>IF(OR(IPC_Trimestriel!Z74="",IPC_Trimestriel!V74=""),"",IPC_Trimestriel!Z74/IPC_Trimestriel!V74-1)</f>
        <v/>
      </c>
      <c r="W113" s="28" t="str">
        <f>IF(OR(IPC_Trimestriel!AA74="",IPC_Trimestriel!W74=""),"",IPC_Trimestriel!AA74/IPC_Trimestriel!W74-1)</f>
        <v/>
      </c>
      <c r="X113" s="28" t="str">
        <f>IF(OR(IPC_Trimestriel!AB74="",IPC_Trimestriel!X74=""),"",IPC_Trimestriel!AB74/IPC_Trimestriel!X74-1)</f>
        <v/>
      </c>
      <c r="Y113" s="28" t="str">
        <f>IF(OR(IPC_Trimestriel!AC74="",IPC_Trimestriel!Y74=""),"",IPC_Trimestriel!AC74/IPC_Trimestriel!Y74-1)</f>
        <v/>
      </c>
      <c r="Z113" s="28" t="str">
        <f>IF(OR(IPC_Trimestriel!AD74="",IPC_Trimestriel!Z74=""),"",IPC_Trimestriel!AD74/IPC_Trimestriel!Z74-1)</f>
        <v/>
      </c>
      <c r="AA113" s="28" t="str">
        <f>IF(OR(IPC_Trimestriel!AE74="",IPC_Trimestriel!AA74=""),"",IPC_Trimestriel!AE74/IPC_Trimestriel!AA74-1)</f>
        <v/>
      </c>
      <c r="AB113" s="28" t="str">
        <f>IF(OR(IPC_Trimestriel!AF74="",IPC_Trimestriel!AB74=""),"",IPC_Trimestriel!AF74/IPC_Trimestriel!AB74-1)</f>
        <v/>
      </c>
      <c r="AC113" s="28" t="str">
        <f>IF(OR(IPC_Trimestriel!AG74="",IPC_Trimestriel!AC74=""),"",IPC_Trimestriel!AG74/IPC_Trimestriel!AC74-1)</f>
        <v/>
      </c>
      <c r="AD113" s="28" t="str">
        <f>IF(OR(IPC_Trimestriel!AH74="",IPC_Trimestriel!AD74=""),"",IPC_Trimestriel!AH74/IPC_Trimestriel!AD74-1)</f>
        <v/>
      </c>
      <c r="AE113" s="28" t="str">
        <f>IF(OR(IPC_Trimestriel!AI74="",IPC_Trimestriel!AE74=""),"",IPC_Trimestriel!AI74/IPC_Trimestriel!AE74-1)</f>
        <v/>
      </c>
      <c r="AF113" s="28" t="str">
        <f>IF(OR(IPC_Trimestriel!AJ74="",IPC_Trimestriel!AF74=""),"",IPC_Trimestriel!AJ74/IPC_Trimestriel!AF74-1)</f>
        <v/>
      </c>
      <c r="AG113" s="28" t="str">
        <f>IF(OR(IPC_Trimestriel!AK74="",IPC_Trimestriel!AG74=""),"",IPC_Trimestriel!AK74/IPC_Trimestriel!AG74-1)</f>
        <v/>
      </c>
      <c r="AH113" s="28" t="str">
        <f>IF(OR(IPC_Trimestriel!AL74="",IPC_Trimestriel!AH74=""),"",IPC_Trimestriel!AL74/IPC_Trimestriel!AH74-1)</f>
        <v/>
      </c>
      <c r="AI113" s="28" t="str">
        <f>IF(OR(IPC_Trimestriel!AM74="",IPC_Trimestriel!AI74=""),"",IPC_Trimestriel!AM74/IPC_Trimestriel!AI74-1)</f>
        <v/>
      </c>
      <c r="AJ113" s="28" t="str">
        <f>IF(OR(IPC_Trimestriel!AN74="",IPC_Trimestriel!AJ74=""),"",IPC_Trimestriel!AN74/IPC_Trimestriel!AJ74-1)</f>
        <v/>
      </c>
      <c r="AK113" s="28" t="str">
        <f>IF(OR(IPC_Trimestriel!AO74="",IPC_Trimestriel!AK74=""),"",IPC_Trimestriel!AO74/IPC_Trimestriel!AK74-1)</f>
        <v/>
      </c>
      <c r="AL113" s="28" t="str">
        <f>IF(OR(IPC_Trimestriel!AP74="",IPC_Trimestriel!AL74=""),"",IPC_Trimestriel!AP74/IPC_Trimestriel!AL74-1)</f>
        <v/>
      </c>
      <c r="AM113" s="28" t="str">
        <f>IF(OR(IPC_Trimestriel!AQ74="",IPC_Trimestriel!AM74=""),"",IPC_Trimestriel!AQ74/IPC_Trimestriel!AM74-1)</f>
        <v/>
      </c>
      <c r="AN113" s="28" t="str">
        <f>IF(OR(IPC_Trimestriel!AR74="",IPC_Trimestriel!AN74=""),"",IPC_Trimestriel!AR74/IPC_Trimestriel!AN74-1)</f>
        <v/>
      </c>
      <c r="AO113" s="28" t="str">
        <f>IF(OR(IPC_Trimestriel!AS74="",IPC_Trimestriel!AO74=""),"",IPC_Trimestriel!AS74/IPC_Trimestriel!AO74-1)</f>
        <v/>
      </c>
      <c r="AP113" s="28" t="str">
        <f>IF(OR(IPC_Trimestriel!AT74="",IPC_Trimestriel!AP74=""),"",IPC_Trimestriel!AT74/IPC_Trimestriel!AP74-1)</f>
        <v/>
      </c>
      <c r="AQ113" s="28" t="str">
        <f>IF(OR(IPC_Trimestriel!AU74="",IPC_Trimestriel!AQ74=""),"",IPC_Trimestriel!AU74/IPC_Trimestriel!AQ74-1)</f>
        <v/>
      </c>
      <c r="AR113" s="28" t="str">
        <f>IF(OR(IPC_Trimestriel!AV74="",IPC_Trimestriel!AR74=""),"",IPC_Trimestriel!AV74/IPC_Trimestriel!AR74-1)</f>
        <v/>
      </c>
      <c r="AS113" s="28" t="str">
        <f>IF(OR(IPC_Trimestriel!AW74="",IPC_Trimestriel!AS74=""),"",IPC_Trimestriel!AW74/IPC_Trimestriel!AS74-1)</f>
        <v/>
      </c>
      <c r="AT113" s="28" t="str">
        <f>IF(OR(IPC_Trimestriel!AX74="",IPC_Trimestriel!AT74=""),"",IPC_Trimestriel!AX74/IPC_Trimestriel!AT74-1)</f>
        <v/>
      </c>
      <c r="AU113" s="28" t="str">
        <f>IF(OR(IPC_Trimestriel!AY74="",IPC_Trimestriel!AU74=""),"",IPC_Trimestriel!AY74/IPC_Trimestriel!AU74-1)</f>
        <v/>
      </c>
      <c r="AV113" s="28">
        <f>IF(OR(IPC_Trimestriel!AZ74="",IPC_Trimestriel!AV74=""),"",IPC_Trimestriel!AZ74/IPC_Trimestriel!AV74-1)</f>
        <v>0.12179121505989721</v>
      </c>
      <c r="AW113" s="28">
        <f>IF(OR(IPC_Trimestriel!BA74="",IPC_Trimestriel!AW74=""),"",IPC_Trimestriel!BA74/IPC_Trimestriel!AW74-1)</f>
        <v>0.12798203760875659</v>
      </c>
      <c r="AX113" s="28">
        <f>IF(OR(IPC_Trimestriel!BB74="",IPC_Trimestriel!AX74=""),"",IPC_Trimestriel!BB74/IPC_Trimestriel!AX74-1)</f>
        <v>0.11920349154391685</v>
      </c>
      <c r="AY113" s="28">
        <f>IF(OR(IPC_Trimestriel!BC74="",IPC_Trimestriel!AY74=""),"",IPC_Trimestriel!BC74/IPC_Trimestriel!AY74-1)</f>
        <v>0.12017053024247248</v>
      </c>
      <c r="AZ113" s="28">
        <f>IF(OR(IPC_Trimestriel!BD74="",IPC_Trimestriel!AZ74=""),"",IPC_Trimestriel!BD74/IPC_Trimestriel!AZ74-1)</f>
        <v>9.0516145436053908E-2</v>
      </c>
      <c r="BA113" s="28">
        <f>IF(OR(IPC_Trimestriel!BE74="",IPC_Trimestriel!BA74=""),"",IPC_Trimestriel!BE74/IPC_Trimestriel!BA74-1)</f>
        <v>8.7832794227419964E-2</v>
      </c>
      <c r="BB113" s="28">
        <f>IF(OR(IPC_Trimestriel!BF74="",IPC_Trimestriel!BB74=""),"",IPC_Trimestriel!BF74/IPC_Trimestriel!BB74-1)</f>
        <v>8.2399463806970719E-2</v>
      </c>
      <c r="BC113" s="28">
        <f>IF(OR(IPC_Trimestriel!BG74="",IPC_Trimestriel!BC74=""),"",IPC_Trimestriel!BG74/IPC_Trimestriel!BC74-1)</f>
        <v>7.8496669838249433E-2</v>
      </c>
      <c r="BD113" s="28">
        <f>IF(OR(IPC_Trimestriel!BH74="",IPC_Trimestriel!BD74=""),"",IPC_Trimestriel!BH74/IPC_Trimestriel!BD74-1)</f>
        <v>7.8339939379808765E-2</v>
      </c>
      <c r="BE113" s="28">
        <f>IF(OR(IPC_Trimestriel!BI74="",IPC_Trimestriel!BE74=""),"",IPC_Trimestriel!BI74/IPC_Trimestriel!BE74-1)</f>
        <v>8.0054894784995279E-2</v>
      </c>
      <c r="BF113" s="28">
        <f>IF(OR(IPC_Trimestriel!BJ74="",IPC_Trimestriel!BF74=""),"",IPC_Trimestriel!BJ74/IPC_Trimestriel!BF74-1)</f>
        <v>8.3969345328900546E-2</v>
      </c>
      <c r="BG113" s="28">
        <f>IF(OR(IPC_Trimestriel!BK74="",IPC_Trimestriel!BG74=""),"",IPC_Trimestriel!BK74/IPC_Trimestriel!BG74-1)</f>
        <v>7.9841199823555309E-2</v>
      </c>
      <c r="BH113" s="28">
        <f>IF(OR(IPC_Trimestriel!BL74="",IPC_Trimestriel!BH74=""),"",IPC_Trimestriel!BL74/IPC_Trimestriel!BH74-1)</f>
        <v>8.3432200311611915E-2</v>
      </c>
      <c r="BI113" s="28">
        <f>IF(OR(IPC_Trimestriel!BM74="",IPC_Trimestriel!BI74=""),"",IPC_Trimestriel!BM74/IPC_Trimestriel!BI74-1)</f>
        <v>8.947760421135742E-2</v>
      </c>
      <c r="BJ113" s="28">
        <f>IF(OR(IPC_Trimestriel!BN74="",IPC_Trimestriel!BJ74=""),"",IPC_Trimestriel!BN74/IPC_Trimestriel!BJ74-1)</f>
        <v>9.3120183475566831E-2</v>
      </c>
      <c r="BK113" s="28">
        <f>IF(OR(IPC_Trimestriel!BO74="",IPC_Trimestriel!BK74=""),"",IPC_Trimestriel!BO74/IPC_Trimestriel!BK74-1)</f>
        <v>9.4193124635888692E-2</v>
      </c>
      <c r="BL113" s="28">
        <f>IF(OR(IPC_Trimestriel!BP74="",IPC_Trimestriel!BL74=""),"",IPC_Trimestriel!BP74/IPC_Trimestriel!BL74-1)</f>
        <v>0.11265133018974693</v>
      </c>
      <c r="BM113" s="28">
        <f>IF(OR(IPC_Trimestriel!BQ74="",IPC_Trimestriel!BM74=""),"",IPC_Trimestriel!BQ74/IPC_Trimestriel!BM74-1)</f>
        <v>0.15268849339601998</v>
      </c>
      <c r="BN113" s="28">
        <f>IF(OR(IPC_Trimestriel!BR74="",IPC_Trimestriel!BN74=""),"",IPC_Trimestriel!BR74/IPC_Trimestriel!BN74-1)</f>
        <v>0.17530781388027727</v>
      </c>
      <c r="BO113" s="28">
        <f>IF(OR(IPC_Trimestriel!BS74="",IPC_Trimestriel!BO74=""),"",IPC_Trimestriel!BS74/IPC_Trimestriel!BO74-1)</f>
        <v>0.18451512207538467</v>
      </c>
      <c r="BP113" s="28">
        <f>IF(OR(IPC_Trimestriel!BT74="",IPC_Trimestriel!BP74=""),"",IPC_Trimestriel!BT74/IPC_Trimestriel!BP74-1)</f>
        <v>0.17907448128536152</v>
      </c>
      <c r="BQ113" s="28">
        <f>IF(OR(IPC_Trimestriel!BU74="",IPC_Trimestriel!BQ74=""),"",IPC_Trimestriel!BU74/IPC_Trimestriel!BQ74-1)</f>
        <v>0.16522532645851484</v>
      </c>
      <c r="BR113" s="28">
        <f>IF(OR(IPC_Trimestriel!BV74="",IPC_Trimestriel!BR74=""),"",IPC_Trimestriel!BV74/IPC_Trimestriel!BR74-1)</f>
        <v>0.16014246575125912</v>
      </c>
      <c r="BS113" s="28">
        <f>IF(OR(IPC_Trimestriel!BW74="",IPC_Trimestriel!BS74=""),"",IPC_Trimestriel!BW74/IPC_Trimestriel!BS74-1)</f>
        <v>0.15724368466496363</v>
      </c>
      <c r="BT113" s="28">
        <f>IF(OR(IPC_Trimestriel!BX74="",IPC_Trimestriel!BT74=""),"",IPC_Trimestriel!BX74/IPC_Trimestriel!BT74-1)</f>
        <v>0.1425497213342084</v>
      </c>
      <c r="BU113" s="28">
        <f>IF(OR(IPC_Trimestriel!BY74="",IPC_Trimestriel!BU74=""),"",IPC_Trimestriel!BY74/IPC_Trimestriel!BU74-1)</f>
        <v>0.11766433012194488</v>
      </c>
      <c r="BV113" s="28">
        <f>IF(OR(IPC_Trimestriel!BZ74="",IPC_Trimestriel!BV74=""),"",IPC_Trimestriel!BZ74/IPC_Trimestriel!BV74-1)</f>
        <v>0.11218246694743028</v>
      </c>
      <c r="BW113" s="28">
        <f>IF(OR(IPC_Trimestriel!CA74="",IPC_Trimestriel!BW74=""),"",IPC_Trimestriel!CA74/IPC_Trimestriel!BW74-1)</f>
        <v>0.11327664879923649</v>
      </c>
      <c r="BX113" s="28">
        <f>IF(OR(IPC_Trimestriel!CB74="",IPC_Trimestriel!BX74=""),"",IPC_Trimestriel!CB74/IPC_Trimestriel!BX74-1)</f>
        <v>0.11305688702006567</v>
      </c>
      <c r="BY113" s="28">
        <f>IF(OR(IPC_Trimestriel!CC74="",IPC_Trimestriel!BY74=""),"",IPC_Trimestriel!CC74/IPC_Trimestriel!BY74-1)</f>
        <v>0.11331968151401872</v>
      </c>
      <c r="BZ113" s="28">
        <f>IF(OR(IPC_Trimestriel!CD74="",IPC_Trimestriel!BZ74=""),"",IPC_Trimestriel!CD74/IPC_Trimestriel!BZ74-1)</f>
        <v>0.1111270423573254</v>
      </c>
      <c r="CA113" s="28">
        <f>IF(OR(IPC_Trimestriel!CE74="",IPC_Trimestriel!CA74=""),"",IPC_Trimestriel!CE74/IPC_Trimestriel!CA74-1)</f>
        <v>0.11824585637812923</v>
      </c>
      <c r="CB113" s="28">
        <f>IF(OR(IPC_Trimestriel!CF74="",IPC_Trimestriel!CB74=""),"",IPC_Trimestriel!CF74/IPC_Trimestriel!CB74-1)</f>
        <v>0.12200956937799035</v>
      </c>
      <c r="CC113" s="28">
        <f>IF(OR(IPC_Trimestriel!CG74="",IPC_Trimestriel!CC74=""),"",IPC_Trimestriel!CG74/IPC_Trimestriel!CC74-1)</f>
        <v>0.12433123982321459</v>
      </c>
      <c r="CD113" s="28">
        <f>IF(OR(IPC_Trimestriel!CH74="",IPC_Trimestriel!CD74=""),"",IPC_Trimestriel!CH74/IPC_Trimestriel!CD74-1)</f>
        <v>0.13251381527010264</v>
      </c>
      <c r="CE113" s="28">
        <f>IF(OR(IPC_Trimestriel!CI74="",IPC_Trimestriel!CE74=""),"",IPC_Trimestriel!CI74/IPC_Trimestriel!CE74-1)</f>
        <v>0.14952964340406916</v>
      </c>
      <c r="CF113" s="28">
        <f>IF(OR(IPC_Trimestriel!CJ74="",IPC_Trimestriel!CF74=""),"",IPC_Trimestriel!CJ74/IPC_Trimestriel!CF74-1)</f>
        <v>0.17324093816631114</v>
      </c>
      <c r="CG113" s="28">
        <f>IF(OR(IPC_Trimestriel!CK74="",IPC_Trimestriel!CG74=""),"",IPC_Trimestriel!CK74/IPC_Trimestriel!CG74-1)</f>
        <v>0.17926968035585</v>
      </c>
      <c r="CH113" s="28">
        <f>IF(OR(IPC_Trimestriel!CL74="",IPC_Trimestriel!CH74=""),"",IPC_Trimestriel!CL74/IPC_Trimestriel!CH74-1)</f>
        <v>0.17008564031069517</v>
      </c>
      <c r="CI113" s="28">
        <f>IF(OR(IPC_Trimestriel!CM74="",IPC_Trimestriel!CI74=""),"",IPC_Trimestriel!CM74/IPC_Trimestriel!CI74-1)</f>
        <v>0.15672280902083924</v>
      </c>
      <c r="CJ113" s="28">
        <f>IF(OR(IPC_Trimestriel!CN74="",IPC_Trimestriel!CJ74=""),"",IPC_Trimestriel!CN74/IPC_Trimestriel!CJ74-1)</f>
        <v>0.15747387551113134</v>
      </c>
      <c r="CK113" s="28" t="str">
        <f>IF(OR(IPC_Trimestriel!CO74="",IPC_Trimestriel!CK74=""),"",IPC_Trimestriel!CO74/IPC_Trimestriel!CK74-1)</f>
        <v/>
      </c>
      <c r="CL113" s="28">
        <f>IF(OR(IPC_Trimestriel!CP74="",IPC_Trimestriel!CL74=""),"",IPC_Trimestriel!CP74/IPC_Trimestriel!CL74-1)</f>
        <v>0.20306382978723403</v>
      </c>
      <c r="CM113" s="28">
        <f>IF(OR(IPC_Trimestriel!CQ74="",IPC_Trimestriel!CM74=""),"",IPC_Trimestriel!CQ74/IPC_Trimestriel!CM74-1)</f>
        <v>0.21298124383020745</v>
      </c>
      <c r="CN113" s="28">
        <f>IF(OR(IPC_Trimestriel!CR74="",IPC_Trimestriel!CN74=""),"",IPC_Trimestriel!CR74/IPC_Trimestriel!CN74-1)</f>
        <v>0.21950070654733889</v>
      </c>
      <c r="CO113" s="28" t="str">
        <f>IF(OR(IPC_Trimestriel!CS74="",IPC_Trimestriel!CO74=""),"",IPC_Trimestriel!CS74/IPC_Trimestriel!CO74-1)</f>
        <v/>
      </c>
      <c r="CP113" s="28">
        <f>IF(OR(IPC_Trimestriel!CT74="",IPC_Trimestriel!CP74=""),"",IPC_Trimestriel!CT74/IPC_Trimestriel!CP74-1)</f>
        <v>0.25558856819468012</v>
      </c>
    </row>
    <row r="114" spans="1:94" x14ac:dyDescent="0.25">
      <c r="A114" s="11"/>
      <c r="B114" s="31" t="s">
        <v>73</v>
      </c>
      <c r="C114" s="17"/>
      <c r="D114" s="28" t="str">
        <f>IF(OR(IPC_Trimestriel!H75="",IPC_Trimestriel!D75=""),"",IPC_Trimestriel!H75/IPC_Trimestriel!D75-1)</f>
        <v/>
      </c>
      <c r="E114" s="28" t="str">
        <f>IF(OR(IPC_Trimestriel!I75="",IPC_Trimestriel!E75=""),"",IPC_Trimestriel!I75/IPC_Trimestriel!E75-1)</f>
        <v/>
      </c>
      <c r="F114" s="28" t="str">
        <f>IF(OR(IPC_Trimestriel!J75="",IPC_Trimestriel!F75=""),"",IPC_Trimestriel!J75/IPC_Trimestriel!F75-1)</f>
        <v/>
      </c>
      <c r="G114" s="28" t="str">
        <f>IF(OR(IPC_Trimestriel!K75="",IPC_Trimestriel!G75=""),"",IPC_Trimestriel!K75/IPC_Trimestriel!G75-1)</f>
        <v/>
      </c>
      <c r="H114" s="28" t="str">
        <f>IF(OR(IPC_Trimestriel!L75="",IPC_Trimestriel!H75=""),"",IPC_Trimestriel!L75/IPC_Trimestriel!H75-1)</f>
        <v/>
      </c>
      <c r="I114" s="28" t="str">
        <f>IF(OR(IPC_Trimestriel!M75="",IPC_Trimestriel!I75=""),"",IPC_Trimestriel!M75/IPC_Trimestriel!I75-1)</f>
        <v/>
      </c>
      <c r="J114" s="28" t="str">
        <f>IF(OR(IPC_Trimestriel!N75="",IPC_Trimestriel!J75=""),"",IPC_Trimestriel!N75/IPC_Trimestriel!J75-1)</f>
        <v/>
      </c>
      <c r="K114" s="28" t="str">
        <f>IF(OR(IPC_Trimestriel!O75="",IPC_Trimestriel!K75=""),"",IPC_Trimestriel!O75/IPC_Trimestriel!K75-1)</f>
        <v/>
      </c>
      <c r="L114" s="28" t="str">
        <f>IF(OR(IPC_Trimestriel!P75="",IPC_Trimestriel!L75=""),"",IPC_Trimestriel!P75/IPC_Trimestriel!L75-1)</f>
        <v/>
      </c>
      <c r="M114" s="28" t="str">
        <f>IF(OR(IPC_Trimestriel!Q75="",IPC_Trimestriel!M75=""),"",IPC_Trimestriel!Q75/IPC_Trimestriel!M75-1)</f>
        <v/>
      </c>
      <c r="N114" s="28" t="str">
        <f>IF(OR(IPC_Trimestriel!R75="",IPC_Trimestriel!N75=""),"",IPC_Trimestriel!R75/IPC_Trimestriel!N75-1)</f>
        <v/>
      </c>
      <c r="O114" s="28" t="str">
        <f>IF(OR(IPC_Trimestriel!S75="",IPC_Trimestriel!O75=""),"",IPC_Trimestriel!S75/IPC_Trimestriel!O75-1)</f>
        <v/>
      </c>
      <c r="P114" s="28" t="str">
        <f>IF(OR(IPC_Trimestriel!T75="",IPC_Trimestriel!P75=""),"",IPC_Trimestriel!T75/IPC_Trimestriel!P75-1)</f>
        <v/>
      </c>
      <c r="Q114" s="28" t="str">
        <f>IF(OR(IPC_Trimestriel!U75="",IPC_Trimestriel!Q75=""),"",IPC_Trimestriel!U75/IPC_Trimestriel!Q75-1)</f>
        <v/>
      </c>
      <c r="R114" s="28" t="str">
        <f>IF(OR(IPC_Trimestriel!V75="",IPC_Trimestriel!R75=""),"",IPC_Trimestriel!V75/IPC_Trimestriel!R75-1)</f>
        <v/>
      </c>
      <c r="S114" s="28" t="str">
        <f>IF(OR(IPC_Trimestriel!W75="",IPC_Trimestriel!S75=""),"",IPC_Trimestriel!W75/IPC_Trimestriel!S75-1)</f>
        <v/>
      </c>
      <c r="T114" s="28" t="str">
        <f>IF(OR(IPC_Trimestriel!X75="",IPC_Trimestriel!T75=""),"",IPC_Trimestriel!X75/IPC_Trimestriel!T75-1)</f>
        <v/>
      </c>
      <c r="U114" s="28" t="str">
        <f>IF(OR(IPC_Trimestriel!Y75="",IPC_Trimestriel!U75=""),"",IPC_Trimestriel!Y75/IPC_Trimestriel!U75-1)</f>
        <v/>
      </c>
      <c r="V114" s="28" t="str">
        <f>IF(OR(IPC_Trimestriel!Z75="",IPC_Trimestriel!V75=""),"",IPC_Trimestriel!Z75/IPC_Trimestriel!V75-1)</f>
        <v/>
      </c>
      <c r="W114" s="28" t="str">
        <f>IF(OR(IPC_Trimestriel!AA75="",IPC_Trimestriel!W75=""),"",IPC_Trimestriel!AA75/IPC_Trimestriel!W75-1)</f>
        <v/>
      </c>
      <c r="X114" s="28" t="str">
        <f>IF(OR(IPC_Trimestriel!AB75="",IPC_Trimestriel!X75=""),"",IPC_Trimestriel!AB75/IPC_Trimestriel!X75-1)</f>
        <v/>
      </c>
      <c r="Y114" s="28" t="str">
        <f>IF(OR(IPC_Trimestriel!AC75="",IPC_Trimestriel!Y75=""),"",IPC_Trimestriel!AC75/IPC_Trimestriel!Y75-1)</f>
        <v/>
      </c>
      <c r="Z114" s="28" t="str">
        <f>IF(OR(IPC_Trimestriel!AD75="",IPC_Trimestriel!Z75=""),"",IPC_Trimestriel!AD75/IPC_Trimestriel!Z75-1)</f>
        <v/>
      </c>
      <c r="AA114" s="28" t="str">
        <f>IF(OR(IPC_Trimestriel!AE75="",IPC_Trimestriel!AA75=""),"",IPC_Trimestriel!AE75/IPC_Trimestriel!AA75-1)</f>
        <v/>
      </c>
      <c r="AB114" s="28" t="str">
        <f>IF(OR(IPC_Trimestriel!AF75="",IPC_Trimestriel!AB75=""),"",IPC_Trimestriel!AF75/IPC_Trimestriel!AB75-1)</f>
        <v/>
      </c>
      <c r="AC114" s="28" t="str">
        <f>IF(OR(IPC_Trimestriel!AG75="",IPC_Trimestriel!AC75=""),"",IPC_Trimestriel!AG75/IPC_Trimestriel!AC75-1)</f>
        <v/>
      </c>
      <c r="AD114" s="28" t="str">
        <f>IF(OR(IPC_Trimestriel!AH75="",IPC_Trimestriel!AD75=""),"",IPC_Trimestriel!AH75/IPC_Trimestriel!AD75-1)</f>
        <v/>
      </c>
      <c r="AE114" s="28" t="str">
        <f>IF(OR(IPC_Trimestriel!AI75="",IPC_Trimestriel!AE75=""),"",IPC_Trimestriel!AI75/IPC_Trimestriel!AE75-1)</f>
        <v/>
      </c>
      <c r="AF114" s="28" t="str">
        <f>IF(OR(IPC_Trimestriel!AJ75="",IPC_Trimestriel!AF75=""),"",IPC_Trimestriel!AJ75/IPC_Trimestriel!AF75-1)</f>
        <v/>
      </c>
      <c r="AG114" s="28" t="str">
        <f>IF(OR(IPC_Trimestriel!AK75="",IPC_Trimestriel!AG75=""),"",IPC_Trimestriel!AK75/IPC_Trimestriel!AG75-1)</f>
        <v/>
      </c>
      <c r="AH114" s="28" t="str">
        <f>IF(OR(IPC_Trimestriel!AL75="",IPC_Trimestriel!AH75=""),"",IPC_Trimestriel!AL75/IPC_Trimestriel!AH75-1)</f>
        <v/>
      </c>
      <c r="AI114" s="28" t="str">
        <f>IF(OR(IPC_Trimestriel!AM75="",IPC_Trimestriel!AI75=""),"",IPC_Trimestriel!AM75/IPC_Trimestriel!AI75-1)</f>
        <v/>
      </c>
      <c r="AJ114" s="28" t="str">
        <f>IF(OR(IPC_Trimestriel!AN75="",IPC_Trimestriel!AJ75=""),"",IPC_Trimestriel!AN75/IPC_Trimestriel!AJ75-1)</f>
        <v/>
      </c>
      <c r="AK114" s="28" t="str">
        <f>IF(OR(IPC_Trimestriel!AO75="",IPC_Trimestriel!AK75=""),"",IPC_Trimestriel!AO75/IPC_Trimestriel!AK75-1)</f>
        <v/>
      </c>
      <c r="AL114" s="28" t="str">
        <f>IF(OR(IPC_Trimestriel!AP75="",IPC_Trimestriel!AL75=""),"",IPC_Trimestriel!AP75/IPC_Trimestriel!AL75-1)</f>
        <v/>
      </c>
      <c r="AM114" s="28" t="str">
        <f>IF(OR(IPC_Trimestriel!AQ75="",IPC_Trimestriel!AM75=""),"",IPC_Trimestriel!AQ75/IPC_Trimestriel!AM75-1)</f>
        <v/>
      </c>
      <c r="AN114" s="28" t="str">
        <f>IF(OR(IPC_Trimestriel!AR75="",IPC_Trimestriel!AN75=""),"",IPC_Trimestriel!AR75/IPC_Trimestriel!AN75-1)</f>
        <v/>
      </c>
      <c r="AO114" s="28" t="str">
        <f>IF(OR(IPC_Trimestriel!AS75="",IPC_Trimestriel!AO75=""),"",IPC_Trimestriel!AS75/IPC_Trimestriel!AO75-1)</f>
        <v/>
      </c>
      <c r="AP114" s="28" t="str">
        <f>IF(OR(IPC_Trimestriel!AT75="",IPC_Trimestriel!AP75=""),"",IPC_Trimestriel!AT75/IPC_Trimestriel!AP75-1)</f>
        <v/>
      </c>
      <c r="AQ114" s="28" t="str">
        <f>IF(OR(IPC_Trimestriel!AU75="",IPC_Trimestriel!AQ75=""),"",IPC_Trimestriel!AU75/IPC_Trimestriel!AQ75-1)</f>
        <v/>
      </c>
      <c r="AR114" s="28" t="str">
        <f>IF(OR(IPC_Trimestriel!AV75="",IPC_Trimestriel!AR75=""),"",IPC_Trimestriel!AV75/IPC_Trimestriel!AR75-1)</f>
        <v/>
      </c>
      <c r="AS114" s="28" t="str">
        <f>IF(OR(IPC_Trimestriel!AW75="",IPC_Trimestriel!AS75=""),"",IPC_Trimestriel!AW75/IPC_Trimestriel!AS75-1)</f>
        <v/>
      </c>
      <c r="AT114" s="28" t="str">
        <f>IF(OR(IPC_Trimestriel!AX75="",IPC_Trimestriel!AT75=""),"",IPC_Trimestriel!AX75/IPC_Trimestriel!AT75-1)</f>
        <v/>
      </c>
      <c r="AU114" s="28" t="str">
        <f>IF(OR(IPC_Trimestriel!AY75="",IPC_Trimestriel!AU75=""),"",IPC_Trimestriel!AY75/IPC_Trimestriel!AU75-1)</f>
        <v/>
      </c>
      <c r="AV114" s="28" t="str">
        <f>IF(OR(IPC_Trimestriel!AZ75="",IPC_Trimestriel!AV75=""),"",IPC_Trimestriel!AZ75/IPC_Trimestriel!AV75-1)</f>
        <v/>
      </c>
      <c r="AW114" s="28" t="str">
        <f>IF(OR(IPC_Trimestriel!BA75="",IPC_Trimestriel!AW75=""),"",IPC_Trimestriel!BA75/IPC_Trimestriel!AW75-1)</f>
        <v/>
      </c>
      <c r="AX114" s="28" t="str">
        <f>IF(OR(IPC_Trimestriel!BB75="",IPC_Trimestriel!AX75=""),"",IPC_Trimestriel!BB75/IPC_Trimestriel!AX75-1)</f>
        <v/>
      </c>
      <c r="AY114" s="28" t="str">
        <f>IF(OR(IPC_Trimestriel!BC75="",IPC_Trimestriel!AY75=""),"",IPC_Trimestriel!BC75/IPC_Trimestriel!AY75-1)</f>
        <v/>
      </c>
      <c r="AZ114" s="28" t="str">
        <f>IF(OR(IPC_Trimestriel!BD75="",IPC_Trimestriel!AZ75=""),"",IPC_Trimestriel!BD75/IPC_Trimestriel!AZ75-1)</f>
        <v/>
      </c>
      <c r="BA114" s="28" t="str">
        <f>IF(OR(IPC_Trimestriel!BE75="",IPC_Trimestriel!BA75=""),"",IPC_Trimestriel!BE75/IPC_Trimestriel!BA75-1)</f>
        <v/>
      </c>
      <c r="BB114" s="28" t="str">
        <f>IF(OR(IPC_Trimestriel!BF75="",IPC_Trimestriel!BB75=""),"",IPC_Trimestriel!BF75/IPC_Trimestriel!BB75-1)</f>
        <v/>
      </c>
      <c r="BC114" s="28" t="str">
        <f>IF(OR(IPC_Trimestriel!BG75="",IPC_Trimestriel!BC75=""),"",IPC_Trimestriel!BG75/IPC_Trimestriel!BC75-1)</f>
        <v/>
      </c>
      <c r="BD114" s="28" t="str">
        <f>IF(OR(IPC_Trimestriel!BH75="",IPC_Trimestriel!BD75=""),"",IPC_Trimestriel!BH75/IPC_Trimestriel!BD75-1)</f>
        <v/>
      </c>
      <c r="BE114" s="28" t="str">
        <f>IF(OR(IPC_Trimestriel!BI75="",IPC_Trimestriel!BE75=""),"",IPC_Trimestriel!BI75/IPC_Trimestriel!BE75-1)</f>
        <v/>
      </c>
      <c r="BF114" s="28" t="str">
        <f>IF(OR(IPC_Trimestriel!BJ75="",IPC_Trimestriel!BF75=""),"",IPC_Trimestriel!BJ75/IPC_Trimestriel!BF75-1)</f>
        <v/>
      </c>
      <c r="BG114" s="28" t="str">
        <f>IF(OR(IPC_Trimestriel!BK75="",IPC_Trimestriel!BG75=""),"",IPC_Trimestriel!BK75/IPC_Trimestriel!BG75-1)</f>
        <v/>
      </c>
      <c r="BH114" s="28" t="str">
        <f>IF(OR(IPC_Trimestriel!BL75="",IPC_Trimestriel!BH75=""),"",IPC_Trimestriel!BL75/IPC_Trimestriel!BH75-1)</f>
        <v/>
      </c>
      <c r="BI114" s="28" t="str">
        <f>IF(OR(IPC_Trimestriel!BM75="",IPC_Trimestriel!BI75=""),"",IPC_Trimestriel!BM75/IPC_Trimestriel!BI75-1)</f>
        <v/>
      </c>
      <c r="BJ114" s="28" t="str">
        <f>IF(OR(IPC_Trimestriel!BN75="",IPC_Trimestriel!BJ75=""),"",IPC_Trimestriel!BN75/IPC_Trimestriel!BJ75-1)</f>
        <v/>
      </c>
      <c r="BK114" s="28" t="str">
        <f>IF(OR(IPC_Trimestriel!BO75="",IPC_Trimestriel!BK75=""),"",IPC_Trimestriel!BO75/IPC_Trimestriel!BK75-1)</f>
        <v/>
      </c>
      <c r="BL114" s="28" t="str">
        <f>IF(OR(IPC_Trimestriel!BP75="",IPC_Trimestriel!BL75=""),"",IPC_Trimestriel!BP75/IPC_Trimestriel!BL75-1)</f>
        <v/>
      </c>
      <c r="BM114" s="28" t="str">
        <f>IF(OR(IPC_Trimestriel!BQ75="",IPC_Trimestriel!BM75=""),"",IPC_Trimestriel!BQ75/IPC_Trimestriel!BM75-1)</f>
        <v/>
      </c>
      <c r="BN114" s="28" t="str">
        <f>IF(OR(IPC_Trimestriel!BR75="",IPC_Trimestriel!BN75=""),"",IPC_Trimestriel!BR75/IPC_Trimestriel!BN75-1)</f>
        <v/>
      </c>
      <c r="BO114" s="28" t="str">
        <f>IF(OR(IPC_Trimestriel!BS75="",IPC_Trimestriel!BO75=""),"",IPC_Trimestriel!BS75/IPC_Trimestriel!BO75-1)</f>
        <v/>
      </c>
      <c r="BP114" s="28" t="str">
        <f>IF(OR(IPC_Trimestriel!BT75="",IPC_Trimestriel!BP75=""),"",IPC_Trimestriel!BT75/IPC_Trimestriel!BP75-1)</f>
        <v/>
      </c>
      <c r="BQ114" s="28" t="str">
        <f>IF(OR(IPC_Trimestriel!BU75="",IPC_Trimestriel!BQ75=""),"",IPC_Trimestriel!BU75/IPC_Trimestriel!BQ75-1)</f>
        <v/>
      </c>
      <c r="BR114" s="28" t="str">
        <f>IF(OR(IPC_Trimestriel!BV75="",IPC_Trimestriel!BR75=""),"",IPC_Trimestriel!BV75/IPC_Trimestriel!BR75-1)</f>
        <v/>
      </c>
      <c r="BS114" s="28" t="str">
        <f>IF(OR(IPC_Trimestriel!BW75="",IPC_Trimestriel!BS75=""),"",IPC_Trimestriel!BW75/IPC_Trimestriel!BS75-1)</f>
        <v/>
      </c>
      <c r="BT114" s="28" t="str">
        <f>IF(OR(IPC_Trimestriel!BX75="",IPC_Trimestriel!BT75=""),"",IPC_Trimestriel!BX75/IPC_Trimestriel!BT75-1)</f>
        <v/>
      </c>
      <c r="BU114" s="28" t="str">
        <f>IF(OR(IPC_Trimestriel!BY75="",IPC_Trimestriel!BU75=""),"",IPC_Trimestriel!BY75/IPC_Trimestriel!BU75-1)</f>
        <v/>
      </c>
      <c r="BV114" s="28" t="str">
        <f>IF(OR(IPC_Trimestriel!BZ75="",IPC_Trimestriel!BV75=""),"",IPC_Trimestriel!BZ75/IPC_Trimestriel!BV75-1)</f>
        <v/>
      </c>
      <c r="BW114" s="28" t="str">
        <f>IF(OR(IPC_Trimestriel!CA75="",IPC_Trimestriel!BW75=""),"",IPC_Trimestriel!CA75/IPC_Trimestriel!BW75-1)</f>
        <v/>
      </c>
      <c r="BX114" s="28" t="str">
        <f>IF(OR(IPC_Trimestriel!CB75="",IPC_Trimestriel!BX75=""),"",IPC_Trimestriel!CB75/IPC_Trimestriel!BX75-1)</f>
        <v/>
      </c>
      <c r="BY114" s="28" t="str">
        <f>IF(OR(IPC_Trimestriel!CC75="",IPC_Trimestriel!BY75=""),"",IPC_Trimestriel!CC75/IPC_Trimestriel!BY75-1)</f>
        <v/>
      </c>
      <c r="BZ114" s="28" t="str">
        <f>IF(OR(IPC_Trimestriel!CD75="",IPC_Trimestriel!BZ75=""),"",IPC_Trimestriel!CD75/IPC_Trimestriel!BZ75-1)</f>
        <v/>
      </c>
      <c r="CA114" s="28" t="str">
        <f>IF(OR(IPC_Trimestriel!CE75="",IPC_Trimestriel!CA75=""),"",IPC_Trimestriel!CE75/IPC_Trimestriel!CA75-1)</f>
        <v/>
      </c>
      <c r="CB114" s="28" t="str">
        <f>IF(OR(IPC_Trimestriel!CF75="",IPC_Trimestriel!CB75=""),"",IPC_Trimestriel!CF75/IPC_Trimestriel!CB75-1)</f>
        <v/>
      </c>
      <c r="CC114" s="28" t="str">
        <f>IF(OR(IPC_Trimestriel!CG75="",IPC_Trimestriel!CC75=""),"",IPC_Trimestriel!CG75/IPC_Trimestriel!CC75-1)</f>
        <v/>
      </c>
      <c r="CD114" s="28" t="str">
        <f>IF(OR(IPC_Trimestriel!CH75="",IPC_Trimestriel!CD75=""),"",IPC_Trimestriel!CH75/IPC_Trimestriel!CD75-1)</f>
        <v/>
      </c>
      <c r="CE114" s="28" t="str">
        <f>IF(OR(IPC_Trimestriel!CI75="",IPC_Trimestriel!CE75=""),"",IPC_Trimestriel!CI75/IPC_Trimestriel!CE75-1)</f>
        <v/>
      </c>
      <c r="CF114" s="28" t="str">
        <f>IF(OR(IPC_Trimestriel!CJ75="",IPC_Trimestriel!CF75=""),"",IPC_Trimestriel!CJ75/IPC_Trimestriel!CF75-1)</f>
        <v/>
      </c>
      <c r="CG114" s="28" t="str">
        <f>IF(OR(IPC_Trimestriel!CK75="",IPC_Trimestriel!CG75=""),"",IPC_Trimestriel!CK75/IPC_Trimestriel!CG75-1)</f>
        <v/>
      </c>
      <c r="CH114" s="28" t="str">
        <f>IF(OR(IPC_Trimestriel!CL75="",IPC_Trimestriel!CH75=""),"",IPC_Trimestriel!CL75/IPC_Trimestriel!CH75-1)</f>
        <v/>
      </c>
      <c r="CI114" s="28" t="str">
        <f>IF(OR(IPC_Trimestriel!CM75="",IPC_Trimestriel!CI75=""),"",IPC_Trimestriel!CM75/IPC_Trimestriel!CI75-1)</f>
        <v/>
      </c>
      <c r="CJ114" s="28" t="str">
        <f>IF(OR(IPC_Trimestriel!CN75="",IPC_Trimestriel!CJ75=""),"",IPC_Trimestriel!CN75/IPC_Trimestriel!CJ75-1)</f>
        <v/>
      </c>
      <c r="CK114" s="28" t="str">
        <f>IF(OR(IPC_Trimestriel!CO75="",IPC_Trimestriel!CK75=""),"",IPC_Trimestriel!CO75/IPC_Trimestriel!CK75-1)</f>
        <v/>
      </c>
      <c r="CL114" s="28" t="str">
        <f>IF(OR(IPC_Trimestriel!CP75="",IPC_Trimestriel!CL75=""),"",IPC_Trimestriel!CP75/IPC_Trimestriel!CL75-1)</f>
        <v/>
      </c>
      <c r="CM114" s="28" t="str">
        <f>IF(OR(IPC_Trimestriel!CQ75="",IPC_Trimestriel!CM75=""),"",IPC_Trimestriel!CQ75/IPC_Trimestriel!CM75-1)</f>
        <v/>
      </c>
      <c r="CN114" s="28" t="str">
        <f>IF(OR(IPC_Trimestriel!CR75="",IPC_Trimestriel!CN75=""),"",IPC_Trimestriel!CR75/IPC_Trimestriel!CN75-1)</f>
        <v/>
      </c>
      <c r="CO114" s="28" t="str">
        <f>IF(OR(IPC_Trimestriel!CS75="",IPC_Trimestriel!CO75=""),"",IPC_Trimestriel!CS75/IPC_Trimestriel!CO75-1)</f>
        <v/>
      </c>
      <c r="CP114" s="28" t="str">
        <f>IF(OR(IPC_Trimestriel!CT75="",IPC_Trimestriel!CP75=""),"",IPC_Trimestriel!CT75/IPC_Trimestriel!CP75-1)</f>
        <v/>
      </c>
    </row>
    <row r="115" spans="1:94" ht="13.8" thickBot="1" x14ac:dyDescent="0.3"/>
    <row r="116" spans="1:94" s="2" customFormat="1" ht="33" thickTop="1" thickBot="1" x14ac:dyDescent="0.55000000000000004">
      <c r="B116" s="2" t="s">
        <v>103</v>
      </c>
    </row>
    <row r="117" spans="1:94" ht="14.4" thickTop="1" thickBot="1" x14ac:dyDescent="0.3"/>
    <row r="118" spans="1:94" s="24" customFormat="1" ht="13.8" thickBot="1" x14ac:dyDescent="0.3">
      <c r="B118" s="21"/>
      <c r="C118" s="22"/>
      <c r="D118" s="104" t="s">
        <v>115</v>
      </c>
      <c r="E118" s="104" t="s">
        <v>116</v>
      </c>
      <c r="F118" s="104" t="s">
        <v>117</v>
      </c>
      <c r="G118" s="104" t="s">
        <v>118</v>
      </c>
      <c r="H118" s="104" t="s">
        <v>119</v>
      </c>
      <c r="I118" s="104" t="s">
        <v>120</v>
      </c>
      <c r="J118" s="104" t="s">
        <v>121</v>
      </c>
      <c r="K118" s="104" t="s">
        <v>122</v>
      </c>
      <c r="L118" s="104" t="s">
        <v>123</v>
      </c>
      <c r="M118" s="104" t="s">
        <v>124</v>
      </c>
      <c r="N118" s="104" t="s">
        <v>125</v>
      </c>
      <c r="O118" s="104" t="s">
        <v>126</v>
      </c>
      <c r="P118" s="104" t="s">
        <v>127</v>
      </c>
      <c r="Q118" s="104" t="s">
        <v>128</v>
      </c>
      <c r="R118" s="104" t="s">
        <v>129</v>
      </c>
      <c r="S118" s="104" t="s">
        <v>130</v>
      </c>
      <c r="T118" s="105" t="s">
        <v>131</v>
      </c>
      <c r="U118" s="105" t="s">
        <v>132</v>
      </c>
      <c r="V118" s="105" t="s">
        <v>133</v>
      </c>
      <c r="W118" s="105" t="s">
        <v>134</v>
      </c>
      <c r="X118" s="105" t="s">
        <v>135</v>
      </c>
      <c r="Y118" s="105" t="s">
        <v>136</v>
      </c>
      <c r="Z118" s="105" t="s">
        <v>137</v>
      </c>
      <c r="AA118" s="105" t="s">
        <v>138</v>
      </c>
      <c r="AB118" s="105" t="s">
        <v>139</v>
      </c>
      <c r="AC118" s="105" t="s">
        <v>140</v>
      </c>
      <c r="AD118" s="105" t="s">
        <v>141</v>
      </c>
      <c r="AE118" s="105" t="s">
        <v>142</v>
      </c>
      <c r="AF118" s="105" t="s">
        <v>143</v>
      </c>
      <c r="AG118" s="105" t="s">
        <v>144</v>
      </c>
      <c r="AH118" s="105" t="s">
        <v>145</v>
      </c>
      <c r="AI118" s="105" t="s">
        <v>146</v>
      </c>
      <c r="AJ118" s="105" t="s">
        <v>147</v>
      </c>
      <c r="AK118" s="105" t="s">
        <v>148</v>
      </c>
      <c r="AL118" s="105" t="s">
        <v>149</v>
      </c>
      <c r="AM118" s="105" t="s">
        <v>150</v>
      </c>
      <c r="AN118" s="105" t="s">
        <v>151</v>
      </c>
      <c r="AO118" s="105" t="s">
        <v>152</v>
      </c>
      <c r="AP118" s="105" t="s">
        <v>153</v>
      </c>
      <c r="AQ118" s="105" t="s">
        <v>154</v>
      </c>
      <c r="AR118" s="105" t="s">
        <v>155</v>
      </c>
      <c r="AS118" s="105" t="s">
        <v>156</v>
      </c>
      <c r="AT118" s="105" t="s">
        <v>157</v>
      </c>
      <c r="AU118" s="105" t="s">
        <v>158</v>
      </c>
      <c r="AV118" s="105" t="s">
        <v>159</v>
      </c>
      <c r="AW118" s="105" t="s">
        <v>160</v>
      </c>
      <c r="AX118" s="105" t="s">
        <v>161</v>
      </c>
      <c r="AY118" s="105" t="s">
        <v>162</v>
      </c>
      <c r="AZ118" s="105" t="s">
        <v>163</v>
      </c>
      <c r="BA118" s="105" t="s">
        <v>164</v>
      </c>
      <c r="BB118" s="105" t="s">
        <v>165</v>
      </c>
      <c r="BC118" s="105" t="s">
        <v>166</v>
      </c>
      <c r="BD118" s="105" t="s">
        <v>167</v>
      </c>
      <c r="BE118" s="105" t="s">
        <v>168</v>
      </c>
      <c r="BF118" s="105" t="s">
        <v>169</v>
      </c>
      <c r="BG118" s="105" t="s">
        <v>170</v>
      </c>
      <c r="BH118" s="105" t="s">
        <v>171</v>
      </c>
      <c r="BI118" s="105" t="s">
        <v>172</v>
      </c>
      <c r="BJ118" s="105" t="s">
        <v>173</v>
      </c>
      <c r="BK118" s="105" t="s">
        <v>174</v>
      </c>
      <c r="BL118" s="105" t="s">
        <v>175</v>
      </c>
      <c r="BM118" s="105" t="s">
        <v>176</v>
      </c>
      <c r="BN118" s="105" t="s">
        <v>177</v>
      </c>
      <c r="BO118" s="105" t="s">
        <v>178</v>
      </c>
      <c r="BP118" s="105" t="s">
        <v>183</v>
      </c>
      <c r="BQ118" s="105" t="s">
        <v>184</v>
      </c>
      <c r="BR118" s="105" t="s">
        <v>185</v>
      </c>
      <c r="BS118" s="105" t="s">
        <v>187</v>
      </c>
      <c r="BT118" s="105" t="s">
        <v>188</v>
      </c>
      <c r="BU118" s="105" t="s">
        <v>189</v>
      </c>
      <c r="BV118" s="105" t="s">
        <v>190</v>
      </c>
      <c r="BW118" s="105" t="s">
        <v>191</v>
      </c>
      <c r="BX118" s="105" t="s">
        <v>192</v>
      </c>
      <c r="BY118" s="105" t="s">
        <v>193</v>
      </c>
      <c r="BZ118" s="105" t="s">
        <v>194</v>
      </c>
      <c r="CA118" s="105" t="s">
        <v>195</v>
      </c>
      <c r="CB118" s="105" t="s">
        <v>196</v>
      </c>
      <c r="CC118" s="105" t="s">
        <v>197</v>
      </c>
      <c r="CD118" s="105" t="s">
        <v>198</v>
      </c>
      <c r="CE118" s="105" t="s">
        <v>199</v>
      </c>
      <c r="CF118" s="105" t="str">
        <f>CF4</f>
        <v>2021T1</v>
      </c>
      <c r="CG118" s="105" t="str">
        <f t="shared" ref="CG118:CJ118" si="9">CG4</f>
        <v>2021T2</v>
      </c>
      <c r="CH118" s="105" t="str">
        <f t="shared" si="9"/>
        <v>2021T3</v>
      </c>
      <c r="CI118" s="105" t="str">
        <f t="shared" si="9"/>
        <v>2021T4</v>
      </c>
      <c r="CJ118" s="105" t="str">
        <f t="shared" si="9"/>
        <v>2022T1</v>
      </c>
      <c r="CK118" s="105" t="str">
        <f t="shared" ref="CK118:CM118" si="10">CK4</f>
        <v>2022T2</v>
      </c>
      <c r="CL118" s="105" t="str">
        <f t="shared" si="10"/>
        <v>2022T3</v>
      </c>
      <c r="CM118" s="105" t="str">
        <f t="shared" si="10"/>
        <v>2022T4</v>
      </c>
      <c r="CN118" s="105" t="str">
        <f t="shared" ref="CN118:CP118" si="11">CN4</f>
        <v>2023T1</v>
      </c>
      <c r="CO118" s="105" t="str">
        <f t="shared" si="11"/>
        <v>2023T2</v>
      </c>
      <c r="CP118" s="105" t="str">
        <f t="shared" si="11"/>
        <v>2023T3</v>
      </c>
    </row>
    <row r="119" spans="1:94" x14ac:dyDescent="0.25">
      <c r="A119" s="11"/>
      <c r="B119" s="73" t="s">
        <v>41</v>
      </c>
      <c r="C119" s="17"/>
      <c r="D119" s="28" t="str">
        <f t="shared" ref="D119:D130" si="12">IF(OR(D103="",D60=""),"",D$60-D103)</f>
        <v/>
      </c>
      <c r="E119" s="28" t="str">
        <f t="shared" ref="E119:BP120" si="13">IF(OR(E103="",E60=""),"",E$60-E103)</f>
        <v/>
      </c>
      <c r="F119" s="28" t="str">
        <f t="shared" si="13"/>
        <v/>
      </c>
      <c r="G119" s="28" t="str">
        <f t="shared" si="13"/>
        <v/>
      </c>
      <c r="H119" s="28" t="str">
        <f t="shared" si="13"/>
        <v/>
      </c>
      <c r="I119" s="28" t="str">
        <f t="shared" si="13"/>
        <v/>
      </c>
      <c r="J119" s="28" t="str">
        <f t="shared" si="13"/>
        <v/>
      </c>
      <c r="K119" s="28" t="str">
        <f t="shared" si="13"/>
        <v/>
      </c>
      <c r="L119" s="28" t="str">
        <f t="shared" si="13"/>
        <v/>
      </c>
      <c r="M119" s="28" t="str">
        <f t="shared" si="13"/>
        <v/>
      </c>
      <c r="N119" s="28" t="str">
        <f t="shared" si="13"/>
        <v/>
      </c>
      <c r="O119" s="28" t="str">
        <f t="shared" si="13"/>
        <v/>
      </c>
      <c r="P119" s="28" t="str">
        <f t="shared" si="13"/>
        <v/>
      </c>
      <c r="Q119" s="28" t="str">
        <f t="shared" si="13"/>
        <v/>
      </c>
      <c r="R119" s="28" t="str">
        <f t="shared" si="13"/>
        <v/>
      </c>
      <c r="S119" s="28" t="str">
        <f t="shared" si="13"/>
        <v/>
      </c>
      <c r="T119" s="28" t="str">
        <f t="shared" si="13"/>
        <v/>
      </c>
      <c r="U119" s="28" t="str">
        <f t="shared" si="13"/>
        <v/>
      </c>
      <c r="V119" s="28" t="str">
        <f t="shared" si="13"/>
        <v/>
      </c>
      <c r="W119" s="28" t="str">
        <f t="shared" si="13"/>
        <v/>
      </c>
      <c r="X119" s="28" t="str">
        <f t="shared" si="13"/>
        <v/>
      </c>
      <c r="Y119" s="28" t="str">
        <f t="shared" si="13"/>
        <v/>
      </c>
      <c r="Z119" s="28" t="str">
        <f t="shared" si="13"/>
        <v/>
      </c>
      <c r="AA119" s="28" t="str">
        <f t="shared" si="13"/>
        <v/>
      </c>
      <c r="AB119" s="28" t="str">
        <f t="shared" si="13"/>
        <v/>
      </c>
      <c r="AC119" s="28" t="str">
        <f t="shared" si="13"/>
        <v/>
      </c>
      <c r="AD119" s="28" t="str">
        <f t="shared" si="13"/>
        <v/>
      </c>
      <c r="AE119" s="28" t="str">
        <f t="shared" si="13"/>
        <v/>
      </c>
      <c r="AF119" s="28" t="str">
        <f t="shared" si="13"/>
        <v/>
      </c>
      <c r="AG119" s="28" t="str">
        <f t="shared" si="13"/>
        <v/>
      </c>
      <c r="AH119" s="28" t="str">
        <f t="shared" si="13"/>
        <v/>
      </c>
      <c r="AI119" s="28" t="str">
        <f t="shared" si="13"/>
        <v/>
      </c>
      <c r="AJ119" s="28" t="str">
        <f t="shared" si="13"/>
        <v/>
      </c>
      <c r="AK119" s="28" t="str">
        <f t="shared" si="13"/>
        <v/>
      </c>
      <c r="AL119" s="28" t="str">
        <f t="shared" si="13"/>
        <v/>
      </c>
      <c r="AM119" s="28" t="str">
        <f t="shared" si="13"/>
        <v/>
      </c>
      <c r="AN119" s="28" t="str">
        <f t="shared" si="13"/>
        <v/>
      </c>
      <c r="AO119" s="28" t="str">
        <f t="shared" si="13"/>
        <v/>
      </c>
      <c r="AP119" s="28" t="str">
        <f t="shared" si="13"/>
        <v/>
      </c>
      <c r="AQ119" s="28" t="str">
        <f t="shared" si="13"/>
        <v/>
      </c>
      <c r="AR119" s="28" t="str">
        <f t="shared" si="13"/>
        <v/>
      </c>
      <c r="AS119" s="28" t="str">
        <f t="shared" si="13"/>
        <v/>
      </c>
      <c r="AT119" s="28" t="str">
        <f t="shared" si="13"/>
        <v/>
      </c>
      <c r="AU119" s="28" t="str">
        <f t="shared" si="13"/>
        <v/>
      </c>
      <c r="AV119" s="28" t="str">
        <f t="shared" si="13"/>
        <v/>
      </c>
      <c r="AW119" s="28" t="str">
        <f t="shared" si="13"/>
        <v/>
      </c>
      <c r="AX119" s="28" t="str">
        <f t="shared" si="13"/>
        <v/>
      </c>
      <c r="AY119" s="28" t="str">
        <f t="shared" si="13"/>
        <v/>
      </c>
      <c r="AZ119" s="28" t="str">
        <f t="shared" si="13"/>
        <v/>
      </c>
      <c r="BA119" s="28" t="str">
        <f t="shared" si="13"/>
        <v/>
      </c>
      <c r="BB119" s="28" t="str">
        <f t="shared" si="13"/>
        <v/>
      </c>
      <c r="BC119" s="28" t="str">
        <f t="shared" si="13"/>
        <v/>
      </c>
      <c r="BD119" s="28" t="str">
        <f t="shared" si="13"/>
        <v/>
      </c>
      <c r="BE119" s="28" t="str">
        <f t="shared" si="13"/>
        <v/>
      </c>
      <c r="BF119" s="28" t="str">
        <f t="shared" si="13"/>
        <v/>
      </c>
      <c r="BG119" s="28" t="str">
        <f t="shared" si="13"/>
        <v/>
      </c>
      <c r="BH119" s="28" t="str">
        <f t="shared" si="13"/>
        <v/>
      </c>
      <c r="BI119" s="28" t="str">
        <f t="shared" si="13"/>
        <v/>
      </c>
      <c r="BJ119" s="28" t="str">
        <f t="shared" si="13"/>
        <v/>
      </c>
      <c r="BK119" s="28" t="str">
        <f t="shared" si="13"/>
        <v/>
      </c>
      <c r="BL119" s="28" t="str">
        <f t="shared" si="13"/>
        <v/>
      </c>
      <c r="BM119" s="28" t="str">
        <f t="shared" si="13"/>
        <v/>
      </c>
      <c r="BN119" s="28" t="str">
        <f t="shared" si="13"/>
        <v/>
      </c>
      <c r="BO119" s="28" t="str">
        <f t="shared" si="13"/>
        <v/>
      </c>
      <c r="BP119" s="28" t="str">
        <f t="shared" si="13"/>
        <v/>
      </c>
      <c r="BQ119" s="28" t="str">
        <f t="shared" ref="BQ119:CE123" si="14">IF(OR(BQ103="",BQ60=""),"",BQ$60-BQ103)</f>
        <v/>
      </c>
      <c r="BR119" s="28" t="str">
        <f t="shared" si="14"/>
        <v/>
      </c>
      <c r="BS119" s="28" t="str">
        <f t="shared" si="14"/>
        <v/>
      </c>
      <c r="BT119" s="28" t="str">
        <f t="shared" si="14"/>
        <v/>
      </c>
      <c r="BU119" s="28" t="str">
        <f t="shared" si="14"/>
        <v/>
      </c>
      <c r="BV119" s="28" t="str">
        <f t="shared" si="14"/>
        <v/>
      </c>
      <c r="BW119" s="28" t="str">
        <f t="shared" si="14"/>
        <v/>
      </c>
      <c r="BX119" s="28">
        <f t="shared" si="14"/>
        <v>-2.6271202535188332E-2</v>
      </c>
      <c r="BY119" s="28">
        <f t="shared" si="14"/>
        <v>-1.2101414387483578E-2</v>
      </c>
      <c r="BZ119" s="28">
        <f t="shared" si="14"/>
        <v>-3.0311180153186346E-3</v>
      </c>
      <c r="CA119" s="28">
        <f t="shared" si="14"/>
        <v>3.110034091630598E-2</v>
      </c>
      <c r="CB119" s="28">
        <f t="shared" si="14"/>
        <v>3.0479058460536668E-2</v>
      </c>
      <c r="CC119" s="28">
        <f t="shared" si="14"/>
        <v>-7.9433599706235647E-3</v>
      </c>
      <c r="CD119" s="28">
        <f t="shared" si="14"/>
        <v>-1.4700020696114535E-3</v>
      </c>
      <c r="CE119" s="28">
        <f t="shared" si="14"/>
        <v>-1.5532973234336778E-2</v>
      </c>
      <c r="CF119" s="28">
        <f t="shared" ref="CF119:CJ119" si="15">IF(OR(CF103="",CF60=""),"",CF$60-CF103)</f>
        <v>-2.6229178200984915E-2</v>
      </c>
      <c r="CG119" s="28">
        <f t="shared" si="15"/>
        <v>-9.717436516036182E-3</v>
      </c>
      <c r="CH119" s="28">
        <f t="shared" si="15"/>
        <v>-1.5968472822518454E-3</v>
      </c>
      <c r="CI119" s="28">
        <f t="shared" si="15"/>
        <v>1.523951125809786E-2</v>
      </c>
      <c r="CJ119" s="28">
        <f t="shared" si="15"/>
        <v>2.4157007518920359E-2</v>
      </c>
      <c r="CK119" s="28">
        <f t="shared" ref="CK119:CM119" si="16">IF(OR(CK103="",CK60=""),"",CK$60-CK103)</f>
        <v>-6.4935939034505008E-3</v>
      </c>
      <c r="CL119" s="28">
        <f t="shared" si="16"/>
        <v>7.4177388960012802E-3</v>
      </c>
      <c r="CM119" s="28">
        <f t="shared" si="16"/>
        <v>1.26348304060242E-3</v>
      </c>
      <c r="CN119" s="28">
        <f t="shared" ref="CN119:CP119" si="17">IF(OR(CN103="",CN60=""),"",CN$60-CN103)</f>
        <v>8.6774609145745529E-4</v>
      </c>
      <c r="CO119" s="28">
        <f t="shared" si="17"/>
        <v>7.3599949879348037E-2</v>
      </c>
      <c r="CP119" s="28">
        <f t="shared" si="17"/>
        <v>5.7795247143935358E-2</v>
      </c>
    </row>
    <row r="120" spans="1:94" x14ac:dyDescent="0.25">
      <c r="A120" s="11"/>
      <c r="B120" s="73" t="s">
        <v>42</v>
      </c>
      <c r="C120" s="17"/>
      <c r="D120" s="28" t="str">
        <f t="shared" si="12"/>
        <v/>
      </c>
      <c r="E120" s="28" t="str">
        <f t="shared" ref="E120:S120" si="18">IF(OR(E104="",E61=""),"",E$60-E104)</f>
        <v/>
      </c>
      <c r="F120" s="28" t="str">
        <f t="shared" si="18"/>
        <v/>
      </c>
      <c r="G120" s="28" t="str">
        <f t="shared" si="18"/>
        <v/>
      </c>
      <c r="H120" s="28" t="str">
        <f t="shared" si="18"/>
        <v/>
      </c>
      <c r="I120" s="28" t="str">
        <f t="shared" si="18"/>
        <v/>
      </c>
      <c r="J120" s="28" t="str">
        <f t="shared" si="18"/>
        <v/>
      </c>
      <c r="K120" s="28" t="str">
        <f t="shared" si="18"/>
        <v/>
      </c>
      <c r="L120" s="28" t="str">
        <f t="shared" si="18"/>
        <v/>
      </c>
      <c r="M120" s="28" t="str">
        <f t="shared" si="18"/>
        <v/>
      </c>
      <c r="N120" s="28" t="str">
        <f t="shared" si="18"/>
        <v/>
      </c>
      <c r="O120" s="28" t="str">
        <f t="shared" si="18"/>
        <v/>
      </c>
      <c r="P120" s="28" t="str">
        <f t="shared" si="18"/>
        <v/>
      </c>
      <c r="Q120" s="28" t="str">
        <f t="shared" si="18"/>
        <v/>
      </c>
      <c r="R120" s="28" t="str">
        <f t="shared" si="18"/>
        <v/>
      </c>
      <c r="S120" s="28" t="str">
        <f t="shared" si="18"/>
        <v/>
      </c>
      <c r="T120" s="28" t="str">
        <f t="shared" si="13"/>
        <v/>
      </c>
      <c r="U120" s="28" t="str">
        <f t="shared" si="13"/>
        <v/>
      </c>
      <c r="V120" s="28" t="str">
        <f t="shared" si="13"/>
        <v/>
      </c>
      <c r="W120" s="28" t="str">
        <f t="shared" si="13"/>
        <v/>
      </c>
      <c r="X120" s="28" t="str">
        <f t="shared" si="13"/>
        <v/>
      </c>
      <c r="Y120" s="28" t="str">
        <f t="shared" si="13"/>
        <v/>
      </c>
      <c r="Z120" s="28" t="str">
        <f t="shared" si="13"/>
        <v/>
      </c>
      <c r="AA120" s="28" t="str">
        <f t="shared" si="13"/>
        <v/>
      </c>
      <c r="AB120" s="28" t="str">
        <f t="shared" si="13"/>
        <v/>
      </c>
      <c r="AC120" s="28" t="str">
        <f t="shared" si="13"/>
        <v/>
      </c>
      <c r="AD120" s="28" t="str">
        <f t="shared" si="13"/>
        <v/>
      </c>
      <c r="AE120" s="28" t="str">
        <f t="shared" si="13"/>
        <v/>
      </c>
      <c r="AF120" s="28" t="str">
        <f t="shared" si="13"/>
        <v/>
      </c>
      <c r="AG120" s="28" t="str">
        <f t="shared" si="13"/>
        <v/>
      </c>
      <c r="AH120" s="28" t="str">
        <f t="shared" si="13"/>
        <v/>
      </c>
      <c r="AI120" s="28" t="str">
        <f t="shared" si="13"/>
        <v/>
      </c>
      <c r="AJ120" s="28" t="str">
        <f t="shared" si="13"/>
        <v/>
      </c>
      <c r="AK120" s="28" t="str">
        <f t="shared" si="13"/>
        <v/>
      </c>
      <c r="AL120" s="28" t="str">
        <f t="shared" si="13"/>
        <v/>
      </c>
      <c r="AM120" s="28" t="str">
        <f t="shared" si="13"/>
        <v/>
      </c>
      <c r="AN120" s="28" t="str">
        <f t="shared" si="13"/>
        <v/>
      </c>
      <c r="AO120" s="28" t="str">
        <f t="shared" si="13"/>
        <v/>
      </c>
      <c r="AP120" s="28" t="str">
        <f t="shared" si="13"/>
        <v/>
      </c>
      <c r="AQ120" s="28" t="str">
        <f t="shared" si="13"/>
        <v/>
      </c>
      <c r="AR120" s="28" t="str">
        <f t="shared" si="13"/>
        <v/>
      </c>
      <c r="AS120" s="28" t="str">
        <f t="shared" si="13"/>
        <v/>
      </c>
      <c r="AT120" s="28" t="str">
        <f t="shared" si="13"/>
        <v/>
      </c>
      <c r="AU120" s="28" t="str">
        <f t="shared" si="13"/>
        <v/>
      </c>
      <c r="AV120" s="28" t="str">
        <f t="shared" si="13"/>
        <v/>
      </c>
      <c r="AW120" s="28" t="str">
        <f t="shared" si="13"/>
        <v/>
      </c>
      <c r="AX120" s="28" t="str">
        <f t="shared" si="13"/>
        <v/>
      </c>
      <c r="AY120" s="28" t="str">
        <f t="shared" si="13"/>
        <v/>
      </c>
      <c r="AZ120" s="28" t="str">
        <f t="shared" si="13"/>
        <v/>
      </c>
      <c r="BA120" s="28" t="str">
        <f t="shared" si="13"/>
        <v/>
      </c>
      <c r="BB120" s="28" t="str">
        <f t="shared" si="13"/>
        <v/>
      </c>
      <c r="BC120" s="28" t="str">
        <f t="shared" si="13"/>
        <v/>
      </c>
      <c r="BD120" s="28" t="str">
        <f t="shared" si="13"/>
        <v/>
      </c>
      <c r="BE120" s="28" t="str">
        <f t="shared" si="13"/>
        <v/>
      </c>
      <c r="BF120" s="28" t="str">
        <f t="shared" si="13"/>
        <v/>
      </c>
      <c r="BG120" s="28" t="str">
        <f t="shared" si="13"/>
        <v/>
      </c>
      <c r="BH120" s="28" t="str">
        <f t="shared" si="13"/>
        <v/>
      </c>
      <c r="BI120" s="28" t="str">
        <f t="shared" si="13"/>
        <v/>
      </c>
      <c r="BJ120" s="28" t="str">
        <f t="shared" si="13"/>
        <v/>
      </c>
      <c r="BK120" s="28" t="str">
        <f t="shared" si="13"/>
        <v/>
      </c>
      <c r="BL120" s="28" t="str">
        <f t="shared" si="13"/>
        <v/>
      </c>
      <c r="BM120" s="28" t="str">
        <f t="shared" si="13"/>
        <v/>
      </c>
      <c r="BN120" s="28" t="str">
        <f t="shared" si="13"/>
        <v/>
      </c>
      <c r="BO120" s="28" t="str">
        <f t="shared" si="13"/>
        <v/>
      </c>
      <c r="BP120" s="28" t="str">
        <f t="shared" si="13"/>
        <v/>
      </c>
      <c r="BQ120" s="28" t="str">
        <f t="shared" si="14"/>
        <v/>
      </c>
      <c r="BR120" s="28" t="str">
        <f t="shared" si="14"/>
        <v/>
      </c>
      <c r="BS120" s="28" t="str">
        <f t="shared" si="14"/>
        <v/>
      </c>
      <c r="BT120" s="28" t="str">
        <f t="shared" si="14"/>
        <v/>
      </c>
      <c r="BU120" s="28" t="str">
        <f t="shared" si="14"/>
        <v/>
      </c>
      <c r="BV120" s="28" t="str">
        <f t="shared" si="14"/>
        <v/>
      </c>
      <c r="BW120" s="28" t="str">
        <f t="shared" si="14"/>
        <v/>
      </c>
      <c r="BX120" s="28" t="str">
        <f t="shared" si="14"/>
        <v/>
      </c>
      <c r="BY120" s="28" t="str">
        <f t="shared" si="14"/>
        <v/>
      </c>
      <c r="BZ120" s="28" t="str">
        <f t="shared" si="14"/>
        <v/>
      </c>
      <c r="CA120" s="28" t="str">
        <f t="shared" si="14"/>
        <v/>
      </c>
      <c r="CB120" s="28" t="str">
        <f t="shared" si="14"/>
        <v/>
      </c>
      <c r="CC120" s="28" t="str">
        <f t="shared" si="14"/>
        <v/>
      </c>
      <c r="CD120" s="28" t="str">
        <f t="shared" si="14"/>
        <v/>
      </c>
      <c r="CE120" s="28" t="str">
        <f t="shared" si="14"/>
        <v/>
      </c>
      <c r="CF120" s="28" t="str">
        <f t="shared" ref="CF120:CJ120" si="19">IF(OR(CF104="",CF61=""),"",CF$60-CF104)</f>
        <v/>
      </c>
      <c r="CG120" s="28" t="str">
        <f t="shared" si="19"/>
        <v/>
      </c>
      <c r="CH120" s="28" t="str">
        <f t="shared" si="19"/>
        <v/>
      </c>
      <c r="CI120" s="28" t="str">
        <f t="shared" si="19"/>
        <v/>
      </c>
      <c r="CJ120" s="28" t="str">
        <f t="shared" si="19"/>
        <v/>
      </c>
      <c r="CK120" s="28" t="str">
        <f t="shared" ref="CK120:CM120" si="20">IF(OR(CK104="",CK61=""),"",CK$60-CK104)</f>
        <v/>
      </c>
      <c r="CL120" s="28" t="str">
        <f t="shared" si="20"/>
        <v/>
      </c>
      <c r="CM120" s="28" t="str">
        <f t="shared" si="20"/>
        <v/>
      </c>
      <c r="CN120" s="28" t="str">
        <f t="shared" ref="CN120:CP120" si="21">IF(OR(CN104="",CN61=""),"",CN$60-CN104)</f>
        <v/>
      </c>
      <c r="CO120" s="28" t="str">
        <f t="shared" si="21"/>
        <v/>
      </c>
      <c r="CP120" s="28" t="str">
        <f t="shared" si="21"/>
        <v/>
      </c>
    </row>
    <row r="121" spans="1:94" x14ac:dyDescent="0.25">
      <c r="A121" s="11"/>
      <c r="B121" s="73" t="s">
        <v>43</v>
      </c>
      <c r="C121" s="17"/>
      <c r="D121" s="28" t="str">
        <f t="shared" si="12"/>
        <v/>
      </c>
      <c r="E121" s="28" t="str">
        <f t="shared" ref="E121:BP124" si="22">IF(OR(E105="",E62=""),"",E$60-E105)</f>
        <v/>
      </c>
      <c r="F121" s="28" t="str">
        <f t="shared" si="22"/>
        <v/>
      </c>
      <c r="G121" s="28" t="str">
        <f t="shared" si="22"/>
        <v/>
      </c>
      <c r="H121" s="28" t="str">
        <f t="shared" si="22"/>
        <v/>
      </c>
      <c r="I121" s="28" t="str">
        <f t="shared" si="22"/>
        <v/>
      </c>
      <c r="J121" s="28" t="str">
        <f t="shared" si="22"/>
        <v/>
      </c>
      <c r="K121" s="28" t="str">
        <f t="shared" si="22"/>
        <v/>
      </c>
      <c r="L121" s="28" t="str">
        <f t="shared" si="22"/>
        <v/>
      </c>
      <c r="M121" s="28" t="str">
        <f t="shared" si="22"/>
        <v/>
      </c>
      <c r="N121" s="28" t="str">
        <f t="shared" si="22"/>
        <v/>
      </c>
      <c r="O121" s="28" t="str">
        <f t="shared" si="22"/>
        <v/>
      </c>
      <c r="P121" s="28" t="str">
        <f t="shared" si="22"/>
        <v/>
      </c>
      <c r="Q121" s="28" t="str">
        <f t="shared" si="22"/>
        <v/>
      </c>
      <c r="R121" s="28" t="str">
        <f t="shared" si="22"/>
        <v/>
      </c>
      <c r="S121" s="28" t="str">
        <f t="shared" si="22"/>
        <v/>
      </c>
      <c r="T121" s="28" t="str">
        <f t="shared" si="22"/>
        <v/>
      </c>
      <c r="U121" s="28" t="str">
        <f t="shared" si="22"/>
        <v/>
      </c>
      <c r="V121" s="28" t="str">
        <f t="shared" si="22"/>
        <v/>
      </c>
      <c r="W121" s="28" t="str">
        <f t="shared" si="22"/>
        <v/>
      </c>
      <c r="X121" s="28" t="str">
        <f t="shared" si="22"/>
        <v/>
      </c>
      <c r="Y121" s="28" t="str">
        <f t="shared" si="22"/>
        <v/>
      </c>
      <c r="Z121" s="28" t="str">
        <f t="shared" si="22"/>
        <v/>
      </c>
      <c r="AA121" s="28" t="str">
        <f t="shared" si="22"/>
        <v/>
      </c>
      <c r="AB121" s="28" t="str">
        <f t="shared" si="22"/>
        <v/>
      </c>
      <c r="AC121" s="28" t="str">
        <f t="shared" si="22"/>
        <v/>
      </c>
      <c r="AD121" s="28" t="str">
        <f t="shared" si="22"/>
        <v/>
      </c>
      <c r="AE121" s="28" t="str">
        <f t="shared" si="22"/>
        <v/>
      </c>
      <c r="AF121" s="28" t="str">
        <f t="shared" si="22"/>
        <v/>
      </c>
      <c r="AG121" s="28" t="str">
        <f t="shared" si="22"/>
        <v/>
      </c>
      <c r="AH121" s="28" t="str">
        <f t="shared" si="22"/>
        <v/>
      </c>
      <c r="AI121" s="28" t="str">
        <f t="shared" si="22"/>
        <v/>
      </c>
      <c r="AJ121" s="28" t="str">
        <f t="shared" si="22"/>
        <v/>
      </c>
      <c r="AK121" s="28" t="str">
        <f t="shared" si="22"/>
        <v/>
      </c>
      <c r="AL121" s="28" t="str">
        <f t="shared" si="22"/>
        <v/>
      </c>
      <c r="AM121" s="28" t="str">
        <f t="shared" si="22"/>
        <v/>
      </c>
      <c r="AN121" s="28" t="str">
        <f t="shared" si="22"/>
        <v/>
      </c>
      <c r="AO121" s="28" t="str">
        <f t="shared" si="22"/>
        <v/>
      </c>
      <c r="AP121" s="28" t="str">
        <f t="shared" si="22"/>
        <v/>
      </c>
      <c r="AQ121" s="28" t="str">
        <f t="shared" si="22"/>
        <v/>
      </c>
      <c r="AR121" s="28" t="str">
        <f t="shared" si="22"/>
        <v/>
      </c>
      <c r="AS121" s="28" t="str">
        <f t="shared" si="22"/>
        <v/>
      </c>
      <c r="AT121" s="28" t="str">
        <f t="shared" si="22"/>
        <v/>
      </c>
      <c r="AU121" s="28" t="str">
        <f t="shared" si="22"/>
        <v/>
      </c>
      <c r="AV121" s="28" t="str">
        <f t="shared" si="22"/>
        <v/>
      </c>
      <c r="AW121" s="28" t="str">
        <f t="shared" si="22"/>
        <v/>
      </c>
      <c r="AX121" s="28" t="str">
        <f t="shared" si="22"/>
        <v/>
      </c>
      <c r="AY121" s="28" t="str">
        <f t="shared" si="22"/>
        <v/>
      </c>
      <c r="AZ121" s="28" t="str">
        <f t="shared" si="22"/>
        <v/>
      </c>
      <c r="BA121" s="28" t="str">
        <f t="shared" si="22"/>
        <v/>
      </c>
      <c r="BB121" s="28" t="str">
        <f t="shared" si="22"/>
        <v/>
      </c>
      <c r="BC121" s="28" t="str">
        <f t="shared" si="22"/>
        <v/>
      </c>
      <c r="BD121" s="28" t="str">
        <f t="shared" si="22"/>
        <v/>
      </c>
      <c r="BE121" s="28" t="str">
        <f t="shared" si="22"/>
        <v/>
      </c>
      <c r="BF121" s="28" t="str">
        <f t="shared" si="22"/>
        <v/>
      </c>
      <c r="BG121" s="28" t="str">
        <f t="shared" si="22"/>
        <v/>
      </c>
      <c r="BH121" s="28" t="str">
        <f t="shared" si="22"/>
        <v/>
      </c>
      <c r="BI121" s="28" t="str">
        <f t="shared" si="22"/>
        <v/>
      </c>
      <c r="BJ121" s="28" t="str">
        <f t="shared" si="22"/>
        <v/>
      </c>
      <c r="BK121" s="28" t="str">
        <f t="shared" si="22"/>
        <v/>
      </c>
      <c r="BL121" s="28" t="str">
        <f t="shared" si="22"/>
        <v/>
      </c>
      <c r="BM121" s="28" t="str">
        <f t="shared" si="22"/>
        <v/>
      </c>
      <c r="BN121" s="28" t="str">
        <f t="shared" si="22"/>
        <v/>
      </c>
      <c r="BO121" s="28" t="str">
        <f t="shared" si="22"/>
        <v/>
      </c>
      <c r="BP121" s="28" t="str">
        <f t="shared" si="22"/>
        <v/>
      </c>
      <c r="BQ121" s="28" t="str">
        <f t="shared" si="14"/>
        <v/>
      </c>
      <c r="BR121" s="28" t="str">
        <f t="shared" si="14"/>
        <v/>
      </c>
      <c r="BS121" s="28" t="str">
        <f t="shared" si="14"/>
        <v/>
      </c>
      <c r="BT121" s="28" t="str">
        <f t="shared" si="14"/>
        <v/>
      </c>
      <c r="BU121" s="28" t="str">
        <f t="shared" si="14"/>
        <v/>
      </c>
      <c r="BV121" s="28" t="str">
        <f t="shared" si="14"/>
        <v/>
      </c>
      <c r="BW121" s="28" t="str">
        <f t="shared" si="14"/>
        <v/>
      </c>
      <c r="BX121" s="28">
        <f t="shared" si="14"/>
        <v>-6.4369009596376703E-3</v>
      </c>
      <c r="BY121" s="28">
        <f t="shared" si="14"/>
        <v>1.451710420044372E-2</v>
      </c>
      <c r="BZ121" s="28">
        <f t="shared" si="14"/>
        <v>2.8451597960445385E-2</v>
      </c>
      <c r="CA121" s="28">
        <f t="shared" si="14"/>
        <v>3.3365718161012303E-2</v>
      </c>
      <c r="CB121" s="28">
        <f t="shared" si="14"/>
        <v>1.6706559752791117E-2</v>
      </c>
      <c r="CC121" s="28">
        <f t="shared" si="14"/>
        <v>1.3940914521039405E-2</v>
      </c>
      <c r="CD121" s="28">
        <f t="shared" si="14"/>
        <v>6.5931934877276888E-3</v>
      </c>
      <c r="CE121" s="28">
        <f t="shared" si="14"/>
        <v>4.6915074962807779E-3</v>
      </c>
      <c r="CF121" s="28">
        <f t="shared" ref="CF121:CJ121" si="23">IF(OR(CF105="",CF62=""),"",CF$60-CF105)</f>
        <v>2.3476934261232874E-3</v>
      </c>
      <c r="CG121" s="28">
        <f t="shared" si="23"/>
        <v>1.1699217077528523E-2</v>
      </c>
      <c r="CH121" s="28">
        <f t="shared" si="23"/>
        <v>1.7796474555845876E-2</v>
      </c>
      <c r="CI121" s="28">
        <f t="shared" si="23"/>
        <v>1.4204263743829326E-2</v>
      </c>
      <c r="CJ121" s="28">
        <f t="shared" si="23"/>
        <v>2.0121429365039356E-2</v>
      </c>
      <c r="CK121" s="28">
        <f t="shared" ref="CK121:CM121" si="24">IF(OR(CK105="",CK62=""),"",CK$60-CK105)</f>
        <v>2.2928315503270902E-2</v>
      </c>
      <c r="CL121" s="28">
        <f t="shared" si="24"/>
        <v>1.512934361227547E-2</v>
      </c>
      <c r="CM121" s="28">
        <f t="shared" si="24"/>
        <v>2.21083607329422E-2</v>
      </c>
      <c r="CN121" s="28">
        <f t="shared" ref="CN121:CP121" si="25">IF(OR(CN105="",CN62=""),"",CN$60-CN105)</f>
        <v>3.1553017204604128E-2</v>
      </c>
      <c r="CO121" s="28">
        <f t="shared" si="25"/>
        <v>3.5611263097996337E-2</v>
      </c>
      <c r="CP121" s="28">
        <f t="shared" si="25"/>
        <v>4.4327611300559067E-2</v>
      </c>
    </row>
    <row r="122" spans="1:94" x14ac:dyDescent="0.25">
      <c r="A122" s="11"/>
      <c r="B122" s="73" t="s">
        <v>44</v>
      </c>
      <c r="C122" s="17"/>
      <c r="D122" s="28" t="str">
        <f t="shared" si="12"/>
        <v/>
      </c>
      <c r="E122" s="28" t="str">
        <f t="shared" si="22"/>
        <v/>
      </c>
      <c r="F122" s="28" t="str">
        <f t="shared" si="22"/>
        <v/>
      </c>
      <c r="G122" s="28" t="str">
        <f t="shared" si="22"/>
        <v/>
      </c>
      <c r="H122" s="28" t="str">
        <f t="shared" si="22"/>
        <v/>
      </c>
      <c r="I122" s="28" t="str">
        <f t="shared" si="22"/>
        <v/>
      </c>
      <c r="J122" s="28" t="str">
        <f t="shared" si="22"/>
        <v/>
      </c>
      <c r="K122" s="28" t="str">
        <f t="shared" si="22"/>
        <v/>
      </c>
      <c r="L122" s="28" t="str">
        <f t="shared" si="22"/>
        <v/>
      </c>
      <c r="M122" s="28" t="str">
        <f t="shared" si="22"/>
        <v/>
      </c>
      <c r="N122" s="28" t="str">
        <f t="shared" si="22"/>
        <v/>
      </c>
      <c r="O122" s="28" t="str">
        <f t="shared" si="22"/>
        <v/>
      </c>
      <c r="P122" s="28" t="str">
        <f t="shared" si="22"/>
        <v/>
      </c>
      <c r="Q122" s="28" t="str">
        <f t="shared" si="22"/>
        <v/>
      </c>
      <c r="R122" s="28" t="str">
        <f t="shared" si="22"/>
        <v/>
      </c>
      <c r="S122" s="28" t="str">
        <f t="shared" si="22"/>
        <v/>
      </c>
      <c r="T122" s="28" t="str">
        <f t="shared" si="22"/>
        <v/>
      </c>
      <c r="U122" s="28" t="str">
        <f t="shared" si="22"/>
        <v/>
      </c>
      <c r="V122" s="28" t="str">
        <f t="shared" si="22"/>
        <v/>
      </c>
      <c r="W122" s="28" t="str">
        <f t="shared" si="22"/>
        <v/>
      </c>
      <c r="X122" s="28" t="str">
        <f t="shared" si="22"/>
        <v/>
      </c>
      <c r="Y122" s="28" t="str">
        <f t="shared" si="22"/>
        <v/>
      </c>
      <c r="Z122" s="28" t="str">
        <f t="shared" si="22"/>
        <v/>
      </c>
      <c r="AA122" s="28" t="str">
        <f t="shared" si="22"/>
        <v/>
      </c>
      <c r="AB122" s="28" t="str">
        <f t="shared" si="22"/>
        <v/>
      </c>
      <c r="AC122" s="28" t="str">
        <f t="shared" si="22"/>
        <v/>
      </c>
      <c r="AD122" s="28" t="str">
        <f t="shared" si="22"/>
        <v/>
      </c>
      <c r="AE122" s="28" t="str">
        <f t="shared" si="22"/>
        <v/>
      </c>
      <c r="AF122" s="28" t="str">
        <f t="shared" si="22"/>
        <v/>
      </c>
      <c r="AG122" s="28" t="str">
        <f t="shared" si="22"/>
        <v/>
      </c>
      <c r="AH122" s="28" t="str">
        <f t="shared" si="22"/>
        <v/>
      </c>
      <c r="AI122" s="28" t="str">
        <f t="shared" si="22"/>
        <v/>
      </c>
      <c r="AJ122" s="28" t="str">
        <f t="shared" si="22"/>
        <v/>
      </c>
      <c r="AK122" s="28" t="str">
        <f t="shared" si="22"/>
        <v/>
      </c>
      <c r="AL122" s="28" t="str">
        <f t="shared" si="22"/>
        <v/>
      </c>
      <c r="AM122" s="28" t="str">
        <f t="shared" si="22"/>
        <v/>
      </c>
      <c r="AN122" s="28" t="str">
        <f t="shared" si="22"/>
        <v/>
      </c>
      <c r="AO122" s="28" t="str">
        <f t="shared" si="22"/>
        <v/>
      </c>
      <c r="AP122" s="28" t="str">
        <f t="shared" si="22"/>
        <v/>
      </c>
      <c r="AQ122" s="28" t="str">
        <f t="shared" si="22"/>
        <v/>
      </c>
      <c r="AR122" s="28" t="str">
        <f t="shared" si="22"/>
        <v/>
      </c>
      <c r="AS122" s="28" t="str">
        <f t="shared" si="22"/>
        <v/>
      </c>
      <c r="AT122" s="28" t="str">
        <f t="shared" si="22"/>
        <v/>
      </c>
      <c r="AU122" s="28" t="str">
        <f t="shared" si="22"/>
        <v/>
      </c>
      <c r="AV122" s="28" t="str">
        <f t="shared" si="22"/>
        <v/>
      </c>
      <c r="AW122" s="28" t="str">
        <f t="shared" si="22"/>
        <v/>
      </c>
      <c r="AX122" s="28" t="str">
        <f t="shared" si="22"/>
        <v/>
      </c>
      <c r="AY122" s="28" t="str">
        <f t="shared" si="22"/>
        <v/>
      </c>
      <c r="AZ122" s="28" t="str">
        <f t="shared" si="22"/>
        <v/>
      </c>
      <c r="BA122" s="28" t="str">
        <f t="shared" si="22"/>
        <v/>
      </c>
      <c r="BB122" s="28" t="str">
        <f t="shared" si="22"/>
        <v/>
      </c>
      <c r="BC122" s="28" t="str">
        <f t="shared" si="22"/>
        <v/>
      </c>
      <c r="BD122" s="28" t="str">
        <f t="shared" si="22"/>
        <v/>
      </c>
      <c r="BE122" s="28" t="str">
        <f t="shared" si="22"/>
        <v/>
      </c>
      <c r="BF122" s="28" t="str">
        <f t="shared" si="22"/>
        <v/>
      </c>
      <c r="BG122" s="28" t="str">
        <f t="shared" si="22"/>
        <v/>
      </c>
      <c r="BH122" s="28" t="str">
        <f t="shared" si="22"/>
        <v/>
      </c>
      <c r="BI122" s="28" t="str">
        <f t="shared" si="22"/>
        <v/>
      </c>
      <c r="BJ122" s="28" t="str">
        <f t="shared" si="22"/>
        <v/>
      </c>
      <c r="BK122" s="28" t="str">
        <f t="shared" si="22"/>
        <v/>
      </c>
      <c r="BL122" s="28" t="str">
        <f t="shared" si="22"/>
        <v/>
      </c>
      <c r="BM122" s="28" t="str">
        <f t="shared" si="22"/>
        <v/>
      </c>
      <c r="BN122" s="28" t="str">
        <f t="shared" si="22"/>
        <v/>
      </c>
      <c r="BO122" s="28" t="str">
        <f t="shared" si="22"/>
        <v/>
      </c>
      <c r="BP122" s="28" t="str">
        <f t="shared" si="22"/>
        <v/>
      </c>
      <c r="BQ122" s="28" t="str">
        <f t="shared" si="14"/>
        <v/>
      </c>
      <c r="BR122" s="28" t="str">
        <f t="shared" si="14"/>
        <v/>
      </c>
      <c r="BS122" s="28" t="str">
        <f t="shared" si="14"/>
        <v/>
      </c>
      <c r="BT122" s="28" t="str">
        <f t="shared" si="14"/>
        <v/>
      </c>
      <c r="BU122" s="28" t="str">
        <f t="shared" si="14"/>
        <v/>
      </c>
      <c r="BV122" s="28" t="str">
        <f t="shared" si="14"/>
        <v/>
      </c>
      <c r="BW122" s="28" t="str">
        <f t="shared" si="14"/>
        <v/>
      </c>
      <c r="BX122" s="28">
        <f t="shared" si="14"/>
        <v>-3.3089843046929523E-3</v>
      </c>
      <c r="BY122" s="28">
        <f t="shared" si="14"/>
        <v>2.6368608361177825E-2</v>
      </c>
      <c r="BZ122" s="28">
        <f t="shared" si="14"/>
        <v>3.4718174986608896E-2</v>
      </c>
      <c r="CA122" s="28">
        <f t="shared" si="14"/>
        <v>-8.1176169296381939E-3</v>
      </c>
      <c r="CB122" s="28">
        <f t="shared" si="14"/>
        <v>-2.6911028852240504E-2</v>
      </c>
      <c r="CC122" s="28">
        <f t="shared" si="14"/>
        <v>-4.4436793197372815E-2</v>
      </c>
      <c r="CD122" s="28">
        <f t="shared" si="14"/>
        <v>-4.0149135637098876E-2</v>
      </c>
      <c r="CE122" s="28">
        <f t="shared" si="14"/>
        <v>1.5675573596043879E-2</v>
      </c>
      <c r="CF122" s="28">
        <f t="shared" ref="CF122:CJ122" si="26">IF(OR(CF106="",CF63=""),"",CF$60-CF106)</f>
        <v>3.0555921344931347E-2</v>
      </c>
      <c r="CG122" s="28">
        <f t="shared" si="26"/>
        <v>3.6197760403993362E-2</v>
      </c>
      <c r="CH122" s="28">
        <f t="shared" si="26"/>
        <v>2.332070373239481E-2</v>
      </c>
      <c r="CI122" s="28">
        <f t="shared" si="26"/>
        <v>3.9764786614115977E-3</v>
      </c>
      <c r="CJ122" s="28">
        <f t="shared" si="26"/>
        <v>9.8412799112708171E-3</v>
      </c>
      <c r="CK122" s="28">
        <f t="shared" ref="CK122:CM122" si="27">IF(OR(CK106="",CK63=""),"",CK$60-CK106)</f>
        <v>5.7370079549647901E-3</v>
      </c>
      <c r="CL122" s="28">
        <f t="shared" si="27"/>
        <v>1.1396329746099054E-2</v>
      </c>
      <c r="CM122" s="28">
        <f t="shared" si="27"/>
        <v>2.6312749641169253E-2</v>
      </c>
      <c r="CN122" s="28">
        <f t="shared" ref="CN122:CP122" si="28">IF(OR(CN106="",CN63=""),"",CN$60-CN106)</f>
        <v>3.6465513760782109E-2</v>
      </c>
      <c r="CO122" s="28">
        <f t="shared" si="28"/>
        <v>6.1982782669461445E-2</v>
      </c>
      <c r="CP122" s="28">
        <f t="shared" si="28"/>
        <v>5.8084726155536615E-2</v>
      </c>
    </row>
    <row r="123" spans="1:94" s="95" customFormat="1" x14ac:dyDescent="0.25">
      <c r="A123" s="91"/>
      <c r="B123" s="92" t="s">
        <v>45</v>
      </c>
      <c r="C123" s="93"/>
      <c r="D123" s="94" t="str">
        <f t="shared" si="12"/>
        <v/>
      </c>
      <c r="E123" s="94" t="str">
        <f t="shared" si="22"/>
        <v/>
      </c>
      <c r="F123" s="94" t="str">
        <f t="shared" si="22"/>
        <v/>
      </c>
      <c r="G123" s="94" t="str">
        <f t="shared" si="22"/>
        <v/>
      </c>
      <c r="H123" s="94" t="str">
        <f t="shared" si="22"/>
        <v/>
      </c>
      <c r="I123" s="94" t="str">
        <f t="shared" si="22"/>
        <v/>
      </c>
      <c r="J123" s="94" t="str">
        <f t="shared" si="22"/>
        <v/>
      </c>
      <c r="K123" s="94" t="str">
        <f t="shared" si="22"/>
        <v/>
      </c>
      <c r="L123" s="94" t="str">
        <f t="shared" si="22"/>
        <v/>
      </c>
      <c r="M123" s="94" t="str">
        <f t="shared" si="22"/>
        <v/>
      </c>
      <c r="N123" s="94" t="str">
        <f t="shared" si="22"/>
        <v/>
      </c>
      <c r="O123" s="94" t="str">
        <f t="shared" si="22"/>
        <v/>
      </c>
      <c r="P123" s="94" t="str">
        <f t="shared" si="22"/>
        <v/>
      </c>
      <c r="Q123" s="94" t="str">
        <f t="shared" si="22"/>
        <v/>
      </c>
      <c r="R123" s="94" t="str">
        <f t="shared" si="22"/>
        <v/>
      </c>
      <c r="S123" s="94" t="str">
        <f t="shared" si="22"/>
        <v/>
      </c>
      <c r="T123" s="94" t="str">
        <f t="shared" si="22"/>
        <v/>
      </c>
      <c r="U123" s="94" t="str">
        <f t="shared" si="22"/>
        <v/>
      </c>
      <c r="V123" s="94" t="str">
        <f t="shared" si="22"/>
        <v/>
      </c>
      <c r="W123" s="94" t="str">
        <f t="shared" si="22"/>
        <v/>
      </c>
      <c r="X123" s="94" t="str">
        <f t="shared" si="22"/>
        <v/>
      </c>
      <c r="Y123" s="94" t="str">
        <f t="shared" si="22"/>
        <v/>
      </c>
      <c r="Z123" s="94" t="str">
        <f t="shared" si="22"/>
        <v/>
      </c>
      <c r="AA123" s="94" t="str">
        <f t="shared" si="22"/>
        <v/>
      </c>
      <c r="AB123" s="94" t="str">
        <f t="shared" si="22"/>
        <v/>
      </c>
      <c r="AC123" s="94" t="str">
        <f t="shared" si="22"/>
        <v/>
      </c>
      <c r="AD123" s="94" t="str">
        <f t="shared" si="22"/>
        <v/>
      </c>
      <c r="AE123" s="94" t="str">
        <f t="shared" si="22"/>
        <v/>
      </c>
      <c r="AF123" s="94" t="str">
        <f t="shared" si="22"/>
        <v/>
      </c>
      <c r="AG123" s="94" t="str">
        <f t="shared" si="22"/>
        <v/>
      </c>
      <c r="AH123" s="94" t="str">
        <f t="shared" si="22"/>
        <v/>
      </c>
      <c r="AI123" s="94" t="str">
        <f t="shared" si="22"/>
        <v/>
      </c>
      <c r="AJ123" s="94" t="str">
        <f t="shared" si="22"/>
        <v/>
      </c>
      <c r="AK123" s="94" t="str">
        <f t="shared" si="22"/>
        <v/>
      </c>
      <c r="AL123" s="94" t="str">
        <f t="shared" si="22"/>
        <v/>
      </c>
      <c r="AM123" s="94" t="str">
        <f t="shared" si="22"/>
        <v/>
      </c>
      <c r="AN123" s="94" t="str">
        <f t="shared" si="22"/>
        <v/>
      </c>
      <c r="AO123" s="94" t="str">
        <f t="shared" si="22"/>
        <v/>
      </c>
      <c r="AP123" s="94" t="str">
        <f t="shared" si="22"/>
        <v/>
      </c>
      <c r="AQ123" s="94" t="str">
        <f t="shared" si="22"/>
        <v/>
      </c>
      <c r="AR123" s="94" t="str">
        <f t="shared" si="22"/>
        <v/>
      </c>
      <c r="AS123" s="94" t="str">
        <f t="shared" si="22"/>
        <v/>
      </c>
      <c r="AT123" s="94" t="str">
        <f t="shared" si="22"/>
        <v/>
      </c>
      <c r="AU123" s="94" t="str">
        <f t="shared" si="22"/>
        <v/>
      </c>
      <c r="AV123" s="94" t="str">
        <f t="shared" si="22"/>
        <v/>
      </c>
      <c r="AW123" s="94" t="str">
        <f t="shared" si="22"/>
        <v/>
      </c>
      <c r="AX123" s="94" t="str">
        <f t="shared" si="22"/>
        <v/>
      </c>
      <c r="AY123" s="94" t="str">
        <f t="shared" si="22"/>
        <v/>
      </c>
      <c r="AZ123" s="94" t="str">
        <f t="shared" si="22"/>
        <v/>
      </c>
      <c r="BA123" s="94" t="str">
        <f t="shared" si="22"/>
        <v/>
      </c>
      <c r="BB123" s="94" t="str">
        <f t="shared" si="22"/>
        <v/>
      </c>
      <c r="BC123" s="94" t="str">
        <f t="shared" si="22"/>
        <v/>
      </c>
      <c r="BD123" s="94" t="str">
        <f t="shared" si="22"/>
        <v/>
      </c>
      <c r="BE123" s="94" t="str">
        <f t="shared" si="22"/>
        <v/>
      </c>
      <c r="BF123" s="94" t="str">
        <f t="shared" si="22"/>
        <v/>
      </c>
      <c r="BG123" s="94" t="str">
        <f t="shared" si="22"/>
        <v/>
      </c>
      <c r="BH123" s="94" t="str">
        <f t="shared" si="22"/>
        <v/>
      </c>
      <c r="BI123" s="94" t="str">
        <f t="shared" si="22"/>
        <v/>
      </c>
      <c r="BJ123" s="94" t="str">
        <f t="shared" si="22"/>
        <v/>
      </c>
      <c r="BK123" s="94" t="str">
        <f t="shared" si="22"/>
        <v/>
      </c>
      <c r="BL123" s="94" t="str">
        <f t="shared" si="22"/>
        <v/>
      </c>
      <c r="BM123" s="94" t="str">
        <f t="shared" si="22"/>
        <v/>
      </c>
      <c r="BN123" s="94" t="str">
        <f t="shared" si="22"/>
        <v/>
      </c>
      <c r="BO123" s="94" t="str">
        <f t="shared" si="22"/>
        <v/>
      </c>
      <c r="BP123" s="94" t="str">
        <f t="shared" si="22"/>
        <v/>
      </c>
      <c r="BQ123" s="94" t="str">
        <f t="shared" si="14"/>
        <v/>
      </c>
      <c r="BR123" s="94" t="str">
        <f t="shared" si="14"/>
        <v/>
      </c>
      <c r="BS123" s="94" t="str">
        <f t="shared" si="14"/>
        <v/>
      </c>
      <c r="BT123" s="94" t="str">
        <f t="shared" si="14"/>
        <v/>
      </c>
      <c r="BU123" s="94" t="str">
        <f t="shared" si="14"/>
        <v/>
      </c>
      <c r="BV123" s="94" t="str">
        <f t="shared" si="14"/>
        <v/>
      </c>
      <c r="BW123" s="94" t="str">
        <f t="shared" si="14"/>
        <v/>
      </c>
      <c r="BX123" s="94" t="str">
        <f t="shared" si="14"/>
        <v/>
      </c>
      <c r="BY123" s="94" t="str">
        <f t="shared" si="14"/>
        <v/>
      </c>
      <c r="BZ123" s="94" t="str">
        <f t="shared" si="14"/>
        <v/>
      </c>
      <c r="CA123" s="94" t="str">
        <f t="shared" si="14"/>
        <v/>
      </c>
      <c r="CB123" s="94" t="str">
        <f t="shared" si="14"/>
        <v/>
      </c>
      <c r="CC123" s="94" t="str">
        <f t="shared" si="14"/>
        <v/>
      </c>
      <c r="CD123" s="94" t="str">
        <f t="shared" si="14"/>
        <v/>
      </c>
      <c r="CE123" s="94" t="str">
        <f t="shared" si="14"/>
        <v/>
      </c>
      <c r="CF123" s="94" t="str">
        <f t="shared" ref="CF123:CJ123" si="29">IF(OR(CF107="",CF64=""),"",CF$60-CF107)</f>
        <v/>
      </c>
      <c r="CG123" s="94" t="str">
        <f t="shared" si="29"/>
        <v/>
      </c>
      <c r="CH123" s="94" t="str">
        <f t="shared" si="29"/>
        <v/>
      </c>
      <c r="CI123" s="94" t="str">
        <f t="shared" si="29"/>
        <v/>
      </c>
      <c r="CJ123" s="94" t="str">
        <f t="shared" si="29"/>
        <v/>
      </c>
      <c r="CK123" s="94" t="str">
        <f t="shared" ref="CK123:CM123" si="30">IF(OR(CK107="",CK64=""),"",CK$60-CK107)</f>
        <v/>
      </c>
      <c r="CL123" s="94" t="str">
        <f t="shared" si="30"/>
        <v/>
      </c>
      <c r="CM123" s="94" t="str">
        <f t="shared" si="30"/>
        <v/>
      </c>
      <c r="CN123" s="94" t="str">
        <f t="shared" ref="CN123:CP123" si="31">IF(OR(CN107="",CN64=""),"",CN$60-CN107)</f>
        <v/>
      </c>
      <c r="CO123" s="94" t="str">
        <f t="shared" si="31"/>
        <v/>
      </c>
      <c r="CP123" s="94" t="str">
        <f t="shared" si="31"/>
        <v/>
      </c>
    </row>
    <row r="124" spans="1:94" s="100" customFormat="1" x14ac:dyDescent="0.25">
      <c r="A124" s="96"/>
      <c r="B124" s="97" t="s">
        <v>46</v>
      </c>
      <c r="C124" s="98"/>
      <c r="D124" s="99" t="str">
        <f t="shared" si="12"/>
        <v/>
      </c>
      <c r="E124" s="99" t="str">
        <f t="shared" si="22"/>
        <v/>
      </c>
      <c r="F124" s="99" t="str">
        <f t="shared" si="22"/>
        <v/>
      </c>
      <c r="G124" s="99" t="str">
        <f t="shared" si="22"/>
        <v/>
      </c>
      <c r="H124" s="99" t="str">
        <f t="shared" si="22"/>
        <v/>
      </c>
      <c r="I124" s="99" t="str">
        <f t="shared" si="22"/>
        <v/>
      </c>
      <c r="J124" s="99" t="str">
        <f t="shared" si="22"/>
        <v/>
      </c>
      <c r="K124" s="99" t="str">
        <f t="shared" si="22"/>
        <v/>
      </c>
      <c r="L124" s="99" t="str">
        <f t="shared" si="22"/>
        <v/>
      </c>
      <c r="M124" s="99" t="str">
        <f t="shared" si="22"/>
        <v/>
      </c>
      <c r="N124" s="99" t="str">
        <f t="shared" si="22"/>
        <v/>
      </c>
      <c r="O124" s="99" t="str">
        <f t="shared" si="22"/>
        <v/>
      </c>
      <c r="P124" s="99" t="str">
        <f t="shared" si="22"/>
        <v/>
      </c>
      <c r="Q124" s="99" t="str">
        <f t="shared" si="22"/>
        <v/>
      </c>
      <c r="R124" s="99" t="str">
        <f t="shared" si="22"/>
        <v/>
      </c>
      <c r="S124" s="99" t="str">
        <f t="shared" si="22"/>
        <v/>
      </c>
      <c r="T124" s="99" t="str">
        <f t="shared" si="22"/>
        <v/>
      </c>
      <c r="U124" s="99" t="str">
        <f t="shared" si="22"/>
        <v/>
      </c>
      <c r="V124" s="99" t="str">
        <f t="shared" si="22"/>
        <v/>
      </c>
      <c r="W124" s="99" t="str">
        <f t="shared" si="22"/>
        <v/>
      </c>
      <c r="X124" s="99" t="str">
        <f t="shared" si="22"/>
        <v/>
      </c>
      <c r="Y124" s="99" t="str">
        <f t="shared" si="22"/>
        <v/>
      </c>
      <c r="Z124" s="99" t="str">
        <f t="shared" si="22"/>
        <v/>
      </c>
      <c r="AA124" s="99" t="str">
        <f t="shared" si="22"/>
        <v/>
      </c>
      <c r="AB124" s="99" t="str">
        <f t="shared" si="22"/>
        <v/>
      </c>
      <c r="AC124" s="99" t="str">
        <f t="shared" si="22"/>
        <v/>
      </c>
      <c r="AD124" s="99" t="str">
        <f t="shared" si="22"/>
        <v/>
      </c>
      <c r="AE124" s="99" t="str">
        <f t="shared" si="22"/>
        <v/>
      </c>
      <c r="AF124" s="99" t="str">
        <f t="shared" si="22"/>
        <v/>
      </c>
      <c r="AG124" s="99" t="str">
        <f t="shared" si="22"/>
        <v/>
      </c>
      <c r="AH124" s="99" t="str">
        <f t="shared" si="22"/>
        <v/>
      </c>
      <c r="AI124" s="99" t="str">
        <f t="shared" si="22"/>
        <v/>
      </c>
      <c r="AJ124" s="99" t="str">
        <f t="shared" si="22"/>
        <v/>
      </c>
      <c r="AK124" s="99" t="str">
        <f t="shared" si="22"/>
        <v/>
      </c>
      <c r="AL124" s="99" t="str">
        <f t="shared" si="22"/>
        <v/>
      </c>
      <c r="AM124" s="99" t="str">
        <f t="shared" si="22"/>
        <v/>
      </c>
      <c r="AN124" s="99" t="str">
        <f t="shared" si="22"/>
        <v/>
      </c>
      <c r="AO124" s="99" t="str">
        <f t="shared" si="22"/>
        <v/>
      </c>
      <c r="AP124" s="99" t="str">
        <f t="shared" si="22"/>
        <v/>
      </c>
      <c r="AQ124" s="99" t="str">
        <f t="shared" si="22"/>
        <v/>
      </c>
      <c r="AR124" s="99" t="str">
        <f t="shared" si="22"/>
        <v/>
      </c>
      <c r="AS124" s="99" t="str">
        <f t="shared" si="22"/>
        <v/>
      </c>
      <c r="AT124" s="99" t="str">
        <f t="shared" si="22"/>
        <v/>
      </c>
      <c r="AU124" s="99" t="str">
        <f t="shared" si="22"/>
        <v/>
      </c>
      <c r="AV124" s="99" t="str">
        <f t="shared" si="22"/>
        <v/>
      </c>
      <c r="AW124" s="99" t="str">
        <f t="shared" si="22"/>
        <v/>
      </c>
      <c r="AX124" s="99" t="str">
        <f t="shared" si="22"/>
        <v/>
      </c>
      <c r="AY124" s="99" t="str">
        <f t="shared" si="22"/>
        <v/>
      </c>
      <c r="AZ124" s="99" t="str">
        <f t="shared" si="22"/>
        <v/>
      </c>
      <c r="BA124" s="99" t="str">
        <f t="shared" si="22"/>
        <v/>
      </c>
      <c r="BB124" s="99" t="str">
        <f t="shared" si="22"/>
        <v/>
      </c>
      <c r="BC124" s="99" t="str">
        <f t="shared" si="22"/>
        <v/>
      </c>
      <c r="BD124" s="99" t="str">
        <f t="shared" si="22"/>
        <v/>
      </c>
      <c r="BE124" s="99" t="str">
        <f t="shared" si="22"/>
        <v/>
      </c>
      <c r="BF124" s="99" t="str">
        <f t="shared" si="22"/>
        <v/>
      </c>
      <c r="BG124" s="99" t="str">
        <f t="shared" si="22"/>
        <v/>
      </c>
      <c r="BH124" s="99" t="str">
        <f t="shared" si="22"/>
        <v/>
      </c>
      <c r="BI124" s="99" t="str">
        <f t="shared" si="22"/>
        <v/>
      </c>
      <c r="BJ124" s="99" t="str">
        <f t="shared" si="22"/>
        <v/>
      </c>
      <c r="BK124" s="99" t="str">
        <f t="shared" si="22"/>
        <v/>
      </c>
      <c r="BL124" s="99" t="str">
        <f t="shared" si="22"/>
        <v/>
      </c>
      <c r="BM124" s="99" t="str">
        <f t="shared" si="22"/>
        <v/>
      </c>
      <c r="BN124" s="99" t="str">
        <f t="shared" si="22"/>
        <v/>
      </c>
      <c r="BO124" s="99" t="str">
        <f t="shared" si="22"/>
        <v/>
      </c>
      <c r="BP124" s="99" t="str">
        <f t="shared" ref="BP124:CE127" si="32">IF(OR(BP108="",BP65=""),"",BP$60-BP108)</f>
        <v/>
      </c>
      <c r="BQ124" s="99" t="str">
        <f t="shared" si="32"/>
        <v/>
      </c>
      <c r="BR124" s="99" t="str">
        <f t="shared" si="32"/>
        <v/>
      </c>
      <c r="BS124" s="99" t="str">
        <f t="shared" si="32"/>
        <v/>
      </c>
      <c r="BT124" s="99" t="str">
        <f t="shared" si="32"/>
        <v/>
      </c>
      <c r="BU124" s="99" t="str">
        <f t="shared" si="32"/>
        <v/>
      </c>
      <c r="BV124" s="99" t="str">
        <f t="shared" si="32"/>
        <v/>
      </c>
      <c r="BW124" s="99" t="str">
        <f t="shared" si="32"/>
        <v/>
      </c>
      <c r="BX124" s="99">
        <f t="shared" si="32"/>
        <v>-2.6271202535187888E-2</v>
      </c>
      <c r="BY124" s="99">
        <f t="shared" si="32"/>
        <v>-1.2101414387483356E-2</v>
      </c>
      <c r="BZ124" s="99">
        <f t="shared" si="32"/>
        <v>-3.0311180153184125E-3</v>
      </c>
      <c r="CA124" s="99">
        <f t="shared" si="32"/>
        <v>3.1100340916305869E-2</v>
      </c>
      <c r="CB124" s="99">
        <f t="shared" si="32"/>
        <v>3.0479058460536224E-2</v>
      </c>
      <c r="CC124" s="99">
        <f t="shared" si="32"/>
        <v>-7.9433599706235647E-3</v>
      </c>
      <c r="CD124" s="99">
        <f t="shared" si="32"/>
        <v>-1.4700020696114535E-3</v>
      </c>
      <c r="CE124" s="99">
        <f t="shared" si="32"/>
        <v>-1.5532973234336334E-2</v>
      </c>
      <c r="CF124" s="99">
        <f t="shared" ref="CF124:CJ124" si="33">IF(OR(CF108="",CF65=""),"",CF$60-CF108)</f>
        <v>-2.6229178200984693E-2</v>
      </c>
      <c r="CG124" s="99">
        <f t="shared" si="33"/>
        <v>-9.717436516036182E-3</v>
      </c>
      <c r="CH124" s="99">
        <f t="shared" si="33"/>
        <v>-1.5968472822516233E-3</v>
      </c>
      <c r="CI124" s="99">
        <f t="shared" si="33"/>
        <v>1.5239511258097638E-2</v>
      </c>
      <c r="CJ124" s="99">
        <f t="shared" si="33"/>
        <v>2.4157007518920581E-2</v>
      </c>
      <c r="CK124" s="99">
        <f t="shared" ref="CK124:CM124" si="34">IF(OR(CK108="",CK65=""),"",CK$60-CK108)</f>
        <v>-6.4935939034505008E-3</v>
      </c>
      <c r="CL124" s="99">
        <f t="shared" si="34"/>
        <v>7.4177388960010582E-3</v>
      </c>
      <c r="CM124" s="99">
        <f t="shared" si="34"/>
        <v>1.263483040602642E-3</v>
      </c>
      <c r="CN124" s="99">
        <f t="shared" ref="CN124:CP124" si="35">IF(OR(CN108="",CN65=""),"",CN$60-CN108)</f>
        <v>8.6774609145745529E-4</v>
      </c>
      <c r="CO124" s="99">
        <f t="shared" si="35"/>
        <v>7.3599949879348037E-2</v>
      </c>
      <c r="CP124" s="99">
        <f t="shared" si="35"/>
        <v>5.779524714393558E-2</v>
      </c>
    </row>
    <row r="125" spans="1:94" x14ac:dyDescent="0.25">
      <c r="A125" s="11"/>
      <c r="B125" s="30" t="s">
        <v>50</v>
      </c>
      <c r="C125" s="17"/>
      <c r="D125" s="28" t="str">
        <f t="shared" si="12"/>
        <v/>
      </c>
      <c r="E125" s="28" t="str">
        <f t="shared" ref="E125:BP128" si="36">IF(OR(E109="",E66=""),"",E$60-E109)</f>
        <v/>
      </c>
      <c r="F125" s="28" t="str">
        <f t="shared" si="36"/>
        <v/>
      </c>
      <c r="G125" s="28" t="str">
        <f t="shared" si="36"/>
        <v/>
      </c>
      <c r="H125" s="28" t="str">
        <f t="shared" si="36"/>
        <v/>
      </c>
      <c r="I125" s="28" t="str">
        <f t="shared" si="36"/>
        <v/>
      </c>
      <c r="J125" s="28" t="str">
        <f t="shared" si="36"/>
        <v/>
      </c>
      <c r="K125" s="28" t="str">
        <f t="shared" si="36"/>
        <v/>
      </c>
      <c r="L125" s="28" t="str">
        <f t="shared" si="36"/>
        <v/>
      </c>
      <c r="M125" s="28" t="str">
        <f t="shared" si="36"/>
        <v/>
      </c>
      <c r="N125" s="28" t="str">
        <f t="shared" si="36"/>
        <v/>
      </c>
      <c r="O125" s="28" t="str">
        <f t="shared" si="36"/>
        <v/>
      </c>
      <c r="P125" s="28" t="str">
        <f t="shared" si="36"/>
        <v/>
      </c>
      <c r="Q125" s="28" t="str">
        <f t="shared" si="36"/>
        <v/>
      </c>
      <c r="R125" s="28" t="str">
        <f t="shared" si="36"/>
        <v/>
      </c>
      <c r="S125" s="28" t="str">
        <f t="shared" si="36"/>
        <v/>
      </c>
      <c r="T125" s="28" t="str">
        <f t="shared" si="36"/>
        <v/>
      </c>
      <c r="U125" s="28" t="str">
        <f t="shared" si="36"/>
        <v/>
      </c>
      <c r="V125" s="28" t="str">
        <f t="shared" si="36"/>
        <v/>
      </c>
      <c r="W125" s="28" t="str">
        <f t="shared" si="36"/>
        <v/>
      </c>
      <c r="X125" s="28" t="str">
        <f t="shared" si="36"/>
        <v/>
      </c>
      <c r="Y125" s="28" t="str">
        <f t="shared" si="36"/>
        <v/>
      </c>
      <c r="Z125" s="28" t="str">
        <f t="shared" si="36"/>
        <v/>
      </c>
      <c r="AA125" s="28" t="str">
        <f t="shared" si="36"/>
        <v/>
      </c>
      <c r="AB125" s="28" t="str">
        <f t="shared" si="36"/>
        <v/>
      </c>
      <c r="AC125" s="28" t="str">
        <f t="shared" si="36"/>
        <v/>
      </c>
      <c r="AD125" s="28" t="str">
        <f t="shared" si="36"/>
        <v/>
      </c>
      <c r="AE125" s="28" t="str">
        <f t="shared" si="36"/>
        <v/>
      </c>
      <c r="AF125" s="28" t="str">
        <f t="shared" si="36"/>
        <v/>
      </c>
      <c r="AG125" s="28" t="str">
        <f t="shared" si="36"/>
        <v/>
      </c>
      <c r="AH125" s="28" t="str">
        <f t="shared" si="36"/>
        <v/>
      </c>
      <c r="AI125" s="28" t="str">
        <f t="shared" si="36"/>
        <v/>
      </c>
      <c r="AJ125" s="28" t="str">
        <f t="shared" si="36"/>
        <v/>
      </c>
      <c r="AK125" s="28" t="str">
        <f t="shared" si="36"/>
        <v/>
      </c>
      <c r="AL125" s="28" t="str">
        <f t="shared" si="36"/>
        <v/>
      </c>
      <c r="AM125" s="28" t="str">
        <f t="shared" si="36"/>
        <v/>
      </c>
      <c r="AN125" s="28" t="str">
        <f t="shared" si="36"/>
        <v/>
      </c>
      <c r="AO125" s="28" t="str">
        <f t="shared" si="36"/>
        <v/>
      </c>
      <c r="AP125" s="28" t="str">
        <f t="shared" si="36"/>
        <v/>
      </c>
      <c r="AQ125" s="28" t="str">
        <f t="shared" si="36"/>
        <v/>
      </c>
      <c r="AR125" s="28" t="str">
        <f t="shared" si="36"/>
        <v/>
      </c>
      <c r="AS125" s="28" t="str">
        <f t="shared" si="36"/>
        <v/>
      </c>
      <c r="AT125" s="28" t="str">
        <f t="shared" si="36"/>
        <v/>
      </c>
      <c r="AU125" s="28" t="str">
        <f t="shared" si="36"/>
        <v/>
      </c>
      <c r="AV125" s="28" t="str">
        <f t="shared" si="36"/>
        <v/>
      </c>
      <c r="AW125" s="28" t="str">
        <f t="shared" si="36"/>
        <v/>
      </c>
      <c r="AX125" s="28" t="str">
        <f t="shared" si="36"/>
        <v/>
      </c>
      <c r="AY125" s="28" t="str">
        <f t="shared" si="36"/>
        <v/>
      </c>
      <c r="AZ125" s="28">
        <f t="shared" si="36"/>
        <v>2.9237350045261401E-3</v>
      </c>
      <c r="BA125" s="28">
        <f t="shared" si="36"/>
        <v>-9.1641459268232417E-4</v>
      </c>
      <c r="BB125" s="28">
        <f t="shared" si="36"/>
        <v>2.6249110484273253E-3</v>
      </c>
      <c r="BC125" s="28">
        <f t="shared" si="36"/>
        <v>1.5452459088612258E-2</v>
      </c>
      <c r="BD125" s="28">
        <f t="shared" si="36"/>
        <v>1.490077611464502E-2</v>
      </c>
      <c r="BE125" s="28">
        <f t="shared" si="36"/>
        <v>1.2285800139254621E-2</v>
      </c>
      <c r="BF125" s="28">
        <f t="shared" si="36"/>
        <v>2.9643842265248632E-2</v>
      </c>
      <c r="BG125" s="28">
        <f t="shared" si="36"/>
        <v>2.3566012664477665E-2</v>
      </c>
      <c r="BH125" s="28" t="str">
        <f t="shared" si="36"/>
        <v/>
      </c>
      <c r="BI125" s="28" t="str">
        <f t="shared" si="36"/>
        <v/>
      </c>
      <c r="BJ125" s="28" t="str">
        <f t="shared" si="36"/>
        <v/>
      </c>
      <c r="BK125" s="28" t="str">
        <f t="shared" si="36"/>
        <v/>
      </c>
      <c r="BL125" s="28" t="str">
        <f t="shared" si="36"/>
        <v/>
      </c>
      <c r="BM125" s="28" t="str">
        <f t="shared" si="36"/>
        <v/>
      </c>
      <c r="BN125" s="28" t="str">
        <f t="shared" si="36"/>
        <v/>
      </c>
      <c r="BO125" s="28" t="str">
        <f t="shared" si="36"/>
        <v/>
      </c>
      <c r="BP125" s="28">
        <f t="shared" si="36"/>
        <v>-4.5115100381050155E-3</v>
      </c>
      <c r="BQ125" s="28">
        <f t="shared" si="32"/>
        <v>2.4407446294996138E-3</v>
      </c>
      <c r="BR125" s="28">
        <f t="shared" si="32"/>
        <v>-7.8753012846433101E-3</v>
      </c>
      <c r="BS125" s="28">
        <f t="shared" si="32"/>
        <v>-6.9980839126322358E-3</v>
      </c>
      <c r="BT125" s="28">
        <f t="shared" si="32"/>
        <v>-6.297224286091474E-3</v>
      </c>
      <c r="BU125" s="28">
        <f t="shared" si="32"/>
        <v>-6.0430766305419326E-3</v>
      </c>
      <c r="BV125" s="28">
        <f t="shared" si="32"/>
        <v>-3.0603293533477682E-3</v>
      </c>
      <c r="BW125" s="28">
        <f t="shared" si="32"/>
        <v>9.3148840566652513E-3</v>
      </c>
      <c r="BX125" s="28">
        <f t="shared" si="32"/>
        <v>2.7982762065378752E-2</v>
      </c>
      <c r="BY125" s="28">
        <f t="shared" si="32"/>
        <v>3.258035557022243E-2</v>
      </c>
      <c r="BZ125" s="28">
        <f t="shared" si="32"/>
        <v>3.6514619518750568E-2</v>
      </c>
      <c r="CA125" s="28">
        <f t="shared" si="32"/>
        <v>3.0591870544986799E-2</v>
      </c>
      <c r="CB125" s="28">
        <f t="shared" si="32"/>
        <v>1.4041534946405809E-2</v>
      </c>
      <c r="CC125" s="28">
        <f t="shared" si="32"/>
        <v>7.2283391914598205E-3</v>
      </c>
      <c r="CD125" s="28">
        <f t="shared" si="32"/>
        <v>-4.1099332727490001E-3</v>
      </c>
      <c r="CE125" s="28">
        <f t="shared" si="32"/>
        <v>-4.6581630442905642E-3</v>
      </c>
      <c r="CF125" s="28">
        <f t="shared" ref="CF125:CJ125" si="37">IF(OR(CF109="",CF66=""),"",CF$60-CF109)</f>
        <v>-2.9420330298803865E-3</v>
      </c>
      <c r="CG125" s="28">
        <f t="shared" si="37"/>
        <v>-1.2420954041215237E-2</v>
      </c>
      <c r="CH125" s="28">
        <f t="shared" si="37"/>
        <v>-1.3986704352914492E-2</v>
      </c>
      <c r="CI125" s="28">
        <f t="shared" si="37"/>
        <v>-2.2648916512619577E-2</v>
      </c>
      <c r="CJ125" s="28">
        <f t="shared" si="37"/>
        <v>-1.9847172914948308E-2</v>
      </c>
      <c r="CK125" s="28">
        <f t="shared" ref="CK125:CM125" si="38">IF(OR(CK109="",CK66=""),"",CK$60-CK109)</f>
        <v>-1.202007463293886E-2</v>
      </c>
      <c r="CL125" s="28">
        <f t="shared" si="38"/>
        <v>-1.4570261223502579E-2</v>
      </c>
      <c r="CM125" s="28">
        <f t="shared" si="38"/>
        <v>-6.4536361035849588E-4</v>
      </c>
      <c r="CN125" s="28" t="str">
        <f t="shared" ref="CN125:CP125" si="39">IF(OR(CN109="",CN66=""),"",CN$60-CN109)</f>
        <v/>
      </c>
      <c r="CO125" s="28" t="str">
        <f t="shared" si="39"/>
        <v/>
      </c>
      <c r="CP125" s="28" t="str">
        <f t="shared" si="39"/>
        <v/>
      </c>
    </row>
    <row r="126" spans="1:94" x14ac:dyDescent="0.25">
      <c r="A126" s="11"/>
      <c r="B126" s="30" t="s">
        <v>51</v>
      </c>
      <c r="C126" s="17"/>
      <c r="D126" s="28" t="str">
        <f t="shared" si="12"/>
        <v/>
      </c>
      <c r="E126" s="28" t="str">
        <f t="shared" si="36"/>
        <v/>
      </c>
      <c r="F126" s="28" t="str">
        <f t="shared" si="36"/>
        <v/>
      </c>
      <c r="G126" s="28" t="str">
        <f t="shared" si="36"/>
        <v/>
      </c>
      <c r="H126" s="28" t="str">
        <f t="shared" si="36"/>
        <v/>
      </c>
      <c r="I126" s="28" t="str">
        <f t="shared" si="36"/>
        <v/>
      </c>
      <c r="J126" s="28" t="str">
        <f t="shared" si="36"/>
        <v/>
      </c>
      <c r="K126" s="28" t="str">
        <f t="shared" si="36"/>
        <v/>
      </c>
      <c r="L126" s="28" t="str">
        <f t="shared" si="36"/>
        <v/>
      </c>
      <c r="M126" s="28" t="str">
        <f t="shared" si="36"/>
        <v/>
      </c>
      <c r="N126" s="28" t="str">
        <f t="shared" si="36"/>
        <v/>
      </c>
      <c r="O126" s="28" t="str">
        <f t="shared" si="36"/>
        <v/>
      </c>
      <c r="P126" s="28" t="str">
        <f t="shared" si="36"/>
        <v/>
      </c>
      <c r="Q126" s="28" t="str">
        <f t="shared" si="36"/>
        <v/>
      </c>
      <c r="R126" s="28" t="str">
        <f t="shared" si="36"/>
        <v/>
      </c>
      <c r="S126" s="28" t="str">
        <f t="shared" si="36"/>
        <v/>
      </c>
      <c r="T126" s="28" t="str">
        <f t="shared" si="36"/>
        <v/>
      </c>
      <c r="U126" s="28" t="str">
        <f t="shared" si="36"/>
        <v/>
      </c>
      <c r="V126" s="28" t="str">
        <f t="shared" si="36"/>
        <v/>
      </c>
      <c r="W126" s="28" t="str">
        <f t="shared" si="36"/>
        <v/>
      </c>
      <c r="X126" s="28" t="str">
        <f t="shared" si="36"/>
        <v/>
      </c>
      <c r="Y126" s="28" t="str">
        <f t="shared" si="36"/>
        <v/>
      </c>
      <c r="Z126" s="28" t="str">
        <f t="shared" si="36"/>
        <v/>
      </c>
      <c r="AA126" s="28" t="str">
        <f t="shared" si="36"/>
        <v/>
      </c>
      <c r="AB126" s="28" t="str">
        <f t="shared" si="36"/>
        <v/>
      </c>
      <c r="AC126" s="28" t="str">
        <f t="shared" si="36"/>
        <v/>
      </c>
      <c r="AD126" s="28" t="str">
        <f t="shared" si="36"/>
        <v/>
      </c>
      <c r="AE126" s="28" t="str">
        <f t="shared" si="36"/>
        <v/>
      </c>
      <c r="AF126" s="28" t="str">
        <f t="shared" si="36"/>
        <v/>
      </c>
      <c r="AG126" s="28" t="str">
        <f t="shared" si="36"/>
        <v/>
      </c>
      <c r="AH126" s="28" t="str">
        <f t="shared" si="36"/>
        <v/>
      </c>
      <c r="AI126" s="28" t="str">
        <f t="shared" si="36"/>
        <v/>
      </c>
      <c r="AJ126" s="28" t="str">
        <f t="shared" si="36"/>
        <v/>
      </c>
      <c r="AK126" s="28" t="str">
        <f t="shared" si="36"/>
        <v/>
      </c>
      <c r="AL126" s="28" t="str">
        <f t="shared" si="36"/>
        <v/>
      </c>
      <c r="AM126" s="28" t="str">
        <f t="shared" si="36"/>
        <v/>
      </c>
      <c r="AN126" s="28" t="str">
        <f t="shared" si="36"/>
        <v/>
      </c>
      <c r="AO126" s="28" t="str">
        <f t="shared" si="36"/>
        <v/>
      </c>
      <c r="AP126" s="28" t="str">
        <f t="shared" si="36"/>
        <v/>
      </c>
      <c r="AQ126" s="28" t="str">
        <f t="shared" si="36"/>
        <v/>
      </c>
      <c r="AR126" s="28" t="str">
        <f t="shared" si="36"/>
        <v/>
      </c>
      <c r="AS126" s="28" t="str">
        <f t="shared" si="36"/>
        <v/>
      </c>
      <c r="AT126" s="28" t="str">
        <f t="shared" si="36"/>
        <v/>
      </c>
      <c r="AU126" s="28" t="str">
        <f t="shared" si="36"/>
        <v/>
      </c>
      <c r="AV126" s="28" t="str">
        <f t="shared" si="36"/>
        <v/>
      </c>
      <c r="AW126" s="28" t="str">
        <f t="shared" si="36"/>
        <v/>
      </c>
      <c r="AX126" s="28" t="str">
        <f t="shared" si="36"/>
        <v/>
      </c>
      <c r="AY126" s="28" t="str">
        <f t="shared" si="36"/>
        <v/>
      </c>
      <c r="AZ126" s="28">
        <f t="shared" si="36"/>
        <v>7.4745362345942645E-3</v>
      </c>
      <c r="BA126" s="28">
        <f t="shared" si="36"/>
        <v>4.83757843093513E-3</v>
      </c>
      <c r="BB126" s="28">
        <f t="shared" si="36"/>
        <v>3.6182674806088944E-3</v>
      </c>
      <c r="BC126" s="28">
        <f t="shared" si="36"/>
        <v>1.107502248813419E-2</v>
      </c>
      <c r="BD126" s="28">
        <f t="shared" si="36"/>
        <v>6.0042414751877438E-3</v>
      </c>
      <c r="BE126" s="28">
        <f t="shared" si="36"/>
        <v>4.1882077325290368E-3</v>
      </c>
      <c r="BF126" s="28">
        <f t="shared" si="36"/>
        <v>2.3795125041007559E-2</v>
      </c>
      <c r="BG126" s="28">
        <f t="shared" si="36"/>
        <v>2.229741364578719E-2</v>
      </c>
      <c r="BH126" s="28" t="str">
        <f t="shared" si="36"/>
        <v/>
      </c>
      <c r="BI126" s="28" t="str">
        <f t="shared" si="36"/>
        <v/>
      </c>
      <c r="BJ126" s="28" t="str">
        <f t="shared" si="36"/>
        <v/>
      </c>
      <c r="BK126" s="28" t="str">
        <f t="shared" si="36"/>
        <v/>
      </c>
      <c r="BL126" s="28" t="str">
        <f t="shared" si="36"/>
        <v/>
      </c>
      <c r="BM126" s="28" t="str">
        <f t="shared" si="36"/>
        <v/>
      </c>
      <c r="BN126" s="28" t="str">
        <f t="shared" si="36"/>
        <v/>
      </c>
      <c r="BO126" s="28" t="str">
        <f t="shared" si="36"/>
        <v/>
      </c>
      <c r="BP126" s="28" t="str">
        <f t="shared" si="36"/>
        <v/>
      </c>
      <c r="BQ126" s="28" t="str">
        <f t="shared" si="32"/>
        <v/>
      </c>
      <c r="BR126" s="28" t="str">
        <f t="shared" si="32"/>
        <v/>
      </c>
      <c r="BS126" s="28" t="str">
        <f t="shared" si="32"/>
        <v/>
      </c>
      <c r="BT126" s="28" t="str">
        <f t="shared" si="32"/>
        <v/>
      </c>
      <c r="BU126" s="28" t="str">
        <f t="shared" si="32"/>
        <v/>
      </c>
      <c r="BV126" s="28" t="str">
        <f t="shared" si="32"/>
        <v/>
      </c>
      <c r="BW126" s="28" t="str">
        <f t="shared" si="32"/>
        <v/>
      </c>
      <c r="BX126" s="28" t="str">
        <f t="shared" si="32"/>
        <v/>
      </c>
      <c r="BY126" s="28" t="str">
        <f t="shared" si="32"/>
        <v/>
      </c>
      <c r="BZ126" s="28" t="str">
        <f t="shared" si="32"/>
        <v/>
      </c>
      <c r="CA126" s="28" t="str">
        <f t="shared" si="32"/>
        <v/>
      </c>
      <c r="CB126" s="28" t="str">
        <f t="shared" si="32"/>
        <v/>
      </c>
      <c r="CC126" s="28" t="str">
        <f t="shared" si="32"/>
        <v/>
      </c>
      <c r="CD126" s="28" t="str">
        <f t="shared" si="32"/>
        <v/>
      </c>
      <c r="CE126" s="28" t="str">
        <f t="shared" si="32"/>
        <v/>
      </c>
      <c r="CF126" s="28" t="str">
        <f t="shared" ref="CF126:CJ126" si="40">IF(OR(CF110="",CF67=""),"",CF$60-CF110)</f>
        <v/>
      </c>
      <c r="CG126" s="28" t="str">
        <f t="shared" si="40"/>
        <v/>
      </c>
      <c r="CH126" s="28" t="str">
        <f t="shared" si="40"/>
        <v/>
      </c>
      <c r="CI126" s="28" t="str">
        <f t="shared" si="40"/>
        <v/>
      </c>
      <c r="CJ126" s="28" t="str">
        <f t="shared" si="40"/>
        <v/>
      </c>
      <c r="CK126" s="28" t="str">
        <f t="shared" ref="CK126:CM126" si="41">IF(OR(CK110="",CK67=""),"",CK$60-CK110)</f>
        <v/>
      </c>
      <c r="CL126" s="28" t="str">
        <f t="shared" si="41"/>
        <v/>
      </c>
      <c r="CM126" s="28" t="str">
        <f t="shared" si="41"/>
        <v/>
      </c>
      <c r="CN126" s="28" t="str">
        <f t="shared" ref="CN126:CP126" si="42">IF(OR(CN110="",CN67=""),"",CN$60-CN110)</f>
        <v/>
      </c>
      <c r="CO126" s="28" t="str">
        <f t="shared" si="42"/>
        <v/>
      </c>
      <c r="CP126" s="28">
        <f t="shared" si="42"/>
        <v>2.5010200773935898E-2</v>
      </c>
    </row>
    <row r="127" spans="1:94" x14ac:dyDescent="0.25">
      <c r="A127" s="11"/>
      <c r="B127" s="73" t="s">
        <v>52</v>
      </c>
      <c r="C127" s="17"/>
      <c r="D127" s="28" t="str">
        <f t="shared" si="12"/>
        <v/>
      </c>
      <c r="E127" s="28" t="str">
        <f t="shared" si="36"/>
        <v/>
      </c>
      <c r="F127" s="28" t="str">
        <f t="shared" si="36"/>
        <v/>
      </c>
      <c r="G127" s="28" t="str">
        <f t="shared" si="36"/>
        <v/>
      </c>
      <c r="H127" s="28" t="str">
        <f t="shared" si="36"/>
        <v/>
      </c>
      <c r="I127" s="28" t="str">
        <f t="shared" si="36"/>
        <v/>
      </c>
      <c r="J127" s="28" t="str">
        <f t="shared" si="36"/>
        <v/>
      </c>
      <c r="K127" s="28" t="str">
        <f t="shared" si="36"/>
        <v/>
      </c>
      <c r="L127" s="28" t="str">
        <f t="shared" si="36"/>
        <v/>
      </c>
      <c r="M127" s="28" t="str">
        <f t="shared" si="36"/>
        <v/>
      </c>
      <c r="N127" s="28" t="str">
        <f t="shared" si="36"/>
        <v/>
      </c>
      <c r="O127" s="28" t="str">
        <f t="shared" si="36"/>
        <v/>
      </c>
      <c r="P127" s="28" t="str">
        <f t="shared" si="36"/>
        <v/>
      </c>
      <c r="Q127" s="28" t="str">
        <f t="shared" si="36"/>
        <v/>
      </c>
      <c r="R127" s="28" t="str">
        <f t="shared" si="36"/>
        <v/>
      </c>
      <c r="S127" s="28" t="str">
        <f t="shared" si="36"/>
        <v/>
      </c>
      <c r="T127" s="28" t="str">
        <f t="shared" si="36"/>
        <v/>
      </c>
      <c r="U127" s="28" t="str">
        <f t="shared" si="36"/>
        <v/>
      </c>
      <c r="V127" s="28" t="str">
        <f t="shared" si="36"/>
        <v/>
      </c>
      <c r="W127" s="28" t="str">
        <f t="shared" si="36"/>
        <v/>
      </c>
      <c r="X127" s="28" t="str">
        <f t="shared" si="36"/>
        <v/>
      </c>
      <c r="Y127" s="28" t="str">
        <f t="shared" si="36"/>
        <v/>
      </c>
      <c r="Z127" s="28" t="str">
        <f t="shared" si="36"/>
        <v/>
      </c>
      <c r="AA127" s="28" t="str">
        <f t="shared" si="36"/>
        <v/>
      </c>
      <c r="AB127" s="28" t="str">
        <f t="shared" si="36"/>
        <v/>
      </c>
      <c r="AC127" s="28" t="str">
        <f t="shared" si="36"/>
        <v/>
      </c>
      <c r="AD127" s="28" t="str">
        <f t="shared" si="36"/>
        <v/>
      </c>
      <c r="AE127" s="28" t="str">
        <f t="shared" si="36"/>
        <v/>
      </c>
      <c r="AF127" s="28" t="str">
        <f t="shared" si="36"/>
        <v/>
      </c>
      <c r="AG127" s="28" t="str">
        <f t="shared" si="36"/>
        <v/>
      </c>
      <c r="AH127" s="28" t="str">
        <f t="shared" si="36"/>
        <v/>
      </c>
      <c r="AI127" s="28" t="str">
        <f t="shared" si="36"/>
        <v/>
      </c>
      <c r="AJ127" s="28" t="str">
        <f t="shared" si="36"/>
        <v/>
      </c>
      <c r="AK127" s="28" t="str">
        <f t="shared" si="36"/>
        <v/>
      </c>
      <c r="AL127" s="28" t="str">
        <f t="shared" si="36"/>
        <v/>
      </c>
      <c r="AM127" s="28" t="str">
        <f t="shared" si="36"/>
        <v/>
      </c>
      <c r="AN127" s="28" t="str">
        <f t="shared" si="36"/>
        <v/>
      </c>
      <c r="AO127" s="28" t="str">
        <f t="shared" si="36"/>
        <v/>
      </c>
      <c r="AP127" s="28" t="str">
        <f t="shared" si="36"/>
        <v/>
      </c>
      <c r="AQ127" s="28" t="str">
        <f t="shared" si="36"/>
        <v/>
      </c>
      <c r="AR127" s="28" t="str">
        <f t="shared" si="36"/>
        <v/>
      </c>
      <c r="AS127" s="28" t="str">
        <f t="shared" si="36"/>
        <v/>
      </c>
      <c r="AT127" s="28" t="str">
        <f t="shared" si="36"/>
        <v/>
      </c>
      <c r="AU127" s="28" t="str">
        <f t="shared" si="36"/>
        <v/>
      </c>
      <c r="AV127" s="28" t="str">
        <f t="shared" si="36"/>
        <v/>
      </c>
      <c r="AW127" s="28" t="str">
        <f t="shared" si="36"/>
        <v/>
      </c>
      <c r="AX127" s="28" t="str">
        <f t="shared" si="36"/>
        <v/>
      </c>
      <c r="AY127" s="28" t="str">
        <f t="shared" si="36"/>
        <v/>
      </c>
      <c r="AZ127" s="28">
        <f t="shared" si="36"/>
        <v>1.3898254780983166E-2</v>
      </c>
      <c r="BA127" s="28">
        <f t="shared" si="36"/>
        <v>1.0148270850513841E-2</v>
      </c>
      <c r="BB127" s="28">
        <f t="shared" si="36"/>
        <v>6.7163032286057245E-3</v>
      </c>
      <c r="BC127" s="28">
        <f t="shared" si="36"/>
        <v>1.1720569807320391E-2</v>
      </c>
      <c r="BD127" s="28">
        <f t="shared" si="36"/>
        <v>4.2995974909814105E-3</v>
      </c>
      <c r="BE127" s="28">
        <f t="shared" si="36"/>
        <v>2.3481747911009432E-3</v>
      </c>
      <c r="BF127" s="28">
        <f t="shared" si="36"/>
        <v>2.2390868697832245E-2</v>
      </c>
      <c r="BG127" s="28">
        <f t="shared" si="36"/>
        <v>2.0550284563121801E-2</v>
      </c>
      <c r="BH127" s="28">
        <f t="shared" si="36"/>
        <v>3.1524393965849606E-2</v>
      </c>
      <c r="BI127" s="28">
        <f t="shared" si="36"/>
        <v>3.6561570328105253E-2</v>
      </c>
      <c r="BJ127" s="28">
        <f t="shared" si="36"/>
        <v>2.0572033237097997E-2</v>
      </c>
      <c r="BK127" s="28">
        <f t="shared" si="36"/>
        <v>1.542516804257188E-2</v>
      </c>
      <c r="BL127" s="28">
        <f t="shared" si="36"/>
        <v>1.4382016680680731E-2</v>
      </c>
      <c r="BM127" s="28">
        <f t="shared" si="36"/>
        <v>9.5247572142231895E-3</v>
      </c>
      <c r="BN127" s="28">
        <f t="shared" si="36"/>
        <v>2.0351095800217323E-3</v>
      </c>
      <c r="BO127" s="28">
        <f t="shared" si="36"/>
        <v>-3.1096099233971497E-3</v>
      </c>
      <c r="BP127" s="28">
        <f t="shared" si="36"/>
        <v>-1.0115959485191395E-2</v>
      </c>
      <c r="BQ127" s="28">
        <f t="shared" si="32"/>
        <v>-4.6660300643164287E-3</v>
      </c>
      <c r="BR127" s="28">
        <f t="shared" si="32"/>
        <v>-2.6299635652353714E-3</v>
      </c>
      <c r="BS127" s="28">
        <f t="shared" si="32"/>
        <v>-3.4939395214279578E-3</v>
      </c>
      <c r="BT127" s="28">
        <f t="shared" si="32"/>
        <v>-6.8544700808199632E-3</v>
      </c>
      <c r="BU127" s="28">
        <f t="shared" si="32"/>
        <v>-1.3360736622418878E-2</v>
      </c>
      <c r="BV127" s="28">
        <f t="shared" si="32"/>
        <v>-1.6948687393649742E-2</v>
      </c>
      <c r="BW127" s="28">
        <f t="shared" si="32"/>
        <v>-4.2487715093082468E-3</v>
      </c>
      <c r="BX127" s="28">
        <f t="shared" si="32"/>
        <v>8.2647322503590637E-3</v>
      </c>
      <c r="BY127" s="28">
        <f t="shared" si="32"/>
        <v>1.2082423158797706E-2</v>
      </c>
      <c r="BZ127" s="28">
        <f t="shared" si="32"/>
        <v>1.6660335701431883E-2</v>
      </c>
      <c r="CA127" s="28">
        <f t="shared" si="32"/>
        <v>1.9174085022945597E-2</v>
      </c>
      <c r="CB127" s="28">
        <f t="shared" si="32"/>
        <v>1.9916590547352397E-2</v>
      </c>
      <c r="CC127" s="28">
        <f t="shared" si="32"/>
        <v>2.8672842377892471E-2</v>
      </c>
      <c r="CD127" s="28">
        <f t="shared" si="32"/>
        <v>2.6308926944840105E-2</v>
      </c>
      <c r="CE127" s="28">
        <f t="shared" si="32"/>
        <v>2.1565126530268985E-2</v>
      </c>
      <c r="CF127" s="28">
        <f t="shared" ref="CF127:CJ127" si="43">IF(OR(CF111="",CF68=""),"",CF$60-CF111)</f>
        <v>1.1415473614910798E-2</v>
      </c>
      <c r="CG127" s="28">
        <f t="shared" si="43"/>
        <v>7.1729183121971296E-3</v>
      </c>
      <c r="CH127" s="28">
        <f t="shared" si="43"/>
        <v>6.7159001469410118E-3</v>
      </c>
      <c r="CI127" s="28">
        <f t="shared" si="43"/>
        <v>-5.7649950911242698E-4</v>
      </c>
      <c r="CJ127" s="28">
        <f t="shared" si="43"/>
        <v>7.4393239171237635E-3</v>
      </c>
      <c r="CK127" s="28">
        <f t="shared" ref="CK127:CM127" si="44">IF(OR(CK111="",CK68=""),"",CK$60-CK111)</f>
        <v>5.2324456667893759E-3</v>
      </c>
      <c r="CL127" s="28">
        <f t="shared" si="44"/>
        <v>1.1097224547724993E-2</v>
      </c>
      <c r="CM127" s="28">
        <f t="shared" si="44"/>
        <v>1.6970949527831847E-2</v>
      </c>
      <c r="CN127" s="28">
        <f t="shared" ref="CN127:CP127" si="45">IF(OR(CN111="",CN68=""),"",CN$60-CN111)</f>
        <v>1.9728981371498033E-2</v>
      </c>
      <c r="CO127" s="28">
        <f t="shared" si="45"/>
        <v>2.7936598045536387E-2</v>
      </c>
      <c r="CP127" s="28">
        <f t="shared" si="45"/>
        <v>2.7895229104701214E-2</v>
      </c>
    </row>
    <row r="128" spans="1:94" x14ac:dyDescent="0.25">
      <c r="A128" s="11"/>
      <c r="B128" s="31" t="s">
        <v>53</v>
      </c>
      <c r="C128" s="17"/>
      <c r="D128" s="28" t="str">
        <f t="shared" si="12"/>
        <v/>
      </c>
      <c r="E128" s="28" t="str">
        <f t="shared" si="36"/>
        <v/>
      </c>
      <c r="F128" s="28" t="str">
        <f t="shared" si="36"/>
        <v/>
      </c>
      <c r="G128" s="28" t="str">
        <f t="shared" si="36"/>
        <v/>
      </c>
      <c r="H128" s="28" t="str">
        <f t="shared" si="36"/>
        <v/>
      </c>
      <c r="I128" s="28" t="str">
        <f t="shared" si="36"/>
        <v/>
      </c>
      <c r="J128" s="28" t="str">
        <f t="shared" si="36"/>
        <v/>
      </c>
      <c r="K128" s="28" t="str">
        <f t="shared" si="36"/>
        <v/>
      </c>
      <c r="L128" s="28" t="str">
        <f t="shared" si="36"/>
        <v/>
      </c>
      <c r="M128" s="28" t="str">
        <f t="shared" si="36"/>
        <v/>
      </c>
      <c r="N128" s="28" t="str">
        <f t="shared" si="36"/>
        <v/>
      </c>
      <c r="O128" s="28" t="str">
        <f t="shared" si="36"/>
        <v/>
      </c>
      <c r="P128" s="28" t="str">
        <f t="shared" si="36"/>
        <v/>
      </c>
      <c r="Q128" s="28" t="str">
        <f t="shared" si="36"/>
        <v/>
      </c>
      <c r="R128" s="28" t="str">
        <f t="shared" si="36"/>
        <v/>
      </c>
      <c r="S128" s="28" t="str">
        <f t="shared" si="36"/>
        <v/>
      </c>
      <c r="T128" s="28" t="str">
        <f t="shared" si="36"/>
        <v/>
      </c>
      <c r="U128" s="28" t="str">
        <f t="shared" si="36"/>
        <v/>
      </c>
      <c r="V128" s="28" t="str">
        <f t="shared" si="36"/>
        <v/>
      </c>
      <c r="W128" s="28" t="str">
        <f t="shared" si="36"/>
        <v/>
      </c>
      <c r="X128" s="28" t="str">
        <f t="shared" si="36"/>
        <v/>
      </c>
      <c r="Y128" s="28" t="str">
        <f t="shared" si="36"/>
        <v/>
      </c>
      <c r="Z128" s="28" t="str">
        <f t="shared" si="36"/>
        <v/>
      </c>
      <c r="AA128" s="28" t="str">
        <f t="shared" si="36"/>
        <v/>
      </c>
      <c r="AB128" s="28" t="str">
        <f t="shared" si="36"/>
        <v/>
      </c>
      <c r="AC128" s="28" t="str">
        <f t="shared" si="36"/>
        <v/>
      </c>
      <c r="AD128" s="28" t="str">
        <f t="shared" si="36"/>
        <v/>
      </c>
      <c r="AE128" s="28" t="str">
        <f t="shared" si="36"/>
        <v/>
      </c>
      <c r="AF128" s="28" t="str">
        <f t="shared" si="36"/>
        <v/>
      </c>
      <c r="AG128" s="28" t="str">
        <f t="shared" si="36"/>
        <v/>
      </c>
      <c r="AH128" s="28" t="str">
        <f t="shared" si="36"/>
        <v/>
      </c>
      <c r="AI128" s="28" t="str">
        <f t="shared" si="36"/>
        <v/>
      </c>
      <c r="AJ128" s="28" t="str">
        <f t="shared" si="36"/>
        <v/>
      </c>
      <c r="AK128" s="28" t="str">
        <f t="shared" si="36"/>
        <v/>
      </c>
      <c r="AL128" s="28" t="str">
        <f t="shared" si="36"/>
        <v/>
      </c>
      <c r="AM128" s="28" t="str">
        <f t="shared" si="36"/>
        <v/>
      </c>
      <c r="AN128" s="28" t="str">
        <f t="shared" si="36"/>
        <v/>
      </c>
      <c r="AO128" s="28" t="str">
        <f t="shared" si="36"/>
        <v/>
      </c>
      <c r="AP128" s="28" t="str">
        <f t="shared" si="36"/>
        <v/>
      </c>
      <c r="AQ128" s="28" t="str">
        <f t="shared" si="36"/>
        <v/>
      </c>
      <c r="AR128" s="28" t="str">
        <f t="shared" si="36"/>
        <v/>
      </c>
      <c r="AS128" s="28" t="str">
        <f t="shared" si="36"/>
        <v/>
      </c>
      <c r="AT128" s="28" t="str">
        <f t="shared" si="36"/>
        <v/>
      </c>
      <c r="AU128" s="28" t="str">
        <f t="shared" si="36"/>
        <v/>
      </c>
      <c r="AV128" s="28" t="str">
        <f t="shared" si="36"/>
        <v/>
      </c>
      <c r="AW128" s="28" t="str">
        <f t="shared" si="36"/>
        <v/>
      </c>
      <c r="AX128" s="28" t="str">
        <f t="shared" si="36"/>
        <v/>
      </c>
      <c r="AY128" s="28" t="str">
        <f t="shared" si="36"/>
        <v/>
      </c>
      <c r="AZ128" s="28" t="str">
        <f t="shared" si="36"/>
        <v/>
      </c>
      <c r="BA128" s="28" t="str">
        <f t="shared" si="36"/>
        <v/>
      </c>
      <c r="BB128" s="28" t="str">
        <f t="shared" si="36"/>
        <v/>
      </c>
      <c r="BC128" s="28" t="str">
        <f t="shared" si="36"/>
        <v/>
      </c>
      <c r="BD128" s="28" t="str">
        <f t="shared" si="36"/>
        <v/>
      </c>
      <c r="BE128" s="28" t="str">
        <f t="shared" si="36"/>
        <v/>
      </c>
      <c r="BF128" s="28" t="str">
        <f t="shared" si="36"/>
        <v/>
      </c>
      <c r="BG128" s="28" t="str">
        <f t="shared" si="36"/>
        <v/>
      </c>
      <c r="BH128" s="28" t="str">
        <f t="shared" si="36"/>
        <v/>
      </c>
      <c r="BI128" s="28" t="str">
        <f t="shared" si="36"/>
        <v/>
      </c>
      <c r="BJ128" s="28" t="str">
        <f t="shared" si="36"/>
        <v/>
      </c>
      <c r="BK128" s="28" t="str">
        <f t="shared" si="36"/>
        <v/>
      </c>
      <c r="BL128" s="28" t="str">
        <f t="shared" si="36"/>
        <v/>
      </c>
      <c r="BM128" s="28" t="str">
        <f t="shared" si="36"/>
        <v/>
      </c>
      <c r="BN128" s="28" t="str">
        <f t="shared" si="36"/>
        <v/>
      </c>
      <c r="BO128" s="28" t="str">
        <f t="shared" si="36"/>
        <v/>
      </c>
      <c r="BP128" s="28" t="str">
        <f t="shared" ref="BP128:CE130" si="46">IF(OR(BP112="",BP69=""),"",BP$60-BP112)</f>
        <v/>
      </c>
      <c r="BQ128" s="28" t="str">
        <f t="shared" si="46"/>
        <v/>
      </c>
      <c r="BR128" s="28" t="str">
        <f t="shared" si="46"/>
        <v/>
      </c>
      <c r="BS128" s="28" t="str">
        <f t="shared" si="46"/>
        <v/>
      </c>
      <c r="BT128" s="28" t="str">
        <f t="shared" si="46"/>
        <v/>
      </c>
      <c r="BU128" s="28" t="str">
        <f t="shared" si="46"/>
        <v/>
      </c>
      <c r="BV128" s="28" t="str">
        <f t="shared" si="46"/>
        <v/>
      </c>
      <c r="BW128" s="28" t="str">
        <f t="shared" si="46"/>
        <v/>
      </c>
      <c r="BX128" s="28" t="str">
        <f t="shared" si="46"/>
        <v/>
      </c>
      <c r="BY128" s="28" t="str">
        <f t="shared" si="46"/>
        <v/>
      </c>
      <c r="BZ128" s="28" t="str">
        <f t="shared" si="46"/>
        <v/>
      </c>
      <c r="CA128" s="28" t="str">
        <f t="shared" si="46"/>
        <v/>
      </c>
      <c r="CB128" s="28" t="str">
        <f t="shared" si="46"/>
        <v/>
      </c>
      <c r="CC128" s="28" t="str">
        <f t="shared" si="46"/>
        <v/>
      </c>
      <c r="CD128" s="28" t="str">
        <f t="shared" si="46"/>
        <v/>
      </c>
      <c r="CE128" s="28" t="str">
        <f t="shared" si="46"/>
        <v/>
      </c>
      <c r="CF128" s="28" t="str">
        <f t="shared" ref="CF128:CJ128" si="47">IF(OR(CF112="",CF69=""),"",CF$60-CF112)</f>
        <v/>
      </c>
      <c r="CG128" s="28" t="str">
        <f t="shared" si="47"/>
        <v/>
      </c>
      <c r="CH128" s="28" t="str">
        <f t="shared" si="47"/>
        <v/>
      </c>
      <c r="CI128" s="28" t="str">
        <f t="shared" si="47"/>
        <v/>
      </c>
      <c r="CJ128" s="28" t="str">
        <f t="shared" si="47"/>
        <v/>
      </c>
      <c r="CK128" s="28" t="str">
        <f t="shared" ref="CK128:CM128" si="48">IF(OR(CK112="",CK69=""),"",CK$60-CK112)</f>
        <v/>
      </c>
      <c r="CL128" s="28" t="str">
        <f t="shared" si="48"/>
        <v/>
      </c>
      <c r="CM128" s="28" t="str">
        <f t="shared" si="48"/>
        <v/>
      </c>
      <c r="CN128" s="28" t="str">
        <f t="shared" ref="CN128:CP128" si="49">IF(OR(CN112="",CN69=""),"",CN$60-CN112)</f>
        <v/>
      </c>
      <c r="CO128" s="28" t="str">
        <f t="shared" si="49"/>
        <v/>
      </c>
      <c r="CP128" s="28" t="str">
        <f t="shared" si="49"/>
        <v/>
      </c>
    </row>
    <row r="129" spans="1:94" x14ac:dyDescent="0.25">
      <c r="A129" s="11"/>
      <c r="B129" s="31" t="s">
        <v>72</v>
      </c>
      <c r="C129" s="17"/>
      <c r="D129" s="28" t="str">
        <f t="shared" si="12"/>
        <v/>
      </c>
      <c r="E129" s="28" t="str">
        <f t="shared" ref="E129:BP130" si="50">IF(OR(E113="",E70=""),"",E$60-E113)</f>
        <v/>
      </c>
      <c r="F129" s="28" t="str">
        <f t="shared" si="50"/>
        <v/>
      </c>
      <c r="G129" s="28" t="str">
        <f t="shared" si="50"/>
        <v/>
      </c>
      <c r="H129" s="28" t="str">
        <f t="shared" si="50"/>
        <v/>
      </c>
      <c r="I129" s="28" t="str">
        <f t="shared" si="50"/>
        <v/>
      </c>
      <c r="J129" s="28" t="str">
        <f t="shared" si="50"/>
        <v/>
      </c>
      <c r="K129" s="28" t="str">
        <f t="shared" si="50"/>
        <v/>
      </c>
      <c r="L129" s="28" t="str">
        <f t="shared" si="50"/>
        <v/>
      </c>
      <c r="M129" s="28" t="str">
        <f t="shared" si="50"/>
        <v/>
      </c>
      <c r="N129" s="28" t="str">
        <f t="shared" si="50"/>
        <v/>
      </c>
      <c r="O129" s="28" t="str">
        <f t="shared" si="50"/>
        <v/>
      </c>
      <c r="P129" s="28" t="str">
        <f t="shared" si="50"/>
        <v/>
      </c>
      <c r="Q129" s="28" t="str">
        <f t="shared" si="50"/>
        <v/>
      </c>
      <c r="R129" s="28" t="str">
        <f t="shared" si="50"/>
        <v/>
      </c>
      <c r="S129" s="28" t="str">
        <f t="shared" si="50"/>
        <v/>
      </c>
      <c r="T129" s="28" t="str">
        <f t="shared" si="50"/>
        <v/>
      </c>
      <c r="U129" s="28" t="str">
        <f t="shared" si="50"/>
        <v/>
      </c>
      <c r="V129" s="28" t="str">
        <f t="shared" si="50"/>
        <v/>
      </c>
      <c r="W129" s="28" t="str">
        <f t="shared" si="50"/>
        <v/>
      </c>
      <c r="X129" s="28" t="str">
        <f t="shared" si="50"/>
        <v/>
      </c>
      <c r="Y129" s="28" t="str">
        <f t="shared" si="50"/>
        <v/>
      </c>
      <c r="Z129" s="28" t="str">
        <f t="shared" si="50"/>
        <v/>
      </c>
      <c r="AA129" s="28" t="str">
        <f t="shared" si="50"/>
        <v/>
      </c>
      <c r="AB129" s="28" t="str">
        <f t="shared" si="50"/>
        <v/>
      </c>
      <c r="AC129" s="28" t="str">
        <f t="shared" si="50"/>
        <v/>
      </c>
      <c r="AD129" s="28" t="str">
        <f t="shared" si="50"/>
        <v/>
      </c>
      <c r="AE129" s="28" t="str">
        <f t="shared" si="50"/>
        <v/>
      </c>
      <c r="AF129" s="28" t="str">
        <f t="shared" si="50"/>
        <v/>
      </c>
      <c r="AG129" s="28" t="str">
        <f t="shared" si="50"/>
        <v/>
      </c>
      <c r="AH129" s="28" t="str">
        <f t="shared" si="50"/>
        <v/>
      </c>
      <c r="AI129" s="28" t="str">
        <f t="shared" si="50"/>
        <v/>
      </c>
      <c r="AJ129" s="28" t="str">
        <f t="shared" si="50"/>
        <v/>
      </c>
      <c r="AK129" s="28" t="str">
        <f t="shared" si="50"/>
        <v/>
      </c>
      <c r="AL129" s="28" t="str">
        <f t="shared" si="50"/>
        <v/>
      </c>
      <c r="AM129" s="28" t="str">
        <f t="shared" si="50"/>
        <v/>
      </c>
      <c r="AN129" s="28" t="str">
        <f t="shared" si="50"/>
        <v/>
      </c>
      <c r="AO129" s="28" t="str">
        <f t="shared" si="50"/>
        <v/>
      </c>
      <c r="AP129" s="28" t="str">
        <f t="shared" si="50"/>
        <v/>
      </c>
      <c r="AQ129" s="28" t="str">
        <f t="shared" si="50"/>
        <v/>
      </c>
      <c r="AR129" s="28" t="str">
        <f t="shared" si="50"/>
        <v/>
      </c>
      <c r="AS129" s="28" t="str">
        <f t="shared" si="50"/>
        <v/>
      </c>
      <c r="AT129" s="28" t="str">
        <f t="shared" si="50"/>
        <v/>
      </c>
      <c r="AU129" s="28" t="str">
        <f t="shared" si="50"/>
        <v/>
      </c>
      <c r="AV129" s="28" t="str">
        <f t="shared" si="50"/>
        <v/>
      </c>
      <c r="AW129" s="28" t="str">
        <f t="shared" si="50"/>
        <v/>
      </c>
      <c r="AX129" s="28" t="str">
        <f t="shared" si="50"/>
        <v/>
      </c>
      <c r="AY129" s="28" t="str">
        <f t="shared" si="50"/>
        <v/>
      </c>
      <c r="AZ129" s="28">
        <f t="shared" si="50"/>
        <v>-6.453226708469062E-2</v>
      </c>
      <c r="BA129" s="28">
        <f t="shared" si="50"/>
        <v>-6.8619137590619328E-2</v>
      </c>
      <c r="BB129" s="28">
        <f t="shared" si="50"/>
        <v>-6.505062637817538E-2</v>
      </c>
      <c r="BC129" s="28">
        <f t="shared" si="50"/>
        <v>-5.8942232058617483E-2</v>
      </c>
      <c r="BD129" s="28">
        <f t="shared" si="50"/>
        <v>-6.5438554066260313E-2</v>
      </c>
      <c r="BE129" s="28">
        <f t="shared" si="50"/>
        <v>-7.0197752812103609E-2</v>
      </c>
      <c r="BF129" s="28">
        <f t="shared" si="50"/>
        <v>-5.6653193511052136E-2</v>
      </c>
      <c r="BG129" s="28">
        <f t="shared" si="50"/>
        <v>-5.5873486373108294E-2</v>
      </c>
      <c r="BH129" s="28">
        <f t="shared" si="50"/>
        <v>-5.4282388285561645E-2</v>
      </c>
      <c r="BI129" s="28">
        <f t="shared" si="50"/>
        <v>-5.0254247158913357E-2</v>
      </c>
      <c r="BJ129" s="28">
        <f t="shared" si="50"/>
        <v>-7.1147823495562257E-2</v>
      </c>
      <c r="BK129" s="28">
        <f t="shared" si="50"/>
        <v>-7.6998281478955821E-2</v>
      </c>
      <c r="BL129" s="28">
        <f t="shared" si="50"/>
        <v>-9.7833496016022758E-2</v>
      </c>
      <c r="BM129" s="28">
        <f t="shared" si="50"/>
        <v>-0.14223458403313249</v>
      </c>
      <c r="BN129" s="28">
        <f t="shared" si="50"/>
        <v>-0.16901100961072668</v>
      </c>
      <c r="BO129" s="28">
        <f t="shared" si="50"/>
        <v>-0.18105850308070948</v>
      </c>
      <c r="BP129" s="28">
        <f t="shared" si="50"/>
        <v>-0.1746136697766516</v>
      </c>
      <c r="BQ129" s="28">
        <f t="shared" si="46"/>
        <v>-0.15958071103000893</v>
      </c>
      <c r="BR129" s="28">
        <f t="shared" si="46"/>
        <v>-0.15329061384721099</v>
      </c>
      <c r="BS129" s="28">
        <f t="shared" si="46"/>
        <v>-0.14858490389764056</v>
      </c>
      <c r="BT129" s="28">
        <f t="shared" si="46"/>
        <v>-0.13434325406984882</v>
      </c>
      <c r="BU129" s="28">
        <f t="shared" si="46"/>
        <v>-0.10956414924091806</v>
      </c>
      <c r="BV129" s="28">
        <f t="shared" si="46"/>
        <v>-0.10358023312856091</v>
      </c>
      <c r="BW129" s="28">
        <f t="shared" si="46"/>
        <v>-9.5671072340213659E-2</v>
      </c>
      <c r="BX129" s="28">
        <f t="shared" si="46"/>
        <v>-9.0540373297022692E-2</v>
      </c>
      <c r="BY129" s="28">
        <f t="shared" si="46"/>
        <v>-8.8194338797266791E-2</v>
      </c>
      <c r="BZ129" s="28">
        <f t="shared" si="46"/>
        <v>-8.489165942112864E-2</v>
      </c>
      <c r="CA129" s="28">
        <f t="shared" si="46"/>
        <v>-9.3885115787533113E-2</v>
      </c>
      <c r="CB129" s="28">
        <f t="shared" si="46"/>
        <v>-9.5837164131077346E-2</v>
      </c>
      <c r="CC129" s="28">
        <f t="shared" si="46"/>
        <v>-9.9717508246362385E-2</v>
      </c>
      <c r="CD129" s="28">
        <f t="shared" si="46"/>
        <v>-0.10756884188740168</v>
      </c>
      <c r="CE129" s="28">
        <f t="shared" si="46"/>
        <v>-0.12720008828417084</v>
      </c>
      <c r="CF129" s="28">
        <f t="shared" ref="CF129:CJ129" si="51">IF(OR(CF113="",CF70=""),"",CF$60-CF113)</f>
        <v>-0.15439703886753886</v>
      </c>
      <c r="CG129" s="28">
        <f t="shared" si="51"/>
        <v>-0.15827774656890292</v>
      </c>
      <c r="CH129" s="28">
        <f t="shared" si="51"/>
        <v>-0.1461223368032103</v>
      </c>
      <c r="CI129" s="28">
        <f t="shared" si="51"/>
        <v>-0.13011916849175953</v>
      </c>
      <c r="CJ129" s="28">
        <f t="shared" si="51"/>
        <v>-0.11345111540931807</v>
      </c>
      <c r="CK129" s="28" t="str">
        <f t="shared" ref="CK129:CM129" si="52">IF(OR(CK113="",CK70=""),"",CK$60-CK113)</f>
        <v/>
      </c>
      <c r="CL129" s="28">
        <f t="shared" si="52"/>
        <v>-0.1334828732717328</v>
      </c>
      <c r="CM129" s="28">
        <f t="shared" si="52"/>
        <v>-0.13534226430919216</v>
      </c>
      <c r="CN129" s="28" t="str">
        <f t="shared" ref="CN129:CP129" si="53">IF(OR(CN113="",CN70=""),"",CN$60-CN113)</f>
        <v/>
      </c>
      <c r="CO129" s="28" t="str">
        <f t="shared" si="53"/>
        <v/>
      </c>
      <c r="CP129" s="28" t="str">
        <f t="shared" si="53"/>
        <v/>
      </c>
    </row>
    <row r="130" spans="1:94" x14ac:dyDescent="0.25">
      <c r="A130" s="11"/>
      <c r="B130" s="31" t="s">
        <v>73</v>
      </c>
      <c r="C130" s="17"/>
      <c r="D130" s="28" t="str">
        <f t="shared" si="12"/>
        <v/>
      </c>
      <c r="E130" s="28" t="str">
        <f t="shared" si="50"/>
        <v/>
      </c>
      <c r="F130" s="28" t="str">
        <f t="shared" si="50"/>
        <v/>
      </c>
      <c r="G130" s="28" t="str">
        <f t="shared" si="50"/>
        <v/>
      </c>
      <c r="H130" s="28" t="str">
        <f t="shared" si="50"/>
        <v/>
      </c>
      <c r="I130" s="28" t="str">
        <f t="shared" si="50"/>
        <v/>
      </c>
      <c r="J130" s="28" t="str">
        <f t="shared" si="50"/>
        <v/>
      </c>
      <c r="K130" s="28" t="str">
        <f t="shared" si="50"/>
        <v/>
      </c>
      <c r="L130" s="28" t="str">
        <f t="shared" si="50"/>
        <v/>
      </c>
      <c r="M130" s="28" t="str">
        <f t="shared" si="50"/>
        <v/>
      </c>
      <c r="N130" s="28" t="str">
        <f t="shared" si="50"/>
        <v/>
      </c>
      <c r="O130" s="28" t="str">
        <f t="shared" si="50"/>
        <v/>
      </c>
      <c r="P130" s="28" t="str">
        <f t="shared" si="50"/>
        <v/>
      </c>
      <c r="Q130" s="28" t="str">
        <f t="shared" si="50"/>
        <v/>
      </c>
      <c r="R130" s="28" t="str">
        <f t="shared" si="50"/>
        <v/>
      </c>
      <c r="S130" s="28" t="str">
        <f t="shared" si="50"/>
        <v/>
      </c>
      <c r="T130" s="28" t="str">
        <f t="shared" si="50"/>
        <v/>
      </c>
      <c r="U130" s="28" t="str">
        <f t="shared" si="50"/>
        <v/>
      </c>
      <c r="V130" s="28" t="str">
        <f t="shared" si="50"/>
        <v/>
      </c>
      <c r="W130" s="28" t="str">
        <f t="shared" si="50"/>
        <v/>
      </c>
      <c r="X130" s="28" t="str">
        <f t="shared" si="50"/>
        <v/>
      </c>
      <c r="Y130" s="28" t="str">
        <f t="shared" si="50"/>
        <v/>
      </c>
      <c r="Z130" s="28" t="str">
        <f t="shared" si="50"/>
        <v/>
      </c>
      <c r="AA130" s="28" t="str">
        <f t="shared" si="50"/>
        <v/>
      </c>
      <c r="AB130" s="28" t="str">
        <f t="shared" si="50"/>
        <v/>
      </c>
      <c r="AC130" s="28" t="str">
        <f t="shared" si="50"/>
        <v/>
      </c>
      <c r="AD130" s="28" t="str">
        <f t="shared" si="50"/>
        <v/>
      </c>
      <c r="AE130" s="28" t="str">
        <f t="shared" si="50"/>
        <v/>
      </c>
      <c r="AF130" s="28" t="str">
        <f t="shared" si="50"/>
        <v/>
      </c>
      <c r="AG130" s="28" t="str">
        <f t="shared" si="50"/>
        <v/>
      </c>
      <c r="AH130" s="28" t="str">
        <f t="shared" si="50"/>
        <v/>
      </c>
      <c r="AI130" s="28" t="str">
        <f t="shared" si="50"/>
        <v/>
      </c>
      <c r="AJ130" s="28" t="str">
        <f t="shared" si="50"/>
        <v/>
      </c>
      <c r="AK130" s="28" t="str">
        <f t="shared" si="50"/>
        <v/>
      </c>
      <c r="AL130" s="28" t="str">
        <f t="shared" si="50"/>
        <v/>
      </c>
      <c r="AM130" s="28" t="str">
        <f t="shared" si="50"/>
        <v/>
      </c>
      <c r="AN130" s="28" t="str">
        <f t="shared" si="50"/>
        <v/>
      </c>
      <c r="AO130" s="28" t="str">
        <f t="shared" si="50"/>
        <v/>
      </c>
      <c r="AP130" s="28" t="str">
        <f t="shared" si="50"/>
        <v/>
      </c>
      <c r="AQ130" s="28" t="str">
        <f t="shared" si="50"/>
        <v/>
      </c>
      <c r="AR130" s="28" t="str">
        <f t="shared" si="50"/>
        <v/>
      </c>
      <c r="AS130" s="28" t="str">
        <f t="shared" si="50"/>
        <v/>
      </c>
      <c r="AT130" s="28" t="str">
        <f t="shared" si="50"/>
        <v/>
      </c>
      <c r="AU130" s="28" t="str">
        <f t="shared" si="50"/>
        <v/>
      </c>
      <c r="AV130" s="28" t="str">
        <f t="shared" si="50"/>
        <v/>
      </c>
      <c r="AW130" s="28" t="str">
        <f t="shared" si="50"/>
        <v/>
      </c>
      <c r="AX130" s="28" t="str">
        <f t="shared" si="50"/>
        <v/>
      </c>
      <c r="AY130" s="28" t="str">
        <f t="shared" si="50"/>
        <v/>
      </c>
      <c r="AZ130" s="28" t="str">
        <f t="shared" si="50"/>
        <v/>
      </c>
      <c r="BA130" s="28" t="str">
        <f t="shared" si="50"/>
        <v/>
      </c>
      <c r="BB130" s="28" t="str">
        <f t="shared" si="50"/>
        <v/>
      </c>
      <c r="BC130" s="28" t="str">
        <f t="shared" si="50"/>
        <v/>
      </c>
      <c r="BD130" s="28" t="str">
        <f t="shared" si="50"/>
        <v/>
      </c>
      <c r="BE130" s="28" t="str">
        <f t="shared" si="50"/>
        <v/>
      </c>
      <c r="BF130" s="28" t="str">
        <f t="shared" si="50"/>
        <v/>
      </c>
      <c r="BG130" s="28" t="str">
        <f t="shared" si="50"/>
        <v/>
      </c>
      <c r="BH130" s="28" t="str">
        <f t="shared" si="50"/>
        <v/>
      </c>
      <c r="BI130" s="28" t="str">
        <f t="shared" si="50"/>
        <v/>
      </c>
      <c r="BJ130" s="28" t="str">
        <f t="shared" si="50"/>
        <v/>
      </c>
      <c r="BK130" s="28" t="str">
        <f t="shared" si="50"/>
        <v/>
      </c>
      <c r="BL130" s="28" t="str">
        <f t="shared" si="50"/>
        <v/>
      </c>
      <c r="BM130" s="28" t="str">
        <f t="shared" si="50"/>
        <v/>
      </c>
      <c r="BN130" s="28" t="str">
        <f t="shared" si="50"/>
        <v/>
      </c>
      <c r="BO130" s="28" t="str">
        <f t="shared" si="50"/>
        <v/>
      </c>
      <c r="BP130" s="28" t="str">
        <f t="shared" si="50"/>
        <v/>
      </c>
      <c r="BQ130" s="28" t="str">
        <f t="shared" si="46"/>
        <v/>
      </c>
      <c r="BR130" s="28" t="str">
        <f t="shared" si="46"/>
        <v/>
      </c>
      <c r="BS130" s="28" t="str">
        <f t="shared" si="46"/>
        <v/>
      </c>
      <c r="BT130" s="28" t="str">
        <f t="shared" si="46"/>
        <v/>
      </c>
      <c r="BU130" s="28" t="str">
        <f t="shared" si="46"/>
        <v/>
      </c>
      <c r="BV130" s="28" t="str">
        <f t="shared" si="46"/>
        <v/>
      </c>
      <c r="BW130" s="28" t="str">
        <f t="shared" si="46"/>
        <v/>
      </c>
      <c r="BX130" s="28" t="str">
        <f t="shared" si="46"/>
        <v/>
      </c>
      <c r="BY130" s="28" t="str">
        <f t="shared" si="46"/>
        <v/>
      </c>
      <c r="BZ130" s="28" t="str">
        <f t="shared" si="46"/>
        <v/>
      </c>
      <c r="CA130" s="28" t="str">
        <f t="shared" si="46"/>
        <v/>
      </c>
      <c r="CB130" s="28" t="str">
        <f t="shared" si="46"/>
        <v/>
      </c>
      <c r="CC130" s="28" t="str">
        <f t="shared" si="46"/>
        <v/>
      </c>
      <c r="CD130" s="28" t="str">
        <f t="shared" si="46"/>
        <v/>
      </c>
      <c r="CE130" s="28" t="str">
        <f t="shared" si="46"/>
        <v/>
      </c>
      <c r="CF130" s="28" t="str">
        <f t="shared" ref="CF130:CJ130" si="54">IF(OR(CF114="",CF71=""),"",CF$60-CF114)</f>
        <v/>
      </c>
      <c r="CG130" s="28" t="str">
        <f t="shared" si="54"/>
        <v/>
      </c>
      <c r="CH130" s="28" t="str">
        <f t="shared" si="54"/>
        <v/>
      </c>
      <c r="CI130" s="28" t="str">
        <f t="shared" si="54"/>
        <v/>
      </c>
      <c r="CJ130" s="28" t="str">
        <f t="shared" si="54"/>
        <v/>
      </c>
      <c r="CK130" s="28" t="str">
        <f t="shared" ref="CK130:CM130" si="55">IF(OR(CK114="",CK71=""),"",CK$60-CK114)</f>
        <v/>
      </c>
      <c r="CL130" s="28" t="str">
        <f t="shared" si="55"/>
        <v/>
      </c>
      <c r="CM130" s="28" t="str">
        <f t="shared" si="55"/>
        <v/>
      </c>
      <c r="CN130" s="28" t="str">
        <f t="shared" ref="CN130:CP130" si="56">IF(OR(CN114="",CN71=""),"",CN$60-CN114)</f>
        <v/>
      </c>
      <c r="CO130" s="28" t="str">
        <f t="shared" si="56"/>
        <v/>
      </c>
      <c r="CP130" s="28" t="str">
        <f t="shared" si="56"/>
        <v/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248"/>
  <sheetViews>
    <sheetView workbookViewId="0">
      <selection activeCell="C6" sqref="C6"/>
    </sheetView>
  </sheetViews>
  <sheetFormatPr baseColWidth="10" defaultRowHeight="13.2" x14ac:dyDescent="0.25"/>
  <cols>
    <col min="2" max="2" width="11.44140625" style="114"/>
    <col min="3" max="3" width="15.33203125" style="114" customWidth="1"/>
    <col min="4" max="4" width="14.109375" style="114" customWidth="1"/>
  </cols>
  <sheetData>
    <row r="3" spans="2:4" x14ac:dyDescent="0.25">
      <c r="B3" s="113"/>
      <c r="C3" s="113"/>
      <c r="D3" s="29"/>
    </row>
    <row r="4" spans="2:4" ht="15.6" x14ac:dyDescent="0.3">
      <c r="B4" s="115"/>
      <c r="C4" s="121" t="s">
        <v>211</v>
      </c>
      <c r="D4" s="121" t="s">
        <v>212</v>
      </c>
    </row>
    <row r="5" spans="2:4" ht="15.6" x14ac:dyDescent="0.3">
      <c r="B5" s="121" t="s">
        <v>95</v>
      </c>
      <c r="C5" s="122" t="s">
        <v>209</v>
      </c>
      <c r="D5" s="123" t="s">
        <v>210</v>
      </c>
    </row>
    <row r="6" spans="2:4" x14ac:dyDescent="0.25">
      <c r="B6" s="117">
        <v>36526</v>
      </c>
      <c r="C6" s="118">
        <v>74.901572840442526</v>
      </c>
      <c r="D6" s="116">
        <v>166.33142608767599</v>
      </c>
    </row>
    <row r="7" spans="2:4" x14ac:dyDescent="0.25">
      <c r="B7" s="117">
        <v>36557</v>
      </c>
      <c r="C7" s="118">
        <v>73.971001844607329</v>
      </c>
      <c r="D7" s="116">
        <v>164.26493809625796</v>
      </c>
    </row>
    <row r="8" spans="2:4" x14ac:dyDescent="0.25">
      <c r="B8" s="117">
        <v>36586</v>
      </c>
      <c r="C8" s="118">
        <v>74.146605542664147</v>
      </c>
      <c r="D8" s="116">
        <v>164.65489537507617</v>
      </c>
    </row>
    <row r="9" spans="2:4" x14ac:dyDescent="0.25">
      <c r="B9" s="117">
        <v>36617</v>
      </c>
      <c r="C9" s="118">
        <v>74.899762376360698</v>
      </c>
      <c r="D9" s="116">
        <v>166.32740565043832</v>
      </c>
    </row>
    <row r="10" spans="2:4" x14ac:dyDescent="0.25">
      <c r="B10" s="117">
        <v>36647</v>
      </c>
      <c r="C10" s="118">
        <v>77.035484162064691</v>
      </c>
      <c r="D10" s="116">
        <v>171.07013182922495</v>
      </c>
    </row>
    <row r="11" spans="2:4" x14ac:dyDescent="0.25">
      <c r="B11" s="117">
        <v>36678</v>
      </c>
      <c r="C11" s="118">
        <v>75.449266605404631</v>
      </c>
      <c r="D11" s="116">
        <v>167.54767137506852</v>
      </c>
    </row>
    <row r="12" spans="2:4" x14ac:dyDescent="0.25">
      <c r="B12" s="117">
        <v>36708</v>
      </c>
      <c r="C12" s="118">
        <v>74.974117964101211</v>
      </c>
      <c r="D12" s="116">
        <v>166.49252462561407</v>
      </c>
    </row>
    <row r="13" spans="2:4" x14ac:dyDescent="0.25">
      <c r="B13" s="117">
        <v>36739</v>
      </c>
      <c r="C13" s="118">
        <v>75.775932648120047</v>
      </c>
      <c r="D13" s="116">
        <v>168.27308776725855</v>
      </c>
    </row>
    <row r="14" spans="2:4" x14ac:dyDescent="0.25">
      <c r="B14" s="117">
        <v>36770</v>
      </c>
      <c r="C14" s="118">
        <v>75.767742419693789</v>
      </c>
      <c r="D14" s="116">
        <v>168.25489999999999</v>
      </c>
    </row>
    <row r="15" spans="2:4" x14ac:dyDescent="0.25">
      <c r="B15" s="117">
        <v>36800</v>
      </c>
      <c r="C15" s="118">
        <v>75.169723806664663</v>
      </c>
      <c r="D15" s="116">
        <v>166.92689999999999</v>
      </c>
    </row>
    <row r="16" spans="2:4" x14ac:dyDescent="0.25">
      <c r="B16" s="117">
        <v>36831</v>
      </c>
      <c r="C16" s="118">
        <v>75.353992794956483</v>
      </c>
      <c r="D16" s="116">
        <v>167.33609999999999</v>
      </c>
    </row>
    <row r="17" spans="2:4" x14ac:dyDescent="0.25">
      <c r="B17" s="117">
        <v>36861</v>
      </c>
      <c r="C17" s="118">
        <v>75.69353047132995</v>
      </c>
      <c r="D17" s="116">
        <v>168.09010000000001</v>
      </c>
    </row>
    <row r="18" spans="2:4" x14ac:dyDescent="0.25">
      <c r="B18" s="117">
        <v>36892</v>
      </c>
      <c r="C18" s="118">
        <v>77.048934253977791</v>
      </c>
      <c r="D18" s="116">
        <v>171.1</v>
      </c>
    </row>
    <row r="19" spans="2:4" x14ac:dyDescent="0.25">
      <c r="B19" s="117">
        <v>36923</v>
      </c>
      <c r="C19" s="118">
        <v>76.778745121585118</v>
      </c>
      <c r="D19" s="116">
        <v>170.5</v>
      </c>
    </row>
    <row r="20" spans="2:4" x14ac:dyDescent="0.25">
      <c r="B20" s="117">
        <v>36951</v>
      </c>
      <c r="C20" s="118">
        <v>77.184028820174134</v>
      </c>
      <c r="D20" s="116">
        <v>171.4</v>
      </c>
    </row>
    <row r="21" spans="2:4" x14ac:dyDescent="0.25">
      <c r="B21" s="117">
        <v>36982</v>
      </c>
      <c r="C21" s="118">
        <v>77.679375562894037</v>
      </c>
      <c r="D21" s="116">
        <v>172.5</v>
      </c>
    </row>
    <row r="22" spans="2:4" x14ac:dyDescent="0.25">
      <c r="B22" s="117">
        <v>37012</v>
      </c>
      <c r="C22" s="118">
        <v>78.17472230561394</v>
      </c>
      <c r="D22" s="116">
        <v>173.6</v>
      </c>
    </row>
    <row r="23" spans="2:4" x14ac:dyDescent="0.25">
      <c r="B23" s="117">
        <v>37043</v>
      </c>
      <c r="C23" s="118">
        <v>78.39987991594117</v>
      </c>
      <c r="D23" s="116">
        <v>174.1</v>
      </c>
    </row>
    <row r="24" spans="2:4" x14ac:dyDescent="0.25">
      <c r="B24" s="117">
        <v>37073</v>
      </c>
      <c r="C24" s="118">
        <v>79.480636445511877</v>
      </c>
      <c r="D24" s="116">
        <v>176.5</v>
      </c>
    </row>
    <row r="25" spans="2:4" x14ac:dyDescent="0.25">
      <c r="B25" s="117">
        <v>37104</v>
      </c>
      <c r="C25" s="118">
        <v>80.786550585409799</v>
      </c>
      <c r="D25" s="116">
        <v>179.4</v>
      </c>
    </row>
    <row r="26" spans="2:4" x14ac:dyDescent="0.25">
      <c r="B26" s="117">
        <v>37135</v>
      </c>
      <c r="C26" s="118">
        <v>79.795857099969993</v>
      </c>
      <c r="D26" s="116">
        <v>177.2</v>
      </c>
    </row>
    <row r="27" spans="2:4" x14ac:dyDescent="0.25">
      <c r="B27" s="117">
        <v>37165</v>
      </c>
      <c r="C27" s="118">
        <v>79.97598318823178</v>
      </c>
      <c r="D27" s="116">
        <v>177.6</v>
      </c>
    </row>
    <row r="28" spans="2:4" x14ac:dyDescent="0.25">
      <c r="B28" s="117">
        <v>37196</v>
      </c>
      <c r="C28" s="118">
        <v>79.30051035725009</v>
      </c>
      <c r="D28" s="116">
        <v>176.1</v>
      </c>
    </row>
    <row r="29" spans="2:4" x14ac:dyDescent="0.25">
      <c r="B29" s="117">
        <v>37226</v>
      </c>
      <c r="C29" s="118">
        <v>80.066046232362666</v>
      </c>
      <c r="D29" s="116">
        <v>177.8</v>
      </c>
    </row>
    <row r="30" spans="2:4" x14ac:dyDescent="0.25">
      <c r="B30" s="117">
        <v>37257</v>
      </c>
      <c r="C30" s="118">
        <v>80.20114079855901</v>
      </c>
      <c r="D30" s="116">
        <v>178.1</v>
      </c>
    </row>
    <row r="31" spans="2:4" x14ac:dyDescent="0.25">
      <c r="B31" s="117">
        <v>37288</v>
      </c>
      <c r="C31" s="118">
        <v>80.426298408886225</v>
      </c>
      <c r="D31" s="116">
        <v>178.6</v>
      </c>
    </row>
    <row r="32" spans="2:4" x14ac:dyDescent="0.25">
      <c r="B32" s="117">
        <v>37316</v>
      </c>
      <c r="C32" s="118">
        <v>80.471329930951683</v>
      </c>
      <c r="D32" s="116">
        <v>178.7</v>
      </c>
    </row>
    <row r="33" spans="2:4" x14ac:dyDescent="0.25">
      <c r="B33" s="117">
        <v>37347</v>
      </c>
      <c r="C33" s="118">
        <v>80.606424497148012</v>
      </c>
      <c r="D33" s="116">
        <v>179</v>
      </c>
    </row>
    <row r="34" spans="2:4" x14ac:dyDescent="0.25">
      <c r="B34" s="117">
        <v>37377</v>
      </c>
      <c r="C34" s="118">
        <v>80.516361453017126</v>
      </c>
      <c r="D34" s="116">
        <v>178.8</v>
      </c>
    </row>
    <row r="35" spans="2:4" x14ac:dyDescent="0.25">
      <c r="B35" s="117">
        <v>37408</v>
      </c>
      <c r="C35" s="118">
        <v>80.786550585409799</v>
      </c>
      <c r="D35" s="116">
        <v>179.4</v>
      </c>
    </row>
    <row r="36" spans="2:4" x14ac:dyDescent="0.25">
      <c r="B36" s="117">
        <v>37438</v>
      </c>
      <c r="C36" s="118">
        <v>81.011708195737029</v>
      </c>
      <c r="D36" s="116">
        <v>179.9</v>
      </c>
    </row>
    <row r="37" spans="2:4" x14ac:dyDescent="0.25">
      <c r="B37" s="117">
        <v>37469</v>
      </c>
      <c r="C37" s="118">
        <v>81.326928850195145</v>
      </c>
      <c r="D37" s="116">
        <v>180.6</v>
      </c>
    </row>
    <row r="38" spans="2:4" x14ac:dyDescent="0.25">
      <c r="B38" s="117">
        <v>37500</v>
      </c>
      <c r="C38" s="118">
        <v>81.687181026718719</v>
      </c>
      <c r="D38" s="116">
        <v>181.4</v>
      </c>
    </row>
    <row r="39" spans="2:4" x14ac:dyDescent="0.25">
      <c r="B39" s="117">
        <v>37530</v>
      </c>
      <c r="C39" s="118">
        <v>80.831582107475242</v>
      </c>
      <c r="D39" s="116">
        <v>179.5</v>
      </c>
    </row>
    <row r="40" spans="2:4" x14ac:dyDescent="0.25">
      <c r="B40" s="117">
        <v>37561</v>
      </c>
      <c r="C40" s="118">
        <v>81.687181026718719</v>
      </c>
      <c r="D40" s="116">
        <v>181.4</v>
      </c>
    </row>
    <row r="41" spans="2:4" x14ac:dyDescent="0.25">
      <c r="B41" s="117">
        <v>37591</v>
      </c>
      <c r="C41" s="118">
        <v>81.957370159111392</v>
      </c>
      <c r="D41" s="116">
        <v>182</v>
      </c>
    </row>
    <row r="42" spans="2:4" x14ac:dyDescent="0.25">
      <c r="B42" s="117">
        <v>37622</v>
      </c>
      <c r="C42" s="118">
        <v>81.416991894326046</v>
      </c>
      <c r="D42" s="116">
        <v>180.8</v>
      </c>
    </row>
    <row r="43" spans="2:4" x14ac:dyDescent="0.25">
      <c r="B43" s="117">
        <v>37653</v>
      </c>
      <c r="C43" s="118">
        <v>81.371960372260588</v>
      </c>
      <c r="D43" s="116">
        <v>180.7</v>
      </c>
    </row>
    <row r="44" spans="2:4" x14ac:dyDescent="0.25">
      <c r="B44" s="117">
        <v>37681</v>
      </c>
      <c r="C44" s="118">
        <v>81.507054938456932</v>
      </c>
      <c r="D44" s="116">
        <v>181</v>
      </c>
    </row>
    <row r="45" spans="2:4" x14ac:dyDescent="0.25">
      <c r="B45" s="117">
        <v>37712</v>
      </c>
      <c r="C45" s="118">
        <v>81.191834283998816</v>
      </c>
      <c r="D45" s="116">
        <v>180.3</v>
      </c>
    </row>
    <row r="46" spans="2:4" x14ac:dyDescent="0.25">
      <c r="B46" s="117">
        <v>37742</v>
      </c>
      <c r="C46" s="118">
        <v>81.146802761933358</v>
      </c>
      <c r="D46" s="116">
        <v>180.2</v>
      </c>
    </row>
    <row r="47" spans="2:4" x14ac:dyDescent="0.25">
      <c r="B47" s="117">
        <v>37773</v>
      </c>
      <c r="C47" s="118">
        <v>81.101771239867915</v>
      </c>
      <c r="D47" s="116">
        <v>180.1</v>
      </c>
    </row>
    <row r="48" spans="2:4" x14ac:dyDescent="0.25">
      <c r="B48" s="117">
        <v>37803</v>
      </c>
      <c r="C48" s="118">
        <v>81.326928850195145</v>
      </c>
      <c r="D48" s="116">
        <v>180.6</v>
      </c>
    </row>
    <row r="49" spans="2:4" x14ac:dyDescent="0.25">
      <c r="B49" s="117">
        <v>37834</v>
      </c>
      <c r="C49" s="118">
        <v>81.416991894326046</v>
      </c>
      <c r="D49" s="116">
        <v>180.8</v>
      </c>
    </row>
    <row r="50" spans="2:4" x14ac:dyDescent="0.25">
      <c r="B50" s="117">
        <v>37865</v>
      </c>
      <c r="C50" s="118">
        <v>81.822275592915048</v>
      </c>
      <c r="D50" s="116">
        <v>181.7</v>
      </c>
    </row>
    <row r="51" spans="2:4" x14ac:dyDescent="0.25">
      <c r="B51" s="117">
        <v>37895</v>
      </c>
      <c r="C51" s="118">
        <v>81.597117982587818</v>
      </c>
      <c r="D51" s="116">
        <v>181.2</v>
      </c>
    </row>
    <row r="52" spans="2:4" x14ac:dyDescent="0.25">
      <c r="B52" s="117">
        <v>37926</v>
      </c>
      <c r="C52" s="118">
        <v>81.597117982587818</v>
      </c>
      <c r="D52" s="116">
        <v>181.2</v>
      </c>
    </row>
    <row r="53" spans="2:4" x14ac:dyDescent="0.25">
      <c r="B53" s="117">
        <v>37956</v>
      </c>
      <c r="C53" s="118">
        <v>81.912338637045949</v>
      </c>
      <c r="D53" s="116">
        <v>181.9</v>
      </c>
    </row>
    <row r="54" spans="2:4" x14ac:dyDescent="0.25">
      <c r="B54" s="117">
        <v>37987</v>
      </c>
      <c r="C54" s="118">
        <v>81.597117982587818</v>
      </c>
      <c r="D54" s="116">
        <v>181.2</v>
      </c>
    </row>
    <row r="55" spans="2:4" x14ac:dyDescent="0.25">
      <c r="B55" s="117">
        <v>38018</v>
      </c>
      <c r="C55" s="118">
        <v>81.507054938456932</v>
      </c>
      <c r="D55" s="116">
        <v>181</v>
      </c>
    </row>
    <row r="56" spans="2:4" x14ac:dyDescent="0.25">
      <c r="B56" s="117">
        <v>38047</v>
      </c>
      <c r="C56" s="118">
        <v>80.516361453017126</v>
      </c>
      <c r="D56" s="116">
        <v>178.8</v>
      </c>
    </row>
    <row r="57" spans="2:4" x14ac:dyDescent="0.25">
      <c r="B57" s="117">
        <v>38078</v>
      </c>
      <c r="C57" s="118">
        <v>80.831582107475242</v>
      </c>
      <c r="D57" s="116">
        <v>179.5</v>
      </c>
    </row>
    <row r="58" spans="2:4" x14ac:dyDescent="0.25">
      <c r="B58" s="117">
        <v>38108</v>
      </c>
      <c r="C58" s="118">
        <v>81.326928850195145</v>
      </c>
      <c r="D58" s="116">
        <v>180.6</v>
      </c>
    </row>
    <row r="59" spans="2:4" x14ac:dyDescent="0.25">
      <c r="B59" s="117">
        <v>38139</v>
      </c>
      <c r="C59" s="118">
        <v>81.326928850195145</v>
      </c>
      <c r="D59" s="116">
        <v>180.6</v>
      </c>
    </row>
    <row r="60" spans="2:4" x14ac:dyDescent="0.25">
      <c r="B60" s="117">
        <v>38169</v>
      </c>
      <c r="C60" s="118">
        <v>81.056739717802472</v>
      </c>
      <c r="D60" s="116">
        <v>180</v>
      </c>
    </row>
    <row r="61" spans="2:4" x14ac:dyDescent="0.25">
      <c r="B61" s="117">
        <v>38200</v>
      </c>
      <c r="C61" s="118">
        <v>81.597117982587818</v>
      </c>
      <c r="D61" s="116">
        <v>181.2</v>
      </c>
    </row>
    <row r="62" spans="2:4" x14ac:dyDescent="0.25">
      <c r="B62" s="117">
        <v>38231</v>
      </c>
      <c r="C62" s="118">
        <v>82.812969078354854</v>
      </c>
      <c r="D62" s="116">
        <v>183.9</v>
      </c>
    </row>
    <row r="63" spans="2:4" x14ac:dyDescent="0.25">
      <c r="B63" s="117">
        <v>38261</v>
      </c>
      <c r="C63" s="118">
        <v>82.812969078354854</v>
      </c>
      <c r="D63" s="116">
        <v>183.9</v>
      </c>
    </row>
    <row r="64" spans="2:4" x14ac:dyDescent="0.25">
      <c r="B64" s="117">
        <v>38292</v>
      </c>
      <c r="C64" s="118">
        <v>82.587811468027638</v>
      </c>
      <c r="D64" s="116">
        <v>183.4</v>
      </c>
    </row>
    <row r="65" spans="2:4" x14ac:dyDescent="0.25">
      <c r="B65" s="117">
        <v>38322</v>
      </c>
      <c r="C65" s="118">
        <v>82.903032122485754</v>
      </c>
      <c r="D65" s="116">
        <v>184.1</v>
      </c>
    </row>
    <row r="66" spans="2:4" x14ac:dyDescent="0.25">
      <c r="B66" s="117">
        <v>38353</v>
      </c>
      <c r="C66" s="118">
        <v>82.362653857700408</v>
      </c>
      <c r="D66" s="116">
        <v>182.9</v>
      </c>
    </row>
    <row r="67" spans="2:4" x14ac:dyDescent="0.25">
      <c r="B67" s="117">
        <v>38384</v>
      </c>
      <c r="C67" s="118">
        <v>82.002401681176835</v>
      </c>
      <c r="D67" s="116">
        <v>182.1</v>
      </c>
    </row>
    <row r="68" spans="2:4" x14ac:dyDescent="0.25">
      <c r="B68" s="117">
        <v>38412</v>
      </c>
      <c r="C68" s="118">
        <v>82.542779945962181</v>
      </c>
      <c r="D68" s="116">
        <v>183.3</v>
      </c>
    </row>
    <row r="69" spans="2:4" x14ac:dyDescent="0.25">
      <c r="B69" s="117">
        <v>38443</v>
      </c>
      <c r="C69" s="118">
        <v>82.317622335634951</v>
      </c>
      <c r="D69" s="116">
        <v>182.8</v>
      </c>
    </row>
    <row r="70" spans="2:4" x14ac:dyDescent="0.25">
      <c r="B70" s="117">
        <v>38473</v>
      </c>
      <c r="C70" s="118">
        <v>82.722906034223968</v>
      </c>
      <c r="D70" s="116">
        <v>183.7</v>
      </c>
    </row>
    <row r="71" spans="2:4" x14ac:dyDescent="0.25">
      <c r="B71" s="117">
        <v>38504</v>
      </c>
      <c r="C71" s="118">
        <v>82.587811468027638</v>
      </c>
      <c r="D71" s="116">
        <v>183.4</v>
      </c>
    </row>
    <row r="72" spans="2:4" x14ac:dyDescent="0.25">
      <c r="B72" s="117">
        <v>38534</v>
      </c>
      <c r="C72" s="118">
        <v>83.038126688682084</v>
      </c>
      <c r="D72" s="116">
        <v>184.4</v>
      </c>
    </row>
    <row r="73" spans="2:4" x14ac:dyDescent="0.25">
      <c r="B73" s="117">
        <v>38565</v>
      </c>
      <c r="C73" s="118">
        <v>83.398378865205657</v>
      </c>
      <c r="D73" s="116">
        <v>185.2</v>
      </c>
    </row>
    <row r="74" spans="2:4" x14ac:dyDescent="0.25">
      <c r="B74" s="117">
        <v>38596</v>
      </c>
      <c r="C74" s="118">
        <v>83.938757129991004</v>
      </c>
      <c r="D74" s="116">
        <v>186.4</v>
      </c>
    </row>
    <row r="75" spans="2:4" x14ac:dyDescent="0.25">
      <c r="B75" s="117">
        <v>38626</v>
      </c>
      <c r="C75" s="118">
        <v>84.163914740318233</v>
      </c>
      <c r="D75" s="116">
        <v>186.9</v>
      </c>
    </row>
    <row r="76" spans="2:4" x14ac:dyDescent="0.25">
      <c r="B76" s="117">
        <v>38657</v>
      </c>
      <c r="C76" s="118">
        <v>84.92945061543081</v>
      </c>
      <c r="D76" s="116">
        <v>188.6</v>
      </c>
    </row>
    <row r="77" spans="2:4" x14ac:dyDescent="0.25">
      <c r="B77" s="117">
        <v>38687</v>
      </c>
      <c r="C77" s="118">
        <v>85.604923446412499</v>
      </c>
      <c r="D77" s="116">
        <v>190.1</v>
      </c>
    </row>
    <row r="78" spans="2:4" x14ac:dyDescent="0.25">
      <c r="B78" s="117">
        <v>38718</v>
      </c>
      <c r="C78" s="118">
        <v>85.920144100870615</v>
      </c>
      <c r="D78" s="116">
        <v>190.8</v>
      </c>
    </row>
    <row r="79" spans="2:4" x14ac:dyDescent="0.25">
      <c r="B79" s="117">
        <v>38749</v>
      </c>
      <c r="C79" s="118">
        <v>86.145301711197845</v>
      </c>
      <c r="D79" s="116">
        <v>191.3</v>
      </c>
    </row>
    <row r="80" spans="2:4" x14ac:dyDescent="0.25">
      <c r="B80" s="117">
        <v>38777</v>
      </c>
      <c r="C80" s="118">
        <v>85.978915818263474</v>
      </c>
      <c r="D80" s="116">
        <v>190.93051239375706</v>
      </c>
    </row>
    <row r="81" spans="2:4" x14ac:dyDescent="0.25">
      <c r="B81" s="117">
        <v>38808</v>
      </c>
      <c r="C81" s="118">
        <v>86.787567338163512</v>
      </c>
      <c r="D81" s="116">
        <v>192.72625786894841</v>
      </c>
    </row>
    <row r="82" spans="2:4" x14ac:dyDescent="0.25">
      <c r="B82" s="117">
        <v>38838</v>
      </c>
      <c r="C82" s="118">
        <v>87.650198373865123</v>
      </c>
      <c r="D82" s="116">
        <v>194.64187385556312</v>
      </c>
    </row>
    <row r="83" spans="2:4" x14ac:dyDescent="0.25">
      <c r="B83" s="117">
        <v>38869</v>
      </c>
      <c r="C83" s="118">
        <v>89.005132621543964</v>
      </c>
      <c r="D83" s="116">
        <v>197.6507311749086</v>
      </c>
    </row>
    <row r="84" spans="2:4" x14ac:dyDescent="0.25">
      <c r="B84" s="117">
        <v>38899</v>
      </c>
      <c r="C84" s="118">
        <v>89.61272891023718</v>
      </c>
      <c r="D84" s="116">
        <v>199</v>
      </c>
    </row>
    <row r="85" spans="2:4" x14ac:dyDescent="0.25">
      <c r="B85" s="117">
        <v>38930</v>
      </c>
      <c r="C85" s="118">
        <v>88.747655005718357</v>
      </c>
      <c r="D85" s="116">
        <v>197.07895921603188</v>
      </c>
    </row>
    <row r="86" spans="2:4" x14ac:dyDescent="0.25">
      <c r="B86" s="117">
        <v>38961</v>
      </c>
      <c r="C86" s="118">
        <v>89.164884070650729</v>
      </c>
      <c r="D86" s="116">
        <v>198.0054858928917</v>
      </c>
    </row>
    <row r="87" spans="2:4" x14ac:dyDescent="0.25">
      <c r="B87" s="117">
        <v>38991</v>
      </c>
      <c r="C87" s="118">
        <v>87.844961879167755</v>
      </c>
      <c r="D87" s="116">
        <v>195.07437867967181</v>
      </c>
    </row>
    <row r="88" spans="2:4" x14ac:dyDescent="0.25">
      <c r="B88" s="117">
        <v>39022</v>
      </c>
      <c r="C88" s="118">
        <v>86.927651505198966</v>
      </c>
      <c r="D88" s="116">
        <v>193.03733810921182</v>
      </c>
    </row>
    <row r="89" spans="2:4" x14ac:dyDescent="0.25">
      <c r="B89" s="117">
        <v>39052</v>
      </c>
      <c r="C89" s="118">
        <v>87.631341939357569</v>
      </c>
      <c r="D89" s="116">
        <v>194.6</v>
      </c>
    </row>
    <row r="90" spans="2:4" x14ac:dyDescent="0.25">
      <c r="B90" s="117">
        <v>39083</v>
      </c>
      <c r="C90" s="118">
        <v>87.226058240768552</v>
      </c>
      <c r="D90" s="116">
        <v>193.7</v>
      </c>
    </row>
    <row r="91" spans="2:4" x14ac:dyDescent="0.25">
      <c r="B91" s="117">
        <v>39114</v>
      </c>
      <c r="C91" s="118">
        <v>87.271089762833995</v>
      </c>
      <c r="D91" s="116">
        <v>193.8</v>
      </c>
    </row>
    <row r="92" spans="2:4" x14ac:dyDescent="0.25">
      <c r="B92" s="117">
        <v>39142</v>
      </c>
      <c r="C92" s="118">
        <v>87.406184329030339</v>
      </c>
      <c r="D92" s="116">
        <v>194.1</v>
      </c>
    </row>
    <row r="93" spans="2:4" x14ac:dyDescent="0.25">
      <c r="B93" s="117">
        <v>39173</v>
      </c>
      <c r="C93" s="118">
        <v>87.451215851095782</v>
      </c>
      <c r="D93" s="116">
        <v>194.2</v>
      </c>
    </row>
    <row r="94" spans="2:4" x14ac:dyDescent="0.25">
      <c r="B94" s="117">
        <v>39203</v>
      </c>
      <c r="C94" s="118">
        <v>87.766436505553898</v>
      </c>
      <c r="D94" s="116">
        <v>194.9</v>
      </c>
    </row>
    <row r="95" spans="2:4" x14ac:dyDescent="0.25">
      <c r="B95" s="117">
        <v>39234</v>
      </c>
      <c r="C95" s="118">
        <v>88.126688682077472</v>
      </c>
      <c r="D95" s="116">
        <v>195.7</v>
      </c>
    </row>
    <row r="96" spans="2:4" x14ac:dyDescent="0.25">
      <c r="B96" s="117">
        <v>39264</v>
      </c>
      <c r="C96" s="118">
        <v>88.036625637946571</v>
      </c>
      <c r="D96" s="116">
        <v>195.5</v>
      </c>
    </row>
    <row r="97" spans="2:4" x14ac:dyDescent="0.25">
      <c r="B97" s="117">
        <v>39295</v>
      </c>
      <c r="C97" s="118">
        <v>88.351846292404701</v>
      </c>
      <c r="D97" s="116">
        <v>196.2</v>
      </c>
    </row>
    <row r="98" spans="2:4" x14ac:dyDescent="0.25">
      <c r="B98" s="117">
        <v>39326</v>
      </c>
      <c r="C98" s="118">
        <v>88.847193035124604</v>
      </c>
      <c r="D98" s="116">
        <v>197.3</v>
      </c>
    </row>
    <row r="99" spans="2:4" x14ac:dyDescent="0.25">
      <c r="B99" s="117">
        <v>39356</v>
      </c>
      <c r="C99" s="118">
        <v>89.477634344040837</v>
      </c>
      <c r="D99" s="116">
        <v>198.7</v>
      </c>
    </row>
    <row r="100" spans="2:4" x14ac:dyDescent="0.25">
      <c r="B100" s="117">
        <v>39387</v>
      </c>
      <c r="C100" s="118">
        <v>89.792854998498967</v>
      </c>
      <c r="D100" s="116">
        <v>199.4</v>
      </c>
    </row>
    <row r="101" spans="2:4" x14ac:dyDescent="0.25">
      <c r="B101" s="117">
        <v>39417</v>
      </c>
      <c r="C101" s="118">
        <v>90.693485439807873</v>
      </c>
      <c r="D101" s="116">
        <v>201.4</v>
      </c>
    </row>
    <row r="102" spans="2:4" x14ac:dyDescent="0.25">
      <c r="B102" s="117">
        <v>39448</v>
      </c>
      <c r="C102" s="118">
        <v>91.432987980816634</v>
      </c>
      <c r="D102" s="116">
        <v>203.04218864273346</v>
      </c>
    </row>
    <row r="103" spans="2:4" x14ac:dyDescent="0.25">
      <c r="B103" s="117">
        <v>39479</v>
      </c>
      <c r="C103" s="118">
        <v>92.691055044262129</v>
      </c>
      <c r="D103" s="116">
        <v>205.83593623495807</v>
      </c>
    </row>
    <row r="104" spans="2:4" x14ac:dyDescent="0.25">
      <c r="B104" s="117">
        <v>39508</v>
      </c>
      <c r="C104" s="118">
        <v>91.91203408841514</v>
      </c>
      <c r="D104" s="116">
        <v>204.10599036567385</v>
      </c>
    </row>
    <row r="105" spans="2:4" x14ac:dyDescent="0.25">
      <c r="B105" s="117">
        <v>39539</v>
      </c>
      <c r="C105" s="118">
        <v>91.544128635730502</v>
      </c>
      <c r="D105" s="116">
        <v>203.28899499041219</v>
      </c>
    </row>
    <row r="106" spans="2:4" x14ac:dyDescent="0.25">
      <c r="B106" s="117">
        <v>39569</v>
      </c>
      <c r="C106" s="118">
        <v>91.838758995495681</v>
      </c>
      <c r="D106" s="116">
        <v>203.94327080933073</v>
      </c>
    </row>
    <row r="107" spans="2:4" x14ac:dyDescent="0.25">
      <c r="B107" s="117">
        <v>39600</v>
      </c>
      <c r="C107" s="118">
        <v>92.383865508885677</v>
      </c>
      <c r="D107" s="116">
        <v>205.15377067339875</v>
      </c>
    </row>
    <row r="108" spans="2:4" x14ac:dyDescent="0.25">
      <c r="B108" s="117">
        <v>39630</v>
      </c>
      <c r="C108" s="118">
        <v>92.906240876006805</v>
      </c>
      <c r="D108" s="116">
        <v>206.31379223865241</v>
      </c>
    </row>
    <row r="109" spans="2:4" x14ac:dyDescent="0.25">
      <c r="B109" s="117">
        <v>39661</v>
      </c>
      <c r="C109" s="118">
        <v>93.648504022618255</v>
      </c>
      <c r="D109" s="116">
        <v>207.96211126622759</v>
      </c>
    </row>
    <row r="110" spans="2:4" x14ac:dyDescent="0.25">
      <c r="B110" s="117">
        <v>39692</v>
      </c>
      <c r="C110" s="118">
        <v>93.995301603318723</v>
      </c>
      <c r="D110" s="116">
        <v>208.73223309376976</v>
      </c>
    </row>
    <row r="111" spans="2:4" x14ac:dyDescent="0.25">
      <c r="B111" s="117">
        <v>39722</v>
      </c>
      <c r="C111" s="118">
        <v>94.476133293305324</v>
      </c>
      <c r="D111" s="116">
        <v>209.8</v>
      </c>
    </row>
    <row r="112" spans="2:4" x14ac:dyDescent="0.25">
      <c r="B112" s="117">
        <v>39753</v>
      </c>
      <c r="C112" s="118">
        <v>94.746322425697997</v>
      </c>
      <c r="D112" s="116">
        <v>210.4</v>
      </c>
    </row>
    <row r="113" spans="2:4" x14ac:dyDescent="0.25">
      <c r="B113" s="117">
        <v>39783</v>
      </c>
      <c r="C113" s="118">
        <v>95.511858300810587</v>
      </c>
      <c r="D113" s="116">
        <v>212.1</v>
      </c>
    </row>
    <row r="114" spans="2:4" x14ac:dyDescent="0.25">
      <c r="B114" s="117">
        <v>39814</v>
      </c>
      <c r="C114" s="118">
        <v>95.601921344941474</v>
      </c>
      <c r="D114" s="116">
        <v>212.3</v>
      </c>
    </row>
    <row r="115" spans="2:4" x14ac:dyDescent="0.25">
      <c r="B115" s="117">
        <v>39845</v>
      </c>
      <c r="C115" s="118">
        <v>95.737015911137817</v>
      </c>
      <c r="D115" s="116">
        <v>212.6</v>
      </c>
    </row>
    <row r="116" spans="2:4" x14ac:dyDescent="0.25">
      <c r="B116" s="117">
        <v>39873</v>
      </c>
      <c r="C116" s="118">
        <v>95.55688982287603</v>
      </c>
      <c r="D116" s="116">
        <v>212.2</v>
      </c>
    </row>
    <row r="117" spans="2:4" x14ac:dyDescent="0.25">
      <c r="B117" s="117">
        <v>39904</v>
      </c>
      <c r="C117" s="118">
        <v>96.062489777867981</v>
      </c>
      <c r="D117" s="116">
        <v>213.3227689667188</v>
      </c>
    </row>
    <row r="118" spans="2:4" x14ac:dyDescent="0.25">
      <c r="B118" s="117">
        <v>39934</v>
      </c>
      <c r="C118" s="118">
        <v>96.436547354494294</v>
      </c>
      <c r="D118" s="116">
        <v>214.15342615854698</v>
      </c>
    </row>
    <row r="119" spans="2:4" x14ac:dyDescent="0.25">
      <c r="B119" s="117">
        <v>39965</v>
      </c>
      <c r="C119" s="118">
        <v>96.422612855343971</v>
      </c>
      <c r="D119" s="116">
        <v>214.12248228076714</v>
      </c>
    </row>
    <row r="120" spans="2:4" x14ac:dyDescent="0.25">
      <c r="B120" s="117">
        <v>39995</v>
      </c>
      <c r="C120" s="118">
        <v>95.941889967409011</v>
      </c>
      <c r="D120" s="116">
        <v>213.05495698762624</v>
      </c>
    </row>
    <row r="121" spans="2:4" x14ac:dyDescent="0.25">
      <c r="B121" s="117">
        <v>40026</v>
      </c>
      <c r="C121" s="118">
        <v>95.841662423925044</v>
      </c>
      <c r="D121" s="116">
        <v>212.83238502272951</v>
      </c>
    </row>
    <row r="122" spans="2:4" x14ac:dyDescent="0.25">
      <c r="B122" s="117">
        <v>40057</v>
      </c>
      <c r="C122" s="118">
        <v>95.705190202911822</v>
      </c>
      <c r="D122" s="116">
        <v>212.52932571059949</v>
      </c>
    </row>
    <row r="123" spans="2:4" x14ac:dyDescent="0.25">
      <c r="B123" s="117">
        <v>40087</v>
      </c>
      <c r="C123" s="118">
        <v>95.844834910743785</v>
      </c>
      <c r="D123" s="116">
        <v>212.83943005845836</v>
      </c>
    </row>
    <row r="124" spans="2:4" x14ac:dyDescent="0.25">
      <c r="B124" s="117">
        <v>40118</v>
      </c>
      <c r="C124" s="118">
        <v>96.405023655399717</v>
      </c>
      <c r="D124" s="116">
        <v>214.08342253075762</v>
      </c>
    </row>
    <row r="125" spans="2:4" x14ac:dyDescent="0.25">
      <c r="B125" s="117">
        <v>40148</v>
      </c>
      <c r="C125" s="118">
        <v>95.917984989225857</v>
      </c>
      <c r="D125" s="116">
        <v>213.00187199940751</v>
      </c>
    </row>
    <row r="126" spans="2:4" x14ac:dyDescent="0.25">
      <c r="B126" s="117">
        <v>40179</v>
      </c>
      <c r="C126" s="118">
        <v>96.512838033380362</v>
      </c>
      <c r="D126" s="116">
        <v>214.32284232612662</v>
      </c>
    </row>
    <row r="127" spans="2:4" x14ac:dyDescent="0.25">
      <c r="B127" s="117">
        <v>40210</v>
      </c>
      <c r="C127" s="118">
        <v>96.264590953555597</v>
      </c>
      <c r="D127" s="116">
        <v>213.77156831086242</v>
      </c>
    </row>
    <row r="128" spans="2:4" x14ac:dyDescent="0.25">
      <c r="B128" s="117">
        <v>40238</v>
      </c>
      <c r="C128" s="118">
        <v>96.158352975193679</v>
      </c>
      <c r="D128" s="116">
        <v>213.53564917358005</v>
      </c>
    </row>
    <row r="129" spans="2:4" x14ac:dyDescent="0.25">
      <c r="B129" s="117">
        <v>40269</v>
      </c>
      <c r="C129" s="118">
        <v>96.277394175923163</v>
      </c>
      <c r="D129" s="116">
        <v>213.8</v>
      </c>
    </row>
    <row r="130" spans="2:4" x14ac:dyDescent="0.25">
      <c r="B130" s="117">
        <v>40299</v>
      </c>
      <c r="C130" s="118">
        <v>96.36745722005405</v>
      </c>
      <c r="D130" s="29">
        <v>214</v>
      </c>
    </row>
    <row r="131" spans="2:4" x14ac:dyDescent="0.25">
      <c r="B131" s="117">
        <v>40330</v>
      </c>
      <c r="C131" s="118">
        <v>96.592614830381279</v>
      </c>
      <c r="D131" s="29">
        <v>214.5</v>
      </c>
    </row>
    <row r="132" spans="2:4" x14ac:dyDescent="0.25">
      <c r="B132" s="117">
        <v>40360</v>
      </c>
      <c r="C132" s="118">
        <v>96.730796319548432</v>
      </c>
      <c r="D132" s="116">
        <v>214.80685502694385</v>
      </c>
    </row>
    <row r="133" spans="2:4" x14ac:dyDescent="0.25">
      <c r="B133" s="117">
        <v>40391</v>
      </c>
      <c r="C133" s="118">
        <v>97.172481228697819</v>
      </c>
      <c r="D133" s="116">
        <v>215.78768998186158</v>
      </c>
    </row>
    <row r="134" spans="2:4" x14ac:dyDescent="0.25">
      <c r="B134" s="117">
        <v>40422</v>
      </c>
      <c r="C134" s="118">
        <v>98.033399867103853</v>
      </c>
      <c r="D134" s="116">
        <v>217.69950330488192</v>
      </c>
    </row>
    <row r="135" spans="2:4" x14ac:dyDescent="0.25">
      <c r="B135" s="117">
        <v>40452</v>
      </c>
      <c r="C135" s="118">
        <v>98.303812668868218</v>
      </c>
      <c r="D135" s="116">
        <v>218.3</v>
      </c>
    </row>
    <row r="136" spans="2:4" x14ac:dyDescent="0.25">
      <c r="B136" s="117">
        <v>40483</v>
      </c>
      <c r="C136" s="118">
        <v>98.438907235064562</v>
      </c>
      <c r="D136" s="116">
        <v>218.6</v>
      </c>
    </row>
    <row r="137" spans="2:4" x14ac:dyDescent="0.25">
      <c r="B137" s="117">
        <v>40513</v>
      </c>
      <c r="C137" s="118">
        <v>98.889222455719022</v>
      </c>
      <c r="D137" s="116">
        <v>219.6</v>
      </c>
    </row>
    <row r="138" spans="2:4" x14ac:dyDescent="0.25">
      <c r="B138" s="117">
        <v>40544</v>
      </c>
      <c r="C138" s="118">
        <v>99.204443110177138</v>
      </c>
      <c r="D138" s="29">
        <v>220.3</v>
      </c>
    </row>
    <row r="139" spans="2:4" x14ac:dyDescent="0.25">
      <c r="B139" s="117">
        <v>40575</v>
      </c>
      <c r="C139" s="118">
        <v>99.204443110177138</v>
      </c>
      <c r="D139" s="29">
        <v>220.3</v>
      </c>
    </row>
    <row r="140" spans="2:4" x14ac:dyDescent="0.25">
      <c r="B140" s="117">
        <v>40603</v>
      </c>
      <c r="C140" s="118">
        <v>98.844190933653579</v>
      </c>
      <c r="D140" s="29">
        <v>219.5</v>
      </c>
    </row>
    <row r="141" spans="2:4" x14ac:dyDescent="0.25">
      <c r="B141" s="117">
        <v>40634</v>
      </c>
      <c r="C141" s="118">
        <v>98.709096367457235</v>
      </c>
      <c r="D141" s="29">
        <v>219.2</v>
      </c>
    </row>
    <row r="142" spans="2:4" x14ac:dyDescent="0.25">
      <c r="B142" s="117">
        <v>40664</v>
      </c>
      <c r="C142" s="118">
        <v>99.114380066046252</v>
      </c>
      <c r="D142" s="29">
        <v>220.1</v>
      </c>
    </row>
    <row r="143" spans="2:4" x14ac:dyDescent="0.25">
      <c r="B143" s="117">
        <v>40695</v>
      </c>
      <c r="C143" s="118">
        <v>99.609726808766155</v>
      </c>
      <c r="D143" s="29">
        <v>221.2</v>
      </c>
    </row>
    <row r="144" spans="2:4" x14ac:dyDescent="0.25">
      <c r="B144" s="117">
        <v>40725</v>
      </c>
      <c r="C144" s="118">
        <v>100.06004202942061</v>
      </c>
      <c r="D144" s="29">
        <v>222.2</v>
      </c>
    </row>
    <row r="145" spans="2:4" x14ac:dyDescent="0.25">
      <c r="B145" s="117">
        <v>40756</v>
      </c>
      <c r="C145" s="118">
        <v>100.42029420594417</v>
      </c>
      <c r="D145" s="29">
        <v>223</v>
      </c>
    </row>
    <row r="146" spans="2:4" x14ac:dyDescent="0.25">
      <c r="B146" s="117">
        <v>40787</v>
      </c>
      <c r="C146" s="118">
        <v>100.96067247072952</v>
      </c>
      <c r="D146" s="29">
        <v>224.2</v>
      </c>
    </row>
    <row r="147" spans="2:4" x14ac:dyDescent="0.25">
      <c r="B147" s="117">
        <v>40817</v>
      </c>
      <c r="C147" s="118">
        <v>101.09576703692586</v>
      </c>
      <c r="D147" s="29">
        <v>224.5</v>
      </c>
    </row>
    <row r="148" spans="2:4" x14ac:dyDescent="0.25">
      <c r="B148" s="117">
        <v>40848</v>
      </c>
      <c r="C148" s="118">
        <v>101.18583008105675</v>
      </c>
      <c r="D148" s="29">
        <v>224.7</v>
      </c>
    </row>
    <row r="149" spans="2:4" x14ac:dyDescent="0.25">
      <c r="B149" s="117">
        <v>40878</v>
      </c>
      <c r="C149" s="118">
        <v>101.59111377964577</v>
      </c>
      <c r="D149" s="29">
        <v>225.6</v>
      </c>
    </row>
    <row r="150" spans="2:4" x14ac:dyDescent="0.25">
      <c r="B150" s="117">
        <v>40909</v>
      </c>
      <c r="C150" s="118">
        <v>101</v>
      </c>
      <c r="D150" s="116">
        <v>224.4</v>
      </c>
    </row>
    <row r="151" spans="2:4" x14ac:dyDescent="0.25">
      <c r="B151" s="117">
        <v>40940</v>
      </c>
      <c r="C151" s="118">
        <v>101</v>
      </c>
      <c r="D151" s="116">
        <v>224.2</v>
      </c>
    </row>
    <row r="152" spans="2:4" x14ac:dyDescent="0.25">
      <c r="B152" s="117">
        <v>40969</v>
      </c>
      <c r="C152" s="118">
        <v>101.4</v>
      </c>
      <c r="D152" s="116">
        <v>225.1</v>
      </c>
    </row>
    <row r="153" spans="2:4" x14ac:dyDescent="0.25">
      <c r="B153" s="117">
        <v>41000</v>
      </c>
      <c r="C153" s="118">
        <v>101.7</v>
      </c>
      <c r="D153" s="29">
        <v>225.8</v>
      </c>
    </row>
    <row r="154" spans="2:4" x14ac:dyDescent="0.25">
      <c r="B154" s="117">
        <v>41030</v>
      </c>
      <c r="C154" s="118">
        <v>102.1</v>
      </c>
      <c r="D154" s="29">
        <v>226.7</v>
      </c>
    </row>
    <row r="155" spans="2:4" x14ac:dyDescent="0.25">
      <c r="B155" s="117">
        <v>41061</v>
      </c>
      <c r="C155" s="118">
        <v>102.2</v>
      </c>
      <c r="D155" s="29">
        <v>226.9</v>
      </c>
    </row>
    <row r="156" spans="2:4" x14ac:dyDescent="0.25">
      <c r="B156" s="117">
        <v>41091</v>
      </c>
      <c r="C156" s="118">
        <v>102.5</v>
      </c>
      <c r="D156" s="116">
        <v>227.61833333333328</v>
      </c>
    </row>
    <row r="157" spans="2:4" x14ac:dyDescent="0.25">
      <c r="B157" s="117">
        <v>41122</v>
      </c>
      <c r="C157" s="118">
        <v>102.9</v>
      </c>
      <c r="D157" s="116">
        <v>228.50659999999996</v>
      </c>
    </row>
    <row r="158" spans="2:4" x14ac:dyDescent="0.25">
      <c r="B158" s="117">
        <v>41153</v>
      </c>
      <c r="C158" s="119">
        <v>102.9</v>
      </c>
      <c r="D158" s="116"/>
    </row>
    <row r="159" spans="2:4" x14ac:dyDescent="0.25">
      <c r="B159" s="117">
        <v>41183</v>
      </c>
      <c r="C159" s="118">
        <v>103.38223824218483</v>
      </c>
      <c r="D159" s="116"/>
    </row>
    <row r="160" spans="2:4" x14ac:dyDescent="0.25">
      <c r="B160" s="117">
        <v>41214</v>
      </c>
      <c r="C160" s="118">
        <v>103.27573487610252</v>
      </c>
      <c r="D160" s="116"/>
    </row>
    <row r="161" spans="2:4" x14ac:dyDescent="0.25">
      <c r="B161" s="117">
        <v>41244</v>
      </c>
      <c r="C161" s="118">
        <v>104.15000636922667</v>
      </c>
      <c r="D161" s="116"/>
    </row>
    <row r="162" spans="2:4" x14ac:dyDescent="0.25">
      <c r="B162" s="117">
        <v>41275</v>
      </c>
      <c r="C162" s="118">
        <v>103.82079276839086</v>
      </c>
      <c r="D162" s="116"/>
    </row>
    <row r="163" spans="2:4" x14ac:dyDescent="0.25">
      <c r="B163" s="117">
        <v>41306</v>
      </c>
      <c r="C163" s="118">
        <v>103.66979282553447</v>
      </c>
      <c r="D163" s="116"/>
    </row>
    <row r="164" spans="2:4" x14ac:dyDescent="0.25">
      <c r="B164" s="117">
        <v>41334</v>
      </c>
      <c r="C164" s="118">
        <v>103.77858241900755</v>
      </c>
      <c r="D164" s="116"/>
    </row>
    <row r="165" spans="2:4" x14ac:dyDescent="0.25">
      <c r="B165" s="117">
        <v>41365</v>
      </c>
      <c r="C165" s="118">
        <v>103.8</v>
      </c>
      <c r="D165" s="116"/>
    </row>
    <row r="166" spans="2:4" x14ac:dyDescent="0.25">
      <c r="B166" s="117">
        <v>41395</v>
      </c>
      <c r="C166" s="118">
        <v>103.9</v>
      </c>
      <c r="D166" s="116"/>
    </row>
    <row r="167" spans="2:4" x14ac:dyDescent="0.25">
      <c r="B167" s="117">
        <v>41426</v>
      </c>
      <c r="C167" s="118">
        <v>104.2</v>
      </c>
      <c r="D167" s="116"/>
    </row>
    <row r="168" spans="2:4" x14ac:dyDescent="0.25">
      <c r="B168" s="117">
        <v>41456</v>
      </c>
      <c r="C168" s="118">
        <v>104.2</v>
      </c>
      <c r="D168" s="116"/>
    </row>
    <row r="169" spans="2:4" x14ac:dyDescent="0.25">
      <c r="B169" s="117">
        <v>41487</v>
      </c>
      <c r="C169" s="118">
        <v>104.6</v>
      </c>
      <c r="D169" s="116"/>
    </row>
    <row r="170" spans="2:4" x14ac:dyDescent="0.25">
      <c r="B170" s="117">
        <v>41518</v>
      </c>
      <c r="C170" s="118">
        <v>105</v>
      </c>
      <c r="D170" s="116"/>
    </row>
    <row r="171" spans="2:4" x14ac:dyDescent="0.25">
      <c r="B171" s="117">
        <v>41548</v>
      </c>
      <c r="C171" s="119">
        <v>105.5</v>
      </c>
      <c r="D171" s="116"/>
    </row>
    <row r="172" spans="2:4" x14ac:dyDescent="0.25">
      <c r="B172" s="117">
        <v>41579</v>
      </c>
      <c r="C172" s="119">
        <v>105.6</v>
      </c>
      <c r="D172" s="116"/>
    </row>
    <row r="173" spans="2:4" x14ac:dyDescent="0.25">
      <c r="B173" s="117">
        <v>41609</v>
      </c>
      <c r="C173" s="119">
        <v>105.9</v>
      </c>
      <c r="D173" s="116"/>
    </row>
    <row r="174" spans="2:4" x14ac:dyDescent="0.25">
      <c r="B174" s="117">
        <v>41640</v>
      </c>
      <c r="C174" s="119">
        <v>105.2</v>
      </c>
      <c r="D174" s="116"/>
    </row>
    <row r="175" spans="2:4" x14ac:dyDescent="0.25">
      <c r="B175" s="117">
        <v>41671</v>
      </c>
      <c r="C175" s="119">
        <v>105.1</v>
      </c>
      <c r="D175" s="116"/>
    </row>
    <row r="176" spans="2:4" x14ac:dyDescent="0.25">
      <c r="B176" s="117">
        <v>41699</v>
      </c>
      <c r="C176" s="119">
        <v>105</v>
      </c>
      <c r="D176" s="116"/>
    </row>
    <row r="177" spans="2:4" x14ac:dyDescent="0.25">
      <c r="B177" s="117">
        <v>41730</v>
      </c>
      <c r="C177" s="119">
        <v>104.7</v>
      </c>
      <c r="D177" s="116"/>
    </row>
    <row r="178" spans="2:4" x14ac:dyDescent="0.25">
      <c r="B178" s="117">
        <v>41760</v>
      </c>
      <c r="C178" s="119">
        <v>105.2</v>
      </c>
      <c r="D178" s="116"/>
    </row>
    <row r="179" spans="2:4" x14ac:dyDescent="0.25">
      <c r="B179" s="117">
        <v>41791</v>
      </c>
      <c r="C179" s="119">
        <v>105</v>
      </c>
      <c r="D179" s="116"/>
    </row>
    <row r="180" spans="2:4" x14ac:dyDescent="0.25">
      <c r="B180" s="117">
        <v>41821</v>
      </c>
      <c r="C180" s="119">
        <v>107.3</v>
      </c>
      <c r="D180" s="116"/>
    </row>
    <row r="181" spans="2:4" x14ac:dyDescent="0.25">
      <c r="B181" s="117">
        <v>41852</v>
      </c>
      <c r="C181" s="119">
        <v>107.4</v>
      </c>
      <c r="D181" s="116"/>
    </row>
    <row r="182" spans="2:4" x14ac:dyDescent="0.25">
      <c r="B182" s="117">
        <v>41883</v>
      </c>
      <c r="C182" s="118">
        <v>107.7</v>
      </c>
      <c r="D182" s="116"/>
    </row>
    <row r="183" spans="2:4" x14ac:dyDescent="0.25">
      <c r="B183" s="117">
        <v>41913</v>
      </c>
      <c r="C183" s="119">
        <v>107.6</v>
      </c>
      <c r="D183" s="116"/>
    </row>
    <row r="184" spans="2:4" x14ac:dyDescent="0.25">
      <c r="B184" s="117">
        <v>41944</v>
      </c>
      <c r="C184" s="119">
        <v>108.2</v>
      </c>
      <c r="D184" s="116"/>
    </row>
    <row r="185" spans="2:4" x14ac:dyDescent="0.25">
      <c r="B185" s="117">
        <v>41974</v>
      </c>
      <c r="C185" s="119">
        <v>108.6</v>
      </c>
      <c r="D185" s="116"/>
    </row>
    <row r="186" spans="2:4" x14ac:dyDescent="0.25">
      <c r="B186" s="117">
        <v>42005</v>
      </c>
      <c r="C186" s="119">
        <v>107.9</v>
      </c>
      <c r="D186" s="116"/>
    </row>
    <row r="187" spans="2:4" x14ac:dyDescent="0.25">
      <c r="B187" s="117">
        <v>42036</v>
      </c>
      <c r="C187" s="119">
        <v>108.3</v>
      </c>
      <c r="D187" s="116"/>
    </row>
    <row r="188" spans="2:4" x14ac:dyDescent="0.25">
      <c r="B188" s="117">
        <v>42064</v>
      </c>
      <c r="C188" s="119">
        <v>108.3</v>
      </c>
      <c r="D188" s="116"/>
    </row>
    <row r="189" spans="2:4" x14ac:dyDescent="0.25">
      <c r="B189" s="117">
        <v>42095</v>
      </c>
      <c r="C189" s="119">
        <v>108.8</v>
      </c>
      <c r="D189" s="116"/>
    </row>
    <row r="190" spans="2:4" x14ac:dyDescent="0.25">
      <c r="B190" s="117">
        <v>42125</v>
      </c>
      <c r="C190" s="119">
        <v>109</v>
      </c>
      <c r="D190" s="116"/>
    </row>
    <row r="191" spans="2:4" x14ac:dyDescent="0.25">
      <c r="B191" s="117">
        <v>42156</v>
      </c>
      <c r="C191" s="119">
        <v>109.5</v>
      </c>
      <c r="D191" s="116"/>
    </row>
    <row r="192" spans="2:4" x14ac:dyDescent="0.25">
      <c r="B192" s="117">
        <v>42186</v>
      </c>
      <c r="C192" s="119">
        <v>109.8</v>
      </c>
      <c r="D192" s="116"/>
    </row>
    <row r="193" spans="2:4" x14ac:dyDescent="0.25">
      <c r="B193" s="117">
        <v>42217</v>
      </c>
      <c r="C193" s="119">
        <v>109.7</v>
      </c>
      <c r="D193" s="116"/>
    </row>
    <row r="194" spans="2:4" x14ac:dyDescent="0.25">
      <c r="B194" s="117">
        <v>42248</v>
      </c>
      <c r="C194" s="119">
        <v>110</v>
      </c>
      <c r="D194" s="116"/>
    </row>
    <row r="195" spans="2:4" x14ac:dyDescent="0.25">
      <c r="B195" s="117">
        <v>42278</v>
      </c>
      <c r="C195" s="119">
        <v>110</v>
      </c>
      <c r="D195" s="116"/>
    </row>
    <row r="196" spans="2:4" x14ac:dyDescent="0.25">
      <c r="B196" s="117">
        <v>42309</v>
      </c>
      <c r="C196" s="119">
        <v>109.8</v>
      </c>
      <c r="D196" s="116"/>
    </row>
    <row r="197" spans="2:4" x14ac:dyDescent="0.25">
      <c r="B197" s="117">
        <v>42339</v>
      </c>
      <c r="C197" s="119">
        <v>110.2</v>
      </c>
      <c r="D197" s="116"/>
    </row>
    <row r="198" spans="2:4" x14ac:dyDescent="0.25">
      <c r="B198" s="117">
        <v>42370</v>
      </c>
      <c r="C198" s="118">
        <v>109.75392249592241</v>
      </c>
      <c r="D198" s="116"/>
    </row>
    <row r="199" spans="2:4" x14ac:dyDescent="0.25">
      <c r="B199" s="117">
        <v>42401</v>
      </c>
      <c r="C199" s="118">
        <v>109.68381565840875</v>
      </c>
      <c r="D199" s="116"/>
    </row>
    <row r="200" spans="2:4" x14ac:dyDescent="0.25">
      <c r="B200" s="117">
        <v>42430</v>
      </c>
      <c r="C200" s="118">
        <v>109.84575467995609</v>
      </c>
      <c r="D200" s="116"/>
    </row>
    <row r="201" spans="2:4" x14ac:dyDescent="0.25">
      <c r="B201" s="117">
        <v>42461</v>
      </c>
      <c r="C201" s="118">
        <v>109.98855473205747</v>
      </c>
      <c r="D201" s="116"/>
    </row>
    <row r="202" spans="2:4" x14ac:dyDescent="0.25">
      <c r="B202" s="117">
        <v>42491</v>
      </c>
      <c r="C202" s="118">
        <v>110.49852823510432</v>
      </c>
      <c r="D202" s="116"/>
    </row>
    <row r="203" spans="2:4" x14ac:dyDescent="0.25">
      <c r="B203" s="117">
        <v>42522</v>
      </c>
      <c r="C203" s="118">
        <v>110.19687031749775</v>
      </c>
      <c r="D203" s="116"/>
    </row>
    <row r="204" spans="2:4" x14ac:dyDescent="0.25">
      <c r="B204" s="117">
        <v>42552</v>
      </c>
      <c r="C204" s="118">
        <v>110.27515252118737</v>
      </c>
      <c r="D204" s="116"/>
    </row>
    <row r="205" spans="2:4" x14ac:dyDescent="0.25">
      <c r="B205" s="117">
        <v>42583</v>
      </c>
      <c r="C205" s="118">
        <v>110.64422409664525</v>
      </c>
      <c r="D205" s="116"/>
    </row>
    <row r="206" spans="2:4" x14ac:dyDescent="0.25">
      <c r="B206" s="117">
        <v>42614</v>
      </c>
      <c r="C206" s="118">
        <v>110.62328984242181</v>
      </c>
      <c r="D206" s="116"/>
    </row>
    <row r="207" spans="2:4" x14ac:dyDescent="0.25">
      <c r="B207" s="117">
        <v>42644</v>
      </c>
      <c r="C207" s="118">
        <v>110.34816037866288</v>
      </c>
      <c r="D207" s="116"/>
    </row>
    <row r="208" spans="2:4" x14ac:dyDescent="0.25">
      <c r="B208" s="117">
        <v>42675</v>
      </c>
      <c r="C208" s="118">
        <v>110.32193441159035</v>
      </c>
      <c r="D208" s="116"/>
    </row>
    <row r="209" spans="2:4" x14ac:dyDescent="0.25">
      <c r="B209" s="117">
        <v>42705</v>
      </c>
      <c r="C209" s="118">
        <v>110.53087087321387</v>
      </c>
      <c r="D209" s="116"/>
    </row>
    <row r="210" spans="2:4" x14ac:dyDescent="0.25">
      <c r="B210" s="117">
        <v>42736</v>
      </c>
      <c r="C210" s="118">
        <v>110.2</v>
      </c>
      <c r="D210" s="116"/>
    </row>
    <row r="211" spans="2:4" x14ac:dyDescent="0.25">
      <c r="B211" s="117">
        <v>42767</v>
      </c>
      <c r="C211" s="118">
        <v>110.2</v>
      </c>
      <c r="D211" s="116"/>
    </row>
    <row r="212" spans="2:4" x14ac:dyDescent="0.25">
      <c r="B212" s="117">
        <v>42795</v>
      </c>
      <c r="C212" s="118">
        <v>110.3</v>
      </c>
      <c r="D212" s="116"/>
    </row>
    <row r="213" spans="2:4" x14ac:dyDescent="0.25">
      <c r="B213" s="117">
        <v>42826</v>
      </c>
      <c r="C213" s="119">
        <v>110.8</v>
      </c>
      <c r="D213" s="116"/>
    </row>
    <row r="214" spans="2:4" x14ac:dyDescent="0.25">
      <c r="B214" s="117">
        <v>42856</v>
      </c>
      <c r="C214" s="119">
        <v>110.9</v>
      </c>
      <c r="D214" s="116"/>
    </row>
    <row r="215" spans="2:4" x14ac:dyDescent="0.25">
      <c r="B215" s="117">
        <v>42887</v>
      </c>
      <c r="C215" s="119">
        <v>110.8</v>
      </c>
      <c r="D215" s="116"/>
    </row>
    <row r="216" spans="2:4" x14ac:dyDescent="0.25">
      <c r="B216" s="117">
        <v>42917</v>
      </c>
      <c r="C216" s="119">
        <v>110.9</v>
      </c>
      <c r="D216" s="116"/>
    </row>
    <row r="217" spans="2:4" x14ac:dyDescent="0.25">
      <c r="B217" s="117">
        <v>42948</v>
      </c>
      <c r="C217" s="119">
        <v>111.4</v>
      </c>
      <c r="D217" s="116"/>
    </row>
    <row r="218" spans="2:4" x14ac:dyDescent="0.25">
      <c r="B218" s="117">
        <v>42979</v>
      </c>
      <c r="C218" s="119">
        <v>111.5</v>
      </c>
      <c r="D218" s="116"/>
    </row>
    <row r="219" spans="2:4" x14ac:dyDescent="0.25">
      <c r="B219" s="117">
        <v>43009</v>
      </c>
      <c r="C219" s="119">
        <v>111.4</v>
      </c>
      <c r="D219" s="116"/>
    </row>
    <row r="220" spans="2:4" x14ac:dyDescent="0.25">
      <c r="B220" s="117">
        <v>43040</v>
      </c>
      <c r="C220" s="119">
        <v>111.3</v>
      </c>
      <c r="D220" s="116"/>
    </row>
    <row r="221" spans="2:4" x14ac:dyDescent="0.25">
      <c r="B221" s="117">
        <v>43070</v>
      </c>
      <c r="C221" s="119">
        <v>111.4</v>
      </c>
      <c r="D221" s="116"/>
    </row>
    <row r="222" spans="2:4" x14ac:dyDescent="0.25">
      <c r="B222" s="117">
        <v>43101</v>
      </c>
      <c r="C222" s="119">
        <v>111.2</v>
      </c>
      <c r="D222" s="116"/>
    </row>
    <row r="223" spans="2:4" x14ac:dyDescent="0.25">
      <c r="B223" s="117">
        <v>43132</v>
      </c>
      <c r="C223" s="119">
        <v>111.1</v>
      </c>
      <c r="D223" s="116"/>
    </row>
    <row r="224" spans="2:4" x14ac:dyDescent="0.25">
      <c r="B224" s="117">
        <v>43160</v>
      </c>
      <c r="C224" s="119">
        <v>111.2</v>
      </c>
      <c r="D224" s="29"/>
    </row>
    <row r="225" spans="2:4" x14ac:dyDescent="0.25">
      <c r="B225" s="117">
        <v>43191</v>
      </c>
      <c r="C225" s="119">
        <v>111.6</v>
      </c>
      <c r="D225" s="29"/>
    </row>
    <row r="226" spans="2:4" x14ac:dyDescent="0.25">
      <c r="B226" s="117">
        <v>43221</v>
      </c>
      <c r="C226" s="119">
        <v>111.8</v>
      </c>
      <c r="D226" s="29"/>
    </row>
    <row r="227" spans="2:4" x14ac:dyDescent="0.25">
      <c r="B227" s="117">
        <v>43252</v>
      </c>
      <c r="C227" s="119">
        <v>111.8</v>
      </c>
      <c r="D227" s="29"/>
    </row>
    <row r="228" spans="2:4" x14ac:dyDescent="0.25">
      <c r="B228" s="117">
        <v>43282</v>
      </c>
      <c r="C228" s="119">
        <v>112</v>
      </c>
      <c r="D228" s="29"/>
    </row>
    <row r="229" spans="2:4" x14ac:dyDescent="0.25">
      <c r="B229" s="117">
        <v>43313</v>
      </c>
      <c r="C229" s="119">
        <v>112.1</v>
      </c>
      <c r="D229" s="29"/>
    </row>
    <row r="230" spans="2:4" x14ac:dyDescent="0.25">
      <c r="B230" s="117">
        <v>43344</v>
      </c>
      <c r="C230" s="119">
        <v>112.6</v>
      </c>
      <c r="D230" s="29"/>
    </row>
    <row r="231" spans="2:4" x14ac:dyDescent="0.25">
      <c r="B231" s="117">
        <v>43374</v>
      </c>
      <c r="C231" s="119">
        <v>113.1</v>
      </c>
      <c r="D231" s="29"/>
    </row>
    <row r="232" spans="2:4" x14ac:dyDescent="0.25">
      <c r="B232" s="117">
        <v>43405</v>
      </c>
      <c r="C232" s="119">
        <v>113.3</v>
      </c>
      <c r="D232" s="29"/>
    </row>
    <row r="233" spans="2:4" x14ac:dyDescent="0.25">
      <c r="B233" s="117">
        <v>43435</v>
      </c>
      <c r="C233" s="119">
        <v>113.6</v>
      </c>
      <c r="D233" s="29"/>
    </row>
    <row r="234" spans="2:4" x14ac:dyDescent="0.25">
      <c r="B234" s="117">
        <v>43466</v>
      </c>
      <c r="C234" s="119">
        <v>113.3</v>
      </c>
      <c r="D234" s="29"/>
    </row>
    <row r="235" spans="2:4" x14ac:dyDescent="0.25">
      <c r="B235" s="117">
        <v>43497</v>
      </c>
      <c r="C235" s="119">
        <v>113.6</v>
      </c>
      <c r="D235" s="29"/>
    </row>
    <row r="236" spans="2:4" x14ac:dyDescent="0.25">
      <c r="B236" s="117">
        <v>43525</v>
      </c>
      <c r="C236" s="119">
        <v>114.1</v>
      </c>
      <c r="D236" s="29"/>
    </row>
    <row r="237" spans="2:4" x14ac:dyDescent="0.25">
      <c r="B237" s="117">
        <v>43556</v>
      </c>
      <c r="C237" s="119">
        <v>114.5</v>
      </c>
      <c r="D237" s="29"/>
    </row>
    <row r="238" spans="2:4" x14ac:dyDescent="0.25">
      <c r="B238" s="117">
        <v>43586</v>
      </c>
      <c r="C238" s="119">
        <v>114.5</v>
      </c>
      <c r="D238" s="29"/>
    </row>
    <row r="239" spans="2:4" x14ac:dyDescent="0.25">
      <c r="B239" s="117">
        <v>43617</v>
      </c>
      <c r="C239" s="119">
        <v>114.7</v>
      </c>
      <c r="D239" s="29"/>
    </row>
    <row r="240" spans="2:4" x14ac:dyDescent="0.25">
      <c r="B240" s="117">
        <v>43647</v>
      </c>
      <c r="C240" s="119">
        <v>115</v>
      </c>
      <c r="D240" s="29"/>
    </row>
    <row r="241" spans="2:4" x14ac:dyDescent="0.25">
      <c r="B241" s="117">
        <v>43678</v>
      </c>
      <c r="C241" s="119">
        <v>115.2</v>
      </c>
      <c r="D241" s="29"/>
    </row>
    <row r="242" spans="2:4" x14ac:dyDescent="0.25">
      <c r="B242" s="117">
        <v>43709</v>
      </c>
      <c r="C242" s="119">
        <v>115.3</v>
      </c>
      <c r="D242" s="29"/>
    </row>
    <row r="243" spans="2:4" x14ac:dyDescent="0.25">
      <c r="B243" s="117">
        <v>43739</v>
      </c>
      <c r="C243" s="119">
        <v>115.8</v>
      </c>
      <c r="D243" s="29"/>
    </row>
    <row r="244" spans="2:4" x14ac:dyDescent="0.25">
      <c r="B244" s="117">
        <v>43770</v>
      </c>
      <c r="C244" s="119">
        <v>116.1</v>
      </c>
      <c r="D244" s="29"/>
    </row>
    <row r="245" spans="2:4" x14ac:dyDescent="0.25">
      <c r="B245" s="117">
        <v>43800</v>
      </c>
      <c r="C245" s="119">
        <v>116.3</v>
      </c>
      <c r="D245" s="29"/>
    </row>
    <row r="246" spans="2:4" x14ac:dyDescent="0.25">
      <c r="B246" s="117">
        <v>43831</v>
      </c>
      <c r="C246" s="120">
        <v>116.4</v>
      </c>
      <c r="D246" s="29"/>
    </row>
    <row r="247" spans="2:4" x14ac:dyDescent="0.25">
      <c r="B247" s="117">
        <v>43862</v>
      </c>
      <c r="C247" s="120">
        <v>116.5</v>
      </c>
      <c r="D247" s="29"/>
    </row>
    <row r="248" spans="2:4" x14ac:dyDescent="0.25">
      <c r="B248" s="117">
        <v>43891</v>
      </c>
      <c r="C248" s="120">
        <v>116.9</v>
      </c>
      <c r="D248" s="29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8"/>
  <dimension ref="B3:M36"/>
  <sheetViews>
    <sheetView showGridLines="0" topLeftCell="A4" zoomScale="140" zoomScaleNormal="140" zoomScaleSheetLayoutView="115" workbookViewId="0">
      <selection activeCell="L21" sqref="L21"/>
    </sheetView>
  </sheetViews>
  <sheetFormatPr baseColWidth="10" defaultColWidth="11.44140625" defaultRowHeight="10.199999999999999" x14ac:dyDescent="0.2"/>
  <cols>
    <col min="1" max="1" width="11.44140625" style="1"/>
    <col min="2" max="2" width="36.5546875" style="1" customWidth="1"/>
    <col min="3" max="7" width="6" style="1" customWidth="1"/>
    <col min="8" max="8" width="7.6640625" style="1" bestFit="1" customWidth="1"/>
    <col min="9" max="9" width="8.33203125" style="1" customWidth="1"/>
    <col min="10" max="16384" width="11.44140625" style="1"/>
  </cols>
  <sheetData>
    <row r="3" spans="2:13" ht="13.2" x14ac:dyDescent="0.25">
      <c r="B3" s="225" t="s">
        <v>237</v>
      </c>
      <c r="C3" s="225"/>
      <c r="D3" s="225"/>
      <c r="E3" s="225"/>
      <c r="F3" s="225"/>
      <c r="G3" s="225"/>
      <c r="H3" s="225"/>
      <c r="I3" s="225"/>
    </row>
    <row r="4" spans="2:13" x14ac:dyDescent="0.2">
      <c r="B4" s="226" t="s">
        <v>87</v>
      </c>
      <c r="C4" s="226"/>
      <c r="D4" s="226"/>
      <c r="E4" s="226"/>
      <c r="F4" s="226"/>
      <c r="G4" s="226"/>
      <c r="H4" s="226"/>
      <c r="I4" s="226"/>
    </row>
    <row r="5" spans="2:13" ht="10.8" thickBot="1" x14ac:dyDescent="0.25">
      <c r="B5" s="39"/>
    </row>
    <row r="6" spans="2:13" s="133" customFormat="1" ht="18" customHeight="1" thickTop="1" thickBot="1" x14ac:dyDescent="0.3">
      <c r="B6" s="37" t="s">
        <v>235</v>
      </c>
      <c r="C6" s="131">
        <f>(D6-90)-DAY(D6-90)+1</f>
        <v>45078</v>
      </c>
      <c r="D6" s="131">
        <f>(E6-90)-DAY(E6-90)+1</f>
        <v>45170</v>
      </c>
      <c r="E6" s="131">
        <f>(F6-88)-DAY(F6-88)+1</f>
        <v>45261</v>
      </c>
      <c r="F6" s="131">
        <f>(G6-90)-DAY(G6-90)+1</f>
        <v>45352</v>
      </c>
      <c r="G6" s="132">
        <v>45444</v>
      </c>
      <c r="H6" s="38" t="s">
        <v>55</v>
      </c>
      <c r="I6" s="38" t="s">
        <v>56</v>
      </c>
      <c r="K6" s="134"/>
    </row>
    <row r="7" spans="2:13" ht="14.25" customHeight="1" thickTop="1" x14ac:dyDescent="0.2">
      <c r="B7" s="1" t="s">
        <v>10</v>
      </c>
      <c r="C7" s="18">
        <f>IF(HLOOKUP(C$6,IPC!$D$4:$UE$40,2,FALSE)="","-",HLOOKUP(C$6,IPC!$D$4:$UE$40,2,FALSE))</f>
        <v>110.92696292682697</v>
      </c>
      <c r="D7" s="18">
        <f>IF(HLOOKUP(D$6,IPC!$D$4:$UE$40,2,FALSE)="","-",HLOOKUP(D$6,IPC!$D$4:$UE$40,2,FALSE))</f>
        <v>113.56158968746985</v>
      </c>
      <c r="E7" s="18">
        <f>IF(HLOOKUP(E$6,IPC!$D$4:$UE$40,2,FALSE)="","-",HLOOKUP(E$6,IPC!$D$4:$UE$40,2,FALSE))</f>
        <v>113.23401288064559</v>
      </c>
      <c r="F7" s="18">
        <f>IF(HLOOKUP(F$6,IPC!$D$4:$UE$40,2,FALSE)="","-",HLOOKUP(F$6,IPC!$D$4:$UE$40,2,FALSE))</f>
        <v>113.8</v>
      </c>
      <c r="G7" s="18">
        <f>IF(HLOOKUP(G$6,IPC!$D$4:$UE$40,2,FALSE)="","-",HLOOKUP(G$6,IPC!$D$4:$UE$40,2,FALSE))</f>
        <v>116.6</v>
      </c>
      <c r="H7" s="36">
        <f>IF(HLOOKUP($G$6,Inflation_mensuelle!$D$4:$VZ$40,2,FALSE)="","-",HLOOKUP($G$6,Inflation_mensuelle!$D$4:$VZ$40,2,FALSE))</f>
        <v>7.3862192771228186E-2</v>
      </c>
      <c r="I7" s="36">
        <f>IF(OR(C7="",G7=""),"",+G7/C7-1)</f>
        <v>5.1142093170938541E-2</v>
      </c>
      <c r="K7" s="135"/>
      <c r="L7" s="136"/>
      <c r="M7" s="4"/>
    </row>
    <row r="8" spans="2:13" ht="14.25" customHeight="1" x14ac:dyDescent="0.2">
      <c r="B8" s="1" t="s">
        <v>234</v>
      </c>
      <c r="C8" s="18">
        <f>IF(HLOOKUP(C$6,IPC!$D$4:$UE$40,5,FALSE)="","-",HLOOKUP(C$6,IPC!$D$4:$UE$40,5,FALSE))</f>
        <v>103.80892377888387</v>
      </c>
      <c r="D8" s="18">
        <f>IF(HLOOKUP(D$6,IPC!$D$4:$UE$40,5,FALSE)="","-",HLOOKUP(D$6,IPC!$D$4:$UE$40,5,FALSE))</f>
        <v>104.04733847620065</v>
      </c>
      <c r="E8" s="18">
        <f>IF(HLOOKUP(E$6,IPC!$D$4:$UE$40,5,FALSE)="","-",HLOOKUP(E$6,IPC!$D$4:$UE$40,5,FALSE))</f>
        <v>104.07542464032851</v>
      </c>
      <c r="F8" s="18">
        <f>IF(HLOOKUP(F$6,IPC!$D$4:$UE$40,5,FALSE)="","-",HLOOKUP(F$6,IPC!$D$4:$UE$40,5,FALSE))</f>
        <v>105</v>
      </c>
      <c r="G8" s="18">
        <f>IF(HLOOKUP(G$6,IPC!$D$4:$UE$40,5,FALSE)="","-",HLOOKUP(G$6,IPC!$D$4:$UE$40,5,FALSE))</f>
        <v>105.9</v>
      </c>
      <c r="H8" s="36">
        <f>IF(HLOOKUP($G$6,Inflation_mensuelle!$D$4:$VZ$40,5,FALSE)="","-",HLOOKUP($G$6,Inflation_mensuelle!$D$4:$VZ$40,5,FALSE))</f>
        <v>2.6280662568605395E-2</v>
      </c>
      <c r="I8" s="36">
        <f t="shared" ref="I8:I32" si="0">IF(OR(C8="",G8=""),"",+G8/C8-1)</f>
        <v>2.0143511222312505E-2</v>
      </c>
      <c r="K8" s="31"/>
      <c r="L8" s="4"/>
      <c r="M8" s="4"/>
    </row>
    <row r="9" spans="2:13" ht="14.25" customHeight="1" x14ac:dyDescent="0.2">
      <c r="B9" s="1" t="s">
        <v>14</v>
      </c>
      <c r="C9" s="18">
        <f>IF(HLOOKUP(C$6,IPC!$D$4:$UE$40,6,FALSE)="","-",HLOOKUP(C$6,IPC!$D$4:$UE$40,6,FALSE))</f>
        <v>104.37751630719531</v>
      </c>
      <c r="D9" s="18">
        <f>IF(HLOOKUP(D$6,IPC!$D$4:$UE$40,6,FALSE)="","-",HLOOKUP(D$6,IPC!$D$4:$UE$40,6,FALSE))</f>
        <v>105.20532862723093</v>
      </c>
      <c r="E9" s="18">
        <f>IF(HLOOKUP(E$6,IPC!$D$4:$UE$40,6,FALSE)="","-",HLOOKUP(E$6,IPC!$D$4:$UE$40,6,FALSE))</f>
        <v>106.32147189938622</v>
      </c>
      <c r="F9" s="18">
        <f>IF(HLOOKUP(F$6,IPC!$D$4:$UE$40,6,FALSE)="","-",HLOOKUP(F$6,IPC!$D$4:$UE$40,6,FALSE))</f>
        <v>106.6</v>
      </c>
      <c r="G9" s="18">
        <f>IF(HLOOKUP(G$6,IPC!$D$4:$UE$40,6,FALSE)="","-",HLOOKUP(G$6,IPC!$D$4:$UE$40,6,FALSE))</f>
        <v>106.7</v>
      </c>
      <c r="H9" s="36">
        <f>IF(HLOOKUP($G$6,Inflation_mensuelle!$D$4:$VZ$40,6,FALSE)="","-",HLOOKUP($G$6,Inflation_mensuelle!$D$4:$VZ$40,6,FALSE))</f>
        <v>3.6456500804187719E-2</v>
      </c>
      <c r="I9" s="36">
        <f t="shared" si="0"/>
        <v>2.2250804339598806E-2</v>
      </c>
      <c r="K9" s="136"/>
      <c r="L9" s="4"/>
      <c r="M9" s="4"/>
    </row>
    <row r="10" spans="2:13" ht="14.25" customHeight="1" x14ac:dyDescent="0.2">
      <c r="B10" s="13" t="s">
        <v>79</v>
      </c>
      <c r="C10" s="18">
        <f>IF(HLOOKUP(C$6,IPC!$D$4:$UE$40,7,FALSE)="","-",HLOOKUP(C$6,IPC!$D$4:$UE$40,7,FALSE))</f>
        <v>103.36918505328356</v>
      </c>
      <c r="D10" s="18">
        <f>IF(HLOOKUP(D$6,IPC!$D$4:$UE$40,7,FALSE)="","-",HLOOKUP(D$6,IPC!$D$4:$UE$40,7,FALSE))</f>
        <v>103.99272439238851</v>
      </c>
      <c r="E10" s="18">
        <f>IF(HLOOKUP(E$6,IPC!$D$4:$UE$40,7,FALSE)="","-",HLOOKUP(E$6,IPC!$D$4:$UE$40,7,FALSE))</f>
        <v>104.47788846180867</v>
      </c>
      <c r="F10" s="18">
        <f>IF(HLOOKUP(F$6,IPC!$D$4:$UE$40,7,FALSE)="","-",HLOOKUP(F$6,IPC!$D$4:$UE$40,7,FALSE))</f>
        <v>105.7</v>
      </c>
      <c r="G10" s="18">
        <f>IF(HLOOKUP(G$6,IPC!$D$4:$UE$40,7,FALSE)="","-",HLOOKUP(G$6,IPC!$D$4:$UE$40,7,FALSE))</f>
        <v>107.1</v>
      </c>
      <c r="H10" s="36">
        <f>IF(HLOOKUP($G$6,Inflation_mensuelle!$D$4:$VZ$40,7,FALSE)="","-",HLOOKUP($G$6,Inflation_mensuelle!$D$4:$VZ$40,7,FALSE))</f>
        <v>3.479171779871626E-2</v>
      </c>
      <c r="I10" s="36">
        <f t="shared" si="0"/>
        <v>3.6092138530388063E-2</v>
      </c>
      <c r="K10" s="28"/>
    </row>
    <row r="11" spans="2:13" ht="14.25" customHeight="1" x14ac:dyDescent="0.2">
      <c r="B11" s="13" t="s">
        <v>78</v>
      </c>
      <c r="C11" s="18">
        <f>IF(HLOOKUP(C$6,IPC!$D$4:$UE$40,8,FALSE)="","-",HLOOKUP(C$6,IPC!$D$4:$UE$40,8,FALSE))</f>
        <v>107.46935554867316</v>
      </c>
      <c r="D11" s="18">
        <f>IF(HLOOKUP(D$6,IPC!$D$4:$UE$40,8,FALSE)="","-",HLOOKUP(D$6,IPC!$D$4:$UE$40,8,FALSE))</f>
        <v>107.72931384769808</v>
      </c>
      <c r="E11" s="18">
        <f>IF(HLOOKUP(E$6,IPC!$D$4:$UE$40,8,FALSE)="","-",HLOOKUP(E$6,IPC!$D$4:$UE$40,8,FALSE))</f>
        <v>108.15353556114815</v>
      </c>
      <c r="F11" s="18">
        <f>IF(HLOOKUP(F$6,IPC!$D$4:$UE$40,8,FALSE)="","-",HLOOKUP(F$6,IPC!$D$4:$UE$40,8,FALSE))</f>
        <v>108.7</v>
      </c>
      <c r="G11" s="18">
        <f>IF(HLOOKUP(G$6,IPC!$D$4:$UE$40,8,FALSE)="","-",HLOOKUP(G$6,IPC!$D$4:$UE$40,8,FALSE))</f>
        <v>109.4</v>
      </c>
      <c r="H11" s="36">
        <f>IF(HLOOKUP($G$6,Inflation_mensuelle!$D$4:$VZ$40,8,FALSE)="","-",HLOOKUP($G$6,Inflation_mensuelle!$D$4:$VZ$40,8,FALSE))</f>
        <v>3.6673553665264702E-2</v>
      </c>
      <c r="I11" s="36">
        <f t="shared" si="0"/>
        <v>1.7964604342048496E-2</v>
      </c>
      <c r="K11" s="28"/>
    </row>
    <row r="12" spans="2:13" ht="14.25" customHeight="1" x14ac:dyDescent="0.2">
      <c r="B12" s="1" t="s">
        <v>33</v>
      </c>
      <c r="C12" s="18">
        <f>IF(HLOOKUP(C$6,IPC!$D$4:$UE$40,9,FALSE)="","-",HLOOKUP(C$6,IPC!$D$4:$UE$40,9,FALSE))</f>
        <v>100.84412919035361</v>
      </c>
      <c r="D12" s="18">
        <f>IF(HLOOKUP(D$6,IPC!$D$4:$UE$40,9,FALSE)="","-",HLOOKUP(D$6,IPC!$D$4:$UE$40,9,FALSE))</f>
        <v>100.99009519031976</v>
      </c>
      <c r="E12" s="18">
        <f>IF(HLOOKUP(E$6,IPC!$D$4:$UE$40,9,FALSE)="","-",HLOOKUP(E$6,IPC!$D$4:$UE$40,9,FALSE))</f>
        <v>101.04787294449586</v>
      </c>
      <c r="F12" s="18">
        <f>IF(HLOOKUP(F$6,IPC!$D$4:$UE$40,9,FALSE)="","-",HLOOKUP(F$6,IPC!$D$4:$UE$40,9,FALSE))</f>
        <v>101.4</v>
      </c>
      <c r="G12" s="18">
        <f>IF(HLOOKUP(G$6,IPC!$D$4:$UE$40,9,FALSE)="","-",HLOOKUP(G$6,IPC!$D$4:$UE$40,9,FALSE))</f>
        <v>101.5</v>
      </c>
      <c r="H12" s="36">
        <f>IF(HLOOKUP($G$6,Inflation_mensuelle!$D$4:$VZ$40,9,FALSE)="","-",HLOOKUP($G$6,Inflation_mensuelle!$D$4:$VZ$40,9,FALSE))</f>
        <v>7.2633391303282835E-3</v>
      </c>
      <c r="I12" s="36">
        <f t="shared" si="0"/>
        <v>6.5038075583792043E-3</v>
      </c>
      <c r="K12" s="28"/>
    </row>
    <row r="13" spans="2:13" ht="14.25" customHeight="1" x14ac:dyDescent="0.2">
      <c r="B13" s="1" t="s">
        <v>22</v>
      </c>
      <c r="C13" s="18">
        <f>IF(HLOOKUP(C$6,IPC!$D$4:$UE$40,10,FALSE)="","-",HLOOKUP(C$6,IPC!$D$4:$UE$40,10,FALSE))</f>
        <v>117.0995323020408</v>
      </c>
      <c r="D13" s="18">
        <f>IF(HLOOKUP(D$6,IPC!$D$4:$UE$40,10,FALSE)="","-",HLOOKUP(D$6,IPC!$D$4:$UE$40,10,FALSE))</f>
        <v>117.54189249663231</v>
      </c>
      <c r="E13" s="18">
        <f>IF(HLOOKUP(E$6,IPC!$D$4:$UE$40,10,FALSE)="","-",HLOOKUP(E$6,IPC!$D$4:$UE$40,10,FALSE))</f>
        <v>118.4870675864325</v>
      </c>
      <c r="F13" s="18">
        <f>IF(HLOOKUP(F$6,IPC!$D$4:$UE$40,10,FALSE)="","-",HLOOKUP(F$6,IPC!$D$4:$UE$40,10,FALSE))</f>
        <v>128.30000000000001</v>
      </c>
      <c r="G13" s="18">
        <f>IF(HLOOKUP(G$6,IPC!$D$4:$UE$40,10,FALSE)="","-",HLOOKUP(G$6,IPC!$D$4:$UE$40,10,FALSE))</f>
        <v>130.19999999999999</v>
      </c>
      <c r="H13" s="36">
        <f>IF(HLOOKUP($G$6,Inflation_mensuelle!$D$4:$VZ$40,10,FALSE)="","-",HLOOKUP($G$6,Inflation_mensuelle!$D$4:$VZ$40,10,FALSE))</f>
        <v>0.14924237942087859</v>
      </c>
      <c r="I13" s="36">
        <f t="shared" si="0"/>
        <v>0.11187463724593272</v>
      </c>
      <c r="K13" s="28"/>
    </row>
    <row r="14" spans="2:13" ht="14.25" customHeight="1" x14ac:dyDescent="0.2">
      <c r="B14" s="1" t="s">
        <v>24</v>
      </c>
      <c r="C14" s="18">
        <f>IF(HLOOKUP(C$6,IPC!$D$4:$UE$40,11,FALSE)="","-",HLOOKUP(C$6,IPC!$D$4:$UE$40,11,FALSE))</f>
        <v>100.42958907325955</v>
      </c>
      <c r="D14" s="18">
        <f>IF(HLOOKUP(D$6,IPC!$D$4:$UE$40,11,FALSE)="","-",HLOOKUP(D$6,IPC!$D$4:$UE$40,11,FALSE))</f>
        <v>100.37517628032663</v>
      </c>
      <c r="E14" s="18">
        <f>IF(HLOOKUP(E$6,IPC!$D$4:$UE$40,11,FALSE)="","-",HLOOKUP(E$6,IPC!$D$4:$UE$40,11,FALSE))</f>
        <v>100.33585676372842</v>
      </c>
      <c r="F14" s="18">
        <f>IF(HLOOKUP(F$6,IPC!$D$4:$UE$40,11,FALSE)="","-",HLOOKUP(F$6,IPC!$D$4:$UE$40,11,FALSE))</f>
        <v>100.5</v>
      </c>
      <c r="G14" s="18">
        <f>IF(HLOOKUP(G$6,IPC!$D$4:$UE$40,11,FALSE)="","-",HLOOKUP(G$6,IPC!$D$4:$UE$40,11,FALSE))</f>
        <v>100.5</v>
      </c>
      <c r="H14" s="36">
        <f>IF(HLOOKUP($G$6,Inflation_mensuelle!$D$4:$VZ$40,11,FALSE)="","-",HLOOKUP($G$6,Inflation_mensuelle!$D$4:$VZ$40,11,FALSE))</f>
        <v>2.5781520504719602E-4</v>
      </c>
      <c r="I14" s="36">
        <f t="shared" si="0"/>
        <v>7.0109742945456688E-4</v>
      </c>
      <c r="K14" s="28"/>
    </row>
    <row r="15" spans="2:13" ht="14.25" customHeight="1" x14ac:dyDescent="0.2">
      <c r="B15" s="1" t="s">
        <v>26</v>
      </c>
      <c r="C15" s="18">
        <f>IF(HLOOKUP(C$6,IPC!$D$4:$UE$40,12,FALSE)="","-",HLOOKUP(C$6,IPC!$D$4:$UE$40,12,FALSE))</f>
        <v>101.50868685606581</v>
      </c>
      <c r="D15" s="18">
        <f>IF(HLOOKUP(D$6,IPC!$D$4:$UE$40,12,FALSE)="","-",HLOOKUP(D$6,IPC!$D$4:$UE$40,12,FALSE))</f>
        <v>102.63007742632163</v>
      </c>
      <c r="E15" s="18">
        <f>IF(HLOOKUP(E$6,IPC!$D$4:$UE$40,12,FALSE)="","-",HLOOKUP(E$6,IPC!$D$4:$UE$40,12,FALSE))</f>
        <v>102.64247740384231</v>
      </c>
      <c r="F15" s="18">
        <f>IF(HLOOKUP(F$6,IPC!$D$4:$UE$40,12,FALSE)="","-",HLOOKUP(F$6,IPC!$D$4:$UE$40,12,FALSE))</f>
        <v>102.6</v>
      </c>
      <c r="G15" s="18">
        <f>IF(HLOOKUP(G$6,IPC!$D$4:$UE$40,12,FALSE)="","-",HLOOKUP(G$6,IPC!$D$4:$UE$40,12,FALSE))</f>
        <v>102.4</v>
      </c>
      <c r="H15" s="36">
        <f>IF(HLOOKUP($G$6,Inflation_mensuelle!$D$4:$VZ$40,12,FALSE)="","-",HLOOKUP($G$6,Inflation_mensuelle!$D$4:$VZ$40,12,FALSE))</f>
        <v>1.5965440748545667E-2</v>
      </c>
      <c r="I15" s="36">
        <f t="shared" si="0"/>
        <v>8.7806587942373948E-3</v>
      </c>
      <c r="K15" s="28"/>
    </row>
    <row r="16" spans="2:13" ht="14.25" customHeight="1" x14ac:dyDescent="0.2">
      <c r="B16" s="1" t="s">
        <v>27</v>
      </c>
      <c r="C16" s="18">
        <f>IF(HLOOKUP(C$6,IPC!$D$4:$UE$40,13,FALSE)="","-",HLOOKUP(C$6,IPC!$D$4:$UE$40,13,FALSE))</f>
        <v>102.32529099103469</v>
      </c>
      <c r="D16" s="18">
        <f>IF(HLOOKUP(D$6,IPC!$D$4:$UE$40,13,FALSE)="","-",HLOOKUP(D$6,IPC!$D$4:$UE$40,13,FALSE))</f>
        <v>104.4294402549183</v>
      </c>
      <c r="E16" s="18">
        <f>IF(HLOOKUP(E$6,IPC!$D$4:$UE$40,13,FALSE)="","-",HLOOKUP(E$6,IPC!$D$4:$UE$40,13,FALSE))</f>
        <v>104.5005810262184</v>
      </c>
      <c r="F16" s="18">
        <f>IF(HLOOKUP(F$6,IPC!$D$4:$UE$40,13,FALSE)="","-",HLOOKUP(F$6,IPC!$D$4:$UE$40,13,FALSE))</f>
        <v>104.5</v>
      </c>
      <c r="G16" s="18">
        <f>IF(HLOOKUP(G$6,IPC!$D$4:$UE$40,13,FALSE)="","-",HLOOKUP(G$6,IPC!$D$4:$UE$40,13,FALSE))</f>
        <v>104.6</v>
      </c>
      <c r="H16" s="36">
        <f>IF(HLOOKUP($G$6,Inflation_mensuelle!$D$4:$VZ$40,13,FALSE)="","-",HLOOKUP($G$6,Inflation_mensuelle!$D$4:$VZ$40,13,FALSE))</f>
        <v>2.4017547252024762E-2</v>
      </c>
      <c r="I16" s="36">
        <f t="shared" si="0"/>
        <v>2.2230173859604241E-2</v>
      </c>
      <c r="K16" s="28"/>
    </row>
    <row r="17" spans="2:11" ht="14.25" customHeight="1" x14ac:dyDescent="0.2">
      <c r="B17" s="1" t="s">
        <v>238</v>
      </c>
      <c r="C17" s="18">
        <f>IF(HLOOKUP(C$6,IPC!$D$4:$UE$40,14,FALSE)="","-",HLOOKUP(C$6,IPC!$D$4:$UE$40,14,FALSE))</f>
        <v>105.02077550110846</v>
      </c>
      <c r="D17" s="18">
        <f>IF(HLOOKUP(D$6,IPC!$D$4:$UE$40,14,FALSE)="","-",HLOOKUP(D$6,IPC!$D$4:$UE$40,14,FALSE))</f>
        <v>105.49083195377285</v>
      </c>
      <c r="E17" s="18">
        <f>IF(HLOOKUP(E$6,IPC!$D$4:$UE$40,14,FALSE)="","-",HLOOKUP(E$6,IPC!$D$4:$UE$40,14,FALSE))</f>
        <v>105.90998869149298</v>
      </c>
      <c r="F17" s="18">
        <f>IF(HLOOKUP(F$6,IPC!$D$4:$UE$40,14,FALSE)="","-",HLOOKUP(F$6,IPC!$D$4:$UE$40,14,FALSE))</f>
        <v>106.4</v>
      </c>
      <c r="G17" s="18">
        <f>IF(HLOOKUP(G$6,IPC!$D$4:$UE$40,14,FALSE)="","-",HLOOKUP(G$6,IPC!$D$4:$UE$40,14,FALSE))</f>
        <v>106.9</v>
      </c>
      <c r="H17" s="36">
        <f>IF(HLOOKUP($G$6,Inflation_mensuelle!$D$4:$VZ$40,14,FALSE)="","-",HLOOKUP($G$6,Inflation_mensuelle!$D$4:$VZ$40,14,FALSE))</f>
        <v>2.6757107537101366E-2</v>
      </c>
      <c r="I17" s="36">
        <f t="shared" si="0"/>
        <v>1.789383567132119E-2</v>
      </c>
      <c r="K17" s="28"/>
    </row>
    <row r="18" spans="2:11" ht="14.25" customHeight="1" x14ac:dyDescent="0.2">
      <c r="B18" s="1" t="s">
        <v>29</v>
      </c>
      <c r="C18" s="18">
        <f>IF(HLOOKUP(C$6,IPC!$D$4:$UE$40,15,FALSE)="","-",HLOOKUP(C$6,IPC!$D$4:$UE$40,15,FALSE))</f>
        <v>105.38622981247941</v>
      </c>
      <c r="D18" s="18">
        <f>IF(HLOOKUP(D$6,IPC!$D$4:$UE$40,15,FALSE)="","-",HLOOKUP(D$6,IPC!$D$4:$UE$40,15,FALSE))</f>
        <v>105.9790429360088</v>
      </c>
      <c r="E18" s="18">
        <f>IF(HLOOKUP(E$6,IPC!$D$4:$UE$40,15,FALSE)="","-",HLOOKUP(E$6,IPC!$D$4:$UE$40,15,FALSE))</f>
        <v>106.4966412055624</v>
      </c>
      <c r="F18" s="18">
        <f>IF(HLOOKUP(F$6,IPC!$D$4:$UE$40,15,FALSE)="","-",HLOOKUP(F$6,IPC!$D$4:$UE$40,15,FALSE))</f>
        <v>107.2</v>
      </c>
      <c r="G18" s="18">
        <f>IF(HLOOKUP(G$6,IPC!$D$4:$UE$40,15,FALSE)="","-",HLOOKUP(G$6,IPC!$D$4:$UE$40,15,FALSE))</f>
        <v>107.7</v>
      </c>
      <c r="H18" s="36">
        <f>IF(HLOOKUP($G$6,Inflation_mensuelle!$D$4:$VZ$40,15,FALSE)="","-",HLOOKUP($G$6,Inflation_mensuelle!$D$4:$VZ$40,15,FALSE))</f>
        <v>3.369383647576063E-2</v>
      </c>
      <c r="I18" s="36">
        <f t="shared" si="0"/>
        <v>2.1955147191788038E-2</v>
      </c>
      <c r="K18" s="28"/>
    </row>
    <row r="19" spans="2:11" s="74" customFormat="1" ht="14.25" customHeight="1" x14ac:dyDescent="0.2">
      <c r="B19" s="86" t="s">
        <v>2</v>
      </c>
      <c r="C19" s="140">
        <f>IF(HLOOKUP(C$6,IPC!$D$4:$UE$40,16,FALSE)="","-",HLOOKUP(C$6,IPC!$D$4:$UE$40,16,FALSE))</f>
        <v>107.65036279560169</v>
      </c>
      <c r="D19" s="140">
        <f>IF(HLOOKUP(D$6,IPC!$D$4:$UE$40,16,FALSE)="","-",HLOOKUP(D$6,IPC!$D$4:$UE$40,16,FALSE))</f>
        <v>108.87247131469492</v>
      </c>
      <c r="E19" s="140">
        <f>IF(HLOOKUP(E$6,IPC!$D$4:$UE$40,16,FALSE)="","-",HLOOKUP(E$6,IPC!$D$4:$UE$40,16,FALSE))</f>
        <v>109.12723331186321</v>
      </c>
      <c r="F19" s="140">
        <f>IF(HLOOKUP(F$6,IPC!$D$4:$UE$40,16,FALSE)="","-",HLOOKUP(F$6,IPC!$D$4:$UE$40,16,FALSE))</f>
        <v>110.9</v>
      </c>
      <c r="G19" s="140">
        <f>IF(HLOOKUP(G$6,IPC!$D$4:$UE$40,16,FALSE)="","-",HLOOKUP(G$6,IPC!$D$4:$UE$40,16,FALSE))</f>
        <v>112.2</v>
      </c>
      <c r="H19" s="89">
        <f>IF(HLOOKUP($G$6,Inflation_mensuelle!$D$4:$VZ$40,16,FALSE)="","-",HLOOKUP($G$6,Inflation_mensuelle!$D$4:$VZ$40,16,FALSE))</f>
        <v>5.7312917875509406E-2</v>
      </c>
      <c r="I19" s="89">
        <f t="shared" si="0"/>
        <v>4.226309216474089E-2</v>
      </c>
      <c r="K19" s="75"/>
    </row>
    <row r="20" spans="2:11" ht="14.25" customHeight="1" x14ac:dyDescent="0.2">
      <c r="B20" s="1" t="s">
        <v>3</v>
      </c>
      <c r="C20" s="18">
        <f>IF(HLOOKUP(C$6,IPC!$D$4:$UE$40,18,FALSE)="","-",HLOOKUP(C$6,IPC!$D$4:$UE$40,18,FALSE))</f>
        <v>108.5</v>
      </c>
      <c r="D20" s="18">
        <f>IF(HLOOKUP(D$6,IPC!$D$4:$UE$40,18,FALSE)="","-",HLOOKUP(D$6,IPC!$D$4:$UE$40,18,FALSE))</f>
        <v>109.8</v>
      </c>
      <c r="E20" s="18">
        <f>IF(HLOOKUP(E$6,IPC!$D$4:$UE$40,18,FALSE)="","-",HLOOKUP(E$6,IPC!$D$4:$UE$40,18,FALSE))</f>
        <v>110.1</v>
      </c>
      <c r="F20" s="18">
        <f>IF(HLOOKUP(F$6,IPC!$D$4:$UE$40,18,FALSE)="","-",HLOOKUP(F$6,IPC!$D$4:$UE$40,18,FALSE))</f>
        <v>111.6</v>
      </c>
      <c r="G20" s="18">
        <f>IF(HLOOKUP(G$6,IPC!$D$4:$UE$40,18,FALSE)="","-",HLOOKUP(G$6,IPC!$D$4:$UE$40,18,FALSE))</f>
        <v>113.3</v>
      </c>
      <c r="H20" s="36">
        <f>IF(HLOOKUP($G$6,Inflation_mensuelle!$D$4:$VZ$40,18,FALSE)="","-",HLOOKUP($G$6,Inflation_mensuelle!$D$4:$VZ$40,18,FALSE))</f>
        <v>6.1470842460136677E-2</v>
      </c>
      <c r="I20" s="36">
        <f t="shared" si="0"/>
        <v>4.4239631336405516E-2</v>
      </c>
      <c r="K20" s="28"/>
    </row>
    <row r="21" spans="2:11" ht="14.25" customHeight="1" x14ac:dyDescent="0.2">
      <c r="B21" s="130" t="s">
        <v>4</v>
      </c>
      <c r="C21" s="137">
        <f>IF(HLOOKUP(C$6,IPC!$D$4:$UE$40,19,FALSE)="","-",HLOOKUP(C$6,IPC!$D$4:$UE$40,19,FALSE))</f>
        <v>106</v>
      </c>
      <c r="D21" s="137">
        <f>IF(HLOOKUP(D$6,IPC!$D$4:$UE$40,19,FALSE)="","-",HLOOKUP(D$6,IPC!$D$4:$UE$40,19,FALSE))</f>
        <v>106.5</v>
      </c>
      <c r="E21" s="137">
        <f>IF(HLOOKUP(E$6,IPC!$D$4:$UE$40,19,FALSE)="","-",HLOOKUP(E$6,IPC!$D$4:$UE$40,19,FALSE))</f>
        <v>106.9</v>
      </c>
      <c r="F21" s="137">
        <f>IF(HLOOKUP(F$6,IPC!$D$4:$UE$40,19,FALSE)="","-",HLOOKUP(F$6,IPC!$D$4:$UE$40,19,FALSE))</f>
        <v>108.8</v>
      </c>
      <c r="G21" s="137">
        <f>IF(HLOOKUP(G$6,IPC!$D$4:$UE$40,19,FALSE)="","-",HLOOKUP(G$6,IPC!$D$4:$UE$40,19,FALSE))</f>
        <v>109.6</v>
      </c>
      <c r="H21" s="138">
        <f>IF(HLOOKUP($G$6,Inflation_mensuelle!$D$4:$VZ$40,19,FALSE)="","-",HLOOKUP($G$6,Inflation_mensuelle!$D$4:$VZ$40,19,FALSE))</f>
        <v>4.5027047358565442E-2</v>
      </c>
      <c r="I21" s="138">
        <f t="shared" si="0"/>
        <v>3.3962264150943389E-2</v>
      </c>
      <c r="K21" s="28"/>
    </row>
    <row r="22" spans="2:11" ht="14.25" customHeight="1" x14ac:dyDescent="0.2">
      <c r="B22" s="4" t="s">
        <v>104</v>
      </c>
      <c r="C22" s="18">
        <f>IF(HLOOKUP(C$6,IPC!$D$4:$UE$40,21,FALSE)="","-",HLOOKUP(C$6,IPC!$D$4:$UE$40,21,FALSE))</f>
        <v>109.6</v>
      </c>
      <c r="D22" s="18">
        <f>IF(HLOOKUP(D$6,IPC!$D$4:$UE$40,21,FALSE)="","-",HLOOKUP(D$6,IPC!$D$4:$UE$40,21,FALSE))</f>
        <v>109.6</v>
      </c>
      <c r="E22" s="18">
        <f>IF(HLOOKUP(E$6,IPC!$D$4:$UE$40,21,FALSE)="","-",HLOOKUP(E$6,IPC!$D$4:$UE$40,21,FALSE))</f>
        <v>110.3</v>
      </c>
      <c r="F22" s="18">
        <f>IF(HLOOKUP(F$6,IPC!$D$4:$UE$40,21,FALSE)="","-",HLOOKUP(F$6,IPC!$D$4:$UE$40,21,FALSE))</f>
        <v>114.7</v>
      </c>
      <c r="G22" s="18">
        <f>IF(HLOOKUP(G$6,IPC!$D$4:$UE$40,21,FALSE)="","-",HLOOKUP(G$6,IPC!$D$4:$UE$40,21,FALSE))</f>
        <v>117.7</v>
      </c>
      <c r="H22" s="36">
        <f>IF(HLOOKUP($G$6,Inflation_mensuelle!$D$4:$VZ$40,21,FALSE)="","-",HLOOKUP($G$6,Inflation_mensuelle!$D$4:$VZ$40,21,FALSE))</f>
        <v>8.6499000459706821E-2</v>
      </c>
      <c r="I22" s="36">
        <f t="shared" si="0"/>
        <v>7.3905109489051268E-2</v>
      </c>
      <c r="K22" s="28"/>
    </row>
    <row r="23" spans="2:11" ht="14.25" customHeight="1" x14ac:dyDescent="0.2">
      <c r="B23" s="129" t="s">
        <v>236</v>
      </c>
      <c r="C23" s="18" t="str">
        <f>IF(HLOOKUP(C$6,IPC!$D$4:$UE$40,22,FALSE)="","-",HLOOKUP(C$6,IPC!$D$4:$UE$40,22,FALSE))</f>
        <v>-</v>
      </c>
      <c r="D23" s="18" t="str">
        <f>IF(HLOOKUP(D$6,IPC!$D$4:$UE$40,22,FALSE)="","-",HLOOKUP(D$6,IPC!$D$4:$UE$40,22,FALSE))</f>
        <v>-</v>
      </c>
      <c r="E23" s="18" t="str">
        <f>IF(HLOOKUP(E$6,IPC!$D$4:$UE$40,22,FALSE)="","-",HLOOKUP(E$6,IPC!$D$4:$UE$40,22,FALSE))</f>
        <v>-</v>
      </c>
      <c r="F23" s="18" t="str">
        <f>IF(HLOOKUP(F$6,IPC!$D$4:$UE$40,22,FALSE)="","-",HLOOKUP(F$6,IPC!$D$4:$UE$40,22,FALSE))</f>
        <v>-</v>
      </c>
      <c r="G23" s="18" t="str">
        <f>IF(HLOOKUP(G$6,IPC!$D$4:$UE$40,22,FALSE)="","-",HLOOKUP(G$6,IPC!$D$4:$UE$40,22,FALSE))</f>
        <v>-</v>
      </c>
      <c r="H23" s="36" t="str">
        <f>IF(HLOOKUP($G$6,Inflation_mensuelle!$D$4:$VZ$40,22,FALSE)="","-",HLOOKUP($G$6,Inflation_mensuelle!$D$4:$VZ$40,22,FALSE))</f>
        <v>-</v>
      </c>
      <c r="I23" s="36" t="e">
        <f t="shared" si="0"/>
        <v>#VALUE!</v>
      </c>
      <c r="K23" s="28"/>
    </row>
    <row r="24" spans="2:11" ht="14.25" customHeight="1" x14ac:dyDescent="0.2">
      <c r="B24" s="4" t="s">
        <v>106</v>
      </c>
      <c r="C24" s="18">
        <f>IF(HLOOKUP(C$6,IPC!$D$4:$UE$40,23,FALSE)="","-",HLOOKUP(C$6,IPC!$D$4:$UE$40,23,FALSE))</f>
        <v>115.7</v>
      </c>
      <c r="D24" s="18">
        <f>IF(HLOOKUP(D$6,IPC!$D$4:$UE$40,23,FALSE)="","-",HLOOKUP(D$6,IPC!$D$4:$UE$40,23,FALSE))</f>
        <v>119</v>
      </c>
      <c r="E24" s="18">
        <f>IF(HLOOKUP(E$6,IPC!$D$4:$UE$40,23,FALSE)="","-",HLOOKUP(E$6,IPC!$D$4:$UE$40,23,FALSE))</f>
        <v>120.3</v>
      </c>
      <c r="F24" s="18">
        <f>IF(HLOOKUP(F$6,IPC!$D$4:$UE$40,23,FALSE)="","-",HLOOKUP(F$6,IPC!$D$4:$UE$40,23,FALSE))</f>
        <v>118.2</v>
      </c>
      <c r="G24" s="18">
        <f>IF(HLOOKUP(G$6,IPC!$D$4:$UE$40,23,FALSE)="","-",HLOOKUP(G$6,IPC!$D$4:$UE$40,23,FALSE))</f>
        <v>123.9</v>
      </c>
      <c r="H24" s="36">
        <f>IF(HLOOKUP($G$6,Inflation_mensuelle!$D$4:$VZ$40,23,FALSE)="","-",HLOOKUP($G$6,Inflation_mensuelle!$D$4:$VZ$40,23,FALSE))</f>
        <v>0.12111851354071068</v>
      </c>
      <c r="I24" s="36">
        <f t="shared" si="0"/>
        <v>7.0872947277441645E-2</v>
      </c>
      <c r="K24" s="28"/>
    </row>
    <row r="25" spans="2:11" ht="14.25" customHeight="1" x14ac:dyDescent="0.2">
      <c r="B25" s="130" t="s">
        <v>107</v>
      </c>
      <c r="C25" s="137">
        <f>IF(HLOOKUP(C$6,IPC!$D$4:$UE$40,24,FALSE)="","-",HLOOKUP(C$6,IPC!$D$4:$UE$40,24,FALSE))</f>
        <v>106.3</v>
      </c>
      <c r="D25" s="137">
        <f>IF(HLOOKUP(D$6,IPC!$D$4:$UE$40,24,FALSE)="","-",HLOOKUP(D$6,IPC!$D$4:$UE$40,24,FALSE))</f>
        <v>107</v>
      </c>
      <c r="E25" s="137">
        <f>IF(HLOOKUP(E$6,IPC!$D$4:$UE$40,24,FALSE)="","-",HLOOKUP(E$6,IPC!$D$4:$UE$40,24,FALSE))</f>
        <v>107.1</v>
      </c>
      <c r="F25" s="137">
        <f>IF(HLOOKUP(F$6,IPC!$D$4:$UE$40,24,FALSE)="","-",HLOOKUP(F$6,IPC!$D$4:$UE$40,24,FALSE))</f>
        <v>108.7</v>
      </c>
      <c r="G25" s="137">
        <f>IF(HLOOKUP(G$6,IPC!$D$4:$UE$40,24,FALSE)="","-",HLOOKUP(G$6,IPC!$D$4:$UE$40,24,FALSE))</f>
        <v>109.2</v>
      </c>
      <c r="H25" s="138">
        <f>IF(HLOOKUP($G$6,Inflation_mensuelle!$D$4:$VZ$40,24,FALSE)="","-",HLOOKUP($G$6,Inflation_mensuelle!$D$4:$VZ$40,24,FALSE))</f>
        <v>4.1422037146494395E-2</v>
      </c>
      <c r="I25" s="138">
        <f t="shared" si="0"/>
        <v>2.7281279397930458E-2</v>
      </c>
      <c r="K25" s="28"/>
    </row>
    <row r="26" spans="2:11" ht="14.25" customHeight="1" x14ac:dyDescent="0.2">
      <c r="B26" s="4" t="s">
        <v>108</v>
      </c>
      <c r="C26" s="139" t="str">
        <f>IF(HLOOKUP(C$6,IPC!$D$4:$UE$40,26,FALSE)="","-",HLOOKUP(C$6,IPC!$D$4:$UE$40,26,FALSE))</f>
        <v>-</v>
      </c>
      <c r="D26" s="139" t="str">
        <f>IF(HLOOKUP(D$6,IPC!$D$4:$UE$40,26,FALSE)="","-",HLOOKUP(D$6,IPC!$D$4:$UE$40,26,FALSE))</f>
        <v>-</v>
      </c>
      <c r="E26" s="139" t="str">
        <f>IF(HLOOKUP(E$6,IPC!$D$4:$UE$40,26,FALSE)="","-",HLOOKUP(E$6,IPC!$D$4:$UE$40,26,FALSE))</f>
        <v>-</v>
      </c>
      <c r="F26" s="139" t="str">
        <f>IF(HLOOKUP(F$6,IPC!$D$4:$UE$40,26,FALSE)="","-",HLOOKUP(F$6,IPC!$D$4:$UE$40,26,FALSE))</f>
        <v>-</v>
      </c>
      <c r="G26" s="139" t="str">
        <f>IF(HLOOKUP(G$6,IPC!$D$4:$UE$40,26,FALSE)="","-",HLOOKUP(G$6,IPC!$D$4:$UE$40,26,FALSE))</f>
        <v>-</v>
      </c>
      <c r="H26" s="60" t="str">
        <f>IF(HLOOKUP($G$6,Inflation_mensuelle!$D$4:$VZ$40,26,FALSE)="","-",HLOOKUP($G$6,Inflation_mensuelle!$D$4:$VZ$40,26,FALSE))</f>
        <v>-</v>
      </c>
      <c r="I26" s="60" t="e">
        <f t="shared" si="0"/>
        <v>#VALUE!</v>
      </c>
      <c r="K26" s="28"/>
    </row>
    <row r="27" spans="2:11" ht="14.25" customHeight="1" x14ac:dyDescent="0.2">
      <c r="B27" s="4" t="s">
        <v>109</v>
      </c>
      <c r="C27" s="139" t="str">
        <f>IF(HLOOKUP(C$6,IPC!$D$4:$UE$40,27,FALSE)="","-",HLOOKUP(C$6,IPC!$D$4:$UE$40,27,FALSE))</f>
        <v>-</v>
      </c>
      <c r="D27" s="139" t="str">
        <f>IF(HLOOKUP(D$6,IPC!$D$4:$UE$40,27,FALSE)="","-",HLOOKUP(D$6,IPC!$D$4:$UE$40,27,FALSE))</f>
        <v>-</v>
      </c>
      <c r="E27" s="139" t="str">
        <f>IF(HLOOKUP(E$6,IPC!$D$4:$UE$40,27,FALSE)="","-",HLOOKUP(E$6,IPC!$D$4:$UE$40,27,FALSE))</f>
        <v>-</v>
      </c>
      <c r="F27" s="139" t="str">
        <f>IF(HLOOKUP(F$6,IPC!$D$4:$UE$40,27,FALSE)="","-",HLOOKUP(F$6,IPC!$D$4:$UE$40,27,FALSE))</f>
        <v>-</v>
      </c>
      <c r="G27" s="139" t="str">
        <f>IF(HLOOKUP(G$6,IPC!$D$4:$UE$40,27,FALSE)="","-",HLOOKUP(G$6,IPC!$D$4:$UE$40,27,FALSE))</f>
        <v>-</v>
      </c>
      <c r="H27" s="60" t="str">
        <f>IF(HLOOKUP($G$6,Inflation_mensuelle!$D$4:$VZ$40,27,FALSE)="","-",HLOOKUP($G$6,Inflation_mensuelle!$D$4:$VZ$40,27,FALSE))</f>
        <v>-</v>
      </c>
      <c r="I27" s="60" t="e">
        <f t="shared" si="0"/>
        <v>#VALUE!</v>
      </c>
      <c r="K27" s="28"/>
    </row>
    <row r="28" spans="2:11" ht="14.25" customHeight="1" x14ac:dyDescent="0.2">
      <c r="B28" s="130" t="s">
        <v>110</v>
      </c>
      <c r="C28" s="137" t="str">
        <f>IF(HLOOKUP(C$6,IPC!$D$4:$UE$40,28,FALSE)="","-",HLOOKUP(C$6,IPC!$D$4:$UE$40,28,FALSE))</f>
        <v>-</v>
      </c>
      <c r="D28" s="137" t="str">
        <f>IF(HLOOKUP(D$6,IPC!$D$4:$UE$40,28,FALSE)="","-",HLOOKUP(D$6,IPC!$D$4:$UE$40,28,FALSE))</f>
        <v>-</v>
      </c>
      <c r="E28" s="137" t="str">
        <f>IF(HLOOKUP(E$6,IPC!$D$4:$UE$40,28,FALSE)="","-",HLOOKUP(E$6,IPC!$D$4:$UE$40,28,FALSE))</f>
        <v>-</v>
      </c>
      <c r="F28" s="137" t="str">
        <f>IF(HLOOKUP(F$6,IPC!$D$4:$UE$40,28,FALSE)="","-",HLOOKUP(F$6,IPC!$D$4:$UE$40,28,FALSE))</f>
        <v>-</v>
      </c>
      <c r="G28" s="137" t="str">
        <f>IF(HLOOKUP(G$6,IPC!$D$4:$UE$40,28,FALSE)="","-",HLOOKUP(G$6,IPC!$D$4:$UE$40,28,FALSE))</f>
        <v>-</v>
      </c>
      <c r="H28" s="138" t="str">
        <f>IF(HLOOKUP($G$6,Inflation_mensuelle!$D$4:$VZ$40,28,FALSE)="","-",HLOOKUP($G$6,Inflation_mensuelle!$D$4:$VZ$40,28,FALSE))</f>
        <v>-</v>
      </c>
      <c r="I28" s="138" t="e">
        <f t="shared" si="0"/>
        <v>#VALUE!</v>
      </c>
      <c r="K28" s="28"/>
    </row>
    <row r="29" spans="2:11" ht="14.25" customHeight="1" x14ac:dyDescent="0.2">
      <c r="B29" s="4" t="s">
        <v>111</v>
      </c>
      <c r="C29" s="139" t="str">
        <f>IF(HLOOKUP(C$6,IPC!$D$4:$UE$40,30,FALSE)="","-",HLOOKUP(C$6,IPC!$D$4:$UE$40,30,FALSE))</f>
        <v>-</v>
      </c>
      <c r="D29" s="139" t="str">
        <f>IF(HLOOKUP(D$6,IPC!$D$4:$UE$40,30,FALSE)="","-",HLOOKUP(D$6,IPC!$D$4:$UE$40,30,FALSE))</f>
        <v>-</v>
      </c>
      <c r="E29" s="139" t="str">
        <f>IF(HLOOKUP(E$6,IPC!$D$4:$UE$40,30,FALSE)="","-",HLOOKUP(E$6,IPC!$D$4:$UE$40,30,FALSE))</f>
        <v>-</v>
      </c>
      <c r="F29" s="139" t="str">
        <f>IF(HLOOKUP(F$6,IPC!$D$4:$UE$40,30,FALSE)="","-",HLOOKUP(F$6,IPC!$D$4:$UE$40,30,FALSE))</f>
        <v>-</v>
      </c>
      <c r="G29" s="139" t="str">
        <f>IF(HLOOKUP(G$6,IPC!$D$4:$UE$40,30,FALSE)="","-",HLOOKUP(G$6,IPC!$D$4:$UE$40,30,FALSE))</f>
        <v>-</v>
      </c>
      <c r="H29" s="60" t="str">
        <f>IF(HLOOKUP($G$6,Inflation_mensuelle!$D$4:$VZ$40,30,FALSE)="","-",HLOOKUP($G$6,Inflation_mensuelle!$D$4:$VZ$40,30,FALSE))</f>
        <v>-</v>
      </c>
      <c r="I29" s="60" t="e">
        <f t="shared" si="0"/>
        <v>#VALUE!</v>
      </c>
      <c r="K29" s="28"/>
    </row>
    <row r="30" spans="2:11" ht="14.25" customHeight="1" x14ac:dyDescent="0.2">
      <c r="B30" s="4" t="s">
        <v>112</v>
      </c>
      <c r="C30" s="139" t="str">
        <f>IF(HLOOKUP(C$6,IPC!$D$4:$UE$40,31,FALSE)="","-",HLOOKUP(C$6,IPC!$D$4:$UE$40,31,FALSE))</f>
        <v>-</v>
      </c>
      <c r="D30" s="139" t="str">
        <f>IF(HLOOKUP(D$6,IPC!$D$4:$UE$40,31,FALSE)="","-",HLOOKUP(D$6,IPC!$D$4:$UE$40,31,FALSE))</f>
        <v>-</v>
      </c>
      <c r="E30" s="139" t="str">
        <f>IF(HLOOKUP(E$6,IPC!$D$4:$UE$40,31,FALSE)="","-",HLOOKUP(E$6,IPC!$D$4:$UE$40,31,FALSE))</f>
        <v>-</v>
      </c>
      <c r="F30" s="139" t="str">
        <f>IF(HLOOKUP(F$6,IPC!$D$4:$UE$40,31,FALSE)="","-",HLOOKUP(F$6,IPC!$D$4:$UE$40,31,FALSE))</f>
        <v>-</v>
      </c>
      <c r="G30" s="139" t="str">
        <f>IF(HLOOKUP(G$6,IPC!$D$4:$UE$40,31,FALSE)="","-",HLOOKUP(G$6,IPC!$D$4:$UE$40,31,FALSE))</f>
        <v>-</v>
      </c>
      <c r="H30" s="60" t="str">
        <f>IF(HLOOKUP($G$6,Inflation_mensuelle!$D$4:$VZ$40,31,FALSE)="","-",HLOOKUP($G$6,Inflation_mensuelle!$D$4:$VZ$40,31,FALSE))</f>
        <v>-</v>
      </c>
      <c r="I30" s="60" t="e">
        <f t="shared" si="0"/>
        <v>#VALUE!</v>
      </c>
      <c r="K30" s="28"/>
    </row>
    <row r="31" spans="2:11" ht="14.25" customHeight="1" x14ac:dyDescent="0.2">
      <c r="B31" s="4" t="s">
        <v>113</v>
      </c>
      <c r="C31" s="139" t="str">
        <f>IF(HLOOKUP(C$6,IPC!$D$4:$UE$40,32,FALSE)="","-",HLOOKUP(C$6,IPC!$D$4:$UE$40,32,FALSE))</f>
        <v>-</v>
      </c>
      <c r="D31" s="139" t="str">
        <f>IF(HLOOKUP(D$6,IPC!$D$4:$UE$40,32,FALSE)="","-",HLOOKUP(D$6,IPC!$D$4:$UE$40,32,FALSE))</f>
        <v>-</v>
      </c>
      <c r="E31" s="139" t="str">
        <f>IF(HLOOKUP(E$6,IPC!$D$4:$UE$40,32,FALSE)="","-",HLOOKUP(E$6,IPC!$D$4:$UE$40,32,FALSE))</f>
        <v>-</v>
      </c>
      <c r="F31" s="139" t="str">
        <f>IF(HLOOKUP(F$6,IPC!$D$4:$UE$40,32,FALSE)="","-",HLOOKUP(F$6,IPC!$D$4:$UE$40,32,FALSE))</f>
        <v>-</v>
      </c>
      <c r="G31" s="139" t="str">
        <f>IF(HLOOKUP(G$6,IPC!$D$4:$UE$40,32,FALSE)="","-",HLOOKUP(G$6,IPC!$D$4:$UE$40,32,FALSE))</f>
        <v>-</v>
      </c>
      <c r="H31" s="60" t="str">
        <f>IF(HLOOKUP($G$6,Inflation_mensuelle!$D$4:$VZ$40,32,FALSE)="","-",HLOOKUP($G$6,Inflation_mensuelle!$D$4:$VZ$40,32,FALSE))</f>
        <v>-</v>
      </c>
      <c r="I31" s="60" t="e">
        <f t="shared" si="0"/>
        <v>#VALUE!</v>
      </c>
      <c r="K31" s="28"/>
    </row>
    <row r="32" spans="2:11" ht="14.25" customHeight="1" thickBot="1" x14ac:dyDescent="0.25">
      <c r="B32" s="4" t="s">
        <v>114</v>
      </c>
      <c r="C32" s="139" t="str">
        <f>IF(HLOOKUP(C$6,IPC!$D$4:$UE$40,33,FALSE)="","-",HLOOKUP(C$6,IPC!$D$4:$UE$40,33,FALSE))</f>
        <v>-</v>
      </c>
      <c r="D32" s="139" t="str">
        <f>IF(HLOOKUP(D$6,IPC!$D$4:$UE$40,33,FALSE)="","-",HLOOKUP(D$6,IPC!$D$4:$UE$40,33,FALSE))</f>
        <v>-</v>
      </c>
      <c r="E32" s="139" t="str">
        <f>IF(HLOOKUP(E$6,IPC!$D$4:$UE$40,33,FALSE)="","-",HLOOKUP(E$6,IPC!$D$4:$UE$40,33,FALSE))</f>
        <v>-</v>
      </c>
      <c r="F32" s="139" t="str">
        <f>IF(HLOOKUP(F$6,IPC!$D$4:$UE$40,33,FALSE)="","-",HLOOKUP(F$6,IPC!$D$4:$UE$40,33,FALSE))</f>
        <v>-</v>
      </c>
      <c r="G32" s="139" t="str">
        <f>IF(HLOOKUP(G$6,IPC!$D$4:$UE$40,33,FALSE)="","-",HLOOKUP(G$6,IPC!$D$4:$UE$40,33,FALSE))</f>
        <v>-</v>
      </c>
      <c r="H32" s="60" t="str">
        <f>IF(HLOOKUP($G$6,Inflation_mensuelle!$D$4:$VZ$40,33,FALSE)="","-",HLOOKUP($G$6,Inflation_mensuelle!$D$4:$VZ$40,33,FALSE))</f>
        <v>-</v>
      </c>
      <c r="I32" s="60" t="e">
        <f t="shared" si="0"/>
        <v>#VALUE!</v>
      </c>
      <c r="K32" s="28"/>
    </row>
    <row r="33" spans="2:9" ht="10.8" thickTop="1" x14ac:dyDescent="0.2">
      <c r="B33" s="227" t="s">
        <v>57</v>
      </c>
      <c r="C33" s="227"/>
      <c r="D33" s="227"/>
      <c r="E33" s="227"/>
      <c r="F33" s="227"/>
      <c r="G33" s="227"/>
      <c r="H33" s="227"/>
      <c r="I33" s="227"/>
    </row>
    <row r="34" spans="2:9" x14ac:dyDescent="0.2">
      <c r="B34" s="228" t="s">
        <v>76</v>
      </c>
      <c r="C34" s="228"/>
      <c r="D34" s="228"/>
      <c r="E34" s="228"/>
      <c r="F34" s="228"/>
      <c r="G34" s="228"/>
      <c r="H34" s="228"/>
      <c r="I34" s="228"/>
    </row>
    <row r="35" spans="2:9" x14ac:dyDescent="0.2">
      <c r="B35" s="39"/>
    </row>
    <row r="36" spans="2:9" x14ac:dyDescent="0.2">
      <c r="B36" s="39"/>
    </row>
  </sheetData>
  <mergeCells count="4">
    <mergeCell ref="B3:I3"/>
    <mergeCell ref="B4:I4"/>
    <mergeCell ref="B33:I33"/>
    <mergeCell ref="B34:I34"/>
  </mergeCells>
  <phoneticPr fontId="2" type="noConversion"/>
  <dataValidations count="1">
    <dataValidation type="date" allowBlank="1" showInputMessage="1" showErrorMessage="1" errorTitle="rentrez une date valide" sqref="G6">
      <formula1>36892</formula1>
      <formula2>51471</formula2>
    </dataValidation>
  </dataValidations>
  <printOptions horizontalCentered="1"/>
  <pageMargins left="0.78740157480314965" right="0.78740157480314965" top="0.74803149606299213" bottom="0.74803149606299213" header="0.51181102362204722" footer="0.51181102362204722"/>
  <pageSetup paperSize="9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B1:S74"/>
  <sheetViews>
    <sheetView showGridLines="0" topLeftCell="A48" zoomScaleNormal="100" workbookViewId="0">
      <selection activeCell="O52" sqref="O52"/>
    </sheetView>
  </sheetViews>
  <sheetFormatPr baseColWidth="10" defaultRowHeight="13.2" x14ac:dyDescent="0.25"/>
  <cols>
    <col min="2" max="2" width="18.44140625" customWidth="1"/>
    <col min="4" max="5" width="10" customWidth="1"/>
    <col min="7" max="14" width="10" customWidth="1"/>
  </cols>
  <sheetData>
    <row r="1" spans="2:19" ht="15.6" x14ac:dyDescent="0.3">
      <c r="B1" s="229" t="s">
        <v>88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</row>
    <row r="2" spans="2:19" ht="15.6" x14ac:dyDescent="0.3">
      <c r="B2" s="230" t="s">
        <v>60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</row>
    <row r="3" spans="2:19" ht="15.6" x14ac:dyDescent="0.3">
      <c r="B3" s="40"/>
    </row>
    <row r="4" spans="2:19" ht="16.2" thickBot="1" x14ac:dyDescent="0.35">
      <c r="B4" s="40"/>
    </row>
    <row r="5" spans="2:19" ht="15" thickTop="1" thickBot="1" x14ac:dyDescent="0.3">
      <c r="B5" s="56"/>
      <c r="C5" s="57">
        <f t="shared" ref="C5:O5" si="0">C52</f>
        <v>45078</v>
      </c>
      <c r="D5" s="57">
        <f t="shared" si="0"/>
        <v>45108</v>
      </c>
      <c r="E5" s="57">
        <f t="shared" si="0"/>
        <v>45139</v>
      </c>
      <c r="F5" s="57">
        <f t="shared" si="0"/>
        <v>45170</v>
      </c>
      <c r="G5" s="57">
        <f t="shared" si="0"/>
        <v>45200</v>
      </c>
      <c r="H5" s="57">
        <f t="shared" si="0"/>
        <v>45231</v>
      </c>
      <c r="I5" s="57">
        <f t="shared" si="0"/>
        <v>45261</v>
      </c>
      <c r="J5" s="57">
        <f t="shared" si="0"/>
        <v>45292</v>
      </c>
      <c r="K5" s="57">
        <f t="shared" si="0"/>
        <v>45323</v>
      </c>
      <c r="L5" s="57">
        <f t="shared" si="0"/>
        <v>45352</v>
      </c>
      <c r="M5" s="57">
        <f t="shared" si="0"/>
        <v>45383</v>
      </c>
      <c r="N5" s="57">
        <f t="shared" si="0"/>
        <v>45413</v>
      </c>
      <c r="O5" s="57">
        <f t="shared" si="0"/>
        <v>45444</v>
      </c>
    </row>
    <row r="6" spans="2:19" ht="14.4" thickTop="1" x14ac:dyDescent="0.25">
      <c r="B6" s="45" t="s">
        <v>40</v>
      </c>
      <c r="C6" s="47" t="e">
        <f>IF(HLOOKUP(C$5,#REF!,2,FALSE)="","-",HLOOKUP(C$5,#REF!,2,FALSE))</f>
        <v>#REF!</v>
      </c>
      <c r="D6" s="47" t="e">
        <f>IF(HLOOKUP(D$5,#REF!,2,FALSE)="","-",HLOOKUP(D$5,#REF!,2,FALSE))</f>
        <v>#REF!</v>
      </c>
      <c r="E6" s="47" t="e">
        <f>IF(HLOOKUP(E$5,#REF!,2,FALSE)="","-",HLOOKUP(E$5,#REF!,2,FALSE))</f>
        <v>#REF!</v>
      </c>
      <c r="F6" s="47" t="e">
        <f>IF(HLOOKUP(F$5,#REF!,2,FALSE)="","-",HLOOKUP(F$5,#REF!,2,FALSE))</f>
        <v>#REF!</v>
      </c>
      <c r="G6" s="47" t="e">
        <f>IF(HLOOKUP(G$5,#REF!,2,FALSE)="","-",HLOOKUP(G$5,#REF!,2,FALSE))</f>
        <v>#REF!</v>
      </c>
      <c r="H6" s="47" t="e">
        <f>IF(HLOOKUP(H$5,#REF!,2,FALSE)="","-",HLOOKUP(H$5,#REF!,2,FALSE))</f>
        <v>#REF!</v>
      </c>
      <c r="I6" s="47" t="e">
        <f>IF(HLOOKUP(I$5,#REF!,2,FALSE)="","-",HLOOKUP(I$5,#REF!,2,FALSE))</f>
        <v>#REF!</v>
      </c>
      <c r="J6" s="47" t="e">
        <f>IF(HLOOKUP(J$5,#REF!,2,FALSE)="","-",HLOOKUP(J$5,#REF!,2,FALSE))</f>
        <v>#REF!</v>
      </c>
      <c r="K6" s="47" t="e">
        <f>IF(HLOOKUP(K$5,#REF!,2,FALSE)="","-",HLOOKUP(K$5,#REF!,2,FALSE))</f>
        <v>#REF!</v>
      </c>
      <c r="L6" s="47" t="e">
        <f>IF(HLOOKUP(L$5,#REF!,2,FALSE)="","-",HLOOKUP(L$5,#REF!,2,FALSE))</f>
        <v>#REF!</v>
      </c>
      <c r="M6" s="47" t="e">
        <f>IF(HLOOKUP(M$5,#REF!,2,FALSE)="","-",HLOOKUP(M$5,#REF!,2,FALSE))</f>
        <v>#REF!</v>
      </c>
      <c r="N6" s="47" t="e">
        <f>IF(HLOOKUP(N$5,#REF!,2,FALSE)="","-",HLOOKUP(N$5,#REF!,2,FALSE))</f>
        <v>#REF!</v>
      </c>
      <c r="O6" s="47" t="e">
        <f>IF(HLOOKUP(O$5,#REF!,2,FALSE)="","-",HLOOKUP(O$5,#REF!,2,FALSE))</f>
        <v>#REF!</v>
      </c>
    </row>
    <row r="7" spans="2:19" ht="13.8" x14ac:dyDescent="0.25">
      <c r="B7" s="45" t="s">
        <v>47</v>
      </c>
      <c r="C7" s="47" t="e">
        <f>IF(HLOOKUP(C$5,#REF!,2,FALSE)="","-",HLOOKUP(C$5,#REF!,2,FALSE))</f>
        <v>#REF!</v>
      </c>
      <c r="D7" s="47" t="e">
        <f>IF(HLOOKUP(D$5,#REF!,2,FALSE)="","-",HLOOKUP(D$5,#REF!,2,FALSE))</f>
        <v>#REF!</v>
      </c>
      <c r="E7" s="47" t="e">
        <f>IF(HLOOKUP(E$5,#REF!,2,FALSE)="","-",HLOOKUP(E$5,#REF!,2,FALSE))</f>
        <v>#REF!</v>
      </c>
      <c r="F7" s="47" t="e">
        <f>IF(HLOOKUP(F$5,#REF!,2,FALSE)="","-",HLOOKUP(F$5,#REF!,2,FALSE))</f>
        <v>#REF!</v>
      </c>
      <c r="G7" s="47" t="e">
        <f>IF(HLOOKUP(G$5,#REF!,2,FALSE)="","-",HLOOKUP(G$5,#REF!,2,FALSE))</f>
        <v>#REF!</v>
      </c>
      <c r="H7" s="47" t="e">
        <f>IF(HLOOKUP(H$5,#REF!,2,FALSE)="","-",HLOOKUP(H$5,#REF!,2,FALSE))</f>
        <v>#REF!</v>
      </c>
      <c r="I7" s="47" t="e">
        <f>IF(HLOOKUP(I$5,#REF!,2,FALSE)="","-",HLOOKUP(I$5,#REF!,2,FALSE))</f>
        <v>#REF!</v>
      </c>
      <c r="J7" s="47" t="e">
        <f>IF(HLOOKUP(J$5,#REF!,2,FALSE)="","-",HLOOKUP(J$5,#REF!,2,FALSE))</f>
        <v>#REF!</v>
      </c>
      <c r="K7" s="47" t="e">
        <f>IF(HLOOKUP(K$5,#REF!,2,FALSE)="","-",HLOOKUP(K$5,#REF!,2,FALSE))</f>
        <v>#REF!</v>
      </c>
      <c r="L7" s="47" t="e">
        <f>IF(HLOOKUP(L$5,#REF!,2,FALSE)="","-",HLOOKUP(L$5,#REF!,2,FALSE))</f>
        <v>#REF!</v>
      </c>
      <c r="M7" s="47" t="e">
        <f>IF(HLOOKUP(M$5,#REF!,2,FALSE)="","-",HLOOKUP(M$5,#REF!,2,FALSE))</f>
        <v>#REF!</v>
      </c>
      <c r="N7" s="47" t="e">
        <f>IF(HLOOKUP(N$5,#REF!,2,FALSE)="","-",HLOOKUP(N$5,#REF!,2,FALSE))</f>
        <v>#REF!</v>
      </c>
      <c r="O7" s="47" t="e">
        <f>IF(HLOOKUP(O$5,#REF!,2,FALSE)="","-",HLOOKUP(O$5,#REF!,2,FALSE))</f>
        <v>#REF!</v>
      </c>
    </row>
    <row r="8" spans="2:19" ht="13.8" x14ac:dyDescent="0.25">
      <c r="B8" s="45" t="s">
        <v>42</v>
      </c>
      <c r="C8" s="47" t="e">
        <f>IF(HLOOKUP(C$5,#REF!,2,FALSE)="","-",HLOOKUP(C$5,#REF!,2,FALSE))</f>
        <v>#REF!</v>
      </c>
      <c r="D8" s="47" t="e">
        <f>IF(HLOOKUP(D$5,#REF!,2,FALSE)="","-",HLOOKUP(D$5,#REF!,2,FALSE))</f>
        <v>#REF!</v>
      </c>
      <c r="E8" s="47" t="e">
        <f>IF(HLOOKUP(E$5,#REF!,2,FALSE)="","-",HLOOKUP(E$5,#REF!,2,FALSE))</f>
        <v>#REF!</v>
      </c>
      <c r="F8" s="47" t="e">
        <f>IF(HLOOKUP(F$5,#REF!,2,FALSE)="","-",HLOOKUP(F$5,#REF!,2,FALSE))</f>
        <v>#REF!</v>
      </c>
      <c r="G8" s="47" t="e">
        <f>IF(HLOOKUP(G$5,#REF!,2,FALSE)="","-",HLOOKUP(G$5,#REF!,2,FALSE))</f>
        <v>#REF!</v>
      </c>
      <c r="H8" s="47" t="e">
        <f>IF(HLOOKUP(H$5,#REF!,2,FALSE)="","-",HLOOKUP(H$5,#REF!,2,FALSE))</f>
        <v>#REF!</v>
      </c>
      <c r="I8" s="47" t="e">
        <f>IF(HLOOKUP(I$5,#REF!,2,FALSE)="","-",HLOOKUP(I$5,#REF!,2,FALSE))</f>
        <v>#REF!</v>
      </c>
      <c r="J8" s="47" t="e">
        <f>IF(HLOOKUP(J$5,#REF!,2,FALSE)="","-",HLOOKUP(J$5,#REF!,2,FALSE))</f>
        <v>#REF!</v>
      </c>
      <c r="K8" s="47" t="e">
        <f>IF(HLOOKUP(K$5,#REF!,2,FALSE)="","-",HLOOKUP(K$5,#REF!,2,FALSE))</f>
        <v>#REF!</v>
      </c>
      <c r="L8" s="47" t="e">
        <f>IF(HLOOKUP(L$5,#REF!,2,FALSE)="","-",HLOOKUP(L$5,#REF!,2,FALSE))</f>
        <v>#REF!</v>
      </c>
      <c r="M8" s="47" t="e">
        <f>IF(HLOOKUP(M$5,#REF!,2,FALSE)="","-",HLOOKUP(M$5,#REF!,2,FALSE))</f>
        <v>#REF!</v>
      </c>
      <c r="N8" s="47" t="e">
        <f>IF(HLOOKUP(N$5,#REF!,2,FALSE)="","-",HLOOKUP(N$5,#REF!,2,FALSE))</f>
        <v>#REF!</v>
      </c>
      <c r="O8" s="47" t="e">
        <f>IF(HLOOKUP(O$5,#REF!,2,FALSE)="","-",HLOOKUP(O$5,#REF!,2,FALSE))</f>
        <v>#REF!</v>
      </c>
    </row>
    <row r="9" spans="2:19" s="44" customFormat="1" ht="13.8" x14ac:dyDescent="0.25">
      <c r="B9" s="45" t="s">
        <v>43</v>
      </c>
      <c r="C9" s="47" t="e">
        <f>IF(HLOOKUP(C$5,#REF!,2,FALSE)="","-",HLOOKUP(C$5,#REF!,2,FALSE))</f>
        <v>#REF!</v>
      </c>
      <c r="D9" s="47" t="e">
        <f>IF(HLOOKUP(D$5,#REF!,2,FALSE)="","-",HLOOKUP(D$5,#REF!,2,FALSE))</f>
        <v>#REF!</v>
      </c>
      <c r="E9" s="47" t="e">
        <f>IF(HLOOKUP(E$5,#REF!,2,FALSE)="","-",HLOOKUP(E$5,#REF!,2,FALSE))</f>
        <v>#REF!</v>
      </c>
      <c r="F9" s="47" t="e">
        <f>IF(HLOOKUP(F$5,#REF!,2,FALSE)="","-",HLOOKUP(F$5,#REF!,2,FALSE))</f>
        <v>#REF!</v>
      </c>
      <c r="G9" s="47" t="e">
        <f>IF(HLOOKUP(G$5,#REF!,2,FALSE)="","-",HLOOKUP(G$5,#REF!,2,FALSE))</f>
        <v>#REF!</v>
      </c>
      <c r="H9" s="47" t="e">
        <f>IF(HLOOKUP(H$5,#REF!,2,FALSE)="","-",HLOOKUP(H$5,#REF!,2,FALSE))</f>
        <v>#REF!</v>
      </c>
      <c r="I9" s="47" t="e">
        <f>IF(HLOOKUP(I$5,#REF!,2,FALSE)="","-",HLOOKUP(I$5,#REF!,2,FALSE))</f>
        <v>#REF!</v>
      </c>
      <c r="J9" s="47" t="e">
        <f>IF(HLOOKUP(J$5,#REF!,2,FALSE)="","-",HLOOKUP(J$5,#REF!,2,FALSE))</f>
        <v>#REF!</v>
      </c>
      <c r="K9" s="47" t="e">
        <f>IF(HLOOKUP(K$5,#REF!,2,FALSE)="","-",HLOOKUP(K$5,#REF!,2,FALSE))</f>
        <v>#REF!</v>
      </c>
      <c r="L9" s="47" t="e">
        <f>IF(HLOOKUP(L$5,#REF!,2,FALSE)="","-",HLOOKUP(L$5,#REF!,2,FALSE))</f>
        <v>#REF!</v>
      </c>
      <c r="M9" s="47" t="e">
        <f>IF(HLOOKUP(M$5,#REF!,2,FALSE)="","-",HLOOKUP(M$5,#REF!,2,FALSE))</f>
        <v>#REF!</v>
      </c>
      <c r="N9" s="47" t="e">
        <f>IF(HLOOKUP(N$5,#REF!,2,FALSE)="","-",HLOOKUP(N$5,#REF!,2,FALSE))</f>
        <v>#REF!</v>
      </c>
      <c r="O9" s="47" t="e">
        <f>IF(HLOOKUP(O$5,#REF!,2,FALSE)="","-",HLOOKUP(O$5,#REF!,2,FALSE))</f>
        <v>#REF!</v>
      </c>
    </row>
    <row r="10" spans="2:19" ht="13.8" x14ac:dyDescent="0.25">
      <c r="B10" s="45" t="s">
        <v>44</v>
      </c>
      <c r="C10" s="47" t="e">
        <f>IF(HLOOKUP(C$5,#REF!,2,FALSE)="","-",HLOOKUP(C$5,#REF!,2,FALSE))</f>
        <v>#REF!</v>
      </c>
      <c r="D10" s="47" t="e">
        <f>IF(HLOOKUP(D$5,#REF!,2,FALSE)="","-",HLOOKUP(D$5,#REF!,2,FALSE))</f>
        <v>#REF!</v>
      </c>
      <c r="E10" s="47" t="e">
        <f>IF(HLOOKUP(E$5,#REF!,2,FALSE)="","-",HLOOKUP(E$5,#REF!,2,FALSE))</f>
        <v>#REF!</v>
      </c>
      <c r="F10" s="47" t="e">
        <f>IF(HLOOKUP(F$5,#REF!,2,FALSE)="","-",HLOOKUP(F$5,#REF!,2,FALSE))</f>
        <v>#REF!</v>
      </c>
      <c r="G10" s="47" t="e">
        <f>IF(HLOOKUP(G$5,#REF!,2,FALSE)="","-",HLOOKUP(G$5,#REF!,2,FALSE))</f>
        <v>#REF!</v>
      </c>
      <c r="H10" s="47" t="e">
        <f>IF(HLOOKUP(H$5,#REF!,2,FALSE)="","-",HLOOKUP(H$5,#REF!,2,FALSE))</f>
        <v>#REF!</v>
      </c>
      <c r="I10" s="47" t="e">
        <f>IF(HLOOKUP(I$5,#REF!,2,FALSE)="","-",HLOOKUP(I$5,#REF!,2,FALSE))</f>
        <v>#REF!</v>
      </c>
      <c r="J10" s="47" t="e">
        <f>IF(HLOOKUP(J$5,#REF!,2,FALSE)="","-",HLOOKUP(J$5,#REF!,2,FALSE))</f>
        <v>#REF!</v>
      </c>
      <c r="K10" s="47" t="e">
        <f>IF(HLOOKUP(K$5,#REF!,2,FALSE)="","-",HLOOKUP(K$5,#REF!,2,FALSE))</f>
        <v>#REF!</v>
      </c>
      <c r="L10" s="47" t="e">
        <f>IF(HLOOKUP(L$5,#REF!,2,FALSE)="","-",HLOOKUP(L$5,#REF!,2,FALSE))</f>
        <v>#REF!</v>
      </c>
      <c r="M10" s="47" t="e">
        <f>IF(HLOOKUP(M$5,#REF!,2,FALSE)="","-",HLOOKUP(M$5,#REF!,2,FALSE))</f>
        <v>#REF!</v>
      </c>
      <c r="N10" s="47" t="e">
        <f>IF(HLOOKUP(N$5,#REF!,2,FALSE)="","-",HLOOKUP(N$5,#REF!,2,FALSE))</f>
        <v>#REF!</v>
      </c>
      <c r="O10" s="47" t="e">
        <f>IF(HLOOKUP(O$5,#REF!,2,FALSE)="","-",HLOOKUP(O$5,#REF!,2,FALSE))</f>
        <v>#REF!</v>
      </c>
    </row>
    <row r="11" spans="2:19" ht="14.4" thickBot="1" x14ac:dyDescent="0.3">
      <c r="B11" s="48" t="s">
        <v>45</v>
      </c>
      <c r="C11" s="47" t="e">
        <f>IF(HLOOKUP(C$5,#REF!,2,FALSE)="","-",HLOOKUP(C$5,#REF!,2,FALSE))</f>
        <v>#REF!</v>
      </c>
      <c r="D11" s="47" t="e">
        <f>IF(HLOOKUP(D$5,#REF!,2,FALSE)="","-",HLOOKUP(D$5,#REF!,2,FALSE))</f>
        <v>#REF!</v>
      </c>
      <c r="E11" s="47" t="e">
        <f>IF(HLOOKUP(E$5,#REF!,2,FALSE)="","-",HLOOKUP(E$5,#REF!,2,FALSE))</f>
        <v>#REF!</v>
      </c>
      <c r="F11" s="47" t="e">
        <f>IF(HLOOKUP(F$5,#REF!,2,FALSE)="","-",HLOOKUP(F$5,#REF!,2,FALSE))</f>
        <v>#REF!</v>
      </c>
      <c r="G11" s="47" t="e">
        <f>IF(HLOOKUP(G$5,#REF!,2,FALSE)="","-",HLOOKUP(G$5,#REF!,2,FALSE))</f>
        <v>#REF!</v>
      </c>
      <c r="H11" s="47" t="e">
        <f>IF(HLOOKUP(H$5,#REF!,2,FALSE)="","-",HLOOKUP(H$5,#REF!,2,FALSE))</f>
        <v>#REF!</v>
      </c>
      <c r="I11" s="47" t="e">
        <f>IF(HLOOKUP(I$5,#REF!,2,FALSE)="","-",HLOOKUP(I$5,#REF!,2,FALSE))</f>
        <v>#REF!</v>
      </c>
      <c r="J11" s="47" t="e">
        <f>IF(HLOOKUP(J$5,#REF!,2,FALSE)="","-",HLOOKUP(J$5,#REF!,2,FALSE))</f>
        <v>#REF!</v>
      </c>
      <c r="K11" s="47" t="e">
        <f>IF(HLOOKUP(K$5,#REF!,2,FALSE)="","-",HLOOKUP(K$5,#REF!,2,FALSE))</f>
        <v>#REF!</v>
      </c>
      <c r="L11" s="47" t="e">
        <f>IF(HLOOKUP(L$5,#REF!,2,FALSE)="","-",HLOOKUP(L$5,#REF!,2,FALSE))</f>
        <v>#REF!</v>
      </c>
      <c r="M11" s="47" t="e">
        <f>IF(HLOOKUP(M$5,#REF!,2,FALSE)="","-",HLOOKUP(M$5,#REF!,2,FALSE))</f>
        <v>#REF!</v>
      </c>
      <c r="N11" s="47" t="e">
        <f>IF(HLOOKUP(N$5,#REF!,2,FALSE)="","-",HLOOKUP(N$5,#REF!,2,FALSE))</f>
        <v>#REF!</v>
      </c>
      <c r="O11" s="47" t="e">
        <f>IF(HLOOKUP(O$5,#REF!,2,FALSE)="","-",HLOOKUP(O$5,#REF!,2,FALSE))</f>
        <v>#REF!</v>
      </c>
      <c r="S11" t="s">
        <v>70</v>
      </c>
    </row>
    <row r="12" spans="2:19" ht="15" thickTop="1" thickBot="1" x14ac:dyDescent="0.3">
      <c r="B12" s="49" t="s">
        <v>61</v>
      </c>
      <c r="C12" s="50" t="e">
        <f>IF(HLOOKUP(C$5,#REF!,2,FALSE)="","-",HLOOKUP(C$5,#REF!,2,FALSE))</f>
        <v>#REF!</v>
      </c>
      <c r="D12" s="50" t="e">
        <f>IF(HLOOKUP(D$5,#REF!,2,FALSE)="","-",HLOOKUP(D$5,#REF!,2,FALSE))</f>
        <v>#REF!</v>
      </c>
      <c r="E12" s="50" t="e">
        <f>IF(HLOOKUP(E$5,#REF!,2,FALSE)="","-",HLOOKUP(E$5,#REF!,2,FALSE))</f>
        <v>#REF!</v>
      </c>
      <c r="F12" s="50" t="e">
        <f>IF(HLOOKUP(F$5,#REF!,2,FALSE)="","-",HLOOKUP(F$5,#REF!,2,FALSE))</f>
        <v>#REF!</v>
      </c>
      <c r="G12" s="50" t="e">
        <f>IF(HLOOKUP(G$5,#REF!,2,FALSE)="","-",HLOOKUP(G$5,#REF!,2,FALSE))</f>
        <v>#REF!</v>
      </c>
      <c r="H12" s="50" t="e">
        <f>IF(HLOOKUP(H$5,#REF!,2,FALSE)="","-",HLOOKUP(H$5,#REF!,2,FALSE))</f>
        <v>#REF!</v>
      </c>
      <c r="I12" s="50" t="e">
        <f>IF(HLOOKUP(I$5,#REF!,2,FALSE)="","-",HLOOKUP(I$5,#REF!,2,FALSE))</f>
        <v>#REF!</v>
      </c>
      <c r="J12" s="50" t="e">
        <f>IF(HLOOKUP(J$5,#REF!,2,FALSE)="","-",HLOOKUP(J$5,#REF!,2,FALSE))</f>
        <v>#REF!</v>
      </c>
      <c r="K12" s="50" t="e">
        <f>IF(HLOOKUP(K$5,#REF!,2,FALSE)="","-",HLOOKUP(K$5,#REF!,2,FALSE))</f>
        <v>#REF!</v>
      </c>
      <c r="L12" s="50" t="e">
        <f>IF(HLOOKUP(L$5,#REF!,2,FALSE)="","-",HLOOKUP(L$5,#REF!,2,FALSE))</f>
        <v>#REF!</v>
      </c>
      <c r="M12" s="50" t="e">
        <f>IF(HLOOKUP(M$5,#REF!,2,FALSE)="","-",HLOOKUP(M$5,#REF!,2,FALSE))</f>
        <v>#REF!</v>
      </c>
      <c r="N12" s="50" t="e">
        <f>IF(HLOOKUP(N$5,#REF!,2,FALSE)="","-",HLOOKUP(N$5,#REF!,2,FALSE))</f>
        <v>#REF!</v>
      </c>
      <c r="O12" s="50" t="e">
        <f>IF(HLOOKUP(O$5,#REF!,2,FALSE)="","-",HLOOKUP(O$5,#REF!,2,FALSE))</f>
        <v>#REF!</v>
      </c>
    </row>
    <row r="13" spans="2:19" ht="15" hidden="1" thickTop="1" thickBot="1" x14ac:dyDescent="0.3">
      <c r="B13" s="49" t="s">
        <v>71</v>
      </c>
      <c r="C13" s="50" t="e">
        <f>IF(HLOOKUP(C5,#REF!,2,0)="","",HLOOKUP(C5,#REF!,2,0))</f>
        <v>#REF!</v>
      </c>
      <c r="D13" s="50" t="e">
        <f>IF(HLOOKUP(D5,#REF!,2,0)="","",HLOOKUP(D5,#REF!,2,0))</f>
        <v>#REF!</v>
      </c>
      <c r="E13" s="50" t="e">
        <f>IF(HLOOKUP(E5,#REF!,2,0)="","",HLOOKUP(E5,#REF!,2,0))</f>
        <v>#REF!</v>
      </c>
      <c r="F13" s="50" t="e">
        <f>IF(HLOOKUP(F5,#REF!,2,0)="","",HLOOKUP(F5,#REF!,2,0))</f>
        <v>#REF!</v>
      </c>
      <c r="G13" s="50" t="e">
        <f>IF(HLOOKUP(G5,#REF!,2,0)="","",HLOOKUP(G5,#REF!,2,0))</f>
        <v>#REF!</v>
      </c>
      <c r="H13" s="50" t="e">
        <f>IF(HLOOKUP(H5,#REF!,2,0)="","",HLOOKUP(H5,#REF!,2,0))</f>
        <v>#REF!</v>
      </c>
      <c r="I13" s="50" t="e">
        <f>IF(HLOOKUP(I5,#REF!,2,0)="","",HLOOKUP(I5,#REF!,2,0))</f>
        <v>#REF!</v>
      </c>
      <c r="J13" s="50" t="e">
        <f>IF(HLOOKUP(J5,#REF!,2,0)="","",HLOOKUP(J5,#REF!,2,0))</f>
        <v>#REF!</v>
      </c>
      <c r="K13" s="50" t="e">
        <f>IF(HLOOKUP(K5,#REF!,2,0)="","",HLOOKUP(K5,#REF!,2,0))</f>
        <v>#REF!</v>
      </c>
      <c r="L13" s="50" t="e">
        <f>IF(HLOOKUP(L5,#REF!,2,0)="","",HLOOKUP(L5,#REF!,2,0))</f>
        <v>#REF!</v>
      </c>
      <c r="M13" s="50" t="e">
        <f>IF(HLOOKUP(M5,#REF!,2,0)="","",HLOOKUP(M5,#REF!,2,0))</f>
        <v>#REF!</v>
      </c>
      <c r="N13" s="50" t="e">
        <f>IF(HLOOKUP(N5,#REF!,2,0)="","",HLOOKUP(N5,#REF!,2,0))</f>
        <v>#REF!</v>
      </c>
      <c r="O13" s="50" t="e">
        <f>IF(HLOOKUP(O5,#REF!,2,0)="","",HLOOKUP(O5,#REF!,2,0))</f>
        <v>#REF!</v>
      </c>
    </row>
    <row r="14" spans="2:19" ht="14.4" thickTop="1" x14ac:dyDescent="0.25">
      <c r="B14" s="53" t="s">
        <v>63</v>
      </c>
    </row>
    <row r="15" spans="2:19" ht="13.8" x14ac:dyDescent="0.25">
      <c r="B15" s="53"/>
    </row>
    <row r="16" spans="2:19" ht="13.8" x14ac:dyDescent="0.25">
      <c r="B16" s="46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</row>
    <row r="17" spans="2:15" ht="15.6" x14ac:dyDescent="0.3">
      <c r="B17" s="229" t="s">
        <v>89</v>
      </c>
      <c r="C17" s="229"/>
      <c r="D17" s="229"/>
      <c r="E17" s="229"/>
      <c r="F17" s="229"/>
      <c r="G17" s="229"/>
      <c r="H17" s="229"/>
      <c r="I17" s="229"/>
      <c r="J17" s="229"/>
      <c r="K17" s="229"/>
      <c r="L17" s="229"/>
      <c r="M17" s="229"/>
      <c r="N17" s="229"/>
      <c r="O17" s="229"/>
    </row>
    <row r="18" spans="2:15" ht="15.6" x14ac:dyDescent="0.3">
      <c r="B18" s="230" t="s">
        <v>60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</row>
    <row r="19" spans="2:15" ht="15.6" x14ac:dyDescent="0.3">
      <c r="B19" s="43"/>
    </row>
    <row r="20" spans="2:15" ht="16.2" thickBot="1" x14ac:dyDescent="0.35">
      <c r="B20" s="43"/>
    </row>
    <row r="21" spans="2:15" ht="15" thickTop="1" thickBot="1" x14ac:dyDescent="0.3">
      <c r="B21" s="56"/>
      <c r="C21" s="57">
        <f t="shared" ref="C21:O21" si="1">C52</f>
        <v>45078</v>
      </c>
      <c r="D21" s="57">
        <f t="shared" si="1"/>
        <v>45108</v>
      </c>
      <c r="E21" s="57">
        <f t="shared" si="1"/>
        <v>45139</v>
      </c>
      <c r="F21" s="57">
        <f t="shared" si="1"/>
        <v>45170</v>
      </c>
      <c r="G21" s="57">
        <f t="shared" si="1"/>
        <v>45200</v>
      </c>
      <c r="H21" s="57">
        <f t="shared" si="1"/>
        <v>45231</v>
      </c>
      <c r="I21" s="57">
        <f t="shared" si="1"/>
        <v>45261</v>
      </c>
      <c r="J21" s="57">
        <f t="shared" si="1"/>
        <v>45292</v>
      </c>
      <c r="K21" s="57">
        <f t="shared" si="1"/>
        <v>45323</v>
      </c>
      <c r="L21" s="57">
        <f t="shared" si="1"/>
        <v>45352</v>
      </c>
      <c r="M21" s="57">
        <f t="shared" si="1"/>
        <v>45383</v>
      </c>
      <c r="N21" s="57">
        <f t="shared" si="1"/>
        <v>45413</v>
      </c>
      <c r="O21" s="57">
        <f t="shared" si="1"/>
        <v>45444</v>
      </c>
    </row>
    <row r="22" spans="2:15" ht="14.4" thickTop="1" x14ac:dyDescent="0.25">
      <c r="B22" s="44" t="s">
        <v>40</v>
      </c>
      <c r="C22" s="47" t="e">
        <f>IF(HLOOKUP(C$5,#REF!,3,FALSE)="","-",HLOOKUP(C$5,#REF!,3,FALSE))</f>
        <v>#REF!</v>
      </c>
      <c r="D22" s="47" t="e">
        <f>IF(HLOOKUP(D$5,#REF!,3,FALSE)="","-",HLOOKUP(D$5,#REF!,3,FALSE))</f>
        <v>#REF!</v>
      </c>
      <c r="E22" s="47" t="e">
        <f>IF(HLOOKUP(E$5,#REF!,3,FALSE)="","-",HLOOKUP(E$5,#REF!,3,FALSE))</f>
        <v>#REF!</v>
      </c>
      <c r="F22" s="47" t="e">
        <f>IF(HLOOKUP(F$5,#REF!,3,FALSE)="","-",HLOOKUP(F$5,#REF!,3,FALSE))</f>
        <v>#REF!</v>
      </c>
      <c r="G22" s="47" t="e">
        <f>IF(HLOOKUP(G$5,#REF!,3,FALSE)="","-",HLOOKUP(G$5,#REF!,3,FALSE))</f>
        <v>#REF!</v>
      </c>
      <c r="H22" s="47" t="e">
        <f>IF(HLOOKUP(H$5,#REF!,3,FALSE)="","-",HLOOKUP(H$5,#REF!,3,FALSE))</f>
        <v>#REF!</v>
      </c>
      <c r="I22" s="47" t="e">
        <f>IF(HLOOKUP(I$5,#REF!,3,FALSE)="","-",HLOOKUP(I$5,#REF!,3,FALSE))</f>
        <v>#REF!</v>
      </c>
      <c r="J22" s="47" t="e">
        <f>IF(HLOOKUP(J$5,#REF!,3,FALSE)="","-",HLOOKUP(J$5,#REF!,3,FALSE))</f>
        <v>#REF!</v>
      </c>
      <c r="K22" s="47" t="e">
        <f>IF(HLOOKUP(K$5,#REF!,3,FALSE)="","-",HLOOKUP(K$5,#REF!,3,FALSE))</f>
        <v>#REF!</v>
      </c>
      <c r="L22" s="47" t="e">
        <f>IF(HLOOKUP(L$5,#REF!,3,FALSE)="","-",HLOOKUP(L$5,#REF!,3,FALSE))</f>
        <v>#REF!</v>
      </c>
      <c r="M22" s="47" t="e">
        <f>IF(HLOOKUP(M$5,#REF!,3,FALSE)="","-",HLOOKUP(M$5,#REF!,3,FALSE))</f>
        <v>#REF!</v>
      </c>
      <c r="N22" s="47" t="e">
        <f>IF(HLOOKUP(N$5,#REF!,3,FALSE)="","-",HLOOKUP(N$5,#REF!,3,FALSE))</f>
        <v>#REF!</v>
      </c>
      <c r="O22" s="47" t="e">
        <f>IF(HLOOKUP(O$5,#REF!,3,FALSE)="","-",HLOOKUP(O$5,#REF!,3,FALSE))</f>
        <v>#REF!</v>
      </c>
    </row>
    <row r="23" spans="2:15" ht="13.8" x14ac:dyDescent="0.25">
      <c r="B23" s="44" t="s">
        <v>47</v>
      </c>
      <c r="C23" s="47" t="e">
        <f>IF(HLOOKUP(C$5,#REF!,3,FALSE)="","-",HLOOKUP(C$5,#REF!,3,FALSE))</f>
        <v>#REF!</v>
      </c>
      <c r="D23" s="47" t="e">
        <f>IF(HLOOKUP(D$5,#REF!,3,FALSE)="","-",HLOOKUP(D$5,#REF!,3,FALSE))</f>
        <v>#REF!</v>
      </c>
      <c r="E23" s="47" t="e">
        <f>IF(HLOOKUP(E$5,#REF!,3,FALSE)="","-",HLOOKUP(E$5,#REF!,3,FALSE))</f>
        <v>#REF!</v>
      </c>
      <c r="F23" s="47" t="e">
        <f>IF(HLOOKUP(F$5,#REF!,3,FALSE)="","-",HLOOKUP(F$5,#REF!,3,FALSE))</f>
        <v>#REF!</v>
      </c>
      <c r="G23" s="47" t="e">
        <f>IF(HLOOKUP(G$5,#REF!,3,FALSE)="","-",HLOOKUP(G$5,#REF!,3,FALSE))</f>
        <v>#REF!</v>
      </c>
      <c r="H23" s="47" t="e">
        <f>IF(HLOOKUP(H$5,#REF!,3,FALSE)="","-",HLOOKUP(H$5,#REF!,3,FALSE))</f>
        <v>#REF!</v>
      </c>
      <c r="I23" s="47" t="e">
        <f>IF(HLOOKUP(I$5,#REF!,3,FALSE)="","-",HLOOKUP(I$5,#REF!,3,FALSE))</f>
        <v>#REF!</v>
      </c>
      <c r="J23" s="47" t="e">
        <f>IF(HLOOKUP(J$5,#REF!,3,FALSE)="","-",HLOOKUP(J$5,#REF!,3,FALSE))</f>
        <v>#REF!</v>
      </c>
      <c r="K23" s="47" t="e">
        <f>IF(HLOOKUP(K$5,#REF!,3,FALSE)="","-",HLOOKUP(K$5,#REF!,3,FALSE))</f>
        <v>#REF!</v>
      </c>
      <c r="L23" s="47" t="e">
        <f>IF(HLOOKUP(L$5,#REF!,3,FALSE)="","-",HLOOKUP(L$5,#REF!,3,FALSE))</f>
        <v>#REF!</v>
      </c>
      <c r="M23" s="47" t="e">
        <f>IF(HLOOKUP(M$5,#REF!,3,FALSE)="","-",HLOOKUP(M$5,#REF!,3,FALSE))</f>
        <v>#REF!</v>
      </c>
      <c r="N23" s="47" t="e">
        <f>IF(HLOOKUP(N$5,#REF!,3,FALSE)="","-",HLOOKUP(N$5,#REF!,3,FALSE))</f>
        <v>#REF!</v>
      </c>
      <c r="O23" s="47" t="e">
        <f>IF(HLOOKUP(O$5,#REF!,3,FALSE)="","-",HLOOKUP(O$5,#REF!,3,FALSE))</f>
        <v>#REF!</v>
      </c>
    </row>
    <row r="24" spans="2:15" ht="13.8" x14ac:dyDescent="0.25">
      <c r="B24" s="44" t="s">
        <v>42</v>
      </c>
      <c r="C24" s="47" t="e">
        <f>IF(HLOOKUP(C$5,#REF!,3,FALSE)="","-",HLOOKUP(C$5,#REF!,3,FALSE))</f>
        <v>#REF!</v>
      </c>
      <c r="D24" s="47" t="e">
        <f>IF(HLOOKUP(D$5,#REF!,3,FALSE)="","-",HLOOKUP(D$5,#REF!,3,FALSE))</f>
        <v>#REF!</v>
      </c>
      <c r="E24" s="47" t="e">
        <f>IF(HLOOKUP(E$5,#REF!,3,FALSE)="","-",HLOOKUP(E$5,#REF!,3,FALSE))</f>
        <v>#REF!</v>
      </c>
      <c r="F24" s="47" t="e">
        <f>IF(HLOOKUP(F$5,#REF!,3,FALSE)="","-",HLOOKUP(F$5,#REF!,3,FALSE))</f>
        <v>#REF!</v>
      </c>
      <c r="G24" s="47" t="e">
        <f>IF(HLOOKUP(G$5,#REF!,3,FALSE)="","-",HLOOKUP(G$5,#REF!,3,FALSE))</f>
        <v>#REF!</v>
      </c>
      <c r="H24" s="47" t="e">
        <f>IF(HLOOKUP(H$5,#REF!,3,FALSE)="","-",HLOOKUP(H$5,#REF!,3,FALSE))</f>
        <v>#REF!</v>
      </c>
      <c r="I24" s="47" t="e">
        <f>IF(HLOOKUP(I$5,#REF!,3,FALSE)="","-",HLOOKUP(I$5,#REF!,3,FALSE))</f>
        <v>#REF!</v>
      </c>
      <c r="J24" s="47" t="e">
        <f>IF(HLOOKUP(J$5,#REF!,3,FALSE)="","-",HLOOKUP(J$5,#REF!,3,FALSE))</f>
        <v>#REF!</v>
      </c>
      <c r="K24" s="47" t="e">
        <f>IF(HLOOKUP(K$5,#REF!,3,FALSE)="","-",HLOOKUP(K$5,#REF!,3,FALSE))</f>
        <v>#REF!</v>
      </c>
      <c r="L24" s="47" t="e">
        <f>IF(HLOOKUP(L$5,#REF!,3,FALSE)="","-",HLOOKUP(L$5,#REF!,3,FALSE))</f>
        <v>#REF!</v>
      </c>
      <c r="M24" s="47" t="e">
        <f>IF(HLOOKUP(M$5,#REF!,3,FALSE)="","-",HLOOKUP(M$5,#REF!,3,FALSE))</f>
        <v>#REF!</v>
      </c>
      <c r="N24" s="47" t="e">
        <f>IF(HLOOKUP(N$5,#REF!,3,FALSE)="","-",HLOOKUP(N$5,#REF!,3,FALSE))</f>
        <v>#REF!</v>
      </c>
      <c r="O24" s="47" t="e">
        <f>IF(HLOOKUP(O$5,#REF!,3,FALSE)="","-",HLOOKUP(O$5,#REF!,3,FALSE))</f>
        <v>#REF!</v>
      </c>
    </row>
    <row r="25" spans="2:15" ht="13.8" x14ac:dyDescent="0.25">
      <c r="B25" s="44" t="s">
        <v>43</v>
      </c>
      <c r="C25" s="47" t="e">
        <f>IF(HLOOKUP(C$5,#REF!,3,FALSE)="","-",HLOOKUP(C$5,#REF!,3,FALSE))</f>
        <v>#REF!</v>
      </c>
      <c r="D25" s="47" t="e">
        <f>IF(HLOOKUP(D$5,#REF!,3,FALSE)="","-",HLOOKUP(D$5,#REF!,3,FALSE))</f>
        <v>#REF!</v>
      </c>
      <c r="E25" s="47" t="e">
        <f>IF(HLOOKUP(E$5,#REF!,3,FALSE)="","-",HLOOKUP(E$5,#REF!,3,FALSE))</f>
        <v>#REF!</v>
      </c>
      <c r="F25" s="47" t="e">
        <f>IF(HLOOKUP(F$5,#REF!,3,FALSE)="","-",HLOOKUP(F$5,#REF!,3,FALSE))</f>
        <v>#REF!</v>
      </c>
      <c r="G25" s="47" t="e">
        <f>IF(HLOOKUP(G$5,#REF!,3,FALSE)="","-",HLOOKUP(G$5,#REF!,3,FALSE))</f>
        <v>#REF!</v>
      </c>
      <c r="H25" s="47" t="e">
        <f>IF(HLOOKUP(H$5,#REF!,3,FALSE)="","-",HLOOKUP(H$5,#REF!,3,FALSE))</f>
        <v>#REF!</v>
      </c>
      <c r="I25" s="47" t="e">
        <f>IF(HLOOKUP(I$5,#REF!,3,FALSE)="","-",HLOOKUP(I$5,#REF!,3,FALSE))</f>
        <v>#REF!</v>
      </c>
      <c r="J25" s="47" t="e">
        <f>IF(HLOOKUP(J$5,#REF!,3,FALSE)="","-",HLOOKUP(J$5,#REF!,3,FALSE))</f>
        <v>#REF!</v>
      </c>
      <c r="K25" s="47" t="e">
        <f>IF(HLOOKUP(K$5,#REF!,3,FALSE)="","-",HLOOKUP(K$5,#REF!,3,FALSE))</f>
        <v>#REF!</v>
      </c>
      <c r="L25" s="47" t="e">
        <f>IF(HLOOKUP(L$5,#REF!,3,FALSE)="","-",HLOOKUP(L$5,#REF!,3,FALSE))</f>
        <v>#REF!</v>
      </c>
      <c r="M25" s="47" t="e">
        <f>IF(HLOOKUP(M$5,#REF!,3,FALSE)="","-",HLOOKUP(M$5,#REF!,3,FALSE))</f>
        <v>#REF!</v>
      </c>
      <c r="N25" s="47" t="e">
        <f>IF(HLOOKUP(N$5,#REF!,3,FALSE)="","-",HLOOKUP(N$5,#REF!,3,FALSE))</f>
        <v>#REF!</v>
      </c>
      <c r="O25" s="47" t="e">
        <f>IF(HLOOKUP(O$5,#REF!,3,FALSE)="","-",HLOOKUP(O$5,#REF!,3,FALSE))</f>
        <v>#REF!</v>
      </c>
    </row>
    <row r="26" spans="2:15" ht="13.8" x14ac:dyDescent="0.25">
      <c r="B26" s="44" t="s">
        <v>44</v>
      </c>
      <c r="C26" s="47" t="e">
        <f>IF(HLOOKUP(C$5,#REF!,3,FALSE)="","-",HLOOKUP(C$5,#REF!,3,FALSE))</f>
        <v>#REF!</v>
      </c>
      <c r="D26" s="47" t="e">
        <f>IF(HLOOKUP(D$5,#REF!,3,FALSE)="","-",HLOOKUP(D$5,#REF!,3,FALSE))</f>
        <v>#REF!</v>
      </c>
      <c r="E26" s="47" t="e">
        <f>IF(HLOOKUP(E$5,#REF!,3,FALSE)="","-",HLOOKUP(E$5,#REF!,3,FALSE))</f>
        <v>#REF!</v>
      </c>
      <c r="F26" s="47" t="e">
        <f>IF(HLOOKUP(F$5,#REF!,3,FALSE)="","-",HLOOKUP(F$5,#REF!,3,FALSE))</f>
        <v>#REF!</v>
      </c>
      <c r="G26" s="47" t="e">
        <f>IF(HLOOKUP(G$5,#REF!,3,FALSE)="","-",HLOOKUP(G$5,#REF!,3,FALSE))</f>
        <v>#REF!</v>
      </c>
      <c r="H26" s="47" t="e">
        <f>IF(HLOOKUP(H$5,#REF!,3,FALSE)="","-",HLOOKUP(H$5,#REF!,3,FALSE))</f>
        <v>#REF!</v>
      </c>
      <c r="I26" s="47" t="e">
        <f>IF(HLOOKUP(I$5,#REF!,3,FALSE)="","-",HLOOKUP(I$5,#REF!,3,FALSE))</f>
        <v>#REF!</v>
      </c>
      <c r="J26" s="47" t="e">
        <f>IF(HLOOKUP(J$5,#REF!,3,FALSE)="","-",HLOOKUP(J$5,#REF!,3,FALSE))</f>
        <v>#REF!</v>
      </c>
      <c r="K26" s="47" t="e">
        <f>IF(HLOOKUP(K$5,#REF!,3,FALSE)="","-",HLOOKUP(K$5,#REF!,3,FALSE))</f>
        <v>#REF!</v>
      </c>
      <c r="L26" s="47" t="e">
        <f>IF(HLOOKUP(L$5,#REF!,3,FALSE)="","-",HLOOKUP(L$5,#REF!,3,FALSE))</f>
        <v>#REF!</v>
      </c>
      <c r="M26" s="47" t="e">
        <f>IF(HLOOKUP(M$5,#REF!,3,FALSE)="","-",HLOOKUP(M$5,#REF!,3,FALSE))</f>
        <v>#REF!</v>
      </c>
      <c r="N26" s="47" t="e">
        <f>IF(HLOOKUP(N$5,#REF!,3,FALSE)="","-",HLOOKUP(N$5,#REF!,3,FALSE))</f>
        <v>#REF!</v>
      </c>
      <c r="O26" s="47" t="e">
        <f>IF(HLOOKUP(O$5,#REF!,3,FALSE)="","-",HLOOKUP(O$5,#REF!,3,FALSE))</f>
        <v>#REF!</v>
      </c>
    </row>
    <row r="27" spans="2:15" ht="14.4" thickBot="1" x14ac:dyDescent="0.3">
      <c r="B27" s="45" t="s">
        <v>45</v>
      </c>
      <c r="C27" s="47" t="e">
        <f>IF(HLOOKUP(C$5,#REF!,3,FALSE)="","-",HLOOKUP(C$5,#REF!,3,FALSE))</f>
        <v>#REF!</v>
      </c>
      <c r="D27" s="47" t="e">
        <f>IF(HLOOKUP(D$5,#REF!,3,FALSE)="","-",HLOOKUP(D$5,#REF!,3,FALSE))</f>
        <v>#REF!</v>
      </c>
      <c r="E27" s="47" t="e">
        <f>IF(HLOOKUP(E$5,#REF!,3,FALSE)="","-",HLOOKUP(E$5,#REF!,3,FALSE))</f>
        <v>#REF!</v>
      </c>
      <c r="F27" s="47" t="e">
        <f>IF(HLOOKUP(F$5,#REF!,3,FALSE)="","-",HLOOKUP(F$5,#REF!,3,FALSE))</f>
        <v>#REF!</v>
      </c>
      <c r="G27" s="47" t="e">
        <f>IF(HLOOKUP(G$5,#REF!,3,FALSE)="","-",HLOOKUP(G$5,#REF!,3,FALSE))</f>
        <v>#REF!</v>
      </c>
      <c r="H27" s="47" t="e">
        <f>IF(HLOOKUP(H$5,#REF!,3,FALSE)="","-",HLOOKUP(H$5,#REF!,3,FALSE))</f>
        <v>#REF!</v>
      </c>
      <c r="I27" s="47" t="e">
        <f>IF(HLOOKUP(I$5,#REF!,3,FALSE)="","-",HLOOKUP(I$5,#REF!,3,FALSE))</f>
        <v>#REF!</v>
      </c>
      <c r="J27" s="47" t="e">
        <f>IF(HLOOKUP(J$5,#REF!,3,FALSE)="","-",HLOOKUP(J$5,#REF!,3,FALSE))</f>
        <v>#REF!</v>
      </c>
      <c r="K27" s="47" t="e">
        <f>IF(HLOOKUP(K$5,#REF!,3,FALSE)="","-",HLOOKUP(K$5,#REF!,3,FALSE))</f>
        <v>#REF!</v>
      </c>
      <c r="L27" s="47" t="e">
        <f>IF(HLOOKUP(L$5,#REF!,3,FALSE)="","-",HLOOKUP(L$5,#REF!,3,FALSE))</f>
        <v>#REF!</v>
      </c>
      <c r="M27" s="47" t="e">
        <f>IF(HLOOKUP(M$5,#REF!,3,FALSE)="","-",HLOOKUP(M$5,#REF!,3,FALSE))</f>
        <v>#REF!</v>
      </c>
      <c r="N27" s="47" t="e">
        <f>IF(HLOOKUP(N$5,#REF!,3,FALSE)="","-",HLOOKUP(N$5,#REF!,3,FALSE))</f>
        <v>#REF!</v>
      </c>
      <c r="O27" s="47" t="e">
        <f>IF(HLOOKUP(O$5,#REF!,3,FALSE)="","-",HLOOKUP(O$5,#REF!,3,FALSE))</f>
        <v>#REF!</v>
      </c>
    </row>
    <row r="28" spans="2:15" ht="15" thickTop="1" thickBot="1" x14ac:dyDescent="0.3">
      <c r="B28" s="49" t="s">
        <v>61</v>
      </c>
      <c r="C28" s="50" t="e">
        <f>IF(HLOOKUP(C$5,#REF!,3,FALSE)="","-",HLOOKUP(C$5,#REF!,3,FALSE))</f>
        <v>#REF!</v>
      </c>
      <c r="D28" s="50" t="e">
        <f>IF(HLOOKUP(D$5,#REF!,3,FALSE)="","-",HLOOKUP(D$5,#REF!,3,FALSE))</f>
        <v>#REF!</v>
      </c>
      <c r="E28" s="50" t="e">
        <f>IF(HLOOKUP(E$5,#REF!,3,FALSE)="","-",HLOOKUP(E$5,#REF!,3,FALSE))</f>
        <v>#REF!</v>
      </c>
      <c r="F28" s="50" t="e">
        <f>IF(HLOOKUP(F$5,#REF!,3,FALSE)="","-",HLOOKUP(F$5,#REF!,3,FALSE))</f>
        <v>#REF!</v>
      </c>
      <c r="G28" s="50" t="e">
        <f>IF(HLOOKUP(G$5,#REF!,3,FALSE)="","-",HLOOKUP(G$5,#REF!,3,FALSE))</f>
        <v>#REF!</v>
      </c>
      <c r="H28" s="50" t="e">
        <f>IF(HLOOKUP(H$5,#REF!,3,FALSE)="","-",HLOOKUP(H$5,#REF!,3,FALSE))</f>
        <v>#REF!</v>
      </c>
      <c r="I28" s="50" t="e">
        <f>IF(HLOOKUP(I$5,#REF!,3,FALSE)="","-",HLOOKUP(I$5,#REF!,3,FALSE))</f>
        <v>#REF!</v>
      </c>
      <c r="J28" s="50" t="e">
        <f>IF(HLOOKUP(J$5,#REF!,3,FALSE)="","-",HLOOKUP(J$5,#REF!,3,FALSE))</f>
        <v>#REF!</v>
      </c>
      <c r="K28" s="50" t="e">
        <f>IF(HLOOKUP(K$5,#REF!,3,FALSE)="","-",HLOOKUP(K$5,#REF!,3,FALSE))</f>
        <v>#REF!</v>
      </c>
      <c r="L28" s="50" t="e">
        <f>IF(HLOOKUP(L$5,#REF!,3,FALSE)="","-",HLOOKUP(L$5,#REF!,3,FALSE))</f>
        <v>#REF!</v>
      </c>
      <c r="M28" s="50" t="e">
        <f>IF(HLOOKUP(M$5,#REF!,3,FALSE)="","-",HLOOKUP(M$5,#REF!,3,FALSE))</f>
        <v>#REF!</v>
      </c>
      <c r="N28" s="50" t="e">
        <f>IF(HLOOKUP(N$5,#REF!,3,FALSE)="","-",HLOOKUP(N$5,#REF!,3,FALSE))</f>
        <v>#REF!</v>
      </c>
      <c r="O28" s="50" t="e">
        <f>IF(HLOOKUP(O$5,#REF!,3,FALSE)="","-",HLOOKUP(O$5,#REF!,3,FALSE))</f>
        <v>#REF!</v>
      </c>
    </row>
    <row r="29" spans="2:15" ht="15" hidden="1" thickTop="1" thickBot="1" x14ac:dyDescent="0.3">
      <c r="B29" s="49" t="s">
        <v>71</v>
      </c>
      <c r="C29" s="50" t="e">
        <f>IF(HLOOKUP(C21,#REF!,3,0)="","",HLOOKUP(C21,#REF!,3,0))</f>
        <v>#REF!</v>
      </c>
      <c r="D29" s="50" t="e">
        <f>IF(HLOOKUP(D21,#REF!,3,0)="","",HLOOKUP(D21,#REF!,3,0))</f>
        <v>#REF!</v>
      </c>
      <c r="E29" s="50" t="e">
        <f>IF(HLOOKUP(E21,#REF!,3,0)="","",HLOOKUP(E21,#REF!,3,0))</f>
        <v>#REF!</v>
      </c>
      <c r="F29" s="50" t="e">
        <f>IF(HLOOKUP(F21,#REF!,3,0)="","",HLOOKUP(F21,#REF!,3,0))</f>
        <v>#REF!</v>
      </c>
      <c r="G29" s="50" t="e">
        <f>IF(HLOOKUP(G21,#REF!,3,0)="","",HLOOKUP(G21,#REF!,3,0))</f>
        <v>#REF!</v>
      </c>
      <c r="H29" s="50" t="e">
        <f>IF(HLOOKUP(H21,#REF!,3,0)="","",HLOOKUP(H21,#REF!,3,0))</f>
        <v>#REF!</v>
      </c>
      <c r="I29" s="50" t="e">
        <f>IF(HLOOKUP(I21,#REF!,3,0)="","",HLOOKUP(I21,#REF!,3,0))</f>
        <v>#REF!</v>
      </c>
      <c r="J29" s="50" t="e">
        <f>IF(HLOOKUP(J21,#REF!,3,0)="","",HLOOKUP(J21,#REF!,3,0))</f>
        <v>#REF!</v>
      </c>
      <c r="K29" s="50" t="e">
        <f>IF(HLOOKUP(K21,#REF!,3,0)="","",HLOOKUP(K21,#REF!,3,0))</f>
        <v>#REF!</v>
      </c>
      <c r="L29" s="50" t="e">
        <f>IF(HLOOKUP(L21,#REF!,3,0)="","",HLOOKUP(L21,#REF!,3,0))</f>
        <v>#REF!</v>
      </c>
      <c r="M29" s="50" t="e">
        <f>IF(HLOOKUP(M21,#REF!,3,0)="","",HLOOKUP(M21,#REF!,3,0))</f>
        <v>#REF!</v>
      </c>
      <c r="N29" s="50" t="e">
        <f>IF(HLOOKUP(N21,#REF!,3,0)="","",HLOOKUP(N21,#REF!,3,0))</f>
        <v>#REF!</v>
      </c>
      <c r="O29" s="50" t="e">
        <f>IF(HLOOKUP(O21,#REF!,3,0)="","",HLOOKUP(O21,#REF!,3,0))</f>
        <v>#REF!</v>
      </c>
    </row>
    <row r="30" spans="2:15" ht="14.4" thickTop="1" x14ac:dyDescent="0.25">
      <c r="B30" s="53" t="s">
        <v>63</v>
      </c>
    </row>
    <row r="33" spans="2:15" ht="15.6" x14ac:dyDescent="0.3">
      <c r="B33" s="229" t="s">
        <v>77</v>
      </c>
      <c r="C33" s="229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</row>
    <row r="34" spans="2:15" ht="15.6" x14ac:dyDescent="0.3">
      <c r="B34" s="230" t="s">
        <v>58</v>
      </c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</row>
    <row r="35" spans="2:15" ht="15.6" x14ac:dyDescent="0.3">
      <c r="B35" s="43"/>
      <c r="C35" s="52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</row>
    <row r="36" spans="2:15" ht="13.8" thickBot="1" x14ac:dyDescent="0.3">
      <c r="B36" s="41"/>
      <c r="C36" s="41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</row>
    <row r="37" spans="2:15" ht="15" thickTop="1" thickBot="1" x14ac:dyDescent="0.3">
      <c r="B37" s="56"/>
      <c r="C37" s="57">
        <f>C$52</f>
        <v>45078</v>
      </c>
      <c r="D37" s="57">
        <f t="shared" ref="D37:O37" si="2">D$52</f>
        <v>45108</v>
      </c>
      <c r="E37" s="57">
        <f t="shared" si="2"/>
        <v>45139</v>
      </c>
      <c r="F37" s="57">
        <f t="shared" si="2"/>
        <v>45170</v>
      </c>
      <c r="G37" s="57">
        <f t="shared" si="2"/>
        <v>45200</v>
      </c>
      <c r="H37" s="57">
        <f t="shared" si="2"/>
        <v>45231</v>
      </c>
      <c r="I37" s="57">
        <f t="shared" si="2"/>
        <v>45261</v>
      </c>
      <c r="J37" s="57">
        <f t="shared" si="2"/>
        <v>45292</v>
      </c>
      <c r="K37" s="57">
        <f t="shared" si="2"/>
        <v>45323</v>
      </c>
      <c r="L37" s="57">
        <f t="shared" si="2"/>
        <v>45352</v>
      </c>
      <c r="M37" s="57">
        <f t="shared" si="2"/>
        <v>45383</v>
      </c>
      <c r="N37" s="57">
        <f t="shared" si="2"/>
        <v>45413</v>
      </c>
      <c r="O37" s="57">
        <f t="shared" si="2"/>
        <v>45444</v>
      </c>
    </row>
    <row r="38" spans="2:15" s="44" customFormat="1" ht="14.4" thickTop="1" x14ac:dyDescent="0.25">
      <c r="B38" s="54" t="s">
        <v>46</v>
      </c>
      <c r="C38" s="58" t="e">
        <f t="shared" ref="C38:O38" si="3">C12</f>
        <v>#REF!</v>
      </c>
      <c r="D38" s="58" t="e">
        <f t="shared" si="3"/>
        <v>#REF!</v>
      </c>
      <c r="E38" s="58" t="e">
        <f t="shared" si="3"/>
        <v>#REF!</v>
      </c>
      <c r="F38" s="58" t="e">
        <f t="shared" si="3"/>
        <v>#REF!</v>
      </c>
      <c r="G38" s="58" t="e">
        <f t="shared" si="3"/>
        <v>#REF!</v>
      </c>
      <c r="H38" s="58" t="e">
        <f t="shared" si="3"/>
        <v>#REF!</v>
      </c>
      <c r="I38" s="58" t="e">
        <f t="shared" si="3"/>
        <v>#REF!</v>
      </c>
      <c r="J38" s="58" t="e">
        <f t="shared" si="3"/>
        <v>#REF!</v>
      </c>
      <c r="K38" s="58" t="e">
        <f t="shared" si="3"/>
        <v>#REF!</v>
      </c>
      <c r="L38" s="58" t="e">
        <f t="shared" si="3"/>
        <v>#REF!</v>
      </c>
      <c r="M38" s="58" t="e">
        <f t="shared" si="3"/>
        <v>#REF!</v>
      </c>
      <c r="N38" s="58" t="e">
        <f t="shared" si="3"/>
        <v>#REF!</v>
      </c>
      <c r="O38" s="58" t="e">
        <f t="shared" si="3"/>
        <v>#REF!</v>
      </c>
    </row>
    <row r="39" spans="2:15" s="44" customFormat="1" ht="13.8" x14ac:dyDescent="0.25">
      <c r="B39" s="54" t="s">
        <v>50</v>
      </c>
      <c r="C39" s="58" t="e">
        <f>IF(HLOOKUP(C$52,#REF!,4,FALSE)="","-",HLOOKUP(C$52,#REF!,4,FALSE))</f>
        <v>#REF!</v>
      </c>
      <c r="D39" s="58" t="e">
        <f>IF(HLOOKUP(D$52,#REF!,4,FALSE)="","-",HLOOKUP(D$52,#REF!,4,FALSE))</f>
        <v>#REF!</v>
      </c>
      <c r="E39" s="58" t="e">
        <f>IF(HLOOKUP(E$52,#REF!,4,FALSE)="","-",HLOOKUP(E$52,#REF!,4,FALSE))</f>
        <v>#REF!</v>
      </c>
      <c r="F39" s="58" t="e">
        <f>IF(HLOOKUP(F$52,#REF!,4,FALSE)="","-",HLOOKUP(F$52,#REF!,4,FALSE))</f>
        <v>#REF!</v>
      </c>
      <c r="G39" s="58" t="e">
        <f>IF(HLOOKUP(G$52,#REF!,4,FALSE)="","-",HLOOKUP(G$52,#REF!,4,FALSE))</f>
        <v>#REF!</v>
      </c>
      <c r="H39" s="58" t="e">
        <f>IF(HLOOKUP(H$52,#REF!,4,FALSE)="","-",HLOOKUP(H$52,#REF!,4,FALSE))</f>
        <v>#REF!</v>
      </c>
      <c r="I39" s="58" t="e">
        <f>IF(HLOOKUP(I$52,#REF!,4,FALSE)="","-",HLOOKUP(I$52,#REF!,4,FALSE))</f>
        <v>#REF!</v>
      </c>
      <c r="J39" s="58" t="e">
        <f>IF(HLOOKUP(J$52,#REF!,4,FALSE)="","-",HLOOKUP(J$52,#REF!,4,FALSE))</f>
        <v>#REF!</v>
      </c>
      <c r="K39" s="58" t="e">
        <f>IF(HLOOKUP(K$52,#REF!,4,FALSE)="","-",HLOOKUP(K$52,#REF!,4,FALSE))</f>
        <v>#REF!</v>
      </c>
      <c r="L39" s="58" t="e">
        <f>IF(HLOOKUP(L$52,#REF!,4,FALSE)="","-",HLOOKUP(L$52,#REF!,4,FALSE))</f>
        <v>#REF!</v>
      </c>
      <c r="M39" s="58" t="e">
        <f>IF(HLOOKUP(M$52,#REF!,4,FALSE)="","-",HLOOKUP(M$52,#REF!,4,FALSE))</f>
        <v>#REF!</v>
      </c>
      <c r="N39" s="58" t="e">
        <f>IF(HLOOKUP(N$52,#REF!,4,FALSE)="","-",HLOOKUP(N$52,#REF!,4,FALSE))</f>
        <v>#REF!</v>
      </c>
      <c r="O39" s="58" t="e">
        <f>IF(HLOOKUP(O$52,#REF!,4,FALSE)="","-",HLOOKUP(O$52,#REF!,4,FALSE))</f>
        <v>#REF!</v>
      </c>
    </row>
    <row r="40" spans="2:15" s="44" customFormat="1" ht="13.8" x14ac:dyDescent="0.25">
      <c r="B40" s="54" t="s">
        <v>51</v>
      </c>
      <c r="C40" s="58" t="e">
        <f>IF(HLOOKUP(C$52,#REF!,5,FALSE)="","-",HLOOKUP(C$52,#REF!,5,FALSE))</f>
        <v>#REF!</v>
      </c>
      <c r="D40" s="58" t="e">
        <f>IF(HLOOKUP(D$52,#REF!,5,FALSE)="","-",HLOOKUP(D$52,#REF!,5,FALSE))</f>
        <v>#REF!</v>
      </c>
      <c r="E40" s="58" t="e">
        <f>IF(HLOOKUP(E$52,#REF!,5,FALSE)="","-",HLOOKUP(E$52,#REF!,5,FALSE))</f>
        <v>#REF!</v>
      </c>
      <c r="F40" s="58" t="e">
        <f>IF(HLOOKUP(F$52,#REF!,5,FALSE)="","-",HLOOKUP(F$52,#REF!,5,FALSE))</f>
        <v>#REF!</v>
      </c>
      <c r="G40" s="58" t="e">
        <f>IF(HLOOKUP(G$52,#REF!,5,FALSE)="","-",HLOOKUP(G$52,#REF!,5,FALSE))</f>
        <v>#REF!</v>
      </c>
      <c r="H40" s="58" t="e">
        <f>IF(HLOOKUP(H$52,#REF!,5,FALSE)="","-",HLOOKUP(H$52,#REF!,5,FALSE))</f>
        <v>#REF!</v>
      </c>
      <c r="I40" s="58" t="e">
        <f>IF(HLOOKUP(I$52,#REF!,5,FALSE)="","-",HLOOKUP(I$52,#REF!,5,FALSE))</f>
        <v>#REF!</v>
      </c>
      <c r="J40" s="58" t="e">
        <f>IF(HLOOKUP(J$52,#REF!,5,FALSE)="","-",HLOOKUP(J$52,#REF!,5,FALSE))</f>
        <v>#REF!</v>
      </c>
      <c r="K40" s="58" t="e">
        <f>IF(HLOOKUP(K$52,#REF!,5,FALSE)="","-",HLOOKUP(K$52,#REF!,5,FALSE))</f>
        <v>#REF!</v>
      </c>
      <c r="L40" s="58" t="e">
        <f>IF(HLOOKUP(L$52,#REF!,5,FALSE)="","-",HLOOKUP(L$52,#REF!,5,FALSE))</f>
        <v>#REF!</v>
      </c>
      <c r="M40" s="58" t="e">
        <f>IF(HLOOKUP(M$52,#REF!,5,FALSE)="","-",HLOOKUP(M$52,#REF!,5,FALSE))</f>
        <v>#REF!</v>
      </c>
      <c r="N40" s="58" t="e">
        <f>IF(HLOOKUP(N$52,#REF!,5,FALSE)="","-",HLOOKUP(N$52,#REF!,5,FALSE))</f>
        <v>#REF!</v>
      </c>
      <c r="O40" s="58" t="e">
        <f>IF(HLOOKUP(O$52,#REF!,5,FALSE)="","-",HLOOKUP(O$52,#REF!,5,FALSE))</f>
        <v>#REF!</v>
      </c>
    </row>
    <row r="41" spans="2:15" s="44" customFormat="1" ht="13.8" x14ac:dyDescent="0.25">
      <c r="B41" s="54" t="s">
        <v>52</v>
      </c>
      <c r="C41" s="58" t="e">
        <f>IF(HLOOKUP(C$52,#REF!,6,FALSE)="","-",HLOOKUP(C$52,#REF!,6,FALSE))</f>
        <v>#REF!</v>
      </c>
      <c r="D41" s="58" t="e">
        <f>IF(HLOOKUP(D$52,#REF!,6,FALSE)="","-",HLOOKUP(D$52,#REF!,6,FALSE))</f>
        <v>#REF!</v>
      </c>
      <c r="E41" s="58" t="e">
        <f>IF(HLOOKUP(E$52,#REF!,6,FALSE)="","-",HLOOKUP(E$52,#REF!,6,FALSE))</f>
        <v>#REF!</v>
      </c>
      <c r="F41" s="58" t="e">
        <f>IF(HLOOKUP(F$52,#REF!,6,FALSE)="","-",HLOOKUP(F$52,#REF!,6,FALSE))</f>
        <v>#REF!</v>
      </c>
      <c r="G41" s="58" t="e">
        <f>IF(HLOOKUP(G$52,#REF!,6,FALSE)="","-",HLOOKUP(G$52,#REF!,6,FALSE))</f>
        <v>#REF!</v>
      </c>
      <c r="H41" s="58" t="e">
        <f>IF(HLOOKUP(H$52,#REF!,6,FALSE)="","-",HLOOKUP(H$52,#REF!,6,FALSE))</f>
        <v>#REF!</v>
      </c>
      <c r="I41" s="58" t="e">
        <f>IF(HLOOKUP(I$52,#REF!,6,FALSE)="","-",HLOOKUP(I$52,#REF!,6,FALSE))</f>
        <v>#REF!</v>
      </c>
      <c r="J41" s="58" t="e">
        <f>IF(HLOOKUP(J$52,#REF!,6,FALSE)="","-",HLOOKUP(J$52,#REF!,6,FALSE))</f>
        <v>#REF!</v>
      </c>
      <c r="K41" s="58" t="e">
        <f>IF(HLOOKUP(K$52,#REF!,6,FALSE)="","-",HLOOKUP(K$52,#REF!,6,FALSE))</f>
        <v>#REF!</v>
      </c>
      <c r="L41" s="58" t="e">
        <f>IF(HLOOKUP(L$52,#REF!,6,FALSE)="","-",HLOOKUP(L$52,#REF!,6,FALSE))</f>
        <v>#REF!</v>
      </c>
      <c r="M41" s="58" t="e">
        <f>IF(HLOOKUP(M$52,#REF!,6,FALSE)="","-",HLOOKUP(M$52,#REF!,6,FALSE))</f>
        <v>#REF!</v>
      </c>
      <c r="N41" s="58" t="e">
        <f>IF(HLOOKUP(N$52,#REF!,6,FALSE)="","-",HLOOKUP(N$52,#REF!,6,FALSE))</f>
        <v>#REF!</v>
      </c>
      <c r="O41" s="58" t="e">
        <f>IF(HLOOKUP(O$52,#REF!,6,FALSE)="","-",HLOOKUP(O$52,#REF!,6,FALSE))</f>
        <v>#REF!</v>
      </c>
    </row>
    <row r="42" spans="2:15" s="44" customFormat="1" ht="13.8" x14ac:dyDescent="0.25">
      <c r="B42" s="54" t="s">
        <v>54</v>
      </c>
      <c r="C42" s="58" t="e">
        <f>IF(HLOOKUP(C$52,#REF!,7,FALSE)="","-",HLOOKUP(C$52,#REF!,7,FALSE))</f>
        <v>#REF!</v>
      </c>
      <c r="D42" s="58" t="e">
        <f>IF(HLOOKUP(D$52,#REF!,7,FALSE)="","-",HLOOKUP(D$52,#REF!,7,FALSE))</f>
        <v>#REF!</v>
      </c>
      <c r="E42" s="58" t="e">
        <f>IF(HLOOKUP(E$52,#REF!,7,FALSE)="","-",HLOOKUP(E$52,#REF!,7,FALSE))</f>
        <v>#REF!</v>
      </c>
      <c r="F42" s="58" t="e">
        <f>IF(HLOOKUP(F$52,#REF!,7,FALSE)="","-",HLOOKUP(F$52,#REF!,7,FALSE))</f>
        <v>#REF!</v>
      </c>
      <c r="G42" s="58" t="e">
        <f>IF(HLOOKUP(G$52,#REF!,7,FALSE)="","-",HLOOKUP(G$52,#REF!,7,FALSE))</f>
        <v>#REF!</v>
      </c>
      <c r="H42" s="58" t="e">
        <f>IF(HLOOKUP(H$52,#REF!,7,FALSE)="","-",HLOOKUP(H$52,#REF!,7,FALSE))</f>
        <v>#REF!</v>
      </c>
      <c r="I42" s="58" t="e">
        <f>IF(HLOOKUP(I$52,#REF!,7,FALSE)="","-",HLOOKUP(I$52,#REF!,7,FALSE))</f>
        <v>#REF!</v>
      </c>
      <c r="J42" s="58" t="e">
        <f>IF(HLOOKUP(J$52,#REF!,7,FALSE)="","-",HLOOKUP(J$52,#REF!,7,FALSE))</f>
        <v>#REF!</v>
      </c>
      <c r="K42" s="58" t="e">
        <f>IF(HLOOKUP(K$52,#REF!,7,FALSE)="","-",HLOOKUP(K$52,#REF!,7,FALSE))</f>
        <v>#REF!</v>
      </c>
      <c r="L42" s="58" t="e">
        <f>IF(HLOOKUP(L$52,#REF!,7,FALSE)="","-",HLOOKUP(L$52,#REF!,7,FALSE))</f>
        <v>#REF!</v>
      </c>
      <c r="M42" s="58" t="e">
        <f>IF(HLOOKUP(M$52,#REF!,7,FALSE)="","-",HLOOKUP(M$52,#REF!,7,FALSE))</f>
        <v>#REF!</v>
      </c>
      <c r="N42" s="58" t="e">
        <f>IF(HLOOKUP(N$52,#REF!,7,FALSE)="","-",HLOOKUP(N$52,#REF!,7,FALSE))</f>
        <v>#REF!</v>
      </c>
      <c r="O42" s="58" t="e">
        <f>IF(HLOOKUP(O$52,#REF!,7,FALSE)="","-",HLOOKUP(O$52,#REF!,7,FALSE))</f>
        <v>#REF!</v>
      </c>
    </row>
    <row r="43" spans="2:15" s="44" customFormat="1" ht="14.4" thickBot="1" x14ac:dyDescent="0.3">
      <c r="B43" s="55" t="s">
        <v>72</v>
      </c>
      <c r="C43" s="59" t="e">
        <f>IF(HLOOKUP(C$52,#REF!,8,FALSE)="","-",HLOOKUP(C$52,#REF!,8,FALSE))</f>
        <v>#REF!</v>
      </c>
      <c r="D43" s="59" t="e">
        <f>IF(HLOOKUP(D$52,#REF!,8,FALSE)="","-",HLOOKUP(D$52,#REF!,8,FALSE))</f>
        <v>#REF!</v>
      </c>
      <c r="E43" s="59" t="e">
        <f>IF(HLOOKUP(E$52,#REF!,8,FALSE)="","-",HLOOKUP(E$52,#REF!,8,FALSE))</f>
        <v>#REF!</v>
      </c>
      <c r="F43" s="59" t="e">
        <f>IF(HLOOKUP(F$52,#REF!,8,FALSE)="","-",HLOOKUP(F$52,#REF!,8,FALSE))</f>
        <v>#REF!</v>
      </c>
      <c r="G43" s="59" t="e">
        <f>IF(HLOOKUP(G$52,#REF!,8,FALSE)="","-",HLOOKUP(G$52,#REF!,8,FALSE))</f>
        <v>#REF!</v>
      </c>
      <c r="H43" s="59" t="e">
        <f>IF(HLOOKUP(H$52,#REF!,8,FALSE)="","-",HLOOKUP(H$52,#REF!,8,FALSE))</f>
        <v>#REF!</v>
      </c>
      <c r="I43" s="59" t="e">
        <f>IF(HLOOKUP(I$52,#REF!,8,FALSE)="","-",HLOOKUP(I$52,#REF!,8,FALSE))</f>
        <v>#REF!</v>
      </c>
      <c r="J43" s="59" t="e">
        <f>IF(HLOOKUP(J$52,#REF!,8,FALSE)="","-",HLOOKUP(J$52,#REF!,8,FALSE))</f>
        <v>#REF!</v>
      </c>
      <c r="K43" s="59" t="e">
        <f>IF(HLOOKUP(K$52,#REF!,8,FALSE)="","-",HLOOKUP(K$52,#REF!,8,FALSE))</f>
        <v>#REF!</v>
      </c>
      <c r="L43" s="59" t="e">
        <f>IF(HLOOKUP(L$52,#REF!,8,FALSE)="","-",HLOOKUP(L$52,#REF!,8,FALSE))</f>
        <v>#REF!</v>
      </c>
      <c r="M43" s="59" t="e">
        <f>IF(HLOOKUP(M$52,#REF!,8,FALSE)="","-",HLOOKUP(M$52,#REF!,8,FALSE))</f>
        <v>#REF!</v>
      </c>
      <c r="N43" s="59" t="e">
        <f>IF(HLOOKUP(N$52,#REF!,8,FALSE)="","-",HLOOKUP(N$52,#REF!,8,FALSE))</f>
        <v>#REF!</v>
      </c>
      <c r="O43" s="59" t="e">
        <f>IF(HLOOKUP(O$52,#REF!,8,FALSE)="","-",HLOOKUP(O$52,#REF!,8,FALSE))</f>
        <v>#REF!</v>
      </c>
    </row>
    <row r="44" spans="2:15" s="44" customFormat="1" ht="14.4" hidden="1" thickBot="1" x14ac:dyDescent="0.3">
      <c r="B44" s="55" t="s">
        <v>74</v>
      </c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</row>
    <row r="45" spans="2:15" s="44" customFormat="1" ht="14.4" thickTop="1" x14ac:dyDescent="0.25">
      <c r="B45" s="44" t="s">
        <v>62</v>
      </c>
    </row>
    <row r="46" spans="2:15" s="44" customFormat="1" ht="13.8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8" spans="2:15" ht="15.6" x14ac:dyDescent="0.3">
      <c r="B48" s="229" t="s">
        <v>90</v>
      </c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</row>
    <row r="49" spans="2:18" ht="15.6" x14ac:dyDescent="0.3">
      <c r="B49" s="230" t="s">
        <v>49</v>
      </c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R49">
        <f>4.7-2.3</f>
        <v>2.4000000000000004</v>
      </c>
    </row>
    <row r="50" spans="2:18" ht="15.6" x14ac:dyDescent="0.3">
      <c r="B50" s="43"/>
      <c r="C50" s="52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</row>
    <row r="51" spans="2:18" ht="13.8" thickBot="1" x14ac:dyDescent="0.3">
      <c r="B51" s="41"/>
      <c r="C51" s="4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</row>
    <row r="52" spans="2:18" ht="15" thickTop="1" thickBot="1" x14ac:dyDescent="0.3">
      <c r="B52" s="56"/>
      <c r="C52" s="57">
        <f>(O52-365)-DAY(O52-365)+1</f>
        <v>45078</v>
      </c>
      <c r="D52" s="57">
        <f>(C52+31)-DAY(C52+31)+1</f>
        <v>45108</v>
      </c>
      <c r="E52" s="57">
        <f t="shared" ref="E52:N52" si="4">(D52+31)-DAY(D52+31)+1</f>
        <v>45139</v>
      </c>
      <c r="F52" s="57">
        <f t="shared" si="4"/>
        <v>45170</v>
      </c>
      <c r="G52" s="57">
        <f t="shared" si="4"/>
        <v>45200</v>
      </c>
      <c r="H52" s="57">
        <f t="shared" si="4"/>
        <v>45231</v>
      </c>
      <c r="I52" s="57">
        <f t="shared" si="4"/>
        <v>45261</v>
      </c>
      <c r="J52" s="57">
        <f t="shared" si="4"/>
        <v>45292</v>
      </c>
      <c r="K52" s="57">
        <f t="shared" si="4"/>
        <v>45323</v>
      </c>
      <c r="L52" s="57">
        <f t="shared" si="4"/>
        <v>45352</v>
      </c>
      <c r="M52" s="57">
        <f t="shared" si="4"/>
        <v>45383</v>
      </c>
      <c r="N52" s="57">
        <f t="shared" si="4"/>
        <v>45413</v>
      </c>
      <c r="O52" s="57">
        <f>'Annexe 1'!G6</f>
        <v>45444</v>
      </c>
    </row>
    <row r="53" spans="2:18" ht="14.4" thickTop="1" x14ac:dyDescent="0.25">
      <c r="B53" s="54" t="s">
        <v>46</v>
      </c>
      <c r="C53" s="58" t="e">
        <f>IF(HLOOKUP(C52,#REF!,3,FALSE)="","-",HLOOKUP(C52,#REF!,3,FALSE))</f>
        <v>#REF!</v>
      </c>
      <c r="D53" s="58" t="e">
        <f>IF(HLOOKUP(D52,#REF!,3,FALSE)="","-",HLOOKUP(D52,#REF!,3,FALSE))</f>
        <v>#REF!</v>
      </c>
      <c r="E53" s="58" t="e">
        <f>IF(HLOOKUP(E52,#REF!,3,FALSE)="","-",HLOOKUP(E52,#REF!,3,FALSE))</f>
        <v>#REF!</v>
      </c>
      <c r="F53" s="58" t="e">
        <f>IF(HLOOKUP(F52,#REF!,3,FALSE)="","-",HLOOKUP(F52,#REF!,3,FALSE))</f>
        <v>#REF!</v>
      </c>
      <c r="G53" s="58" t="e">
        <f>IF(HLOOKUP(G52,#REF!,3,FALSE)="","-",HLOOKUP(G52,#REF!,3,FALSE))</f>
        <v>#REF!</v>
      </c>
      <c r="H53" s="58" t="e">
        <f>IF(HLOOKUP(H52,#REF!,3,FALSE)="","-",HLOOKUP(H52,#REF!,3,FALSE))</f>
        <v>#REF!</v>
      </c>
      <c r="I53" s="58" t="e">
        <f>IF(HLOOKUP(I52,#REF!,3,FALSE)="","-",HLOOKUP(I52,#REF!,3,FALSE))</f>
        <v>#REF!</v>
      </c>
      <c r="J53" s="58" t="e">
        <f>IF(HLOOKUP(J52,#REF!,3,FALSE)="","-",HLOOKUP(J52,#REF!,3,FALSE))</f>
        <v>#REF!</v>
      </c>
      <c r="K53" s="58" t="e">
        <f>IF(HLOOKUP(K52,#REF!,3,FALSE)="","-",HLOOKUP(K52,#REF!,3,FALSE))</f>
        <v>#REF!</v>
      </c>
      <c r="L53" s="58" t="e">
        <f>IF(HLOOKUP(L52,#REF!,3,FALSE)="","-",HLOOKUP(L52,#REF!,3,FALSE))</f>
        <v>#REF!</v>
      </c>
      <c r="M53" s="58" t="e">
        <f>IF(HLOOKUP(M52,#REF!,3,FALSE)="","-",HLOOKUP(M52,#REF!,3,FALSE))</f>
        <v>#REF!</v>
      </c>
      <c r="N53" s="58" t="e">
        <f>IF(HLOOKUP(N52,#REF!,3,FALSE)="","-",HLOOKUP(N52,#REF!,3,FALSE))</f>
        <v>#REF!</v>
      </c>
      <c r="O53" s="58" t="e">
        <f>IF(HLOOKUP(O52,#REF!,3,FALSE)="","-",HLOOKUP(O52,#REF!,3,FALSE))</f>
        <v>#REF!</v>
      </c>
    </row>
    <row r="54" spans="2:18" ht="13.8" x14ac:dyDescent="0.25">
      <c r="B54" s="54" t="s">
        <v>50</v>
      </c>
      <c r="C54" s="58" t="e">
        <f>IF(HLOOKUP(C$52,#REF!,4,FALSE)="","-",HLOOKUP(C$52,#REF!,4,FALSE))</f>
        <v>#REF!</v>
      </c>
      <c r="D54" s="58" t="e">
        <f>IF(HLOOKUP(D$52,#REF!,4,FALSE)="","-",HLOOKUP(D$52,#REF!,4,FALSE))</f>
        <v>#REF!</v>
      </c>
      <c r="E54" s="58" t="e">
        <f>IF(HLOOKUP(E$52,#REF!,4,FALSE)="","-",HLOOKUP(E$52,#REF!,4,FALSE))</f>
        <v>#REF!</v>
      </c>
      <c r="F54" s="58" t="e">
        <f>IF(HLOOKUP(F$52,#REF!,4,FALSE)="","-",HLOOKUP(F$52,#REF!,4,FALSE))</f>
        <v>#REF!</v>
      </c>
      <c r="G54" s="58" t="e">
        <f>IF(HLOOKUP(G$52,#REF!,4,FALSE)="","-",HLOOKUP(G$52,#REF!,4,FALSE))</f>
        <v>#REF!</v>
      </c>
      <c r="H54" s="58" t="e">
        <f>IF(HLOOKUP(H$52,#REF!,4,FALSE)="","-",HLOOKUP(H$52,#REF!,4,FALSE))</f>
        <v>#REF!</v>
      </c>
      <c r="I54" s="58" t="e">
        <f>IF(HLOOKUP(I$52,#REF!,4,FALSE)="","-",HLOOKUP(I$52,#REF!,4,FALSE))</f>
        <v>#REF!</v>
      </c>
      <c r="J54" s="58" t="e">
        <f>IF(HLOOKUP(J$52,#REF!,4,FALSE)="","-",HLOOKUP(J$52,#REF!,4,FALSE))</f>
        <v>#REF!</v>
      </c>
      <c r="K54" s="58" t="e">
        <f>IF(HLOOKUP(K$52,#REF!,4,FALSE)="","-",HLOOKUP(K$52,#REF!,4,FALSE))</f>
        <v>#REF!</v>
      </c>
      <c r="L54" s="58" t="e">
        <f>IF(HLOOKUP(L$52,#REF!,4,FALSE)="","-",HLOOKUP(L$52,#REF!,4,FALSE))</f>
        <v>#REF!</v>
      </c>
      <c r="M54" s="58" t="e">
        <f>IF(HLOOKUP(M$52,#REF!,4,FALSE)="","-",HLOOKUP(M$52,#REF!,4,FALSE))</f>
        <v>#REF!</v>
      </c>
      <c r="N54" s="58" t="e">
        <f>IF(HLOOKUP(N$52,#REF!,4,FALSE)="","-",HLOOKUP(N$52,#REF!,4,FALSE))</f>
        <v>#REF!</v>
      </c>
      <c r="O54" s="58" t="e">
        <f>IF(HLOOKUP(O$52,#REF!,4,FALSE)="","-",HLOOKUP(O$52,#REF!,4,FALSE))</f>
        <v>#REF!</v>
      </c>
    </row>
    <row r="55" spans="2:18" ht="13.8" x14ac:dyDescent="0.25">
      <c r="B55" s="54" t="s">
        <v>51</v>
      </c>
      <c r="C55" s="58" t="e">
        <f>IF(HLOOKUP(C$52,#REF!,5,FALSE)="","-",HLOOKUP(C$52,#REF!,5,FALSE))</f>
        <v>#REF!</v>
      </c>
      <c r="D55" s="58" t="e">
        <f>IF(HLOOKUP(D$52,#REF!,5,FALSE)="","-",HLOOKUP(D$52,#REF!,5,FALSE))</f>
        <v>#REF!</v>
      </c>
      <c r="E55" s="58" t="e">
        <f>IF(HLOOKUP(E$52,#REF!,5,FALSE)="","-",HLOOKUP(E$52,#REF!,5,FALSE))</f>
        <v>#REF!</v>
      </c>
      <c r="F55" s="58" t="e">
        <f>IF(HLOOKUP(F$52,#REF!,5,FALSE)="","-",HLOOKUP(F$52,#REF!,5,FALSE))</f>
        <v>#REF!</v>
      </c>
      <c r="G55" s="58" t="e">
        <f>IF(HLOOKUP(G$52,#REF!,5,FALSE)="","-",HLOOKUP(G$52,#REF!,5,FALSE))</f>
        <v>#REF!</v>
      </c>
      <c r="H55" s="58" t="e">
        <f>IF(HLOOKUP(H$52,#REF!,5,FALSE)="","-",HLOOKUP(H$52,#REF!,5,FALSE))</f>
        <v>#REF!</v>
      </c>
      <c r="I55" s="58" t="e">
        <f>IF(HLOOKUP(I$52,#REF!,5,FALSE)="","-",HLOOKUP(I$52,#REF!,5,FALSE))</f>
        <v>#REF!</v>
      </c>
      <c r="J55" s="58" t="e">
        <f>IF(HLOOKUP(J$52,#REF!,5,FALSE)="","-",HLOOKUP(J$52,#REF!,5,FALSE))</f>
        <v>#REF!</v>
      </c>
      <c r="K55" s="58" t="e">
        <f>IF(HLOOKUP(K$52,#REF!,5,FALSE)="","-",HLOOKUP(K$52,#REF!,5,FALSE))</f>
        <v>#REF!</v>
      </c>
      <c r="L55" s="58" t="e">
        <f>IF(HLOOKUP(L$52,#REF!,5,FALSE)="","-",HLOOKUP(L$52,#REF!,5,FALSE))</f>
        <v>#REF!</v>
      </c>
      <c r="M55" s="58" t="e">
        <f>IF(HLOOKUP(M$52,#REF!,5,FALSE)="","-",HLOOKUP(M$52,#REF!,5,FALSE))</f>
        <v>#REF!</v>
      </c>
      <c r="N55" s="58" t="e">
        <f>IF(HLOOKUP(N$52,#REF!,5,FALSE)="","-",HLOOKUP(N$52,#REF!,5,FALSE))</f>
        <v>#REF!</v>
      </c>
      <c r="O55" s="58" t="e">
        <f>IF(HLOOKUP(O$52,#REF!,5,FALSE)="","-",HLOOKUP(O$52,#REF!,5,FALSE))</f>
        <v>#REF!</v>
      </c>
    </row>
    <row r="56" spans="2:18" s="44" customFormat="1" ht="13.8" x14ac:dyDescent="0.25">
      <c r="B56" s="54" t="s">
        <v>52</v>
      </c>
      <c r="C56" s="58" t="e">
        <f>IF(HLOOKUP(C$52,#REF!,6,FALSE)="","-",HLOOKUP(C$52,#REF!,6,FALSE))</f>
        <v>#REF!</v>
      </c>
      <c r="D56" s="58" t="e">
        <f>IF(HLOOKUP(D$52,#REF!,6,FALSE)="","-",HLOOKUP(D$52,#REF!,6,FALSE))</f>
        <v>#REF!</v>
      </c>
      <c r="E56" s="58" t="e">
        <f>IF(HLOOKUP(E$52,#REF!,6,FALSE)="","-",HLOOKUP(E$52,#REF!,6,FALSE))</f>
        <v>#REF!</v>
      </c>
      <c r="F56" s="58" t="e">
        <f>IF(HLOOKUP(F$52,#REF!,6,FALSE)="","-",HLOOKUP(F$52,#REF!,6,FALSE))</f>
        <v>#REF!</v>
      </c>
      <c r="G56" s="58" t="e">
        <f>IF(HLOOKUP(G$52,#REF!,6,FALSE)="","-",HLOOKUP(G$52,#REF!,6,FALSE))</f>
        <v>#REF!</v>
      </c>
      <c r="H56" s="58" t="e">
        <f>IF(HLOOKUP(H$52,#REF!,6,FALSE)="","-",HLOOKUP(H$52,#REF!,6,FALSE))</f>
        <v>#REF!</v>
      </c>
      <c r="I56" s="58" t="e">
        <f>IF(HLOOKUP(I$52,#REF!,6,FALSE)="","-",HLOOKUP(I$52,#REF!,6,FALSE))</f>
        <v>#REF!</v>
      </c>
      <c r="J56" s="58" t="e">
        <f>IF(HLOOKUP(J$52,#REF!,6,FALSE)="","-",HLOOKUP(J$52,#REF!,6,FALSE))</f>
        <v>#REF!</v>
      </c>
      <c r="K56" s="58" t="e">
        <f>IF(HLOOKUP(K$52,#REF!,6,FALSE)="","-",HLOOKUP(K$52,#REF!,6,FALSE))</f>
        <v>#REF!</v>
      </c>
      <c r="L56" s="58" t="e">
        <f>IF(HLOOKUP(L$52,#REF!,6,FALSE)="","-",HLOOKUP(L$52,#REF!,6,FALSE))</f>
        <v>#REF!</v>
      </c>
      <c r="M56" s="58" t="e">
        <f>IF(HLOOKUP(M$52,#REF!,6,FALSE)="","-",HLOOKUP(M$52,#REF!,6,FALSE))</f>
        <v>#REF!</v>
      </c>
      <c r="N56" s="58" t="e">
        <f>IF(HLOOKUP(N$52,#REF!,6,FALSE)="","-",HLOOKUP(N$52,#REF!,6,FALSE))</f>
        <v>#REF!</v>
      </c>
      <c r="O56" s="58" t="e">
        <f>IF(HLOOKUP(O$52,#REF!,6,FALSE)="","-",HLOOKUP(O$52,#REF!,6,FALSE))</f>
        <v>#REF!</v>
      </c>
    </row>
    <row r="57" spans="2:18" s="44" customFormat="1" ht="13.8" x14ac:dyDescent="0.25">
      <c r="B57" s="54" t="s">
        <v>54</v>
      </c>
      <c r="C57" s="58" t="e">
        <f>IF(HLOOKUP(C$52,#REF!,7,FALSE)="","-",HLOOKUP(C$52,#REF!,7,FALSE))</f>
        <v>#REF!</v>
      </c>
      <c r="D57" s="58" t="e">
        <f>IF(HLOOKUP(D$52,#REF!,7,FALSE)="","-",HLOOKUP(D$52,#REF!,7,FALSE))</f>
        <v>#REF!</v>
      </c>
      <c r="E57" s="58" t="e">
        <f>IF(HLOOKUP(E$52,#REF!,7,FALSE)="","-",HLOOKUP(E$52,#REF!,7,FALSE))</f>
        <v>#REF!</v>
      </c>
      <c r="F57" s="58" t="e">
        <f>IF(HLOOKUP(F$52,#REF!,7,FALSE)="","-",HLOOKUP(F$52,#REF!,7,FALSE))</f>
        <v>#REF!</v>
      </c>
      <c r="G57" s="58" t="e">
        <f>IF(HLOOKUP(G$52,#REF!,7,FALSE)="","-",HLOOKUP(G$52,#REF!,7,FALSE))</f>
        <v>#REF!</v>
      </c>
      <c r="H57" s="58" t="e">
        <f>IF(HLOOKUP(H$52,#REF!,7,FALSE)="","-",HLOOKUP(H$52,#REF!,7,FALSE))</f>
        <v>#REF!</v>
      </c>
      <c r="I57" s="58" t="e">
        <f>IF(HLOOKUP(I$52,#REF!,7,FALSE)="","-",HLOOKUP(I$52,#REF!,7,FALSE))</f>
        <v>#REF!</v>
      </c>
      <c r="J57" s="58" t="e">
        <f>IF(HLOOKUP(J$52,#REF!,7,FALSE)="","-",HLOOKUP(J$52,#REF!,7,FALSE))</f>
        <v>#REF!</v>
      </c>
      <c r="K57" s="58" t="e">
        <f>IF(HLOOKUP(K$52,#REF!,7,FALSE)="","-",HLOOKUP(K$52,#REF!,7,FALSE))</f>
        <v>#REF!</v>
      </c>
      <c r="L57" s="58" t="e">
        <f>IF(HLOOKUP(L$52,#REF!,7,FALSE)="","-",HLOOKUP(L$52,#REF!,7,FALSE))</f>
        <v>#REF!</v>
      </c>
      <c r="M57" s="58" t="e">
        <f>IF(HLOOKUP(M$52,#REF!,7,FALSE)="","-",HLOOKUP(M$52,#REF!,7,FALSE))</f>
        <v>#REF!</v>
      </c>
      <c r="N57" s="58" t="e">
        <f>IF(HLOOKUP(N$52,#REF!,7,FALSE)="","-",HLOOKUP(N$52,#REF!,7,FALSE))</f>
        <v>#REF!</v>
      </c>
      <c r="O57" s="58" t="e">
        <f>IF(HLOOKUP(O$52,#REF!,7,FALSE)="","-",HLOOKUP(O$52,#REF!,7,FALSE))</f>
        <v>#REF!</v>
      </c>
    </row>
    <row r="58" spans="2:18" s="44" customFormat="1" ht="14.4" thickBot="1" x14ac:dyDescent="0.3">
      <c r="B58" s="55" t="s">
        <v>72</v>
      </c>
      <c r="C58" s="59" t="e">
        <f>IF(HLOOKUP(C$52,#REF!,8,FALSE)="","-",HLOOKUP(C$52,#REF!,8,FALSE))</f>
        <v>#REF!</v>
      </c>
      <c r="D58" s="59" t="e">
        <f>IF(HLOOKUP(D$52,#REF!,8,FALSE)="","-",HLOOKUP(D$52,#REF!,8,FALSE))</f>
        <v>#REF!</v>
      </c>
      <c r="E58" s="59" t="e">
        <f>IF(HLOOKUP(E$52,#REF!,8,FALSE)="","-",HLOOKUP(E$52,#REF!,8,FALSE))</f>
        <v>#REF!</v>
      </c>
      <c r="F58" s="59" t="e">
        <f>IF(HLOOKUP(F$52,#REF!,8,FALSE)="","-",HLOOKUP(F$52,#REF!,8,FALSE))</f>
        <v>#REF!</v>
      </c>
      <c r="G58" s="59" t="e">
        <f>IF(HLOOKUP(G$52,#REF!,8,FALSE)="","-",HLOOKUP(G$52,#REF!,8,FALSE))</f>
        <v>#REF!</v>
      </c>
      <c r="H58" s="59" t="e">
        <f>IF(HLOOKUP(H$52,#REF!,8,FALSE)="","-",HLOOKUP(H$52,#REF!,8,FALSE))</f>
        <v>#REF!</v>
      </c>
      <c r="I58" s="59" t="e">
        <f>IF(HLOOKUP(I$52,#REF!,8,FALSE)="","-",HLOOKUP(I$52,#REF!,8,FALSE))</f>
        <v>#REF!</v>
      </c>
      <c r="J58" s="59" t="e">
        <f>IF(HLOOKUP(J$52,#REF!,8,FALSE)="","-",HLOOKUP(J$52,#REF!,8,FALSE))</f>
        <v>#REF!</v>
      </c>
      <c r="K58" s="59" t="e">
        <f>IF(HLOOKUP(K$52,#REF!,8,FALSE)="","-",HLOOKUP(K$52,#REF!,8,FALSE))</f>
        <v>#REF!</v>
      </c>
      <c r="L58" s="59" t="e">
        <f>IF(HLOOKUP(L$52,#REF!,8,FALSE)="","-",HLOOKUP(L$52,#REF!,8,FALSE))</f>
        <v>#REF!</v>
      </c>
      <c r="M58" s="59" t="e">
        <f>IF(HLOOKUP(M$52,#REF!,8,FALSE)="","-",HLOOKUP(M$52,#REF!,8,FALSE))</f>
        <v>#REF!</v>
      </c>
      <c r="N58" s="59" t="e">
        <f>IF(HLOOKUP(N$52,#REF!,8,FALSE)="","-",HLOOKUP(N$52,#REF!,8,FALSE))</f>
        <v>#REF!</v>
      </c>
      <c r="O58" s="59" t="e">
        <f>IF(HLOOKUP(O$52,#REF!,8,FALSE)="","-",HLOOKUP(O$52,#REF!,8,FALSE))</f>
        <v>#REF!</v>
      </c>
    </row>
    <row r="59" spans="2:18" s="44" customFormat="1" ht="14.4" hidden="1" thickBot="1" x14ac:dyDescent="0.3">
      <c r="B59" s="55" t="s">
        <v>74</v>
      </c>
      <c r="C59" s="59" t="e">
        <f>IF(HLOOKUP(C$52,#REF!,9,FALSE)="","-",HLOOKUP(C$52,#REF!,9,FALSE))</f>
        <v>#REF!</v>
      </c>
      <c r="D59" s="59" t="e">
        <f>IF(HLOOKUP(D$52,#REF!,9,FALSE)="","-",HLOOKUP(D$52,#REF!,9,FALSE))</f>
        <v>#REF!</v>
      </c>
      <c r="E59" s="59" t="e">
        <f>IF(HLOOKUP(E$52,#REF!,9,FALSE)="","-",HLOOKUP(E$52,#REF!,9,FALSE))</f>
        <v>#REF!</v>
      </c>
      <c r="F59" s="59" t="e">
        <f>IF(HLOOKUP(F$52,#REF!,9,FALSE)="","-",HLOOKUP(F$52,#REF!,9,FALSE))</f>
        <v>#REF!</v>
      </c>
      <c r="G59" s="59" t="e">
        <f>IF(HLOOKUP(G$52,#REF!,9,FALSE)="","-",HLOOKUP(G$52,#REF!,9,FALSE))</f>
        <v>#REF!</v>
      </c>
      <c r="H59" s="59" t="e">
        <f>IF(HLOOKUP(H$52,#REF!,9,FALSE)="","-",HLOOKUP(H$52,#REF!,9,FALSE))</f>
        <v>#REF!</v>
      </c>
      <c r="I59" s="59" t="e">
        <f>IF(HLOOKUP(I$52,#REF!,9,FALSE)="","-",HLOOKUP(I$52,#REF!,9,FALSE))</f>
        <v>#REF!</v>
      </c>
      <c r="J59" s="59" t="e">
        <f>IF(HLOOKUP(J$52,#REF!,9,FALSE)="","-",HLOOKUP(J$52,#REF!,9,FALSE))</f>
        <v>#REF!</v>
      </c>
      <c r="K59" s="59" t="e">
        <f>IF(HLOOKUP(K$52,#REF!,9,FALSE)="","-",HLOOKUP(K$52,#REF!,9,FALSE))</f>
        <v>#REF!</v>
      </c>
      <c r="L59" s="59" t="e">
        <f>IF(HLOOKUP(L$52,#REF!,9,FALSE)="","-",HLOOKUP(L$52,#REF!,9,FALSE))</f>
        <v>#REF!</v>
      </c>
      <c r="M59" s="59" t="e">
        <f>IF(HLOOKUP(M$52,#REF!,9,FALSE)="","-",HLOOKUP(M$52,#REF!,9,FALSE))</f>
        <v>#REF!</v>
      </c>
      <c r="N59" s="59" t="e">
        <f>IF(HLOOKUP(N$52,#REF!,9,FALSE)="","-",HLOOKUP(N$52,#REF!,9,FALSE))</f>
        <v>#REF!</v>
      </c>
      <c r="O59" s="59" t="e">
        <f>IF(HLOOKUP(O$52,#REF!,9,FALSE)="","-",HLOOKUP(O$52,#REF!,9,FALSE))</f>
        <v>#REF!</v>
      </c>
    </row>
    <row r="60" spans="2:18" s="44" customFormat="1" ht="14.4" thickTop="1" x14ac:dyDescent="0.25">
      <c r="B60" s="44" t="s">
        <v>62</v>
      </c>
    </row>
    <row r="61" spans="2:18" s="44" customFormat="1" ht="13.8" x14ac:dyDescent="0.25">
      <c r="B61" s="41"/>
      <c r="C61" s="41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</row>
    <row r="62" spans="2:18" x14ac:dyDescent="0.25"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51"/>
      <c r="O62" s="42"/>
    </row>
    <row r="63" spans="2:18" ht="15.6" x14ac:dyDescent="0.3">
      <c r="B63" s="229" t="s">
        <v>91</v>
      </c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</row>
    <row r="64" spans="2:18" ht="15.6" x14ac:dyDescent="0.3">
      <c r="B64" s="230" t="s">
        <v>49</v>
      </c>
      <c r="C64" s="230"/>
      <c r="D64" s="230"/>
      <c r="E64" s="230"/>
      <c r="F64" s="230"/>
      <c r="G64" s="230"/>
      <c r="H64" s="230"/>
      <c r="I64" s="230"/>
      <c r="J64" s="230"/>
      <c r="K64" s="230"/>
      <c r="L64" s="230"/>
      <c r="M64" s="230"/>
      <c r="N64" s="230"/>
      <c r="O64" s="230"/>
    </row>
    <row r="65" spans="2:15" ht="15.6" x14ac:dyDescent="0.3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</row>
    <row r="66" spans="2:15" ht="13.8" thickBot="1" x14ac:dyDescent="0.3">
      <c r="B66" s="41"/>
      <c r="C66" s="41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</row>
    <row r="67" spans="2:15" ht="15" thickTop="1" thickBot="1" x14ac:dyDescent="0.3">
      <c r="B67" s="56"/>
      <c r="C67" s="57">
        <f>C$52</f>
        <v>45078</v>
      </c>
      <c r="D67" s="57">
        <f t="shared" ref="D67:O67" si="5">D$52</f>
        <v>45108</v>
      </c>
      <c r="E67" s="57">
        <f t="shared" si="5"/>
        <v>45139</v>
      </c>
      <c r="F67" s="57">
        <f t="shared" si="5"/>
        <v>45170</v>
      </c>
      <c r="G67" s="57">
        <f t="shared" si="5"/>
        <v>45200</v>
      </c>
      <c r="H67" s="57">
        <f t="shared" si="5"/>
        <v>45231</v>
      </c>
      <c r="I67" s="57">
        <f t="shared" si="5"/>
        <v>45261</v>
      </c>
      <c r="J67" s="57">
        <f t="shared" si="5"/>
        <v>45292</v>
      </c>
      <c r="K67" s="57">
        <f t="shared" si="5"/>
        <v>45323</v>
      </c>
      <c r="L67" s="57">
        <f t="shared" si="5"/>
        <v>45352</v>
      </c>
      <c r="M67" s="57">
        <f t="shared" si="5"/>
        <v>45383</v>
      </c>
      <c r="N67" s="57">
        <f t="shared" si="5"/>
        <v>45413</v>
      </c>
      <c r="O67" s="57">
        <f t="shared" si="5"/>
        <v>45444</v>
      </c>
    </row>
    <row r="68" spans="2:15" s="44" customFormat="1" ht="14.4" thickTop="1" x14ac:dyDescent="0.25">
      <c r="B68" s="54" t="s">
        <v>50</v>
      </c>
      <c r="C68" s="58" t="e">
        <f>IF(OR(C$53="-",C54="-"),"-",C$53-C54)</f>
        <v>#REF!</v>
      </c>
      <c r="D68" s="58" t="e">
        <f t="shared" ref="D68:O68" si="6">IF(OR(D$53="-",D54="-"),"-",D$53-D54)</f>
        <v>#REF!</v>
      </c>
      <c r="E68" s="58" t="e">
        <f t="shared" si="6"/>
        <v>#REF!</v>
      </c>
      <c r="F68" s="58" t="e">
        <f t="shared" si="6"/>
        <v>#REF!</v>
      </c>
      <c r="G68" s="58" t="e">
        <f t="shared" si="6"/>
        <v>#REF!</v>
      </c>
      <c r="H68" s="58" t="e">
        <f t="shared" si="6"/>
        <v>#REF!</v>
      </c>
      <c r="I68" s="58" t="e">
        <f t="shared" si="6"/>
        <v>#REF!</v>
      </c>
      <c r="J68" s="58" t="e">
        <f t="shared" si="6"/>
        <v>#REF!</v>
      </c>
      <c r="K68" s="58" t="e">
        <f t="shared" si="6"/>
        <v>#REF!</v>
      </c>
      <c r="L68" s="58" t="e">
        <f t="shared" si="6"/>
        <v>#REF!</v>
      </c>
      <c r="M68" s="58" t="e">
        <f t="shared" si="6"/>
        <v>#REF!</v>
      </c>
      <c r="N68" s="58" t="e">
        <f t="shared" si="6"/>
        <v>#REF!</v>
      </c>
      <c r="O68" s="58" t="e">
        <f t="shared" si="6"/>
        <v>#REF!</v>
      </c>
    </row>
    <row r="69" spans="2:15" ht="13.8" x14ac:dyDescent="0.25">
      <c r="B69" s="54" t="s">
        <v>51</v>
      </c>
      <c r="C69" s="58" t="e">
        <f t="shared" ref="C69:O71" si="7">IF(OR(C$53="-",C55="-"),"-",C$53-C55)</f>
        <v>#REF!</v>
      </c>
      <c r="D69" s="58" t="e">
        <f t="shared" si="7"/>
        <v>#REF!</v>
      </c>
      <c r="E69" s="58" t="e">
        <f t="shared" si="7"/>
        <v>#REF!</v>
      </c>
      <c r="F69" s="58" t="e">
        <f t="shared" si="7"/>
        <v>#REF!</v>
      </c>
      <c r="G69" s="58" t="e">
        <f t="shared" si="7"/>
        <v>#REF!</v>
      </c>
      <c r="H69" s="58" t="e">
        <f t="shared" si="7"/>
        <v>#REF!</v>
      </c>
      <c r="I69" s="58" t="e">
        <f t="shared" si="7"/>
        <v>#REF!</v>
      </c>
      <c r="J69" s="58" t="e">
        <f t="shared" si="7"/>
        <v>#REF!</v>
      </c>
      <c r="K69" s="58" t="e">
        <f t="shared" si="7"/>
        <v>#REF!</v>
      </c>
      <c r="L69" s="58" t="e">
        <f t="shared" si="7"/>
        <v>#REF!</v>
      </c>
      <c r="M69" s="58" t="e">
        <f t="shared" si="7"/>
        <v>#REF!</v>
      </c>
      <c r="N69" s="58" t="e">
        <f t="shared" si="7"/>
        <v>#REF!</v>
      </c>
      <c r="O69" s="58" t="e">
        <f t="shared" si="7"/>
        <v>#REF!</v>
      </c>
    </row>
    <row r="70" spans="2:15" ht="13.8" x14ac:dyDescent="0.25">
      <c r="B70" s="54" t="s">
        <v>52</v>
      </c>
      <c r="C70" s="58" t="e">
        <f t="shared" si="7"/>
        <v>#REF!</v>
      </c>
      <c r="D70" s="58" t="e">
        <f t="shared" si="7"/>
        <v>#REF!</v>
      </c>
      <c r="E70" s="58" t="e">
        <f t="shared" si="7"/>
        <v>#REF!</v>
      </c>
      <c r="F70" s="58" t="e">
        <f t="shared" si="7"/>
        <v>#REF!</v>
      </c>
      <c r="G70" s="58" t="e">
        <f t="shared" si="7"/>
        <v>#REF!</v>
      </c>
      <c r="H70" s="58" t="e">
        <f t="shared" si="7"/>
        <v>#REF!</v>
      </c>
      <c r="I70" s="58" t="e">
        <f t="shared" si="7"/>
        <v>#REF!</v>
      </c>
      <c r="J70" s="58" t="e">
        <f t="shared" si="7"/>
        <v>#REF!</v>
      </c>
      <c r="K70" s="58" t="e">
        <f t="shared" si="7"/>
        <v>#REF!</v>
      </c>
      <c r="L70" s="58" t="e">
        <f t="shared" si="7"/>
        <v>#REF!</v>
      </c>
      <c r="M70" s="58" t="e">
        <f t="shared" si="7"/>
        <v>#REF!</v>
      </c>
      <c r="N70" s="58" t="e">
        <f t="shared" si="7"/>
        <v>#REF!</v>
      </c>
      <c r="O70" s="58" t="e">
        <f t="shared" si="7"/>
        <v>#REF!</v>
      </c>
    </row>
    <row r="71" spans="2:15" ht="13.8" x14ac:dyDescent="0.25">
      <c r="B71" s="54" t="s">
        <v>54</v>
      </c>
      <c r="C71" s="58" t="e">
        <f t="shared" si="7"/>
        <v>#REF!</v>
      </c>
      <c r="D71" s="58" t="e">
        <f t="shared" si="7"/>
        <v>#REF!</v>
      </c>
      <c r="E71" s="58" t="e">
        <f t="shared" si="7"/>
        <v>#REF!</v>
      </c>
      <c r="F71" s="58" t="e">
        <f t="shared" si="7"/>
        <v>#REF!</v>
      </c>
      <c r="G71" s="58" t="e">
        <f t="shared" si="7"/>
        <v>#REF!</v>
      </c>
      <c r="H71" s="58" t="e">
        <f t="shared" si="7"/>
        <v>#REF!</v>
      </c>
      <c r="I71" s="58" t="e">
        <f t="shared" si="7"/>
        <v>#REF!</v>
      </c>
      <c r="J71" s="58" t="e">
        <f t="shared" si="7"/>
        <v>#REF!</v>
      </c>
      <c r="K71" s="58" t="e">
        <f t="shared" si="7"/>
        <v>#REF!</v>
      </c>
      <c r="L71" s="58" t="e">
        <f t="shared" si="7"/>
        <v>#REF!</v>
      </c>
      <c r="M71" s="58" t="e">
        <f t="shared" si="7"/>
        <v>#REF!</v>
      </c>
      <c r="N71" s="58" t="e">
        <f t="shared" si="7"/>
        <v>#REF!</v>
      </c>
      <c r="O71" s="58" t="e">
        <f t="shared" si="7"/>
        <v>#REF!</v>
      </c>
    </row>
    <row r="72" spans="2:15" ht="14.4" thickBot="1" x14ac:dyDescent="0.3">
      <c r="B72" s="55" t="s">
        <v>72</v>
      </c>
      <c r="C72" s="59" t="e">
        <f>IF(OR(C$53="-",C58="-"),"-",C$53-C58)</f>
        <v>#REF!</v>
      </c>
      <c r="D72" s="59" t="e">
        <f t="shared" ref="D72:O72" si="8">IF(OR(D$53="-",D58="-"),"-",D$53-D58)</f>
        <v>#REF!</v>
      </c>
      <c r="E72" s="59" t="e">
        <f t="shared" si="8"/>
        <v>#REF!</v>
      </c>
      <c r="F72" s="59" t="e">
        <f t="shared" si="8"/>
        <v>#REF!</v>
      </c>
      <c r="G72" s="59" t="e">
        <f t="shared" si="8"/>
        <v>#REF!</v>
      </c>
      <c r="H72" s="59" t="e">
        <f t="shared" si="8"/>
        <v>#REF!</v>
      </c>
      <c r="I72" s="59" t="e">
        <f t="shared" si="8"/>
        <v>#REF!</v>
      </c>
      <c r="J72" s="59" t="e">
        <f t="shared" si="8"/>
        <v>#REF!</v>
      </c>
      <c r="K72" s="59" t="e">
        <f t="shared" si="8"/>
        <v>#REF!</v>
      </c>
      <c r="L72" s="59" t="e">
        <f t="shared" si="8"/>
        <v>#REF!</v>
      </c>
      <c r="M72" s="59" t="e">
        <f t="shared" si="8"/>
        <v>#REF!</v>
      </c>
      <c r="N72" s="59" t="e">
        <f t="shared" si="8"/>
        <v>#REF!</v>
      </c>
      <c r="O72" s="59" t="e">
        <f t="shared" si="8"/>
        <v>#REF!</v>
      </c>
    </row>
    <row r="73" spans="2:15" ht="14.4" hidden="1" thickBot="1" x14ac:dyDescent="0.3">
      <c r="B73" s="55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</row>
    <row r="74" spans="2:15" ht="14.4" thickTop="1" x14ac:dyDescent="0.25">
      <c r="B74" s="44" t="s">
        <v>59</v>
      </c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</row>
  </sheetData>
  <mergeCells count="10">
    <mergeCell ref="B1:O1"/>
    <mergeCell ref="B2:O2"/>
    <mergeCell ref="B63:O63"/>
    <mergeCell ref="B64:O64"/>
    <mergeCell ref="B18:O18"/>
    <mergeCell ref="B17:O17"/>
    <mergeCell ref="B33:O33"/>
    <mergeCell ref="B34:O34"/>
    <mergeCell ref="B48:O48"/>
    <mergeCell ref="B49:O49"/>
  </mergeCells>
  <phoneticPr fontId="2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78" orientation="landscape" r:id="rId1"/>
  <headerFooter alignWithMargins="0"/>
  <rowBreaks count="2" manualBreakCount="2">
    <brk id="32" min="1" max="14" man="1"/>
    <brk id="76" min="1" max="1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B2:I103"/>
  <sheetViews>
    <sheetView showGridLines="0" topLeftCell="A28" zoomScaleNormal="100" workbookViewId="0">
      <selection activeCell="K106" sqref="K106"/>
    </sheetView>
  </sheetViews>
  <sheetFormatPr baseColWidth="10" defaultRowHeight="13.2" x14ac:dyDescent="0.25"/>
  <cols>
    <col min="2" max="2" width="13.88671875" customWidth="1"/>
    <col min="6" max="6" width="16.33203125" customWidth="1"/>
    <col min="7" max="7" width="15.88671875" customWidth="1"/>
  </cols>
  <sheetData>
    <row r="2" spans="2:9" ht="15.6" x14ac:dyDescent="0.3">
      <c r="B2" s="229" t="s">
        <v>65</v>
      </c>
      <c r="C2" s="229"/>
      <c r="D2" s="229"/>
      <c r="E2" s="229"/>
      <c r="F2" s="229"/>
      <c r="G2" s="229"/>
      <c r="H2" s="229"/>
      <c r="I2" s="229"/>
    </row>
    <row r="35" spans="2:9" ht="15.6" x14ac:dyDescent="0.3">
      <c r="B35" s="229" t="s">
        <v>64</v>
      </c>
      <c r="C35" s="229"/>
      <c r="D35" s="229"/>
      <c r="E35" s="229"/>
      <c r="F35" s="229"/>
      <c r="G35" s="229"/>
      <c r="H35" s="229"/>
      <c r="I35" s="229"/>
    </row>
    <row r="36" spans="2:9" x14ac:dyDescent="0.25">
      <c r="B36" s="231" t="s">
        <v>66</v>
      </c>
      <c r="C36" s="231"/>
      <c r="D36" s="231"/>
      <c r="E36" s="231"/>
      <c r="F36" s="231"/>
      <c r="G36" s="231"/>
      <c r="H36" s="231"/>
      <c r="I36" s="231"/>
    </row>
    <row r="67" spans="2:9" ht="15.6" x14ac:dyDescent="0.3">
      <c r="B67" s="229" t="s">
        <v>68</v>
      </c>
      <c r="C67" s="229"/>
      <c r="D67" s="229"/>
      <c r="E67" s="229"/>
      <c r="F67" s="229"/>
      <c r="G67" s="229"/>
      <c r="H67" s="229"/>
      <c r="I67" s="229"/>
    </row>
    <row r="68" spans="2:9" x14ac:dyDescent="0.25">
      <c r="B68" s="231" t="s">
        <v>69</v>
      </c>
      <c r="C68" s="231"/>
      <c r="D68" s="231"/>
      <c r="E68" s="231"/>
      <c r="F68" s="231"/>
      <c r="G68" s="231"/>
      <c r="H68" s="231"/>
      <c r="I68" s="231"/>
    </row>
    <row r="103" spans="2:9" x14ac:dyDescent="0.25">
      <c r="B103" s="225" t="s">
        <v>67</v>
      </c>
      <c r="C103" s="225"/>
      <c r="D103" s="225"/>
      <c r="E103" s="225"/>
      <c r="F103" s="225"/>
      <c r="G103" s="225"/>
      <c r="H103" s="225"/>
      <c r="I103" s="225"/>
    </row>
  </sheetData>
  <mergeCells count="6">
    <mergeCell ref="B2:I2"/>
    <mergeCell ref="B67:I67"/>
    <mergeCell ref="B68:I68"/>
    <mergeCell ref="B103:I103"/>
    <mergeCell ref="B35:I35"/>
    <mergeCell ref="B36:I36"/>
  </mergeCells>
  <phoneticPr fontId="2" type="noConversion"/>
  <dataValidations count="2">
    <dataValidation type="whole" allowBlank="1" showInputMessage="1" showErrorMessage="1" promptTitle="Ne rien saisir ici !" sqref="B35:G35">
      <formula1>9.99999999999999E+21</formula1>
      <formula2>9.99999999999999E+22</formula2>
    </dataValidation>
    <dataValidation allowBlank="1" showInputMessage="1" showErrorMessage="1" promptTitle="Ne rien saisir ici !" sqref="B2:G2 B67:I68 B103:I103"/>
  </dataValidation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76" orientation="portrait" r:id="rId1"/>
  <headerFooter alignWithMargins="0"/>
  <rowBreaks count="1" manualBreakCount="1">
    <brk id="65" min="1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3</vt:i4>
      </vt:variant>
    </vt:vector>
  </HeadingPairs>
  <TitlesOfParts>
    <vt:vector size="15" baseType="lpstr">
      <vt:lpstr>IPC</vt:lpstr>
      <vt:lpstr>IPC_Projections</vt:lpstr>
      <vt:lpstr>IPC_Trimestriel</vt:lpstr>
      <vt:lpstr>IPC_annuel</vt:lpstr>
      <vt:lpstr>IPC_annuel_Projection</vt:lpstr>
      <vt:lpstr>Inflation_mensuelle</vt:lpstr>
      <vt:lpstr>Feuil1</vt:lpstr>
      <vt:lpstr>Inflation_trimestrielle</vt:lpstr>
      <vt:lpstr>Série longue IPC</vt:lpstr>
      <vt:lpstr>Annexe 1</vt:lpstr>
      <vt:lpstr>Annexe 3</vt:lpstr>
      <vt:lpstr>Graph 2</vt:lpstr>
      <vt:lpstr>'Annexe 1'!Zone_d_impression</vt:lpstr>
      <vt:lpstr>'Annexe 3'!Zone_d_impression</vt:lpstr>
      <vt:lpstr>'Graph 2'!Zone_d_impression</vt:lpstr>
    </vt:vector>
  </TitlesOfParts>
  <Company>beac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ayiwoue</dc:creator>
  <cp:lastModifiedBy>Joseph.elvis56@outlook.com</cp:lastModifiedBy>
  <cp:lastPrinted>2023-05-26T07:02:43Z</cp:lastPrinted>
  <dcterms:created xsi:type="dcterms:W3CDTF">2008-08-25T16:05:33Z</dcterms:created>
  <dcterms:modified xsi:type="dcterms:W3CDTF">2026-02-18T12:32:31Z</dcterms:modified>
</cp:coreProperties>
</file>